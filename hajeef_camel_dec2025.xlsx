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31" documentId="13_ncr:1_{C33BD4AE-0CA5-4C7A-BB16-E227A6248F2E}" xr6:coauthVersionLast="47" xr6:coauthVersionMax="47" xr10:uidLastSave="{098B2B27-C44B-4052-A26C-746177D33378}"/>
  <bookViews>
    <workbookView xWindow="-120" yWindow="-120" windowWidth="29040" windowHeight="15720" tabRatio="819" firstSheet="10" activeTab="14" xr2:uid="{98B979DE-0370-4696-AEB9-509298284302}"/>
  </bookViews>
  <sheets>
    <sheet name="center-April" sheetId="8" state="hidden" r:id="rId1"/>
    <sheet name="center-May" sheetId="9" state="hidden" r:id="rId2"/>
    <sheet name="Sheet1" sheetId="10" state="hidden" r:id="rId3"/>
    <sheet name="06" sheetId="7" state="hidden" r:id="rId4"/>
    <sheet name="center-July" sheetId="13" state="hidden" r:id="rId5"/>
    <sheet name="center-Aug" sheetId="15" state="hidden" r:id="rId6"/>
    <sheet name="Center-Sept" sheetId="16" state="hidden" r:id="rId7"/>
    <sheet name="Center-Oct" sheetId="17" state="hidden" r:id="rId8"/>
    <sheet name="Center-Nov" sheetId="18" state="hidden" r:id="rId9"/>
    <sheet name="center-dec" sheetId="19" state="hidden" r:id="rId10"/>
    <sheet name="Aug 25" sheetId="31" r:id="rId11"/>
    <sheet name="SEP-25" sheetId="32" r:id="rId12"/>
    <sheet name="oct25" sheetId="33" r:id="rId13"/>
    <sheet name="nov-25" sheetId="35" r:id="rId14"/>
    <sheet name="Dec-25" sheetId="36" r:id="rId15"/>
    <sheet name="Purcahse Request" sheetId="1" state="hidden" r:id="rId16"/>
    <sheet name="Farmer Document" sheetId="14" state="hidden" r:id="rId17"/>
    <sheet name="ONLD price" sheetId="2" state="hidden" r:id="rId18"/>
  </sheets>
  <definedNames>
    <definedName name="_xlnm._FilterDatabase" localSheetId="3" hidden="1">'06'!$A$3:$J$57</definedName>
    <definedName name="_xlnm._FilterDatabase" localSheetId="10" hidden="1">'Aug 25'!$A$3:$H$3</definedName>
    <definedName name="_xlnm._FilterDatabase" localSheetId="0" hidden="1">'center-April'!$A$3:$J$11</definedName>
    <definedName name="_xlnm._FilterDatabase" localSheetId="5" hidden="1">'center-Aug'!$A$3:$J$310</definedName>
    <definedName name="_xlnm._FilterDatabase" localSheetId="9" hidden="1">'center-dec'!$A$3:$J$308</definedName>
    <definedName name="_xlnm._FilterDatabase" localSheetId="4" hidden="1">'center-July'!$A$3:$N$312</definedName>
    <definedName name="_xlnm._FilterDatabase" localSheetId="1" hidden="1">'center-May'!$A$3:$J$32</definedName>
    <definedName name="_xlnm._FilterDatabase" localSheetId="8" hidden="1">'Center-Nov'!$A$3:$N$314</definedName>
    <definedName name="_xlnm._FilterDatabase" localSheetId="7" hidden="1">'Center-Oct'!$A$3:$N$314</definedName>
    <definedName name="_xlnm._FilterDatabase" localSheetId="6" hidden="1">'Center-Sept'!$A$3:$J$316</definedName>
    <definedName name="_xlnm._FilterDatabase" localSheetId="14" hidden="1">'Dec-25'!$A$3:$N$3</definedName>
    <definedName name="_xlnm._FilterDatabase" localSheetId="12" hidden="1">'oct25'!$A$3:$M$313</definedName>
    <definedName name="_xlnm._FilterDatabase" localSheetId="11" hidden="1">'SEP-25'!$A$3:$M$313</definedName>
    <definedName name="_xlnm.Print_Area" localSheetId="3">'06'!$A$1:$K$62</definedName>
    <definedName name="_xlnm.Print_Area" localSheetId="10">'Aug 25'!$A$1:$N$315</definedName>
    <definedName name="_xlnm.Print_Area" localSheetId="0">'center-April'!$A$1:$J$21</definedName>
    <definedName name="_xlnm.Print_Area" localSheetId="5">'center-Aug'!$A$1:$K$314</definedName>
    <definedName name="_xlnm.Print_Area" localSheetId="9">'center-dec'!$A$1:$J$308</definedName>
    <definedName name="_xlnm.Print_Area" localSheetId="4">'center-July'!$A$1:$Z$314</definedName>
    <definedName name="_xlnm.Print_Area" localSheetId="1">'center-May'!$A$1:$J$34</definedName>
    <definedName name="_xlnm.Print_Area" localSheetId="8">'Center-Nov'!$A$1:$O$314</definedName>
    <definedName name="_xlnm.Print_Area" localSheetId="7">'Center-Oct'!$A$1:$O$317</definedName>
    <definedName name="_xlnm.Print_Area" localSheetId="6">'Center-Sept'!$A$1:$J$312</definedName>
    <definedName name="_xlnm.Print_Area" localSheetId="14">'Dec-25'!$A$1:$N$313</definedName>
    <definedName name="_xlnm.Print_Area" localSheetId="16">'Farmer Document'!$A$1:$D$41</definedName>
    <definedName name="_xlnm.Print_Area" localSheetId="13">'nov-25'!$A$1:$N$313</definedName>
    <definedName name="_xlnm.Print_Area" localSheetId="12">'oct25'!$A$1:$N$313</definedName>
    <definedName name="_xlnm.Print_Area" localSheetId="15">'Purcahse Request'!$A$1:$E$38</definedName>
    <definedName name="_xlnm.Print_Area" localSheetId="11">'SEP-25'!$A$1:$N$313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1" l="1"/>
  <c r="E5" i="31"/>
  <c r="F5" i="31"/>
  <c r="E6" i="31"/>
  <c r="F6" i="31"/>
  <c r="E7" i="31"/>
  <c r="F7" i="31" s="1"/>
  <c r="E8" i="31"/>
  <c r="E9" i="31"/>
  <c r="E10" i="31"/>
  <c r="E11" i="31"/>
  <c r="F11" i="31" s="1"/>
  <c r="E12" i="31"/>
  <c r="F12" i="31" s="1"/>
  <c r="E13" i="31"/>
  <c r="E14" i="31"/>
  <c r="E15" i="31"/>
  <c r="F15" i="31" s="1"/>
  <c r="E16" i="31"/>
  <c r="F16" i="31"/>
  <c r="E17" i="31"/>
  <c r="F17" i="31"/>
  <c r="E18" i="31"/>
  <c r="F18" i="31"/>
  <c r="E19" i="31"/>
  <c r="E20" i="31"/>
  <c r="F20" i="31"/>
  <c r="E21" i="31"/>
  <c r="F21" i="31"/>
  <c r="E22" i="31"/>
  <c r="E23" i="31"/>
  <c r="F23" i="31"/>
  <c r="E24" i="31"/>
  <c r="F24" i="31" s="1"/>
  <c r="E25" i="31"/>
  <c r="E26" i="31"/>
  <c r="F26" i="31" s="1"/>
  <c r="E27" i="31"/>
  <c r="F27" i="31"/>
  <c r="E28" i="31"/>
  <c r="F28" i="31" s="1"/>
  <c r="E29" i="31"/>
  <c r="E30" i="31"/>
  <c r="E31" i="31"/>
  <c r="F31" i="31"/>
  <c r="E32" i="31"/>
  <c r="F32" i="31"/>
  <c r="E33" i="31"/>
  <c r="F33" i="31"/>
  <c r="E34" i="31"/>
  <c r="F34" i="31" s="1"/>
  <c r="E35" i="31"/>
  <c r="E36" i="31"/>
  <c r="F36" i="31" s="1"/>
  <c r="E37" i="31"/>
  <c r="F37" i="31"/>
  <c r="E38" i="31"/>
  <c r="F38" i="31" s="1"/>
  <c r="E39" i="31"/>
  <c r="F39" i="31" s="1"/>
  <c r="E40" i="31"/>
  <c r="F40" i="31" s="1"/>
  <c r="E41" i="31"/>
  <c r="E42" i="31"/>
  <c r="E43" i="31"/>
  <c r="F43" i="31"/>
  <c r="E44" i="31"/>
  <c r="E45" i="31"/>
  <c r="F45" i="31"/>
  <c r="E46" i="31"/>
  <c r="F46" i="31" s="1"/>
  <c r="E47" i="31"/>
  <c r="F47" i="31"/>
  <c r="E48" i="31"/>
  <c r="F48" i="31" s="1"/>
  <c r="E49" i="31"/>
  <c r="F49" i="31"/>
  <c r="E50" i="31"/>
  <c r="F50" i="31"/>
  <c r="E51" i="31"/>
  <c r="F51" i="31"/>
  <c r="E52" i="31"/>
  <c r="E53" i="31"/>
  <c r="F53" i="31"/>
  <c r="E54" i="31"/>
  <c r="F54" i="31" s="1"/>
  <c r="E55" i="31"/>
  <c r="F55" i="31"/>
  <c r="E56" i="31"/>
  <c r="E57" i="31"/>
  <c r="E58" i="31"/>
  <c r="F58" i="31"/>
  <c r="E59" i="31"/>
  <c r="F59" i="31"/>
  <c r="E60" i="31"/>
  <c r="E61" i="31"/>
  <c r="E62" i="31"/>
  <c r="F62" i="31" s="1"/>
  <c r="E63" i="31"/>
  <c r="F63" i="31"/>
  <c r="E64" i="31"/>
  <c r="F64" i="31" s="1"/>
  <c r="E65" i="31"/>
  <c r="F65" i="31"/>
  <c r="E66" i="31"/>
  <c r="E67" i="31"/>
  <c r="F67" i="31"/>
  <c r="E68" i="31"/>
  <c r="E69" i="31"/>
  <c r="F69" i="31" s="1"/>
  <c r="E70" i="31"/>
  <c r="E314" i="31" s="1"/>
  <c r="E71" i="31"/>
  <c r="E72" i="31"/>
  <c r="F72" i="31" s="1"/>
  <c r="E73" i="31"/>
  <c r="F73" i="31" s="1"/>
  <c r="E74" i="31"/>
  <c r="F74" i="31"/>
  <c r="E75" i="31"/>
  <c r="E76" i="31"/>
  <c r="E77" i="31"/>
  <c r="E78" i="31"/>
  <c r="F78" i="31"/>
  <c r="E79" i="31"/>
  <c r="F79" i="31"/>
  <c r="E80" i="31"/>
  <c r="E81" i="31"/>
  <c r="F81" i="31"/>
  <c r="E82" i="31"/>
  <c r="F82" i="31" s="1"/>
  <c r="E83" i="31"/>
  <c r="F83" i="31"/>
  <c r="E84" i="31"/>
  <c r="E85" i="31"/>
  <c r="F85" i="31"/>
  <c r="E86" i="31"/>
  <c r="F86" i="31" s="1"/>
  <c r="E87" i="31"/>
  <c r="E88" i="31"/>
  <c r="F88" i="31"/>
  <c r="E89" i="31"/>
  <c r="E90" i="31"/>
  <c r="F90" i="31"/>
  <c r="E91" i="31"/>
  <c r="F91" i="31"/>
  <c r="E92" i="31"/>
  <c r="F92" i="31"/>
  <c r="E93" i="31"/>
  <c r="F93" i="31"/>
  <c r="E94" i="31"/>
  <c r="F94" i="31"/>
  <c r="E95" i="31"/>
  <c r="F95" i="31" s="1"/>
  <c r="E96" i="31"/>
  <c r="F96" i="31" s="1"/>
  <c r="E97" i="31"/>
  <c r="F97" i="31"/>
  <c r="E98" i="31"/>
  <c r="F98" i="31"/>
  <c r="E99" i="31"/>
  <c r="F99" i="31"/>
  <c r="E100" i="31"/>
  <c r="F100" i="31"/>
  <c r="E101" i="31"/>
  <c r="F101" i="31" s="1"/>
  <c r="E102" i="31"/>
  <c r="F102" i="31"/>
  <c r="E103" i="31"/>
  <c r="E104" i="31"/>
  <c r="F104" i="31" s="1"/>
  <c r="E105" i="31"/>
  <c r="F105" i="31"/>
  <c r="E106" i="31"/>
  <c r="F106" i="31"/>
  <c r="E107" i="31"/>
  <c r="F107" i="31"/>
  <c r="E108" i="31"/>
  <c r="F108" i="31"/>
  <c r="E109" i="31"/>
  <c r="F109" i="31"/>
  <c r="E110" i="31"/>
  <c r="F110" i="31"/>
  <c r="E111" i="31"/>
  <c r="F111" i="31"/>
  <c r="E112" i="31"/>
  <c r="E113" i="31"/>
  <c r="F113" i="31"/>
  <c r="E114" i="31"/>
  <c r="E115" i="31"/>
  <c r="F115" i="31"/>
  <c r="E116" i="31"/>
  <c r="F116" i="31"/>
  <c r="E117" i="31"/>
  <c r="E118" i="31"/>
  <c r="F118" i="31"/>
  <c r="E119" i="31"/>
  <c r="F119" i="31" s="1"/>
  <c r="E120" i="31"/>
  <c r="F120" i="31"/>
  <c r="E121" i="31"/>
  <c r="E122" i="31"/>
  <c r="F122" i="31" s="1"/>
  <c r="E123" i="31"/>
  <c r="E124" i="31"/>
  <c r="F124" i="31" s="1"/>
  <c r="E125" i="31"/>
  <c r="F125" i="31" s="1"/>
  <c r="E126" i="31"/>
  <c r="F126" i="31" s="1"/>
  <c r="E127" i="31"/>
  <c r="F127" i="31"/>
  <c r="E128" i="31"/>
  <c r="F128" i="31" s="1"/>
  <c r="E129" i="31"/>
  <c r="E130" i="31"/>
  <c r="F130" i="31" s="1"/>
  <c r="E131" i="31"/>
  <c r="E132" i="31"/>
  <c r="F132" i="31"/>
  <c r="E133" i="31"/>
  <c r="F133" i="31" s="1"/>
  <c r="E134" i="31"/>
  <c r="F134" i="31" s="1"/>
  <c r="E135" i="31"/>
  <c r="F135" i="31" s="1"/>
  <c r="E136" i="31"/>
  <c r="E137" i="31"/>
  <c r="E138" i="31"/>
  <c r="E139" i="31"/>
  <c r="F139" i="31"/>
  <c r="E140" i="31"/>
  <c r="F140" i="31"/>
  <c r="E141" i="31"/>
  <c r="F141" i="31"/>
  <c r="E142" i="31"/>
  <c r="F142" i="31"/>
  <c r="E143" i="31"/>
  <c r="F143" i="31"/>
  <c r="E144" i="31"/>
  <c r="F144" i="31"/>
  <c r="E145" i="31"/>
  <c r="E146" i="31"/>
  <c r="F146" i="31"/>
  <c r="E147" i="31"/>
  <c r="F147" i="31" s="1"/>
  <c r="E148" i="31"/>
  <c r="E149" i="31"/>
  <c r="E150" i="31"/>
  <c r="F150" i="31"/>
  <c r="E151" i="31"/>
  <c r="F151" i="31" s="1"/>
  <c r="E152" i="31"/>
  <c r="F152" i="31"/>
  <c r="E153" i="31"/>
  <c r="F153" i="31"/>
  <c r="E154" i="31"/>
  <c r="F154" i="31"/>
  <c r="E155" i="31"/>
  <c r="F155" i="31"/>
  <c r="E156" i="31"/>
  <c r="E157" i="31"/>
  <c r="F157" i="31" s="1"/>
  <c r="E158" i="31"/>
  <c r="F158" i="31"/>
  <c r="E159" i="31"/>
  <c r="F159" i="31" s="1"/>
  <c r="E160" i="31"/>
  <c r="F160" i="31"/>
  <c r="E161" i="31"/>
  <c r="F161" i="31"/>
  <c r="E162" i="31"/>
  <c r="F162" i="31"/>
  <c r="E163" i="31"/>
  <c r="E164" i="31"/>
  <c r="F164" i="31"/>
  <c r="E165" i="31"/>
  <c r="F165" i="31" s="1"/>
  <c r="E166" i="31"/>
  <c r="E167" i="31"/>
  <c r="E168" i="31"/>
  <c r="F168" i="31"/>
  <c r="E169" i="31"/>
  <c r="E170" i="31"/>
  <c r="F170" i="31"/>
  <c r="E171" i="31"/>
  <c r="F171" i="31"/>
  <c r="E172" i="31"/>
  <c r="E173" i="31"/>
  <c r="F173" i="31" s="1"/>
  <c r="E174" i="31"/>
  <c r="F174" i="31"/>
  <c r="E175" i="31"/>
  <c r="F175" i="31" s="1"/>
  <c r="E176" i="31"/>
  <c r="F176" i="31"/>
  <c r="E177" i="31"/>
  <c r="E178" i="31"/>
  <c r="F178" i="31" s="1"/>
  <c r="E179" i="31"/>
  <c r="F179" i="31"/>
  <c r="E180" i="31"/>
  <c r="F180" i="31"/>
  <c r="E181" i="31"/>
  <c r="E182" i="31"/>
  <c r="F182" i="31" s="1"/>
  <c r="E183" i="31"/>
  <c r="F183" i="31"/>
  <c r="E184" i="31"/>
  <c r="E185" i="31"/>
  <c r="F185" i="31" s="1"/>
  <c r="E186" i="31"/>
  <c r="F186" i="31"/>
  <c r="E187" i="31"/>
  <c r="F187" i="31" s="1"/>
  <c r="E188" i="31"/>
  <c r="F188" i="31"/>
  <c r="E189" i="31"/>
  <c r="E190" i="31"/>
  <c r="F190" i="31" s="1"/>
  <c r="E191" i="31"/>
  <c r="F191" i="31" s="1"/>
  <c r="E192" i="31"/>
  <c r="E193" i="31"/>
  <c r="F193" i="31"/>
  <c r="E194" i="31"/>
  <c r="F194" i="31" s="1"/>
  <c r="E195" i="31"/>
  <c r="F195" i="31"/>
  <c r="E196" i="31"/>
  <c r="F196" i="31"/>
  <c r="E197" i="31"/>
  <c r="F197" i="31"/>
  <c r="E198" i="31"/>
  <c r="F198" i="31"/>
  <c r="E199" i="31"/>
  <c r="F199" i="31"/>
  <c r="E200" i="31"/>
  <c r="E201" i="31"/>
  <c r="E202" i="31"/>
  <c r="F202" i="31"/>
  <c r="E203" i="31"/>
  <c r="F203" i="31" s="1"/>
  <c r="E204" i="31"/>
  <c r="F204" i="31"/>
  <c r="E205" i="31"/>
  <c r="E206" i="31"/>
  <c r="F206" i="31" s="1"/>
  <c r="E207" i="31"/>
  <c r="F207" i="31" s="1"/>
  <c r="E208" i="31"/>
  <c r="E209" i="31"/>
  <c r="E210" i="31"/>
  <c r="E211" i="31"/>
  <c r="F211" i="31"/>
  <c r="E212" i="31"/>
  <c r="E213" i="31"/>
  <c r="E214" i="31"/>
  <c r="F214" i="31" s="1"/>
  <c r="E215" i="31"/>
  <c r="E216" i="31"/>
  <c r="F216" i="31"/>
  <c r="E217" i="31"/>
  <c r="E218" i="31"/>
  <c r="F218" i="31"/>
  <c r="E219" i="31"/>
  <c r="F219" i="31"/>
  <c r="E220" i="31"/>
  <c r="F220" i="31"/>
  <c r="E221" i="31"/>
  <c r="F221" i="31"/>
  <c r="E222" i="31"/>
  <c r="F222" i="31"/>
  <c r="E223" i="31"/>
  <c r="F223" i="31" s="1"/>
  <c r="E224" i="31"/>
  <c r="E225" i="31"/>
  <c r="F225" i="31"/>
  <c r="E226" i="31"/>
  <c r="E227" i="31"/>
  <c r="F227" i="31"/>
  <c r="E228" i="31"/>
  <c r="F228" i="31"/>
  <c r="E229" i="31"/>
  <c r="F229" i="31"/>
  <c r="E230" i="31"/>
  <c r="E231" i="31"/>
  <c r="F231" i="31"/>
  <c r="E232" i="31"/>
  <c r="F232" i="31" s="1"/>
  <c r="E233" i="31"/>
  <c r="E234" i="31"/>
  <c r="F234" i="31"/>
  <c r="E235" i="31"/>
  <c r="F235" i="31"/>
  <c r="E236" i="31"/>
  <c r="F236" i="31"/>
  <c r="E237" i="31"/>
  <c r="F237" i="31"/>
  <c r="E238" i="31"/>
  <c r="F238" i="31"/>
  <c r="E239" i="31"/>
  <c r="E240" i="31"/>
  <c r="F240" i="31"/>
  <c r="E241" i="31"/>
  <c r="F241" i="31" s="1"/>
  <c r="E242" i="31"/>
  <c r="E243" i="31"/>
  <c r="E244" i="31"/>
  <c r="F244" i="31"/>
  <c r="E245" i="31"/>
  <c r="E246" i="31"/>
  <c r="F246" i="31"/>
  <c r="E247" i="31"/>
  <c r="E248" i="31"/>
  <c r="F248" i="31"/>
  <c r="E249" i="31"/>
  <c r="F249" i="31"/>
  <c r="E250" i="31"/>
  <c r="E251" i="31"/>
  <c r="F251" i="31"/>
  <c r="E252" i="31"/>
  <c r="F252" i="31" s="1"/>
  <c r="E253" i="31"/>
  <c r="F253" i="31"/>
  <c r="E254" i="31"/>
  <c r="F254" i="31" s="1"/>
  <c r="E255" i="31"/>
  <c r="F255" i="31"/>
  <c r="E256" i="31"/>
  <c r="E257" i="31"/>
  <c r="F257" i="31" s="1"/>
  <c r="E258" i="31"/>
  <c r="E259" i="31"/>
  <c r="F259" i="31"/>
  <c r="E260" i="31"/>
  <c r="F260" i="31"/>
  <c r="E261" i="31"/>
  <c r="F261" i="31" s="1"/>
  <c r="E262" i="31"/>
  <c r="F262" i="31"/>
  <c r="E263" i="31"/>
  <c r="F263" i="31"/>
  <c r="E264" i="31"/>
  <c r="E265" i="31"/>
  <c r="F265" i="31" s="1"/>
  <c r="E266" i="31"/>
  <c r="F266" i="31"/>
  <c r="E267" i="31"/>
  <c r="F267" i="31"/>
  <c r="E268" i="31"/>
  <c r="E269" i="31"/>
  <c r="F269" i="31"/>
  <c r="E270" i="31"/>
  <c r="F270" i="31"/>
  <c r="E271" i="31"/>
  <c r="F271" i="31"/>
  <c r="E272" i="31"/>
  <c r="F272" i="31" s="1"/>
  <c r="E273" i="31"/>
  <c r="E274" i="31"/>
  <c r="F274" i="31"/>
  <c r="E275" i="31"/>
  <c r="F275" i="31" s="1"/>
  <c r="E276" i="31"/>
  <c r="F276" i="31" s="1"/>
  <c r="E277" i="31"/>
  <c r="F277" i="31"/>
  <c r="E278" i="31"/>
  <c r="E279" i="31"/>
  <c r="F279" i="31" s="1"/>
  <c r="E280" i="31"/>
  <c r="F280" i="31"/>
  <c r="E281" i="31"/>
  <c r="F281" i="31" s="1"/>
  <c r="E282" i="31"/>
  <c r="E283" i="31"/>
  <c r="F283" i="31"/>
  <c r="E284" i="31"/>
  <c r="F284" i="31"/>
  <c r="E285" i="31"/>
  <c r="E286" i="31"/>
  <c r="F286" i="31"/>
  <c r="E287" i="31"/>
  <c r="F287" i="31"/>
  <c r="E288" i="31"/>
  <c r="F288" i="31"/>
  <c r="E289" i="31"/>
  <c r="E290" i="31"/>
  <c r="F290" i="31" s="1"/>
  <c r="E291" i="31"/>
  <c r="F291" i="31"/>
  <c r="E292" i="31"/>
  <c r="F292" i="31" s="1"/>
  <c r="E293" i="31"/>
  <c r="E294" i="31"/>
  <c r="F294" i="31"/>
  <c r="E295" i="31"/>
  <c r="F295" i="31"/>
  <c r="E296" i="31"/>
  <c r="F296" i="31"/>
  <c r="E297" i="31"/>
  <c r="F297" i="31" s="1"/>
  <c r="E298" i="31"/>
  <c r="F298" i="31"/>
  <c r="E299" i="31"/>
  <c r="F299" i="31"/>
  <c r="E300" i="31"/>
  <c r="E301" i="31"/>
  <c r="E302" i="31"/>
  <c r="F302" i="31"/>
  <c r="E303" i="31"/>
  <c r="F303" i="31"/>
  <c r="E304" i="31"/>
  <c r="F304" i="31"/>
  <c r="E305" i="31"/>
  <c r="F305" i="31"/>
  <c r="E306" i="31"/>
  <c r="F306" i="31" s="1"/>
  <c r="E307" i="31"/>
  <c r="F307" i="31"/>
  <c r="E308" i="31"/>
  <c r="E309" i="31"/>
  <c r="E310" i="31"/>
  <c r="E311" i="31"/>
  <c r="E312" i="31"/>
  <c r="E313" i="31"/>
  <c r="F313" i="31" s="1"/>
  <c r="C314" i="31"/>
  <c r="E4" i="36"/>
  <c r="G4" i="36" s="1"/>
  <c r="E5" i="36"/>
  <c r="G5" i="36" s="1"/>
  <c r="E6" i="36"/>
  <c r="G6" i="36" s="1"/>
  <c r="E7" i="36"/>
  <c r="G7" i="36" s="1"/>
  <c r="E8" i="36"/>
  <c r="G8" i="36" s="1"/>
  <c r="E9" i="36"/>
  <c r="G9" i="36" s="1"/>
  <c r="E10" i="36"/>
  <c r="G10" i="36" s="1"/>
  <c r="E11" i="36"/>
  <c r="E12" i="36"/>
  <c r="G12" i="36" s="1"/>
  <c r="E13" i="36"/>
  <c r="G13" i="36" s="1"/>
  <c r="E14" i="36"/>
  <c r="G14" i="36" s="1"/>
  <c r="E15" i="36"/>
  <c r="G15" i="36" s="1"/>
  <c r="E16" i="36"/>
  <c r="G16" i="36" s="1"/>
  <c r="E17" i="36"/>
  <c r="G17" i="36"/>
  <c r="E18" i="36"/>
  <c r="G18" i="36"/>
  <c r="E19" i="36"/>
  <c r="G19" i="36" s="1"/>
  <c r="E20" i="36"/>
  <c r="G20" i="36" s="1"/>
  <c r="E21" i="36"/>
  <c r="G21" i="36" s="1"/>
  <c r="E22" i="36"/>
  <c r="G22" i="36" s="1"/>
  <c r="E23" i="36"/>
  <c r="G23" i="36"/>
  <c r="E24" i="36"/>
  <c r="G24" i="36" s="1"/>
  <c r="E25" i="36"/>
  <c r="G25" i="36" s="1"/>
  <c r="E26" i="36"/>
  <c r="G26" i="36" s="1"/>
  <c r="E27" i="36"/>
  <c r="G27" i="36" s="1"/>
  <c r="E28" i="36"/>
  <c r="G28" i="36" s="1"/>
  <c r="E29" i="36"/>
  <c r="G29" i="36"/>
  <c r="E30" i="36"/>
  <c r="G30" i="36" s="1"/>
  <c r="E31" i="36"/>
  <c r="G31" i="36" s="1"/>
  <c r="E32" i="36"/>
  <c r="G32" i="36" s="1"/>
  <c r="E33" i="36"/>
  <c r="G33" i="36" s="1"/>
  <c r="E34" i="36"/>
  <c r="G34" i="36" s="1"/>
  <c r="E35" i="36"/>
  <c r="G35" i="36" s="1"/>
  <c r="E36" i="36"/>
  <c r="G36" i="36" s="1"/>
  <c r="E37" i="36"/>
  <c r="G37" i="36" s="1"/>
  <c r="E38" i="36"/>
  <c r="G38" i="36" s="1"/>
  <c r="E39" i="36"/>
  <c r="G39" i="36" s="1"/>
  <c r="E40" i="36"/>
  <c r="G40" i="36" s="1"/>
  <c r="E41" i="36"/>
  <c r="G41" i="36" s="1"/>
  <c r="E42" i="36"/>
  <c r="G42" i="36" s="1"/>
  <c r="E43" i="36"/>
  <c r="G43" i="36" s="1"/>
  <c r="E44" i="36"/>
  <c r="G44" i="36" s="1"/>
  <c r="E45" i="36"/>
  <c r="G45" i="36"/>
  <c r="E46" i="36"/>
  <c r="G46" i="36" s="1"/>
  <c r="E47" i="36"/>
  <c r="G47" i="36" s="1"/>
  <c r="E48" i="36"/>
  <c r="G48" i="36" s="1"/>
  <c r="E49" i="36"/>
  <c r="G49" i="36" s="1"/>
  <c r="E50" i="36"/>
  <c r="G50" i="36" s="1"/>
  <c r="E51" i="36"/>
  <c r="G51" i="36" s="1"/>
  <c r="E52" i="36"/>
  <c r="G52" i="36" s="1"/>
  <c r="E53" i="36"/>
  <c r="G53" i="36" s="1"/>
  <c r="E54" i="36"/>
  <c r="G54" i="36" s="1"/>
  <c r="E55" i="36"/>
  <c r="G55" i="36" s="1"/>
  <c r="E56" i="36"/>
  <c r="G56" i="36" s="1"/>
  <c r="E57" i="36"/>
  <c r="G57" i="36" s="1"/>
  <c r="E58" i="36"/>
  <c r="G58" i="36" s="1"/>
  <c r="E59" i="36"/>
  <c r="G59" i="36" s="1"/>
  <c r="E60" i="36"/>
  <c r="G60" i="36"/>
  <c r="E61" i="36"/>
  <c r="G61" i="36"/>
  <c r="E62" i="36"/>
  <c r="G62" i="36" s="1"/>
  <c r="E63" i="36"/>
  <c r="G63" i="36" s="1"/>
  <c r="E64" i="36"/>
  <c r="G64" i="36" s="1"/>
  <c r="E65" i="36"/>
  <c r="G65" i="36" s="1"/>
  <c r="E66" i="36"/>
  <c r="G66" i="36"/>
  <c r="E67" i="36"/>
  <c r="G67" i="36" s="1"/>
  <c r="E68" i="36"/>
  <c r="G68" i="36" s="1"/>
  <c r="E69" i="36"/>
  <c r="G69" i="36" s="1"/>
  <c r="E70" i="36"/>
  <c r="G70" i="36" s="1"/>
  <c r="E71" i="36"/>
  <c r="G71" i="36" s="1"/>
  <c r="E72" i="36"/>
  <c r="G72" i="36" s="1"/>
  <c r="E73" i="36"/>
  <c r="G73" i="36" s="1"/>
  <c r="E74" i="36"/>
  <c r="G74" i="36"/>
  <c r="E75" i="36"/>
  <c r="G75" i="36" s="1"/>
  <c r="E76" i="36"/>
  <c r="G76" i="36"/>
  <c r="E77" i="36"/>
  <c r="G77" i="36"/>
  <c r="E78" i="36"/>
  <c r="G78" i="36" s="1"/>
  <c r="E79" i="36"/>
  <c r="G79" i="36" s="1"/>
  <c r="E80" i="36"/>
  <c r="G80" i="36" s="1"/>
  <c r="E81" i="36"/>
  <c r="G81" i="36" s="1"/>
  <c r="E82" i="36"/>
  <c r="G82" i="36" s="1"/>
  <c r="E83" i="36"/>
  <c r="G83" i="36" s="1"/>
  <c r="E84" i="36"/>
  <c r="G84" i="36" s="1"/>
  <c r="E85" i="36"/>
  <c r="G85" i="36" s="1"/>
  <c r="E86" i="36"/>
  <c r="G86" i="36" s="1"/>
  <c r="E87" i="36"/>
  <c r="G87" i="36" s="1"/>
  <c r="E88" i="36"/>
  <c r="G88" i="36" s="1"/>
  <c r="E89" i="36"/>
  <c r="G89" i="36"/>
  <c r="E90" i="36"/>
  <c r="G90" i="36" s="1"/>
  <c r="E91" i="36"/>
  <c r="G91" i="36" s="1"/>
  <c r="E92" i="36"/>
  <c r="G92" i="36" s="1"/>
  <c r="E93" i="36"/>
  <c r="G93" i="36" s="1"/>
  <c r="E94" i="36"/>
  <c r="G94" i="36" s="1"/>
  <c r="E95" i="36"/>
  <c r="G95" i="36" s="1"/>
  <c r="E96" i="36"/>
  <c r="G96" i="36" s="1"/>
  <c r="E97" i="36"/>
  <c r="G97" i="36" s="1"/>
  <c r="E98" i="36"/>
  <c r="G98" i="36" s="1"/>
  <c r="E99" i="36"/>
  <c r="G99" i="36" s="1"/>
  <c r="E100" i="36"/>
  <c r="G100" i="36" s="1"/>
  <c r="E101" i="36"/>
  <c r="G101" i="36"/>
  <c r="E102" i="36"/>
  <c r="G102" i="36" s="1"/>
  <c r="E103" i="36"/>
  <c r="G103" i="36" s="1"/>
  <c r="E104" i="36"/>
  <c r="G104" i="36" s="1"/>
  <c r="E105" i="36"/>
  <c r="G105" i="36" s="1"/>
  <c r="E106" i="36"/>
  <c r="G106" i="36" s="1"/>
  <c r="E107" i="36"/>
  <c r="G107" i="36" s="1"/>
  <c r="E108" i="36"/>
  <c r="G108" i="36" s="1"/>
  <c r="E109" i="36"/>
  <c r="G109" i="36" s="1"/>
  <c r="E110" i="36"/>
  <c r="G110" i="36" s="1"/>
  <c r="E111" i="36"/>
  <c r="G111" i="36" s="1"/>
  <c r="E112" i="36"/>
  <c r="G112" i="36" s="1"/>
  <c r="E113" i="36"/>
  <c r="G113" i="36" s="1"/>
  <c r="E114" i="36"/>
  <c r="G114" i="36"/>
  <c r="E115" i="36"/>
  <c r="G115" i="36" s="1"/>
  <c r="E116" i="36"/>
  <c r="G116" i="36" s="1"/>
  <c r="E117" i="36"/>
  <c r="G117" i="36" s="1"/>
  <c r="E118" i="36"/>
  <c r="G118" i="36" s="1"/>
  <c r="E119" i="36"/>
  <c r="G119" i="36" s="1"/>
  <c r="E120" i="36"/>
  <c r="G120" i="36" s="1"/>
  <c r="E121" i="36"/>
  <c r="G121" i="36" s="1"/>
  <c r="E122" i="36"/>
  <c r="G122" i="36" s="1"/>
  <c r="E123" i="36"/>
  <c r="G123" i="36" s="1"/>
  <c r="E124" i="36"/>
  <c r="G124" i="36" s="1"/>
  <c r="E125" i="36"/>
  <c r="G125" i="36" s="1"/>
  <c r="E126" i="36"/>
  <c r="G126" i="36" s="1"/>
  <c r="E127" i="36"/>
  <c r="G127" i="36" s="1"/>
  <c r="E128" i="36"/>
  <c r="G128" i="36" s="1"/>
  <c r="E129" i="36"/>
  <c r="G129" i="36"/>
  <c r="E130" i="36"/>
  <c r="G130" i="36" s="1"/>
  <c r="E131" i="36"/>
  <c r="G131" i="36" s="1"/>
  <c r="E132" i="36"/>
  <c r="G132" i="36"/>
  <c r="E133" i="36"/>
  <c r="G133" i="36" s="1"/>
  <c r="E134" i="36"/>
  <c r="G134" i="36" s="1"/>
  <c r="E135" i="36"/>
  <c r="G135" i="36" s="1"/>
  <c r="E136" i="36"/>
  <c r="G136" i="36" s="1"/>
  <c r="E137" i="36"/>
  <c r="G137" i="36" s="1"/>
  <c r="E138" i="36"/>
  <c r="G138" i="36"/>
  <c r="E139" i="36"/>
  <c r="G139" i="36" s="1"/>
  <c r="E140" i="36"/>
  <c r="G140" i="36"/>
  <c r="E141" i="36"/>
  <c r="G141" i="36" s="1"/>
  <c r="E142" i="36"/>
  <c r="G142" i="36" s="1"/>
  <c r="E143" i="36"/>
  <c r="G143" i="36" s="1"/>
  <c r="E144" i="36"/>
  <c r="G144" i="36" s="1"/>
  <c r="E145" i="36"/>
  <c r="G145" i="36" s="1"/>
  <c r="E146" i="36"/>
  <c r="G146" i="36" s="1"/>
  <c r="E147" i="36"/>
  <c r="G147" i="36" s="1"/>
  <c r="E148" i="36"/>
  <c r="G148" i="36"/>
  <c r="E149" i="36"/>
  <c r="G149" i="36" s="1"/>
  <c r="E150" i="36"/>
  <c r="G150" i="36" s="1"/>
  <c r="E151" i="36"/>
  <c r="G151" i="36"/>
  <c r="E152" i="36"/>
  <c r="G152" i="36" s="1"/>
  <c r="E153" i="36"/>
  <c r="G153" i="36" s="1"/>
  <c r="E154" i="36"/>
  <c r="G154" i="36" s="1"/>
  <c r="E155" i="36"/>
  <c r="G155" i="36" s="1"/>
  <c r="E156" i="36"/>
  <c r="G156" i="36" s="1"/>
  <c r="E157" i="36"/>
  <c r="G157" i="36" s="1"/>
  <c r="E158" i="36"/>
  <c r="G158" i="36" s="1"/>
  <c r="E159" i="36"/>
  <c r="G159" i="36" s="1"/>
  <c r="E160" i="36"/>
  <c r="G160" i="36" s="1"/>
  <c r="E161" i="36"/>
  <c r="G161" i="36" s="1"/>
  <c r="E162" i="36"/>
  <c r="G162" i="36"/>
  <c r="E163" i="36"/>
  <c r="G163" i="36" s="1"/>
  <c r="E164" i="36"/>
  <c r="G164" i="36" s="1"/>
  <c r="E165" i="36"/>
  <c r="G165" i="36" s="1"/>
  <c r="E166" i="36"/>
  <c r="G166" i="36" s="1"/>
  <c r="E167" i="36"/>
  <c r="G167" i="36" s="1"/>
  <c r="E168" i="36"/>
  <c r="G168" i="36" s="1"/>
  <c r="E169" i="36"/>
  <c r="G169" i="36"/>
  <c r="E170" i="36"/>
  <c r="G170" i="36" s="1"/>
  <c r="E171" i="36"/>
  <c r="G171" i="36" s="1"/>
  <c r="E172" i="36"/>
  <c r="G172" i="36"/>
  <c r="E173" i="36"/>
  <c r="G173" i="36"/>
  <c r="E174" i="36"/>
  <c r="G174" i="36" s="1"/>
  <c r="E175" i="36"/>
  <c r="G175" i="36" s="1"/>
  <c r="E176" i="36"/>
  <c r="G176" i="36" s="1"/>
  <c r="E177" i="36"/>
  <c r="G177" i="36"/>
  <c r="E178" i="36"/>
  <c r="G178" i="36" s="1"/>
  <c r="E179" i="36"/>
  <c r="G179" i="36" s="1"/>
  <c r="E180" i="36"/>
  <c r="G180" i="36" s="1"/>
  <c r="E181" i="36"/>
  <c r="G181" i="36" s="1"/>
  <c r="E182" i="36"/>
  <c r="G182" i="36" s="1"/>
  <c r="E183" i="36"/>
  <c r="G183" i="36" s="1"/>
  <c r="E184" i="36"/>
  <c r="G184" i="36" s="1"/>
  <c r="E185" i="36"/>
  <c r="G185" i="36" s="1"/>
  <c r="E186" i="36"/>
  <c r="G186" i="36" s="1"/>
  <c r="E187" i="36"/>
  <c r="G187" i="36" s="1"/>
  <c r="E188" i="36"/>
  <c r="G188" i="36" s="1"/>
  <c r="E189" i="36"/>
  <c r="G189" i="36" s="1"/>
  <c r="E190" i="36"/>
  <c r="G190" i="36" s="1"/>
  <c r="E191" i="36"/>
  <c r="G191" i="36"/>
  <c r="E192" i="36"/>
  <c r="G192" i="36" s="1"/>
  <c r="E193" i="36"/>
  <c r="G193" i="36"/>
  <c r="E194" i="36"/>
  <c r="G194" i="36"/>
  <c r="E195" i="36"/>
  <c r="G195" i="36" s="1"/>
  <c r="E196" i="36"/>
  <c r="G196" i="36" s="1"/>
  <c r="E197" i="36"/>
  <c r="G197" i="36" s="1"/>
  <c r="E198" i="36"/>
  <c r="G198" i="36" s="1"/>
  <c r="E199" i="36"/>
  <c r="G199" i="36" s="1"/>
  <c r="E200" i="36"/>
  <c r="G200" i="36" s="1"/>
  <c r="E201" i="36"/>
  <c r="G201" i="36" s="1"/>
  <c r="E202" i="36"/>
  <c r="G202" i="36"/>
  <c r="E203" i="36"/>
  <c r="G203" i="36" s="1"/>
  <c r="E204" i="36"/>
  <c r="G204" i="36" s="1"/>
  <c r="E205" i="36"/>
  <c r="G205" i="36" s="1"/>
  <c r="E206" i="36"/>
  <c r="G206" i="36" s="1"/>
  <c r="E207" i="36"/>
  <c r="G207" i="36"/>
  <c r="E208" i="36"/>
  <c r="G208" i="36" s="1"/>
  <c r="E209" i="36"/>
  <c r="G209" i="36" s="1"/>
  <c r="E210" i="36"/>
  <c r="G210" i="36" s="1"/>
  <c r="E211" i="36"/>
  <c r="G211" i="36" s="1"/>
  <c r="E212" i="36"/>
  <c r="G212" i="36"/>
  <c r="E213" i="36"/>
  <c r="G213" i="36"/>
  <c r="E214" i="36"/>
  <c r="G214" i="36" s="1"/>
  <c r="E215" i="36"/>
  <c r="G215" i="36"/>
  <c r="E216" i="36"/>
  <c r="G216" i="36" s="1"/>
  <c r="E217" i="36"/>
  <c r="G217" i="36"/>
  <c r="E218" i="36"/>
  <c r="G218" i="36" s="1"/>
  <c r="E219" i="36"/>
  <c r="G219" i="36" s="1"/>
  <c r="E220" i="36"/>
  <c r="G220" i="36" s="1"/>
  <c r="E221" i="36"/>
  <c r="G221" i="36" s="1"/>
  <c r="E222" i="36"/>
  <c r="G222" i="36" s="1"/>
  <c r="E223" i="36"/>
  <c r="G223" i="36" s="1"/>
  <c r="E224" i="36"/>
  <c r="G224" i="36" s="1"/>
  <c r="E225" i="36"/>
  <c r="G225" i="36"/>
  <c r="E226" i="36"/>
  <c r="G226" i="36" s="1"/>
  <c r="E227" i="36"/>
  <c r="G227" i="36" s="1"/>
  <c r="E228" i="36"/>
  <c r="G228" i="36" s="1"/>
  <c r="E229" i="36"/>
  <c r="G229" i="36"/>
  <c r="E230" i="36"/>
  <c r="G230" i="36" s="1"/>
  <c r="E231" i="36"/>
  <c r="G231" i="36"/>
  <c r="E232" i="36"/>
  <c r="G232" i="36" s="1"/>
  <c r="E233" i="36"/>
  <c r="G233" i="36" s="1"/>
  <c r="E234" i="36"/>
  <c r="G234" i="36" s="1"/>
  <c r="E235" i="36"/>
  <c r="G235" i="36" s="1"/>
  <c r="E236" i="36"/>
  <c r="G236" i="36"/>
  <c r="E237" i="36"/>
  <c r="G237" i="36" s="1"/>
  <c r="E238" i="36"/>
  <c r="G238" i="36" s="1"/>
  <c r="E239" i="36"/>
  <c r="G239" i="36"/>
  <c r="E240" i="36"/>
  <c r="G240" i="36" s="1"/>
  <c r="E241" i="36"/>
  <c r="G241" i="36" s="1"/>
  <c r="E242" i="36"/>
  <c r="G242" i="36" s="1"/>
  <c r="E243" i="36"/>
  <c r="G243" i="36" s="1"/>
  <c r="E244" i="36"/>
  <c r="G244" i="36" s="1"/>
  <c r="E245" i="36"/>
  <c r="G245" i="36" s="1"/>
  <c r="E246" i="36"/>
  <c r="G246" i="36" s="1"/>
  <c r="E247" i="36"/>
  <c r="G247" i="36" s="1"/>
  <c r="E248" i="36"/>
  <c r="G248" i="36" s="1"/>
  <c r="E249" i="36"/>
  <c r="G249" i="36" s="1"/>
  <c r="E250" i="36"/>
  <c r="G250" i="36"/>
  <c r="E251" i="36"/>
  <c r="G251" i="36" s="1"/>
  <c r="E252" i="36"/>
  <c r="G252" i="36"/>
  <c r="E253" i="36"/>
  <c r="G253" i="36" s="1"/>
  <c r="E254" i="36"/>
  <c r="G254" i="36" s="1"/>
  <c r="E255" i="36"/>
  <c r="G255" i="36" s="1"/>
  <c r="E256" i="36"/>
  <c r="G256" i="36" s="1"/>
  <c r="E257" i="36"/>
  <c r="G257" i="36" s="1"/>
  <c r="E258" i="36"/>
  <c r="G258" i="36" s="1"/>
  <c r="E259" i="36"/>
  <c r="G259" i="36" s="1"/>
  <c r="E260" i="36"/>
  <c r="G260" i="36" s="1"/>
  <c r="E261" i="36"/>
  <c r="G261" i="36" s="1"/>
  <c r="E262" i="36"/>
  <c r="G262" i="36" s="1"/>
  <c r="E263" i="36"/>
  <c r="G263" i="36"/>
  <c r="E264" i="36"/>
  <c r="G264" i="36" s="1"/>
  <c r="E265" i="36"/>
  <c r="G265" i="36" s="1"/>
  <c r="E266" i="36"/>
  <c r="G266" i="36" s="1"/>
  <c r="E267" i="36"/>
  <c r="G267" i="36" s="1"/>
  <c r="E268" i="36"/>
  <c r="G268" i="36"/>
  <c r="E269" i="36"/>
  <c r="G269" i="36" s="1"/>
  <c r="E270" i="36"/>
  <c r="G270" i="36" s="1"/>
  <c r="E271" i="36"/>
  <c r="G271" i="36" s="1"/>
  <c r="E272" i="36"/>
  <c r="G272" i="36" s="1"/>
  <c r="E273" i="36"/>
  <c r="G273" i="36" s="1"/>
  <c r="E274" i="36"/>
  <c r="G274" i="36" s="1"/>
  <c r="E275" i="36"/>
  <c r="G275" i="36" s="1"/>
  <c r="E276" i="36"/>
  <c r="G276" i="36"/>
  <c r="E277" i="36"/>
  <c r="G277" i="36"/>
  <c r="E278" i="36"/>
  <c r="G278" i="36" s="1"/>
  <c r="E279" i="36"/>
  <c r="G279" i="36" s="1"/>
  <c r="E280" i="36"/>
  <c r="G280" i="36" s="1"/>
  <c r="E281" i="36"/>
  <c r="G281" i="36" s="1"/>
  <c r="E282" i="36"/>
  <c r="G282" i="36" s="1"/>
  <c r="E283" i="36"/>
  <c r="G283" i="36" s="1"/>
  <c r="E284" i="36"/>
  <c r="G284" i="36" s="1"/>
  <c r="E285" i="36"/>
  <c r="G285" i="36" s="1"/>
  <c r="E286" i="36"/>
  <c r="G286" i="36" s="1"/>
  <c r="E287" i="36"/>
  <c r="G287" i="36" s="1"/>
  <c r="E288" i="36"/>
  <c r="G288" i="36" s="1"/>
  <c r="E289" i="36"/>
  <c r="G289" i="36" s="1"/>
  <c r="E290" i="36"/>
  <c r="G290" i="36" s="1"/>
  <c r="E291" i="36"/>
  <c r="G291" i="36" s="1"/>
  <c r="E292" i="36"/>
  <c r="G292" i="36" s="1"/>
  <c r="E293" i="36"/>
  <c r="G293" i="36" s="1"/>
  <c r="E294" i="36"/>
  <c r="G294" i="36" s="1"/>
  <c r="E295" i="36"/>
  <c r="G295" i="36" s="1"/>
  <c r="E296" i="36"/>
  <c r="G296" i="36" s="1"/>
  <c r="E297" i="36"/>
  <c r="G297" i="36" s="1"/>
  <c r="E298" i="36"/>
  <c r="G298" i="36"/>
  <c r="E299" i="36"/>
  <c r="G299" i="36" s="1"/>
  <c r="E300" i="36"/>
  <c r="G300" i="36" s="1"/>
  <c r="E301" i="36"/>
  <c r="G301" i="36" s="1"/>
  <c r="E302" i="36"/>
  <c r="G302" i="36" s="1"/>
  <c r="E303" i="36"/>
  <c r="G303" i="36" s="1"/>
  <c r="E304" i="36"/>
  <c r="G304" i="36" s="1"/>
  <c r="E305" i="36"/>
  <c r="G305" i="36" s="1"/>
  <c r="E306" i="36"/>
  <c r="G306" i="36"/>
  <c r="E307" i="36"/>
  <c r="G307" i="36" s="1"/>
  <c r="E308" i="36"/>
  <c r="G308" i="36" s="1"/>
  <c r="E309" i="36"/>
  <c r="G309" i="36" s="1"/>
  <c r="E310" i="36"/>
  <c r="G310" i="36" s="1"/>
  <c r="E311" i="36"/>
  <c r="G311" i="36" s="1"/>
  <c r="E312" i="36"/>
  <c r="G312" i="36" s="1"/>
  <c r="C313" i="36"/>
  <c r="F313" i="36"/>
  <c r="F70" i="31" l="1"/>
  <c r="F314" i="31" s="1"/>
  <c r="E313" i="36"/>
  <c r="G11" i="36"/>
  <c r="G313" i="36" s="1"/>
  <c r="N72" i="35"/>
  <c r="F142" i="32"/>
  <c r="F150" i="35"/>
  <c r="F217" i="32" l="1"/>
  <c r="F199" i="33"/>
  <c r="F252" i="32"/>
  <c r="F253" i="32"/>
  <c r="F221" i="32"/>
  <c r="F128" i="32"/>
  <c r="F222" i="32"/>
  <c r="F295" i="32"/>
  <c r="F133" i="32"/>
  <c r="F28" i="32"/>
  <c r="F153" i="32"/>
  <c r="F101" i="32" l="1"/>
  <c r="F233" i="32"/>
  <c r="F126" i="33"/>
  <c r="F40" i="33"/>
  <c r="F19" i="33"/>
  <c r="F169" i="33"/>
  <c r="F23" i="33"/>
  <c r="F58" i="33"/>
  <c r="F197" i="33"/>
  <c r="F195" i="33"/>
  <c r="F196" i="32"/>
  <c r="F38" i="32" l="1"/>
  <c r="F124" i="33"/>
  <c r="F290" i="33"/>
  <c r="F306" i="32"/>
  <c r="F108" i="32"/>
  <c r="F107" i="32"/>
  <c r="F102" i="32" l="1"/>
  <c r="F102" i="33"/>
  <c r="F45" i="33" l="1"/>
  <c r="F54" i="32"/>
  <c r="F198" i="32"/>
  <c r="F34" i="32"/>
  <c r="F171" i="32"/>
  <c r="F248" i="32"/>
  <c r="F202" i="32"/>
  <c r="F127" i="33" l="1"/>
  <c r="F173" i="32"/>
  <c r="F273" i="33"/>
  <c r="F6" i="32"/>
  <c r="F273" i="32"/>
  <c r="F237" i="32"/>
  <c r="F211" i="35"/>
  <c r="F113" i="32"/>
  <c r="F211" i="32"/>
  <c r="F206" i="32"/>
  <c r="F147" i="33"/>
  <c r="F93" i="32"/>
  <c r="F91" i="32"/>
  <c r="F78" i="32"/>
  <c r="F230" i="32"/>
  <c r="F7" i="32"/>
  <c r="F140" i="32"/>
  <c r="F185" i="32"/>
  <c r="F243" i="32"/>
  <c r="F207" i="32"/>
  <c r="F31" i="32"/>
  <c r="F31" i="33"/>
  <c r="E4" i="35" l="1"/>
  <c r="G4" i="35" s="1"/>
  <c r="E5" i="35"/>
  <c r="E6" i="35"/>
  <c r="G6" i="35" s="1"/>
  <c r="E7" i="35"/>
  <c r="G7" i="35" s="1"/>
  <c r="E8" i="35"/>
  <c r="G8" i="35" s="1"/>
  <c r="E9" i="35"/>
  <c r="G9" i="35" s="1"/>
  <c r="E10" i="35"/>
  <c r="G10" i="35" s="1"/>
  <c r="E11" i="35"/>
  <c r="G11" i="35" s="1"/>
  <c r="E12" i="35"/>
  <c r="G12" i="35" s="1"/>
  <c r="E13" i="35"/>
  <c r="G13" i="35" s="1"/>
  <c r="E14" i="35"/>
  <c r="G14" i="35" s="1"/>
  <c r="E15" i="35"/>
  <c r="G15" i="35" s="1"/>
  <c r="E16" i="35"/>
  <c r="G16" i="35" s="1"/>
  <c r="E17" i="35"/>
  <c r="G17" i="35" s="1"/>
  <c r="E18" i="35"/>
  <c r="G18" i="35" s="1"/>
  <c r="E19" i="35"/>
  <c r="G19" i="35" s="1"/>
  <c r="E20" i="35"/>
  <c r="G20" i="35" s="1"/>
  <c r="E21" i="35"/>
  <c r="G21" i="35" s="1"/>
  <c r="E22" i="35"/>
  <c r="G22" i="35" s="1"/>
  <c r="E23" i="35"/>
  <c r="G23" i="35" s="1"/>
  <c r="E24" i="35"/>
  <c r="G24" i="35" s="1"/>
  <c r="E25" i="35"/>
  <c r="G25" i="35" s="1"/>
  <c r="E26" i="35"/>
  <c r="G26" i="35" s="1"/>
  <c r="E27" i="35"/>
  <c r="G27" i="35" s="1"/>
  <c r="E28" i="35"/>
  <c r="G28" i="35" s="1"/>
  <c r="E29" i="35"/>
  <c r="G29" i="35" s="1"/>
  <c r="E30" i="35"/>
  <c r="G30" i="35" s="1"/>
  <c r="E31" i="35"/>
  <c r="G31" i="35" s="1"/>
  <c r="E32" i="35"/>
  <c r="G32" i="35" s="1"/>
  <c r="E33" i="35"/>
  <c r="G33" i="35" s="1"/>
  <c r="E34" i="35"/>
  <c r="G34" i="35" s="1"/>
  <c r="E35" i="35"/>
  <c r="G35" i="35" s="1"/>
  <c r="E36" i="35"/>
  <c r="G36" i="35" s="1"/>
  <c r="E37" i="35"/>
  <c r="G37" i="35" s="1"/>
  <c r="E38" i="35"/>
  <c r="G38" i="35" s="1"/>
  <c r="E39" i="35"/>
  <c r="G39" i="35" s="1"/>
  <c r="E40" i="35"/>
  <c r="G40" i="35" s="1"/>
  <c r="E41" i="35"/>
  <c r="G41" i="35" s="1"/>
  <c r="E42" i="35"/>
  <c r="G42" i="35" s="1"/>
  <c r="E43" i="35"/>
  <c r="G43" i="35" s="1"/>
  <c r="E44" i="35"/>
  <c r="G44" i="35" s="1"/>
  <c r="E45" i="35"/>
  <c r="G45" i="35" s="1"/>
  <c r="E46" i="35"/>
  <c r="G46" i="35" s="1"/>
  <c r="E47" i="35"/>
  <c r="G47" i="35" s="1"/>
  <c r="E48" i="35"/>
  <c r="G48" i="35" s="1"/>
  <c r="E49" i="35"/>
  <c r="G49" i="35" s="1"/>
  <c r="E50" i="35"/>
  <c r="G50" i="35" s="1"/>
  <c r="E51" i="35"/>
  <c r="G51" i="35" s="1"/>
  <c r="E52" i="35"/>
  <c r="G52" i="35" s="1"/>
  <c r="E53" i="35"/>
  <c r="G53" i="35" s="1"/>
  <c r="E54" i="35"/>
  <c r="G54" i="35" s="1"/>
  <c r="E55" i="35"/>
  <c r="G55" i="35" s="1"/>
  <c r="E56" i="35"/>
  <c r="G56" i="35" s="1"/>
  <c r="E57" i="35"/>
  <c r="G57" i="35" s="1"/>
  <c r="E58" i="35"/>
  <c r="G58" i="35" s="1"/>
  <c r="E59" i="35"/>
  <c r="G59" i="35" s="1"/>
  <c r="E60" i="35"/>
  <c r="G60" i="35" s="1"/>
  <c r="E61" i="35"/>
  <c r="G61" i="35" s="1"/>
  <c r="E62" i="35"/>
  <c r="G62" i="35" s="1"/>
  <c r="E63" i="35"/>
  <c r="G63" i="35" s="1"/>
  <c r="E64" i="35"/>
  <c r="G64" i="35" s="1"/>
  <c r="E65" i="35"/>
  <c r="G65" i="35" s="1"/>
  <c r="E66" i="35"/>
  <c r="G66" i="35" s="1"/>
  <c r="E67" i="35"/>
  <c r="G67" i="35" s="1"/>
  <c r="E68" i="35"/>
  <c r="G68" i="35" s="1"/>
  <c r="E69" i="35"/>
  <c r="G69" i="35" s="1"/>
  <c r="E70" i="35"/>
  <c r="G70" i="35" s="1"/>
  <c r="E71" i="35"/>
  <c r="G71" i="35" s="1"/>
  <c r="E72" i="35"/>
  <c r="G72" i="35" s="1"/>
  <c r="E73" i="35"/>
  <c r="G73" i="35" s="1"/>
  <c r="E74" i="35"/>
  <c r="G74" i="35" s="1"/>
  <c r="E75" i="35"/>
  <c r="G75" i="35" s="1"/>
  <c r="E76" i="35"/>
  <c r="G76" i="35" s="1"/>
  <c r="E77" i="35"/>
  <c r="G77" i="35" s="1"/>
  <c r="E78" i="35"/>
  <c r="G78" i="35" s="1"/>
  <c r="E79" i="35"/>
  <c r="G79" i="35" s="1"/>
  <c r="E80" i="35"/>
  <c r="G80" i="35" s="1"/>
  <c r="E81" i="35"/>
  <c r="G81" i="35" s="1"/>
  <c r="E82" i="35"/>
  <c r="G82" i="35" s="1"/>
  <c r="E83" i="35"/>
  <c r="G83" i="35" s="1"/>
  <c r="E84" i="35"/>
  <c r="G84" i="35" s="1"/>
  <c r="E85" i="35"/>
  <c r="G85" i="35" s="1"/>
  <c r="E86" i="35"/>
  <c r="G86" i="35" s="1"/>
  <c r="E87" i="35"/>
  <c r="G87" i="35" s="1"/>
  <c r="E88" i="35"/>
  <c r="G88" i="35" s="1"/>
  <c r="E89" i="35"/>
  <c r="G89" i="35" s="1"/>
  <c r="E90" i="35"/>
  <c r="G90" i="35" s="1"/>
  <c r="E91" i="35"/>
  <c r="G91" i="35" s="1"/>
  <c r="E92" i="35"/>
  <c r="G92" i="35" s="1"/>
  <c r="E93" i="35"/>
  <c r="G93" i="35" s="1"/>
  <c r="E94" i="35"/>
  <c r="G94" i="35" s="1"/>
  <c r="E95" i="35"/>
  <c r="G95" i="35" s="1"/>
  <c r="E96" i="35"/>
  <c r="G96" i="35" s="1"/>
  <c r="E97" i="35"/>
  <c r="G97" i="35" s="1"/>
  <c r="E98" i="35"/>
  <c r="G98" i="35" s="1"/>
  <c r="E99" i="35"/>
  <c r="G99" i="35" s="1"/>
  <c r="E100" i="35"/>
  <c r="G100" i="35" s="1"/>
  <c r="E101" i="35"/>
  <c r="G101" i="35" s="1"/>
  <c r="E102" i="35"/>
  <c r="G102" i="35" s="1"/>
  <c r="E103" i="35"/>
  <c r="G103" i="35" s="1"/>
  <c r="E104" i="35"/>
  <c r="G104" i="35" s="1"/>
  <c r="E105" i="35"/>
  <c r="G105" i="35" s="1"/>
  <c r="E106" i="35"/>
  <c r="G106" i="35" s="1"/>
  <c r="E107" i="35"/>
  <c r="G107" i="35" s="1"/>
  <c r="E108" i="35"/>
  <c r="G108" i="35" s="1"/>
  <c r="E109" i="35"/>
  <c r="G109" i="35" s="1"/>
  <c r="E110" i="35"/>
  <c r="G110" i="35" s="1"/>
  <c r="E111" i="35"/>
  <c r="G111" i="35" s="1"/>
  <c r="E112" i="35"/>
  <c r="G112" i="35" s="1"/>
  <c r="E113" i="35"/>
  <c r="G113" i="35" s="1"/>
  <c r="E114" i="35"/>
  <c r="G114" i="35" s="1"/>
  <c r="E115" i="35"/>
  <c r="G115" i="35" s="1"/>
  <c r="E116" i="35"/>
  <c r="G116" i="35" s="1"/>
  <c r="E117" i="35"/>
  <c r="G117" i="35" s="1"/>
  <c r="E118" i="35"/>
  <c r="G118" i="35" s="1"/>
  <c r="E119" i="35"/>
  <c r="G119" i="35" s="1"/>
  <c r="E120" i="35"/>
  <c r="G120" i="35" s="1"/>
  <c r="E121" i="35"/>
  <c r="G121" i="35" s="1"/>
  <c r="E122" i="35"/>
  <c r="G122" i="35" s="1"/>
  <c r="E123" i="35"/>
  <c r="G123" i="35" s="1"/>
  <c r="E124" i="35"/>
  <c r="G124" i="35" s="1"/>
  <c r="E125" i="35"/>
  <c r="G125" i="35" s="1"/>
  <c r="E126" i="35"/>
  <c r="G126" i="35" s="1"/>
  <c r="E127" i="35"/>
  <c r="G127" i="35" s="1"/>
  <c r="E128" i="35"/>
  <c r="G128" i="35" s="1"/>
  <c r="E129" i="35"/>
  <c r="G129" i="35" s="1"/>
  <c r="E130" i="35"/>
  <c r="G130" i="35" s="1"/>
  <c r="E131" i="35"/>
  <c r="G131" i="35" s="1"/>
  <c r="E132" i="35"/>
  <c r="G132" i="35" s="1"/>
  <c r="E133" i="35"/>
  <c r="G133" i="35" s="1"/>
  <c r="E134" i="35"/>
  <c r="G134" i="35" s="1"/>
  <c r="E135" i="35"/>
  <c r="G135" i="35" s="1"/>
  <c r="E136" i="35"/>
  <c r="G136" i="35" s="1"/>
  <c r="E137" i="35"/>
  <c r="G137" i="35" s="1"/>
  <c r="E138" i="35"/>
  <c r="G138" i="35" s="1"/>
  <c r="E139" i="35"/>
  <c r="G139" i="35" s="1"/>
  <c r="E140" i="35"/>
  <c r="G140" i="35" s="1"/>
  <c r="E141" i="35"/>
  <c r="G141" i="35" s="1"/>
  <c r="E142" i="35"/>
  <c r="G142" i="35" s="1"/>
  <c r="E143" i="35"/>
  <c r="G143" i="35" s="1"/>
  <c r="E144" i="35"/>
  <c r="G144" i="35" s="1"/>
  <c r="E145" i="35"/>
  <c r="G145" i="35" s="1"/>
  <c r="E146" i="35"/>
  <c r="G146" i="35" s="1"/>
  <c r="E147" i="35"/>
  <c r="G147" i="35" s="1"/>
  <c r="E148" i="35"/>
  <c r="G148" i="35" s="1"/>
  <c r="E149" i="35"/>
  <c r="G149" i="35" s="1"/>
  <c r="E150" i="35"/>
  <c r="G150" i="35" s="1"/>
  <c r="E151" i="35"/>
  <c r="G151" i="35" s="1"/>
  <c r="E152" i="35"/>
  <c r="G152" i="35" s="1"/>
  <c r="E153" i="35"/>
  <c r="G153" i="35" s="1"/>
  <c r="E154" i="35"/>
  <c r="G154" i="35" s="1"/>
  <c r="E155" i="35"/>
  <c r="G155" i="35" s="1"/>
  <c r="E156" i="35"/>
  <c r="G156" i="35" s="1"/>
  <c r="E157" i="35"/>
  <c r="G157" i="35" s="1"/>
  <c r="E158" i="35"/>
  <c r="G158" i="35" s="1"/>
  <c r="E159" i="35"/>
  <c r="G159" i="35" s="1"/>
  <c r="E160" i="35"/>
  <c r="G160" i="35" s="1"/>
  <c r="E161" i="35"/>
  <c r="G161" i="35" s="1"/>
  <c r="E162" i="35"/>
  <c r="G162" i="35" s="1"/>
  <c r="E163" i="35"/>
  <c r="G163" i="35" s="1"/>
  <c r="E164" i="35"/>
  <c r="G164" i="35" s="1"/>
  <c r="E165" i="35"/>
  <c r="G165" i="35" s="1"/>
  <c r="E166" i="35"/>
  <c r="G166" i="35" s="1"/>
  <c r="E167" i="35"/>
  <c r="G167" i="35" s="1"/>
  <c r="E168" i="35"/>
  <c r="G168" i="35" s="1"/>
  <c r="E169" i="35"/>
  <c r="G169" i="35" s="1"/>
  <c r="E170" i="35"/>
  <c r="G170" i="35" s="1"/>
  <c r="E171" i="35"/>
  <c r="G171" i="35" s="1"/>
  <c r="E172" i="35"/>
  <c r="G172" i="35" s="1"/>
  <c r="E173" i="35"/>
  <c r="G173" i="35" s="1"/>
  <c r="E174" i="35"/>
  <c r="G174" i="35" s="1"/>
  <c r="E175" i="35"/>
  <c r="G175" i="35" s="1"/>
  <c r="E176" i="35"/>
  <c r="G176" i="35" s="1"/>
  <c r="E177" i="35"/>
  <c r="G177" i="35" s="1"/>
  <c r="E178" i="35"/>
  <c r="G178" i="35" s="1"/>
  <c r="E179" i="35"/>
  <c r="G179" i="35" s="1"/>
  <c r="E180" i="35"/>
  <c r="G180" i="35" s="1"/>
  <c r="E181" i="35"/>
  <c r="G181" i="35" s="1"/>
  <c r="E182" i="35"/>
  <c r="G182" i="35" s="1"/>
  <c r="E183" i="35"/>
  <c r="G183" i="35" s="1"/>
  <c r="E184" i="35"/>
  <c r="G184" i="35" s="1"/>
  <c r="E185" i="35"/>
  <c r="G185" i="35" s="1"/>
  <c r="E186" i="35"/>
  <c r="G186" i="35" s="1"/>
  <c r="E187" i="35"/>
  <c r="G187" i="35" s="1"/>
  <c r="E188" i="35"/>
  <c r="G188" i="35" s="1"/>
  <c r="E189" i="35"/>
  <c r="G189" i="35" s="1"/>
  <c r="E190" i="35"/>
  <c r="G190" i="35" s="1"/>
  <c r="E191" i="35"/>
  <c r="G191" i="35" s="1"/>
  <c r="E192" i="35"/>
  <c r="G192" i="35" s="1"/>
  <c r="E193" i="35"/>
  <c r="G193" i="35" s="1"/>
  <c r="E194" i="35"/>
  <c r="G194" i="35" s="1"/>
  <c r="E195" i="35"/>
  <c r="G195" i="35" s="1"/>
  <c r="E196" i="35"/>
  <c r="G196" i="35" s="1"/>
  <c r="E197" i="35"/>
  <c r="G197" i="35" s="1"/>
  <c r="E198" i="35"/>
  <c r="G198" i="35" s="1"/>
  <c r="E199" i="35"/>
  <c r="G199" i="35" s="1"/>
  <c r="E200" i="35"/>
  <c r="G200" i="35" s="1"/>
  <c r="E201" i="35"/>
  <c r="G201" i="35" s="1"/>
  <c r="E202" i="35"/>
  <c r="G202" i="35" s="1"/>
  <c r="E203" i="35"/>
  <c r="G203" i="35" s="1"/>
  <c r="E204" i="35"/>
  <c r="G204" i="35" s="1"/>
  <c r="E205" i="35"/>
  <c r="G205" i="35" s="1"/>
  <c r="E206" i="35"/>
  <c r="G206" i="35" s="1"/>
  <c r="E207" i="35"/>
  <c r="G207" i="35" s="1"/>
  <c r="E208" i="35"/>
  <c r="G208" i="35" s="1"/>
  <c r="E209" i="35"/>
  <c r="G209" i="35" s="1"/>
  <c r="E210" i="35"/>
  <c r="G210" i="35" s="1"/>
  <c r="E211" i="35"/>
  <c r="G211" i="35" s="1"/>
  <c r="E212" i="35"/>
  <c r="G212" i="35" s="1"/>
  <c r="E213" i="35"/>
  <c r="G213" i="35" s="1"/>
  <c r="E214" i="35"/>
  <c r="G214" i="35" s="1"/>
  <c r="E215" i="35"/>
  <c r="G215" i="35" s="1"/>
  <c r="E216" i="35"/>
  <c r="G216" i="35" s="1"/>
  <c r="E217" i="35"/>
  <c r="G217" i="35" s="1"/>
  <c r="E218" i="35"/>
  <c r="G218" i="35" s="1"/>
  <c r="E219" i="35"/>
  <c r="G219" i="35" s="1"/>
  <c r="E220" i="35"/>
  <c r="G220" i="35" s="1"/>
  <c r="E221" i="35"/>
  <c r="G221" i="35" s="1"/>
  <c r="E222" i="35"/>
  <c r="G222" i="35" s="1"/>
  <c r="E223" i="35"/>
  <c r="G223" i="35" s="1"/>
  <c r="E224" i="35"/>
  <c r="G224" i="35" s="1"/>
  <c r="E225" i="35"/>
  <c r="G225" i="35" s="1"/>
  <c r="E226" i="35"/>
  <c r="G226" i="35" s="1"/>
  <c r="E227" i="35"/>
  <c r="G227" i="35" s="1"/>
  <c r="E228" i="35"/>
  <c r="G228" i="35" s="1"/>
  <c r="E229" i="35"/>
  <c r="G229" i="35" s="1"/>
  <c r="E230" i="35"/>
  <c r="G230" i="35" s="1"/>
  <c r="E231" i="35"/>
  <c r="G231" i="35" s="1"/>
  <c r="E232" i="35"/>
  <c r="G232" i="35" s="1"/>
  <c r="E233" i="35"/>
  <c r="G233" i="35" s="1"/>
  <c r="E234" i="35"/>
  <c r="G234" i="35" s="1"/>
  <c r="E235" i="35"/>
  <c r="G235" i="35" s="1"/>
  <c r="E236" i="35"/>
  <c r="G236" i="35" s="1"/>
  <c r="E237" i="35"/>
  <c r="G237" i="35" s="1"/>
  <c r="E238" i="35"/>
  <c r="G238" i="35" s="1"/>
  <c r="E239" i="35"/>
  <c r="G239" i="35" s="1"/>
  <c r="E240" i="35"/>
  <c r="G240" i="35" s="1"/>
  <c r="E241" i="35"/>
  <c r="G241" i="35" s="1"/>
  <c r="E242" i="35"/>
  <c r="G242" i="35" s="1"/>
  <c r="E243" i="35"/>
  <c r="G243" i="35" s="1"/>
  <c r="E244" i="35"/>
  <c r="G244" i="35" s="1"/>
  <c r="E245" i="35"/>
  <c r="G245" i="35" s="1"/>
  <c r="E246" i="35"/>
  <c r="G246" i="35" s="1"/>
  <c r="E247" i="35"/>
  <c r="G247" i="35" s="1"/>
  <c r="E248" i="35"/>
  <c r="G248" i="35" s="1"/>
  <c r="E249" i="35"/>
  <c r="G249" i="35" s="1"/>
  <c r="E250" i="35"/>
  <c r="G250" i="35" s="1"/>
  <c r="E251" i="35"/>
  <c r="G251" i="35" s="1"/>
  <c r="E252" i="35"/>
  <c r="G252" i="35" s="1"/>
  <c r="E253" i="35"/>
  <c r="G253" i="35" s="1"/>
  <c r="E254" i="35"/>
  <c r="G254" i="35" s="1"/>
  <c r="E255" i="35"/>
  <c r="G255" i="35" s="1"/>
  <c r="E256" i="35"/>
  <c r="G256" i="35" s="1"/>
  <c r="E257" i="35"/>
  <c r="G257" i="35" s="1"/>
  <c r="E258" i="35"/>
  <c r="G258" i="35" s="1"/>
  <c r="E259" i="35"/>
  <c r="G259" i="35" s="1"/>
  <c r="E260" i="35"/>
  <c r="G260" i="35" s="1"/>
  <c r="E261" i="35"/>
  <c r="G261" i="35" s="1"/>
  <c r="E262" i="35"/>
  <c r="G262" i="35" s="1"/>
  <c r="E263" i="35"/>
  <c r="G263" i="35" s="1"/>
  <c r="E264" i="35"/>
  <c r="G264" i="35" s="1"/>
  <c r="E265" i="35"/>
  <c r="G265" i="35" s="1"/>
  <c r="E266" i="35"/>
  <c r="G266" i="35" s="1"/>
  <c r="E267" i="35"/>
  <c r="G267" i="35" s="1"/>
  <c r="E268" i="35"/>
  <c r="G268" i="35" s="1"/>
  <c r="E269" i="35"/>
  <c r="G269" i="35" s="1"/>
  <c r="E270" i="35"/>
  <c r="G270" i="35" s="1"/>
  <c r="E271" i="35"/>
  <c r="G271" i="35" s="1"/>
  <c r="E272" i="35"/>
  <c r="G272" i="35" s="1"/>
  <c r="E273" i="35"/>
  <c r="G273" i="35" s="1"/>
  <c r="E274" i="35"/>
  <c r="G274" i="35" s="1"/>
  <c r="E275" i="35"/>
  <c r="G275" i="35" s="1"/>
  <c r="E276" i="35"/>
  <c r="G276" i="35" s="1"/>
  <c r="E277" i="35"/>
  <c r="G277" i="35" s="1"/>
  <c r="E278" i="35"/>
  <c r="G278" i="35" s="1"/>
  <c r="E279" i="35"/>
  <c r="G279" i="35" s="1"/>
  <c r="E280" i="35"/>
  <c r="G280" i="35" s="1"/>
  <c r="E281" i="35"/>
  <c r="G281" i="35" s="1"/>
  <c r="E282" i="35"/>
  <c r="G282" i="35" s="1"/>
  <c r="E283" i="35"/>
  <c r="G283" i="35" s="1"/>
  <c r="E284" i="35"/>
  <c r="G284" i="35" s="1"/>
  <c r="E285" i="35"/>
  <c r="G285" i="35" s="1"/>
  <c r="E286" i="35"/>
  <c r="G286" i="35" s="1"/>
  <c r="E287" i="35"/>
  <c r="G287" i="35" s="1"/>
  <c r="E288" i="35"/>
  <c r="G288" i="35" s="1"/>
  <c r="E289" i="35"/>
  <c r="G289" i="35" s="1"/>
  <c r="E290" i="35"/>
  <c r="G290" i="35" s="1"/>
  <c r="E291" i="35"/>
  <c r="G291" i="35" s="1"/>
  <c r="E292" i="35"/>
  <c r="G292" i="35" s="1"/>
  <c r="E293" i="35"/>
  <c r="G293" i="35" s="1"/>
  <c r="E294" i="35"/>
  <c r="G294" i="35" s="1"/>
  <c r="E295" i="35"/>
  <c r="G295" i="35" s="1"/>
  <c r="E296" i="35"/>
  <c r="G296" i="35" s="1"/>
  <c r="E297" i="35"/>
  <c r="G297" i="35" s="1"/>
  <c r="E298" i="35"/>
  <c r="G298" i="35" s="1"/>
  <c r="E299" i="35"/>
  <c r="G299" i="35" s="1"/>
  <c r="E300" i="35"/>
  <c r="G300" i="35" s="1"/>
  <c r="E301" i="35"/>
  <c r="G301" i="35" s="1"/>
  <c r="E302" i="35"/>
  <c r="G302" i="35" s="1"/>
  <c r="E303" i="35"/>
  <c r="G303" i="35" s="1"/>
  <c r="E304" i="35"/>
  <c r="G304" i="35" s="1"/>
  <c r="E305" i="35"/>
  <c r="G305" i="35" s="1"/>
  <c r="E306" i="35"/>
  <c r="G306" i="35" s="1"/>
  <c r="E307" i="35"/>
  <c r="G307" i="35" s="1"/>
  <c r="E308" i="35"/>
  <c r="G308" i="35" s="1"/>
  <c r="E309" i="35"/>
  <c r="G309" i="35" s="1"/>
  <c r="E310" i="35"/>
  <c r="G310" i="35" s="1"/>
  <c r="E311" i="35"/>
  <c r="G311" i="35" s="1"/>
  <c r="E312" i="35"/>
  <c r="G312" i="35" s="1"/>
  <c r="C313" i="35"/>
  <c r="F5" i="35" l="1"/>
  <c r="F313" i="35" s="1"/>
  <c r="G5" i="35"/>
  <c r="G313" i="35" s="1"/>
  <c r="E313" i="35"/>
  <c r="F286" i="32"/>
  <c r="F224" i="33"/>
  <c r="F179" i="33"/>
  <c r="F70" i="33"/>
  <c r="F55" i="32"/>
  <c r="F104" i="32"/>
  <c r="F81" i="32"/>
  <c r="F106" i="32"/>
  <c r="F95" i="33"/>
  <c r="F63" i="32"/>
  <c r="F258" i="32" l="1"/>
  <c r="F254" i="32"/>
  <c r="F215" i="32"/>
  <c r="F141" i="32"/>
  <c r="F45" i="32"/>
  <c r="F265" i="32"/>
  <c r="F265" i="33"/>
  <c r="F82" i="32"/>
  <c r="F12" i="32"/>
  <c r="F118" i="32" l="1"/>
  <c r="F280" i="32"/>
  <c r="F262" i="32"/>
  <c r="F270" i="32"/>
  <c r="F269" i="32"/>
  <c r="F67" i="32"/>
  <c r="F214" i="32"/>
  <c r="F214" i="33"/>
  <c r="F154" i="33"/>
  <c r="F260" i="32"/>
  <c r="F46" i="33"/>
  <c r="F74" i="32"/>
  <c r="F120" i="33"/>
  <c r="F120" i="32"/>
  <c r="F236" i="32" l="1"/>
  <c r="F251" i="32"/>
  <c r="F110" i="32"/>
  <c r="F155" i="32"/>
  <c r="F64" i="32"/>
  <c r="F228" i="32"/>
  <c r="F250" i="33"/>
  <c r="F176" i="32"/>
  <c r="F39" i="33"/>
  <c r="F125" i="33"/>
  <c r="F302" i="33"/>
  <c r="F190" i="33"/>
  <c r="F100" i="33"/>
  <c r="F205" i="32"/>
  <c r="F159" i="33" l="1"/>
  <c r="F182" i="32"/>
  <c r="F86" i="32"/>
  <c r="F289" i="32"/>
  <c r="F275" i="33"/>
  <c r="F157" i="33"/>
  <c r="F158" i="33"/>
  <c r="F235" i="33"/>
  <c r="F90" i="32"/>
  <c r="F83" i="33"/>
  <c r="F256" i="32"/>
  <c r="F193" i="32"/>
  <c r="F151" i="32"/>
  <c r="F143" i="33"/>
  <c r="F47" i="32" l="1"/>
  <c r="F32" i="32"/>
  <c r="F132" i="32"/>
  <c r="F33" i="33"/>
  <c r="F109" i="32"/>
  <c r="F116" i="32"/>
  <c r="F97" i="32"/>
  <c r="F88" i="32"/>
  <c r="F266" i="32"/>
  <c r="F115" i="32"/>
  <c r="F287" i="32"/>
  <c r="F245" i="32"/>
  <c r="F301" i="32"/>
  <c r="F297" i="32"/>
  <c r="F94" i="32"/>
  <c r="F296" i="32" l="1"/>
  <c r="F282" i="32"/>
  <c r="F247" i="32"/>
  <c r="F234" i="32"/>
  <c r="F234" i="33"/>
  <c r="F247" i="33"/>
  <c r="F312" i="33"/>
  <c r="F312" i="32"/>
  <c r="F188" i="32"/>
  <c r="F152" i="32" l="1"/>
  <c r="F304" i="33"/>
  <c r="F11" i="33" l="1"/>
  <c r="F178" i="32" l="1"/>
  <c r="F298" i="33" l="1"/>
  <c r="F175" i="32" l="1"/>
  <c r="F158" i="32"/>
  <c r="F157" i="32"/>
  <c r="F161" i="32"/>
  <c r="F139" i="32"/>
  <c r="F33" i="32"/>
  <c r="F191" i="32" l="1"/>
  <c r="F27" i="32" l="1"/>
  <c r="F59" i="32" l="1"/>
  <c r="F226" i="32" l="1"/>
  <c r="F283" i="32"/>
  <c r="F294" i="32"/>
  <c r="F275" i="32"/>
  <c r="F310" i="32"/>
  <c r="F51" i="32"/>
  <c r="F125" i="32"/>
  <c r="F39" i="32"/>
  <c r="F147" i="32" l="1"/>
  <c r="F15" i="32"/>
  <c r="F204" i="32"/>
  <c r="F174" i="32"/>
  <c r="F143" i="32"/>
  <c r="F100" i="32"/>
  <c r="F16" i="32"/>
  <c r="F24" i="32" l="1"/>
  <c r="F218" i="33" l="1"/>
  <c r="F20" i="33"/>
  <c r="O72" i="33" l="1"/>
  <c r="F70" i="32"/>
  <c r="E4" i="33" l="1"/>
  <c r="G4" i="33" s="1"/>
  <c r="E5" i="33"/>
  <c r="E6" i="33"/>
  <c r="G6" i="33" s="1"/>
  <c r="E7" i="33"/>
  <c r="G7" i="33" s="1"/>
  <c r="E8" i="33"/>
  <c r="G8" i="33" s="1"/>
  <c r="E9" i="33"/>
  <c r="G9" i="33" s="1"/>
  <c r="E10" i="33"/>
  <c r="G10" i="33" s="1"/>
  <c r="E11" i="33"/>
  <c r="G11" i="33" s="1"/>
  <c r="E12" i="33"/>
  <c r="G12" i="33" s="1"/>
  <c r="E13" i="33"/>
  <c r="G13" i="33" s="1"/>
  <c r="E14" i="33"/>
  <c r="G14" i="33" s="1"/>
  <c r="E15" i="33"/>
  <c r="G15" i="33" s="1"/>
  <c r="E16" i="33"/>
  <c r="G16" i="33" s="1"/>
  <c r="E17" i="33"/>
  <c r="G17" i="33" s="1"/>
  <c r="E18" i="33"/>
  <c r="G18" i="33" s="1"/>
  <c r="E19" i="33"/>
  <c r="G19" i="33" s="1"/>
  <c r="E20" i="33"/>
  <c r="G20" i="33" s="1"/>
  <c r="E21" i="33"/>
  <c r="G21" i="33" s="1"/>
  <c r="E22" i="33"/>
  <c r="G22" i="33" s="1"/>
  <c r="E23" i="33"/>
  <c r="G23" i="33" s="1"/>
  <c r="E24" i="33"/>
  <c r="G24" i="33" s="1"/>
  <c r="E25" i="33"/>
  <c r="G25" i="33" s="1"/>
  <c r="E26" i="33"/>
  <c r="G26" i="33" s="1"/>
  <c r="E27" i="33"/>
  <c r="G27" i="33" s="1"/>
  <c r="E28" i="33"/>
  <c r="G28" i="33" s="1"/>
  <c r="E29" i="33"/>
  <c r="G29" i="33" s="1"/>
  <c r="E30" i="33"/>
  <c r="G30" i="33" s="1"/>
  <c r="E31" i="33"/>
  <c r="G31" i="33" s="1"/>
  <c r="E32" i="33"/>
  <c r="G32" i="33" s="1"/>
  <c r="E33" i="33"/>
  <c r="G33" i="33" s="1"/>
  <c r="E34" i="33"/>
  <c r="G34" i="33" s="1"/>
  <c r="E35" i="33"/>
  <c r="G35" i="33" s="1"/>
  <c r="E36" i="33"/>
  <c r="G36" i="33" s="1"/>
  <c r="E37" i="33"/>
  <c r="G37" i="33" s="1"/>
  <c r="E38" i="33"/>
  <c r="G38" i="33" s="1"/>
  <c r="E39" i="33"/>
  <c r="G39" i="33" s="1"/>
  <c r="E40" i="33"/>
  <c r="G40" i="33" s="1"/>
  <c r="E41" i="33"/>
  <c r="G41" i="33" s="1"/>
  <c r="E42" i="33"/>
  <c r="G42" i="33" s="1"/>
  <c r="E43" i="33"/>
  <c r="G43" i="33" s="1"/>
  <c r="E44" i="33"/>
  <c r="G44" i="33" s="1"/>
  <c r="E45" i="33"/>
  <c r="G45" i="33" s="1"/>
  <c r="E46" i="33"/>
  <c r="G46" i="33" s="1"/>
  <c r="E47" i="33"/>
  <c r="G47" i="33" s="1"/>
  <c r="E48" i="33"/>
  <c r="G48" i="33" s="1"/>
  <c r="E49" i="33"/>
  <c r="G49" i="33" s="1"/>
  <c r="E50" i="33"/>
  <c r="G50" i="33" s="1"/>
  <c r="E51" i="33"/>
  <c r="G51" i="33" s="1"/>
  <c r="E52" i="33"/>
  <c r="G52" i="33" s="1"/>
  <c r="E53" i="33"/>
  <c r="G53" i="33" s="1"/>
  <c r="E54" i="33"/>
  <c r="G54" i="33" s="1"/>
  <c r="E55" i="33"/>
  <c r="G55" i="33" s="1"/>
  <c r="E56" i="33"/>
  <c r="G56" i="33" s="1"/>
  <c r="E57" i="33"/>
  <c r="G57" i="33" s="1"/>
  <c r="E58" i="33"/>
  <c r="G58" i="33" s="1"/>
  <c r="E59" i="33"/>
  <c r="G59" i="33" s="1"/>
  <c r="E60" i="33"/>
  <c r="G60" i="33" s="1"/>
  <c r="E61" i="33"/>
  <c r="G61" i="33" s="1"/>
  <c r="E62" i="33"/>
  <c r="G62" i="33" s="1"/>
  <c r="E63" i="33"/>
  <c r="G63" i="33" s="1"/>
  <c r="E64" i="33"/>
  <c r="G64" i="33" s="1"/>
  <c r="E65" i="33"/>
  <c r="G65" i="33" s="1"/>
  <c r="E66" i="33"/>
  <c r="G66" i="33" s="1"/>
  <c r="E67" i="33"/>
  <c r="G67" i="33" s="1"/>
  <c r="E68" i="33"/>
  <c r="G68" i="33" s="1"/>
  <c r="E69" i="33"/>
  <c r="G69" i="33" s="1"/>
  <c r="E70" i="33"/>
  <c r="G70" i="33" s="1"/>
  <c r="E71" i="33"/>
  <c r="G71" i="33" s="1"/>
  <c r="E72" i="33"/>
  <c r="F72" i="33" s="1"/>
  <c r="G72" i="33" s="1"/>
  <c r="E73" i="33"/>
  <c r="G73" i="33" s="1"/>
  <c r="E74" i="33"/>
  <c r="G74" i="33" s="1"/>
  <c r="E75" i="33"/>
  <c r="G75" i="33" s="1"/>
  <c r="E76" i="33"/>
  <c r="G76" i="33" s="1"/>
  <c r="E77" i="33"/>
  <c r="G77" i="33" s="1"/>
  <c r="E78" i="33"/>
  <c r="G78" i="33" s="1"/>
  <c r="E79" i="33"/>
  <c r="G79" i="33" s="1"/>
  <c r="E80" i="33"/>
  <c r="G80" i="33" s="1"/>
  <c r="E81" i="33"/>
  <c r="G81" i="33" s="1"/>
  <c r="E82" i="33"/>
  <c r="G82" i="33" s="1"/>
  <c r="E83" i="33"/>
  <c r="G83" i="33" s="1"/>
  <c r="E84" i="33"/>
  <c r="G84" i="33" s="1"/>
  <c r="E85" i="33"/>
  <c r="G85" i="33" s="1"/>
  <c r="E86" i="33"/>
  <c r="G86" i="33" s="1"/>
  <c r="E87" i="33"/>
  <c r="G87" i="33" s="1"/>
  <c r="E88" i="33"/>
  <c r="G88" i="33" s="1"/>
  <c r="E89" i="33"/>
  <c r="G89" i="33" s="1"/>
  <c r="E90" i="33"/>
  <c r="G90" i="33" s="1"/>
  <c r="E91" i="33"/>
  <c r="G91" i="33" s="1"/>
  <c r="E92" i="33"/>
  <c r="G92" i="33" s="1"/>
  <c r="E93" i="33"/>
  <c r="G93" i="33" s="1"/>
  <c r="E94" i="33"/>
  <c r="G94" i="33" s="1"/>
  <c r="E95" i="33"/>
  <c r="G95" i="33" s="1"/>
  <c r="E96" i="33"/>
  <c r="E97" i="33"/>
  <c r="G97" i="33" s="1"/>
  <c r="E98" i="33"/>
  <c r="G98" i="33" s="1"/>
  <c r="E99" i="33"/>
  <c r="G99" i="33" s="1"/>
  <c r="E100" i="33"/>
  <c r="G100" i="33" s="1"/>
  <c r="E101" i="33"/>
  <c r="G101" i="33" s="1"/>
  <c r="E102" i="33"/>
  <c r="G102" i="33" s="1"/>
  <c r="E103" i="33"/>
  <c r="G103" i="33" s="1"/>
  <c r="E104" i="33"/>
  <c r="G104" i="33" s="1"/>
  <c r="E105" i="33"/>
  <c r="G105" i="33" s="1"/>
  <c r="E106" i="33"/>
  <c r="G106" i="33" s="1"/>
  <c r="E107" i="33"/>
  <c r="G107" i="33" s="1"/>
  <c r="E108" i="33"/>
  <c r="E109" i="33"/>
  <c r="G109" i="33" s="1"/>
  <c r="E110" i="33"/>
  <c r="G110" i="33" s="1"/>
  <c r="E111" i="33"/>
  <c r="G111" i="33" s="1"/>
  <c r="E112" i="33"/>
  <c r="G112" i="33" s="1"/>
  <c r="E113" i="33"/>
  <c r="G113" i="33" s="1"/>
  <c r="E114" i="33"/>
  <c r="G114" i="33" s="1"/>
  <c r="E115" i="33"/>
  <c r="G115" i="33" s="1"/>
  <c r="E116" i="33"/>
  <c r="G116" i="33" s="1"/>
  <c r="E117" i="33"/>
  <c r="G117" i="33" s="1"/>
  <c r="E118" i="33"/>
  <c r="G118" i="33" s="1"/>
  <c r="E119" i="33"/>
  <c r="G119" i="33" s="1"/>
  <c r="E120" i="33"/>
  <c r="G120" i="33" s="1"/>
  <c r="E121" i="33"/>
  <c r="G121" i="33" s="1"/>
  <c r="E122" i="33"/>
  <c r="G122" i="33" s="1"/>
  <c r="E123" i="33"/>
  <c r="G123" i="33" s="1"/>
  <c r="E124" i="33"/>
  <c r="G124" i="33" s="1"/>
  <c r="E125" i="33"/>
  <c r="G125" i="33" s="1"/>
  <c r="E126" i="33"/>
  <c r="G126" i="33" s="1"/>
  <c r="E127" i="33"/>
  <c r="G127" i="33" s="1"/>
  <c r="E128" i="33"/>
  <c r="G128" i="33" s="1"/>
  <c r="E129" i="33"/>
  <c r="G129" i="33" s="1"/>
  <c r="E130" i="33"/>
  <c r="E131" i="33"/>
  <c r="G131" i="33" s="1"/>
  <c r="E132" i="33"/>
  <c r="G132" i="33" s="1"/>
  <c r="E133" i="33"/>
  <c r="G133" i="33" s="1"/>
  <c r="E134" i="33"/>
  <c r="E135" i="33"/>
  <c r="E136" i="33"/>
  <c r="G136" i="33" s="1"/>
  <c r="E137" i="33"/>
  <c r="G137" i="33" s="1"/>
  <c r="E138" i="33"/>
  <c r="G138" i="33" s="1"/>
  <c r="E139" i="33"/>
  <c r="G139" i="33" s="1"/>
  <c r="E140" i="33"/>
  <c r="G140" i="33" s="1"/>
  <c r="E141" i="33"/>
  <c r="G141" i="33" s="1"/>
  <c r="E142" i="33"/>
  <c r="G142" i="33" s="1"/>
  <c r="E143" i="33"/>
  <c r="G143" i="33" s="1"/>
  <c r="E144" i="33"/>
  <c r="G144" i="33" s="1"/>
  <c r="E145" i="33"/>
  <c r="G145" i="33" s="1"/>
  <c r="E146" i="33"/>
  <c r="G146" i="33" s="1"/>
  <c r="E147" i="33"/>
  <c r="G147" i="33" s="1"/>
  <c r="E148" i="33"/>
  <c r="G148" i="33" s="1"/>
  <c r="E149" i="33"/>
  <c r="G149" i="33" s="1"/>
  <c r="E150" i="33"/>
  <c r="E151" i="33"/>
  <c r="G151" i="33" s="1"/>
  <c r="E152" i="33"/>
  <c r="G152" i="33" s="1"/>
  <c r="E153" i="33"/>
  <c r="G153" i="33" s="1"/>
  <c r="E154" i="33"/>
  <c r="G154" i="33" s="1"/>
  <c r="E155" i="33"/>
  <c r="G155" i="33" s="1"/>
  <c r="E156" i="33"/>
  <c r="G156" i="33" s="1"/>
  <c r="E157" i="33"/>
  <c r="G157" i="33" s="1"/>
  <c r="E158" i="33"/>
  <c r="G158" i="33" s="1"/>
  <c r="E159" i="33"/>
  <c r="G159" i="33" s="1"/>
  <c r="E160" i="33"/>
  <c r="G160" i="33" s="1"/>
  <c r="E161" i="33"/>
  <c r="G161" i="33" s="1"/>
  <c r="E162" i="33"/>
  <c r="G162" i="33" s="1"/>
  <c r="E163" i="33"/>
  <c r="G163" i="33" s="1"/>
  <c r="E164" i="33"/>
  <c r="G164" i="33" s="1"/>
  <c r="E165" i="33"/>
  <c r="G165" i="33" s="1"/>
  <c r="E166" i="33"/>
  <c r="G166" i="33" s="1"/>
  <c r="E167" i="33"/>
  <c r="G167" i="33" s="1"/>
  <c r="E168" i="33"/>
  <c r="G168" i="33" s="1"/>
  <c r="E169" i="33"/>
  <c r="G169" i="33" s="1"/>
  <c r="E170" i="33"/>
  <c r="G170" i="33" s="1"/>
  <c r="E171" i="33"/>
  <c r="G171" i="33" s="1"/>
  <c r="E172" i="33"/>
  <c r="G172" i="33" s="1"/>
  <c r="E173" i="33"/>
  <c r="G173" i="33" s="1"/>
  <c r="E174" i="33"/>
  <c r="G174" i="33" s="1"/>
  <c r="E175" i="33"/>
  <c r="G175" i="33" s="1"/>
  <c r="E176" i="33"/>
  <c r="G176" i="33" s="1"/>
  <c r="E177" i="33"/>
  <c r="G177" i="33" s="1"/>
  <c r="E178" i="33"/>
  <c r="G178" i="33" s="1"/>
  <c r="E179" i="33"/>
  <c r="G179" i="33" s="1"/>
  <c r="E180" i="33"/>
  <c r="G180" i="33" s="1"/>
  <c r="E181" i="33"/>
  <c r="G181" i="33" s="1"/>
  <c r="E182" i="33"/>
  <c r="G182" i="33" s="1"/>
  <c r="E183" i="33"/>
  <c r="G183" i="33" s="1"/>
  <c r="E184" i="33"/>
  <c r="G184" i="33" s="1"/>
  <c r="E185" i="33"/>
  <c r="G185" i="33" s="1"/>
  <c r="E186" i="33"/>
  <c r="G186" i="33" s="1"/>
  <c r="E187" i="33"/>
  <c r="G187" i="33" s="1"/>
  <c r="E188" i="33"/>
  <c r="G188" i="33" s="1"/>
  <c r="E189" i="33"/>
  <c r="G189" i="33" s="1"/>
  <c r="E190" i="33"/>
  <c r="G190" i="33" s="1"/>
  <c r="E191" i="33"/>
  <c r="G191" i="33" s="1"/>
  <c r="E192" i="33"/>
  <c r="G192" i="33" s="1"/>
  <c r="E193" i="33"/>
  <c r="G193" i="33" s="1"/>
  <c r="E194" i="33"/>
  <c r="G194" i="33" s="1"/>
  <c r="E195" i="33"/>
  <c r="G195" i="33" s="1"/>
  <c r="E196" i="33"/>
  <c r="G196" i="33" s="1"/>
  <c r="E197" i="33"/>
  <c r="G197" i="33" s="1"/>
  <c r="E198" i="33"/>
  <c r="G198" i="33" s="1"/>
  <c r="E199" i="33"/>
  <c r="G199" i="33" s="1"/>
  <c r="E200" i="33"/>
  <c r="G200" i="33" s="1"/>
  <c r="E201" i="33"/>
  <c r="G201" i="33" s="1"/>
  <c r="E202" i="33"/>
  <c r="G202" i="33" s="1"/>
  <c r="E203" i="33"/>
  <c r="G203" i="33" s="1"/>
  <c r="E204" i="33"/>
  <c r="G204" i="33" s="1"/>
  <c r="E205" i="33"/>
  <c r="G205" i="33" s="1"/>
  <c r="E206" i="33"/>
  <c r="G206" i="33" s="1"/>
  <c r="E207" i="33"/>
  <c r="G207" i="33" s="1"/>
  <c r="E208" i="33"/>
  <c r="G208" i="33" s="1"/>
  <c r="E209" i="33"/>
  <c r="G209" i="33" s="1"/>
  <c r="E210" i="33"/>
  <c r="G210" i="33" s="1"/>
  <c r="E211" i="33"/>
  <c r="E212" i="33"/>
  <c r="G212" i="33" s="1"/>
  <c r="E213" i="33"/>
  <c r="G213" i="33" s="1"/>
  <c r="E214" i="33"/>
  <c r="G214" i="33" s="1"/>
  <c r="E215" i="33"/>
  <c r="G215" i="33" s="1"/>
  <c r="E216" i="33"/>
  <c r="G216" i="33" s="1"/>
  <c r="E217" i="33"/>
  <c r="G217" i="33" s="1"/>
  <c r="E218" i="33"/>
  <c r="G218" i="33" s="1"/>
  <c r="E219" i="33"/>
  <c r="G219" i="33" s="1"/>
  <c r="E220" i="33"/>
  <c r="G220" i="33" s="1"/>
  <c r="E221" i="33"/>
  <c r="G221" i="33" s="1"/>
  <c r="E222" i="33"/>
  <c r="G222" i="33" s="1"/>
  <c r="E223" i="33"/>
  <c r="G223" i="33" s="1"/>
  <c r="E224" i="33"/>
  <c r="G224" i="33" s="1"/>
  <c r="E225" i="33"/>
  <c r="G225" i="33" s="1"/>
  <c r="E226" i="33"/>
  <c r="G226" i="33" s="1"/>
  <c r="E227" i="33"/>
  <c r="G227" i="33" s="1"/>
  <c r="E228" i="33"/>
  <c r="G228" i="33" s="1"/>
  <c r="E229" i="33"/>
  <c r="G229" i="33" s="1"/>
  <c r="E230" i="33"/>
  <c r="G230" i="33" s="1"/>
  <c r="E231" i="33"/>
  <c r="G231" i="33" s="1"/>
  <c r="E232" i="33"/>
  <c r="G232" i="33" s="1"/>
  <c r="E233" i="33"/>
  <c r="G233" i="33" s="1"/>
  <c r="E234" i="33"/>
  <c r="G234" i="33" s="1"/>
  <c r="E235" i="33"/>
  <c r="G235" i="33" s="1"/>
  <c r="E236" i="33"/>
  <c r="G236" i="33" s="1"/>
  <c r="E237" i="33"/>
  <c r="G237" i="33" s="1"/>
  <c r="E238" i="33"/>
  <c r="G238" i="33" s="1"/>
  <c r="E239" i="33"/>
  <c r="G239" i="33" s="1"/>
  <c r="E240" i="33"/>
  <c r="G240" i="33" s="1"/>
  <c r="E241" i="33"/>
  <c r="G241" i="33" s="1"/>
  <c r="E242" i="33"/>
  <c r="G242" i="33" s="1"/>
  <c r="E243" i="33"/>
  <c r="G243" i="33" s="1"/>
  <c r="E244" i="33"/>
  <c r="G244" i="33" s="1"/>
  <c r="E245" i="33"/>
  <c r="G245" i="33" s="1"/>
  <c r="E246" i="33"/>
  <c r="G246" i="33" s="1"/>
  <c r="E247" i="33"/>
  <c r="G247" i="33" s="1"/>
  <c r="E248" i="33"/>
  <c r="G248" i="33" s="1"/>
  <c r="E249" i="33"/>
  <c r="G249" i="33" s="1"/>
  <c r="E250" i="33"/>
  <c r="G250" i="33" s="1"/>
  <c r="E251" i="33"/>
  <c r="G251" i="33" s="1"/>
  <c r="E252" i="33"/>
  <c r="G252" i="33" s="1"/>
  <c r="E253" i="33"/>
  <c r="G253" i="33" s="1"/>
  <c r="E254" i="33"/>
  <c r="G254" i="33" s="1"/>
  <c r="E255" i="33"/>
  <c r="G255" i="33" s="1"/>
  <c r="E256" i="33"/>
  <c r="G256" i="33" s="1"/>
  <c r="E257" i="33"/>
  <c r="G257" i="33" s="1"/>
  <c r="E258" i="33"/>
  <c r="G258" i="33" s="1"/>
  <c r="E259" i="33"/>
  <c r="G259" i="33" s="1"/>
  <c r="E260" i="33"/>
  <c r="G260" i="33" s="1"/>
  <c r="E261" i="33"/>
  <c r="G261" i="33" s="1"/>
  <c r="E262" i="33"/>
  <c r="G262" i="33" s="1"/>
  <c r="E263" i="33"/>
  <c r="G263" i="33" s="1"/>
  <c r="E264" i="33"/>
  <c r="G264" i="33" s="1"/>
  <c r="E265" i="33"/>
  <c r="G265" i="33" s="1"/>
  <c r="E266" i="33"/>
  <c r="G266" i="33" s="1"/>
  <c r="E267" i="33"/>
  <c r="G267" i="33" s="1"/>
  <c r="E268" i="33"/>
  <c r="G268" i="33" s="1"/>
  <c r="E269" i="33"/>
  <c r="G269" i="33" s="1"/>
  <c r="E270" i="33"/>
  <c r="G270" i="33" s="1"/>
  <c r="E271" i="33"/>
  <c r="G271" i="33" s="1"/>
  <c r="E272" i="33"/>
  <c r="G272" i="33" s="1"/>
  <c r="E273" i="33"/>
  <c r="G273" i="33" s="1"/>
  <c r="E274" i="33"/>
  <c r="G274" i="33" s="1"/>
  <c r="E275" i="33"/>
  <c r="G275" i="33" s="1"/>
  <c r="E276" i="33"/>
  <c r="G276" i="33" s="1"/>
  <c r="E277" i="33"/>
  <c r="G277" i="33" s="1"/>
  <c r="E278" i="33"/>
  <c r="G278" i="33" s="1"/>
  <c r="E279" i="33"/>
  <c r="G279" i="33" s="1"/>
  <c r="E280" i="33"/>
  <c r="G280" i="33" s="1"/>
  <c r="E281" i="33"/>
  <c r="G281" i="33" s="1"/>
  <c r="E282" i="33"/>
  <c r="G282" i="33" s="1"/>
  <c r="E283" i="33"/>
  <c r="G283" i="33" s="1"/>
  <c r="E284" i="33"/>
  <c r="G284" i="33" s="1"/>
  <c r="E285" i="33"/>
  <c r="G285" i="33" s="1"/>
  <c r="E286" i="33"/>
  <c r="G286" i="33" s="1"/>
  <c r="E287" i="33"/>
  <c r="G287" i="33" s="1"/>
  <c r="E288" i="33"/>
  <c r="G288" i="33" s="1"/>
  <c r="E289" i="33"/>
  <c r="G289" i="33" s="1"/>
  <c r="E290" i="33"/>
  <c r="G290" i="33" s="1"/>
  <c r="E291" i="33"/>
  <c r="G291" i="33" s="1"/>
  <c r="E292" i="33"/>
  <c r="G292" i="33" s="1"/>
  <c r="E293" i="33"/>
  <c r="G293" i="33" s="1"/>
  <c r="E294" i="33"/>
  <c r="G294" i="33" s="1"/>
  <c r="E295" i="33"/>
  <c r="G295" i="33" s="1"/>
  <c r="E296" i="33"/>
  <c r="G296" i="33" s="1"/>
  <c r="E297" i="33"/>
  <c r="G297" i="33" s="1"/>
  <c r="E298" i="33"/>
  <c r="G298" i="33" s="1"/>
  <c r="E299" i="33"/>
  <c r="G299" i="33" s="1"/>
  <c r="E300" i="33"/>
  <c r="G300" i="33" s="1"/>
  <c r="E301" i="33"/>
  <c r="G301" i="33" s="1"/>
  <c r="E302" i="33"/>
  <c r="G302" i="33" s="1"/>
  <c r="E303" i="33"/>
  <c r="G303" i="33" s="1"/>
  <c r="E304" i="33"/>
  <c r="G304" i="33" s="1"/>
  <c r="E305" i="33"/>
  <c r="G305" i="33" s="1"/>
  <c r="E306" i="33"/>
  <c r="G306" i="33" s="1"/>
  <c r="E307" i="33"/>
  <c r="G307" i="33" s="1"/>
  <c r="E308" i="33"/>
  <c r="G308" i="33" s="1"/>
  <c r="E309" i="33"/>
  <c r="G309" i="33" s="1"/>
  <c r="E310" i="33"/>
  <c r="G310" i="33" s="1"/>
  <c r="E311" i="33"/>
  <c r="G311" i="33" s="1"/>
  <c r="E312" i="33"/>
  <c r="G312" i="33" s="1"/>
  <c r="C313" i="33"/>
  <c r="F150" i="33" l="1"/>
  <c r="G150" i="33" s="1"/>
  <c r="F211" i="33"/>
  <c r="G211" i="33" s="1"/>
  <c r="F108" i="33"/>
  <c r="G108" i="33" s="1"/>
  <c r="F130" i="33"/>
  <c r="G130" i="33" s="1"/>
  <c r="F96" i="33"/>
  <c r="G96" i="33" s="1"/>
  <c r="F135" i="33"/>
  <c r="G135" i="33" s="1"/>
  <c r="F134" i="33"/>
  <c r="G134" i="33" s="1"/>
  <c r="F5" i="33"/>
  <c r="F313" i="33" s="1"/>
  <c r="E313" i="33"/>
  <c r="G5" i="33" l="1"/>
  <c r="G313" i="33" s="1"/>
  <c r="F278" i="32" l="1"/>
  <c r="F122" i="32" l="1"/>
  <c r="E4" i="32" l="1"/>
  <c r="G4" i="32" s="1"/>
  <c r="E5" i="32"/>
  <c r="E6" i="32"/>
  <c r="G6" i="32" s="1"/>
  <c r="E7" i="32"/>
  <c r="G7" i="32" s="1"/>
  <c r="E8" i="32"/>
  <c r="G8" i="32" s="1"/>
  <c r="E9" i="32"/>
  <c r="G9" i="32" s="1"/>
  <c r="E10" i="32"/>
  <c r="G10" i="32" s="1"/>
  <c r="E11" i="32"/>
  <c r="E12" i="32"/>
  <c r="G12" i="32" s="1"/>
  <c r="E13" i="32"/>
  <c r="G13" i="32" s="1"/>
  <c r="E14" i="32"/>
  <c r="G14" i="32" s="1"/>
  <c r="E15" i="32"/>
  <c r="G15" i="32" s="1"/>
  <c r="E16" i="32"/>
  <c r="G16" i="32" s="1"/>
  <c r="E17" i="32"/>
  <c r="E18" i="32"/>
  <c r="E19" i="32"/>
  <c r="E20" i="32"/>
  <c r="F20" i="32" s="1"/>
  <c r="E21" i="32"/>
  <c r="G21" i="32" s="1"/>
  <c r="E22" i="32"/>
  <c r="G22" i="32" s="1"/>
  <c r="E23" i="32"/>
  <c r="E24" i="32"/>
  <c r="G24" i="32" s="1"/>
  <c r="E25" i="32"/>
  <c r="G25" i="32" s="1"/>
  <c r="E26" i="32"/>
  <c r="G26" i="32" s="1"/>
  <c r="E27" i="32"/>
  <c r="G27" i="32" s="1"/>
  <c r="E28" i="32"/>
  <c r="G28" i="32" s="1"/>
  <c r="E29" i="32"/>
  <c r="G29" i="32" s="1"/>
  <c r="E30" i="32"/>
  <c r="G30" i="32" s="1"/>
  <c r="E31" i="32"/>
  <c r="G31" i="32" s="1"/>
  <c r="E32" i="32"/>
  <c r="G32" i="32" s="1"/>
  <c r="E33" i="32"/>
  <c r="G33" i="32" s="1"/>
  <c r="E34" i="32"/>
  <c r="G34" i="32" s="1"/>
  <c r="E35" i="32"/>
  <c r="G35" i="32" s="1"/>
  <c r="E36" i="32"/>
  <c r="G36" i="32" s="1"/>
  <c r="E37" i="32"/>
  <c r="G37" i="32" s="1"/>
  <c r="E38" i="32"/>
  <c r="G38" i="32" s="1"/>
  <c r="E39" i="32"/>
  <c r="G39" i="32" s="1"/>
  <c r="E40" i="32"/>
  <c r="E41" i="32"/>
  <c r="G41" i="32" s="1"/>
  <c r="E42" i="32"/>
  <c r="G42" i="32" s="1"/>
  <c r="E43" i="32"/>
  <c r="E44" i="32"/>
  <c r="G44" i="32" s="1"/>
  <c r="E45" i="32"/>
  <c r="G45" i="32" s="1"/>
  <c r="E46" i="32"/>
  <c r="E47" i="32"/>
  <c r="G47" i="32" s="1"/>
  <c r="E48" i="32"/>
  <c r="G48" i="32" s="1"/>
  <c r="E49" i="32"/>
  <c r="G49" i="32" s="1"/>
  <c r="E50" i="32"/>
  <c r="G50" i="32" s="1"/>
  <c r="E51" i="32"/>
  <c r="G51" i="32" s="1"/>
  <c r="E52" i="32"/>
  <c r="G52" i="32" s="1"/>
  <c r="E53" i="32"/>
  <c r="E54" i="32"/>
  <c r="G54" i="32" s="1"/>
  <c r="E55" i="32"/>
  <c r="G55" i="32" s="1"/>
  <c r="E56" i="32"/>
  <c r="G56" i="32" s="1"/>
  <c r="E57" i="32"/>
  <c r="G57" i="32" s="1"/>
  <c r="E58" i="32"/>
  <c r="E59" i="32"/>
  <c r="G59" i="32" s="1"/>
  <c r="E60" i="32"/>
  <c r="G60" i="32" s="1"/>
  <c r="E61" i="32"/>
  <c r="G61" i="32" s="1"/>
  <c r="E62" i="32"/>
  <c r="E63" i="32"/>
  <c r="G63" i="32" s="1"/>
  <c r="E64" i="32"/>
  <c r="G64" i="32" s="1"/>
  <c r="E65" i="32"/>
  <c r="E66" i="32"/>
  <c r="G66" i="32" s="1"/>
  <c r="E67" i="32"/>
  <c r="G67" i="32" s="1"/>
  <c r="E68" i="32"/>
  <c r="G68" i="32" s="1"/>
  <c r="E69" i="32"/>
  <c r="G69" i="32" s="1"/>
  <c r="E70" i="32"/>
  <c r="G70" i="32" s="1"/>
  <c r="E71" i="32"/>
  <c r="G71" i="32" s="1"/>
  <c r="E72" i="32"/>
  <c r="E73" i="32"/>
  <c r="E74" i="32"/>
  <c r="G74" i="32" s="1"/>
  <c r="E75" i="32"/>
  <c r="G75" i="32" s="1"/>
  <c r="E76" i="32"/>
  <c r="G76" i="32" s="1"/>
  <c r="E77" i="32"/>
  <c r="G77" i="32" s="1"/>
  <c r="E78" i="32"/>
  <c r="G78" i="32" s="1"/>
  <c r="E79" i="32"/>
  <c r="E80" i="32"/>
  <c r="G80" i="32" s="1"/>
  <c r="E81" i="32"/>
  <c r="G81" i="32" s="1"/>
  <c r="E82" i="32"/>
  <c r="G82" i="32" s="1"/>
  <c r="E83" i="32"/>
  <c r="E84" i="32"/>
  <c r="G84" i="32" s="1"/>
  <c r="E85" i="32"/>
  <c r="G85" i="32" s="1"/>
  <c r="E86" i="32"/>
  <c r="G86" i="32" s="1"/>
  <c r="E87" i="32"/>
  <c r="G87" i="32" s="1"/>
  <c r="E88" i="32"/>
  <c r="G88" i="32" s="1"/>
  <c r="E89" i="32"/>
  <c r="G89" i="32" s="1"/>
  <c r="E90" i="32"/>
  <c r="G90" i="32" s="1"/>
  <c r="E91" i="32"/>
  <c r="G91" i="32" s="1"/>
  <c r="E92" i="32"/>
  <c r="E93" i="32"/>
  <c r="G93" i="32" s="1"/>
  <c r="E94" i="32"/>
  <c r="G94" i="32" s="1"/>
  <c r="E95" i="32"/>
  <c r="E96" i="32"/>
  <c r="E97" i="32"/>
  <c r="G97" i="32" s="1"/>
  <c r="E98" i="32"/>
  <c r="G98" i="32" s="1"/>
  <c r="E99" i="32"/>
  <c r="G99" i="32" s="1"/>
  <c r="E100" i="32"/>
  <c r="G100" i="32" s="1"/>
  <c r="E101" i="32"/>
  <c r="G101" i="32" s="1"/>
  <c r="E102" i="32"/>
  <c r="G102" i="32" s="1"/>
  <c r="E103" i="32"/>
  <c r="G103" i="32" s="1"/>
  <c r="E104" i="32"/>
  <c r="G104" i="32" s="1"/>
  <c r="E105" i="32"/>
  <c r="E106" i="32"/>
  <c r="G106" i="32" s="1"/>
  <c r="E107" i="32"/>
  <c r="G107" i="32" s="1"/>
  <c r="E108" i="32"/>
  <c r="G108" i="32" s="1"/>
  <c r="E109" i="32"/>
  <c r="G109" i="32" s="1"/>
  <c r="E110" i="32"/>
  <c r="G110" i="32" s="1"/>
  <c r="E111" i="32"/>
  <c r="G111" i="32" s="1"/>
  <c r="E112" i="32"/>
  <c r="G112" i="32" s="1"/>
  <c r="E113" i="32"/>
  <c r="G113" i="32" s="1"/>
  <c r="E114" i="32"/>
  <c r="G114" i="32" s="1"/>
  <c r="E115" i="32"/>
  <c r="G115" i="32" s="1"/>
  <c r="E116" i="32"/>
  <c r="G116" i="32" s="1"/>
  <c r="E117" i="32"/>
  <c r="G117" i="32" s="1"/>
  <c r="E118" i="32"/>
  <c r="G118" i="32" s="1"/>
  <c r="E119" i="32"/>
  <c r="G119" i="32" s="1"/>
  <c r="E120" i="32"/>
  <c r="G120" i="32" s="1"/>
  <c r="E121" i="32"/>
  <c r="G121" i="32" s="1"/>
  <c r="E122" i="32"/>
  <c r="G122" i="32" s="1"/>
  <c r="E123" i="32"/>
  <c r="G123" i="32" s="1"/>
  <c r="E124" i="32"/>
  <c r="E125" i="32"/>
  <c r="G125" i="32" s="1"/>
  <c r="E126" i="32"/>
  <c r="E127" i="32"/>
  <c r="E128" i="32"/>
  <c r="G128" i="32" s="1"/>
  <c r="E129" i="32"/>
  <c r="G129" i="32" s="1"/>
  <c r="E130" i="32"/>
  <c r="E131" i="32"/>
  <c r="G131" i="32" s="1"/>
  <c r="E132" i="32"/>
  <c r="G132" i="32" s="1"/>
  <c r="E133" i="32"/>
  <c r="G133" i="32" s="1"/>
  <c r="E134" i="32"/>
  <c r="E135" i="32"/>
  <c r="E136" i="32"/>
  <c r="G136" i="32" s="1"/>
  <c r="E137" i="32"/>
  <c r="G137" i="32" s="1"/>
  <c r="E138" i="32"/>
  <c r="G138" i="32" s="1"/>
  <c r="E139" i="32"/>
  <c r="G139" i="32" s="1"/>
  <c r="E140" i="32"/>
  <c r="G140" i="32" s="1"/>
  <c r="E141" i="32"/>
  <c r="G141" i="32" s="1"/>
  <c r="E142" i="32"/>
  <c r="G142" i="32" s="1"/>
  <c r="E143" i="32"/>
  <c r="G143" i="32" s="1"/>
  <c r="E144" i="32"/>
  <c r="E145" i="32"/>
  <c r="G145" i="32" s="1"/>
  <c r="E146" i="32"/>
  <c r="G146" i="32" s="1"/>
  <c r="E147" i="32"/>
  <c r="G147" i="32" s="1"/>
  <c r="E148" i="32"/>
  <c r="G148" i="32" s="1"/>
  <c r="E149" i="32"/>
  <c r="G149" i="32" s="1"/>
  <c r="E150" i="32"/>
  <c r="E151" i="32"/>
  <c r="G151" i="32" s="1"/>
  <c r="E152" i="32"/>
  <c r="G152" i="32" s="1"/>
  <c r="E153" i="32"/>
  <c r="G153" i="32" s="1"/>
  <c r="E154" i="32"/>
  <c r="E155" i="32"/>
  <c r="G155" i="32" s="1"/>
  <c r="E156" i="32"/>
  <c r="G156" i="32" s="1"/>
  <c r="E157" i="32"/>
  <c r="G157" i="32" s="1"/>
  <c r="E158" i="32"/>
  <c r="G158" i="32" s="1"/>
  <c r="E159" i="32"/>
  <c r="E160" i="32"/>
  <c r="G160" i="32" s="1"/>
  <c r="E161" i="32"/>
  <c r="G161" i="32" s="1"/>
  <c r="E162" i="32"/>
  <c r="E163" i="32"/>
  <c r="G163" i="32" s="1"/>
  <c r="E164" i="32"/>
  <c r="G164" i="32" s="1"/>
  <c r="E165" i="32"/>
  <c r="E166" i="32"/>
  <c r="G166" i="32" s="1"/>
  <c r="E167" i="32"/>
  <c r="G167" i="32" s="1"/>
  <c r="E168" i="32"/>
  <c r="G168" i="32" s="1"/>
  <c r="E169" i="32"/>
  <c r="E170" i="32"/>
  <c r="E171" i="32"/>
  <c r="G171" i="32" s="1"/>
  <c r="E172" i="32"/>
  <c r="G172" i="32" s="1"/>
  <c r="E173" i="32"/>
  <c r="G173" i="32" s="1"/>
  <c r="E174" i="32"/>
  <c r="G174" i="32" s="1"/>
  <c r="E175" i="32"/>
  <c r="G175" i="32" s="1"/>
  <c r="E176" i="32"/>
  <c r="G176" i="32" s="1"/>
  <c r="E177" i="32"/>
  <c r="G177" i="32" s="1"/>
  <c r="E178" i="32"/>
  <c r="G178" i="32" s="1"/>
  <c r="E179" i="32"/>
  <c r="E180" i="32"/>
  <c r="G180" i="32" s="1"/>
  <c r="E181" i="32"/>
  <c r="G181" i="32" s="1"/>
  <c r="E182" i="32"/>
  <c r="G182" i="32" s="1"/>
  <c r="E183" i="32"/>
  <c r="G183" i="32" s="1"/>
  <c r="E184" i="32"/>
  <c r="G184" i="32" s="1"/>
  <c r="E185" i="32"/>
  <c r="G185" i="32" s="1"/>
  <c r="E186" i="32"/>
  <c r="G186" i="32" s="1"/>
  <c r="E187" i="32"/>
  <c r="G187" i="32" s="1"/>
  <c r="E188" i="32"/>
  <c r="G188" i="32" s="1"/>
  <c r="E189" i="32"/>
  <c r="G189" i="32" s="1"/>
  <c r="E190" i="32"/>
  <c r="E191" i="32"/>
  <c r="G191" i="32" s="1"/>
  <c r="E192" i="32"/>
  <c r="G192" i="32" s="1"/>
  <c r="E193" i="32"/>
  <c r="G193" i="32" s="1"/>
  <c r="E194" i="32"/>
  <c r="G194" i="32" s="1"/>
  <c r="E195" i="32"/>
  <c r="E196" i="32"/>
  <c r="G196" i="32" s="1"/>
  <c r="E197" i="32"/>
  <c r="E198" i="32"/>
  <c r="G198" i="32" s="1"/>
  <c r="E199" i="32"/>
  <c r="E200" i="32"/>
  <c r="G200" i="32" s="1"/>
  <c r="E201" i="32"/>
  <c r="G201" i="32" s="1"/>
  <c r="E202" i="32"/>
  <c r="G202" i="32" s="1"/>
  <c r="E203" i="32"/>
  <c r="G203" i="32" s="1"/>
  <c r="E204" i="32"/>
  <c r="G204" i="32" s="1"/>
  <c r="E205" i="32"/>
  <c r="G205" i="32" s="1"/>
  <c r="E206" i="32"/>
  <c r="G206" i="32" s="1"/>
  <c r="E207" i="32"/>
  <c r="G207" i="32" s="1"/>
  <c r="E208" i="32"/>
  <c r="G208" i="32" s="1"/>
  <c r="E209" i="32"/>
  <c r="G209" i="32" s="1"/>
  <c r="E210" i="32"/>
  <c r="G210" i="32" s="1"/>
  <c r="E211" i="32"/>
  <c r="G211" i="32" s="1"/>
  <c r="E212" i="32"/>
  <c r="G212" i="32" s="1"/>
  <c r="E213" i="32"/>
  <c r="G213" i="32" s="1"/>
  <c r="E214" i="32"/>
  <c r="G214" i="32" s="1"/>
  <c r="E215" i="32"/>
  <c r="G215" i="32" s="1"/>
  <c r="E216" i="32"/>
  <c r="G216" i="32" s="1"/>
  <c r="E217" i="32"/>
  <c r="G217" i="32" s="1"/>
  <c r="E218" i="32"/>
  <c r="E219" i="32"/>
  <c r="E220" i="32"/>
  <c r="G220" i="32" s="1"/>
  <c r="E221" i="32"/>
  <c r="G221" i="32" s="1"/>
  <c r="E222" i="32"/>
  <c r="G222" i="32" s="1"/>
  <c r="E223" i="32"/>
  <c r="G223" i="32" s="1"/>
  <c r="E224" i="32"/>
  <c r="E225" i="32"/>
  <c r="G225" i="32" s="1"/>
  <c r="E226" i="32"/>
  <c r="G226" i="32" s="1"/>
  <c r="E227" i="32"/>
  <c r="G227" i="32" s="1"/>
  <c r="E228" i="32"/>
  <c r="G228" i="32" s="1"/>
  <c r="E229" i="32"/>
  <c r="G229" i="32" s="1"/>
  <c r="E230" i="32"/>
  <c r="G230" i="32" s="1"/>
  <c r="E231" i="32"/>
  <c r="G231" i="32" s="1"/>
  <c r="E232" i="32"/>
  <c r="G232" i="32" s="1"/>
  <c r="E233" i="32"/>
  <c r="G233" i="32" s="1"/>
  <c r="E234" i="32"/>
  <c r="G234" i="32" s="1"/>
  <c r="E235" i="32"/>
  <c r="E236" i="32"/>
  <c r="G236" i="32" s="1"/>
  <c r="E237" i="32"/>
  <c r="G237" i="32" s="1"/>
  <c r="E238" i="32"/>
  <c r="G238" i="32" s="1"/>
  <c r="E239" i="32"/>
  <c r="E240" i="32"/>
  <c r="G240" i="32" s="1"/>
  <c r="E241" i="32"/>
  <c r="G241" i="32" s="1"/>
  <c r="E242" i="32"/>
  <c r="G242" i="32" s="1"/>
  <c r="E243" i="32"/>
  <c r="G243" i="32" s="1"/>
  <c r="E244" i="32"/>
  <c r="G244" i="32" s="1"/>
  <c r="E245" i="32"/>
  <c r="G245" i="32" s="1"/>
  <c r="E246" i="32"/>
  <c r="G246" i="32" s="1"/>
  <c r="E247" i="32"/>
  <c r="G247" i="32" s="1"/>
  <c r="E248" i="32"/>
  <c r="G248" i="32" s="1"/>
  <c r="E249" i="32"/>
  <c r="G249" i="32" s="1"/>
  <c r="E250" i="32"/>
  <c r="E251" i="32"/>
  <c r="G251" i="32" s="1"/>
  <c r="E252" i="32"/>
  <c r="G252" i="32" s="1"/>
  <c r="E253" i="32"/>
  <c r="G253" i="32" s="1"/>
  <c r="E254" i="32"/>
  <c r="G254" i="32" s="1"/>
  <c r="E255" i="32"/>
  <c r="G255" i="32" s="1"/>
  <c r="E256" i="32"/>
  <c r="G256" i="32" s="1"/>
  <c r="E257" i="32"/>
  <c r="G257" i="32" s="1"/>
  <c r="E258" i="32"/>
  <c r="G258" i="32" s="1"/>
  <c r="E259" i="32"/>
  <c r="G259" i="32" s="1"/>
  <c r="E260" i="32"/>
  <c r="G260" i="32" s="1"/>
  <c r="E261" i="32"/>
  <c r="E262" i="32"/>
  <c r="G262" i="32" s="1"/>
  <c r="E263" i="32"/>
  <c r="G263" i="32" s="1"/>
  <c r="E264" i="32"/>
  <c r="G264" i="32" s="1"/>
  <c r="E265" i="32"/>
  <c r="G265" i="32" s="1"/>
  <c r="E266" i="32"/>
  <c r="G266" i="32" s="1"/>
  <c r="E267" i="32"/>
  <c r="G267" i="32" s="1"/>
  <c r="E268" i="32"/>
  <c r="G268" i="32" s="1"/>
  <c r="E269" i="32"/>
  <c r="G269" i="32" s="1"/>
  <c r="E270" i="32"/>
  <c r="G270" i="32" s="1"/>
  <c r="E271" i="32"/>
  <c r="E272" i="32"/>
  <c r="G272" i="32" s="1"/>
  <c r="E273" i="32"/>
  <c r="G273" i="32" s="1"/>
  <c r="E274" i="32"/>
  <c r="G274" i="32" s="1"/>
  <c r="E275" i="32"/>
  <c r="G275" i="32" s="1"/>
  <c r="E276" i="32"/>
  <c r="G276" i="32" s="1"/>
  <c r="E277" i="32"/>
  <c r="G277" i="32" s="1"/>
  <c r="E278" i="32"/>
  <c r="G278" i="32" s="1"/>
  <c r="E279" i="32"/>
  <c r="G279" i="32" s="1"/>
  <c r="E280" i="32"/>
  <c r="G280" i="32" s="1"/>
  <c r="E281" i="32"/>
  <c r="G281" i="32" s="1"/>
  <c r="E282" i="32"/>
  <c r="G282" i="32" s="1"/>
  <c r="E283" i="32"/>
  <c r="G283" i="32" s="1"/>
  <c r="E284" i="32"/>
  <c r="G284" i="32" s="1"/>
  <c r="E285" i="32"/>
  <c r="G285" i="32" s="1"/>
  <c r="E286" i="32"/>
  <c r="G286" i="32" s="1"/>
  <c r="E287" i="32"/>
  <c r="G287" i="32" s="1"/>
  <c r="E288" i="32"/>
  <c r="G288" i="32" s="1"/>
  <c r="E289" i="32"/>
  <c r="G289" i="32" s="1"/>
  <c r="E290" i="32"/>
  <c r="E291" i="32"/>
  <c r="G291" i="32" s="1"/>
  <c r="E292" i="32"/>
  <c r="G292" i="32" s="1"/>
  <c r="E293" i="32"/>
  <c r="G293" i="32" s="1"/>
  <c r="E294" i="32"/>
  <c r="G294" i="32" s="1"/>
  <c r="E295" i="32"/>
  <c r="G295" i="32" s="1"/>
  <c r="E296" i="32"/>
  <c r="G296" i="32" s="1"/>
  <c r="E297" i="32"/>
  <c r="G297" i="32" s="1"/>
  <c r="E298" i="32"/>
  <c r="G298" i="32" s="1"/>
  <c r="E299" i="32"/>
  <c r="G299" i="32" s="1"/>
  <c r="E300" i="32"/>
  <c r="G300" i="32" s="1"/>
  <c r="E301" i="32"/>
  <c r="G301" i="32" s="1"/>
  <c r="E302" i="32"/>
  <c r="E303" i="32"/>
  <c r="G303" i="32" s="1"/>
  <c r="E304" i="32"/>
  <c r="E305" i="32"/>
  <c r="G305" i="32" s="1"/>
  <c r="E306" i="32"/>
  <c r="G306" i="32" s="1"/>
  <c r="E307" i="32"/>
  <c r="G307" i="32" s="1"/>
  <c r="E308" i="32"/>
  <c r="G308" i="32" s="1"/>
  <c r="E309" i="32"/>
  <c r="G309" i="32" s="1"/>
  <c r="E310" i="32"/>
  <c r="G310" i="32" s="1"/>
  <c r="E311" i="32"/>
  <c r="G311" i="32" s="1"/>
  <c r="E312" i="32"/>
  <c r="G312" i="32" s="1"/>
  <c r="C313" i="32"/>
  <c r="F195" i="32" l="1"/>
  <c r="G195" i="32" s="1"/>
  <c r="F73" i="32"/>
  <c r="G73" i="32" s="1"/>
  <c r="F23" i="32"/>
  <c r="G23" i="32" s="1"/>
  <c r="F58" i="32"/>
  <c r="G58" i="32" s="1"/>
  <c r="F46" i="32"/>
  <c r="G46" i="32" s="1"/>
  <c r="F92" i="32"/>
  <c r="G92" i="32" s="1"/>
  <c r="F170" i="32"/>
  <c r="G170" i="32" s="1"/>
  <c r="F79" i="32"/>
  <c r="G79" i="32" s="1"/>
  <c r="F43" i="32"/>
  <c r="G43" i="32" s="1"/>
  <c r="F162" i="32"/>
  <c r="G162" i="32" s="1"/>
  <c r="F150" i="32"/>
  <c r="G150" i="32" s="1"/>
  <c r="F18" i="32"/>
  <c r="G18" i="32" s="1"/>
  <c r="F197" i="32"/>
  <c r="G197" i="32" s="1"/>
  <c r="F65" i="32"/>
  <c r="G65" i="32" s="1"/>
  <c r="F53" i="32"/>
  <c r="G53" i="32" s="1"/>
  <c r="F17" i="32"/>
  <c r="G17" i="32" s="1"/>
  <c r="F124" i="32"/>
  <c r="G124" i="32" s="1"/>
  <c r="F224" i="32"/>
  <c r="G224" i="32" s="1"/>
  <c r="F144" i="32"/>
  <c r="G144" i="32" s="1"/>
  <c r="F96" i="32"/>
  <c r="G96" i="32" s="1"/>
  <c r="F11" i="32"/>
  <c r="G11" i="32" s="1"/>
  <c r="F154" i="32"/>
  <c r="G154" i="32" s="1"/>
  <c r="F95" i="32"/>
  <c r="G95" i="32" s="1"/>
  <c r="F169" i="32"/>
  <c r="G169" i="32" s="1"/>
  <c r="F105" i="32"/>
  <c r="G105" i="32" s="1"/>
  <c r="F159" i="32"/>
  <c r="G159" i="32" s="1"/>
  <c r="F219" i="32"/>
  <c r="G219" i="32" s="1"/>
  <c r="F40" i="32"/>
  <c r="G40" i="32" s="1"/>
  <c r="F127" i="32"/>
  <c r="G127" i="32" s="1"/>
  <c r="F199" i="32"/>
  <c r="G199" i="32" s="1"/>
  <c r="F135" i="32"/>
  <c r="G135" i="32" s="1"/>
  <c r="F62" i="32"/>
  <c r="G62" i="32" s="1"/>
  <c r="F134" i="32"/>
  <c r="G134" i="32" s="1"/>
  <c r="F235" i="32"/>
  <c r="G235" i="32" s="1"/>
  <c r="F261" i="32"/>
  <c r="G261" i="32" s="1"/>
  <c r="F165" i="32"/>
  <c r="G165" i="32" s="1"/>
  <c r="F5" i="32"/>
  <c r="G5" i="32" s="1"/>
  <c r="F126" i="32"/>
  <c r="G126" i="32" s="1"/>
  <c r="F271" i="32"/>
  <c r="G271" i="32" s="1"/>
  <c r="F179" i="32"/>
  <c r="G179" i="32" s="1"/>
  <c r="F83" i="32"/>
  <c r="G83" i="32" s="1"/>
  <c r="F19" i="32"/>
  <c r="G19" i="32" s="1"/>
  <c r="F239" i="32"/>
  <c r="G239" i="32" s="1"/>
  <c r="F302" i="32"/>
  <c r="G302" i="32" s="1"/>
  <c r="F290" i="32"/>
  <c r="G290" i="32" s="1"/>
  <c r="F130" i="32"/>
  <c r="G130" i="32" s="1"/>
  <c r="F218" i="32"/>
  <c r="G20" i="32"/>
  <c r="F304" i="32"/>
  <c r="G304" i="32" s="1"/>
  <c r="F190" i="32"/>
  <c r="G190" i="32" s="1"/>
  <c r="F250" i="32"/>
  <c r="G250" i="32" s="1"/>
  <c r="F72" i="32"/>
  <c r="G72" i="32" s="1"/>
  <c r="E313" i="32"/>
  <c r="G218" i="32" l="1"/>
  <c r="G313" i="32" s="1"/>
  <c r="P219" i="32"/>
  <c r="F313" i="32"/>
  <c r="G312" i="31" l="1"/>
  <c r="G311" i="31"/>
  <c r="G310" i="31"/>
  <c r="G309" i="31"/>
  <c r="G308" i="31"/>
  <c r="G307" i="31"/>
  <c r="G305" i="31"/>
  <c r="G304" i="31"/>
  <c r="G303" i="31"/>
  <c r="G302" i="31"/>
  <c r="G301" i="31"/>
  <c r="G300" i="31"/>
  <c r="G299" i="31"/>
  <c r="G298" i="31"/>
  <c r="G293" i="31"/>
  <c r="G291" i="31"/>
  <c r="G289" i="31"/>
  <c r="G288" i="31"/>
  <c r="G287" i="31"/>
  <c r="G285" i="31"/>
  <c r="G284" i="31"/>
  <c r="G283" i="31"/>
  <c r="G282" i="31"/>
  <c r="G278" i="31"/>
  <c r="G274" i="31"/>
  <c r="G273" i="31"/>
  <c r="G271" i="31"/>
  <c r="G270" i="31"/>
  <c r="G268" i="31"/>
  <c r="G267" i="31"/>
  <c r="G266" i="31"/>
  <c r="G264" i="31"/>
  <c r="G263" i="31"/>
  <c r="G258" i="31"/>
  <c r="G256" i="31"/>
  <c r="G250" i="31"/>
  <c r="G249" i="31"/>
  <c r="G248" i="31"/>
  <c r="G247" i="31"/>
  <c r="G246" i="31"/>
  <c r="G245" i="31"/>
  <c r="G244" i="31"/>
  <c r="G243" i="31"/>
  <c r="G242" i="31"/>
  <c r="G240" i="31"/>
  <c r="G239" i="31"/>
  <c r="G236" i="31"/>
  <c r="G235" i="31"/>
  <c r="G233" i="31"/>
  <c r="G230" i="31"/>
  <c r="G226" i="31"/>
  <c r="G225" i="31"/>
  <c r="G224" i="31"/>
  <c r="G219" i="31"/>
  <c r="G218" i="31"/>
  <c r="G217" i="31"/>
  <c r="G216" i="31"/>
  <c r="G215" i="31"/>
  <c r="G213" i="31"/>
  <c r="G212" i="31"/>
  <c r="G210" i="31"/>
  <c r="G209" i="31"/>
  <c r="G208" i="31"/>
  <c r="G205" i="31"/>
  <c r="G202" i="31"/>
  <c r="G201" i="31"/>
  <c r="G200" i="31"/>
  <c r="G197" i="31"/>
  <c r="G196" i="31"/>
  <c r="G195" i="31"/>
  <c r="G192" i="31"/>
  <c r="G189" i="31"/>
  <c r="G184" i="31"/>
  <c r="G183" i="31"/>
  <c r="G181" i="31"/>
  <c r="G179" i="31"/>
  <c r="G177" i="31"/>
  <c r="G172" i="31"/>
  <c r="G171" i="31"/>
  <c r="G169" i="31"/>
  <c r="G168" i="31"/>
  <c r="G167" i="31"/>
  <c r="G166" i="31"/>
  <c r="G163" i="31"/>
  <c r="G160" i="31"/>
  <c r="G156" i="31"/>
  <c r="G154" i="31"/>
  <c r="G152" i="31"/>
  <c r="G150" i="31"/>
  <c r="G149" i="31"/>
  <c r="G148" i="31"/>
  <c r="G145" i="31"/>
  <c r="G141" i="31"/>
  <c r="G139" i="31"/>
  <c r="G138" i="31"/>
  <c r="G137" i="31"/>
  <c r="G136" i="31"/>
  <c r="G132" i="31"/>
  <c r="G131" i="31"/>
  <c r="G129" i="31"/>
  <c r="G127" i="31"/>
  <c r="G123" i="31"/>
  <c r="G121" i="31"/>
  <c r="G117" i="31"/>
  <c r="G116" i="31"/>
  <c r="G115" i="31"/>
  <c r="G114" i="31"/>
  <c r="G113" i="31"/>
  <c r="G112" i="31"/>
  <c r="G109" i="31"/>
  <c r="G108" i="31"/>
  <c r="G103" i="31"/>
  <c r="G102" i="31"/>
  <c r="G99" i="31"/>
  <c r="G98" i="31"/>
  <c r="G97" i="31"/>
  <c r="G94" i="31"/>
  <c r="G93" i="31"/>
  <c r="G92" i="31"/>
  <c r="G91" i="31"/>
  <c r="G90" i="31"/>
  <c r="G89" i="31"/>
  <c r="G88" i="31"/>
  <c r="G87" i="31"/>
  <c r="G84" i="31"/>
  <c r="G83" i="31"/>
  <c r="G81" i="31"/>
  <c r="G80" i="31"/>
  <c r="G79" i="31"/>
  <c r="G78" i="31"/>
  <c r="G77" i="31"/>
  <c r="G76" i="31"/>
  <c r="G75" i="31"/>
  <c r="G74" i="31"/>
  <c r="G71" i="31"/>
  <c r="G68" i="31"/>
  <c r="G67" i="31"/>
  <c r="G66" i="31"/>
  <c r="G61" i="31"/>
  <c r="G60" i="31"/>
  <c r="G59" i="31"/>
  <c r="G58" i="31"/>
  <c r="G57" i="31"/>
  <c r="G56" i="31"/>
  <c r="G55" i="31"/>
  <c r="G53" i="31"/>
  <c r="G52" i="31"/>
  <c r="G47" i="31"/>
  <c r="G45" i="31"/>
  <c r="G44" i="31"/>
  <c r="G43" i="31"/>
  <c r="G42" i="31"/>
  <c r="G41" i="31"/>
  <c r="G35" i="31"/>
  <c r="G33" i="31"/>
  <c r="G32" i="31"/>
  <c r="G30" i="31"/>
  <c r="G29" i="31"/>
  <c r="G27" i="31"/>
  <c r="G25" i="31"/>
  <c r="G23" i="31"/>
  <c r="G22" i="31"/>
  <c r="G19" i="31"/>
  <c r="G18" i="31"/>
  <c r="G17" i="31"/>
  <c r="G16" i="31"/>
  <c r="G14" i="31"/>
  <c r="G13" i="31"/>
  <c r="G10" i="31"/>
  <c r="G9" i="31"/>
  <c r="G8" i="31"/>
  <c r="G6" i="31"/>
  <c r="G5" i="31"/>
  <c r="G4" i="31"/>
  <c r="G186" i="31" l="1"/>
  <c r="G65" i="31"/>
  <c r="G46" i="31"/>
  <c r="G124" i="31"/>
  <c r="G73" i="31"/>
  <c r="G38" i="31"/>
  <c r="G170" i="31"/>
  <c r="G223" i="31"/>
  <c r="G286" i="31"/>
  <c r="G272" i="31"/>
  <c r="G191" i="31"/>
  <c r="G190" i="31"/>
  <c r="G269" i="31"/>
  <c r="G176" i="31"/>
  <c r="G253" i="31"/>
  <c r="G175" i="31"/>
  <c r="G237" i="31"/>
  <c r="G252" i="31"/>
  <c r="G174" i="31"/>
  <c r="G251" i="31"/>
  <c r="G111" i="31"/>
  <c r="G110" i="31"/>
  <c r="G238" i="31"/>
  <c r="G147" i="31"/>
  <c r="G211" i="31"/>
  <c r="G227" i="31"/>
  <c r="G259" i="31"/>
  <c r="G275" i="31"/>
  <c r="G180" i="31"/>
  <c r="G54" i="31"/>
  <c r="G70" i="31"/>
  <c r="G86" i="31"/>
  <c r="G118" i="31"/>
  <c r="G134" i="31"/>
  <c r="G182" i="31"/>
  <c r="G198" i="31"/>
  <c r="G214" i="31"/>
  <c r="G262" i="31"/>
  <c r="G294" i="31"/>
  <c r="G199" i="31"/>
  <c r="G231" i="31"/>
  <c r="G279" i="31"/>
  <c r="G295" i="31"/>
  <c r="G292" i="31"/>
  <c r="G277" i="31"/>
  <c r="G104" i="31"/>
  <c r="G120" i="31"/>
  <c r="G232" i="31"/>
  <c r="G280" i="31"/>
  <c r="G296" i="31"/>
  <c r="G265" i="31"/>
  <c r="G21" i="31"/>
  <c r="G62" i="31"/>
  <c r="G40" i="31"/>
  <c r="G155" i="31"/>
  <c r="G187" i="31"/>
  <c r="G203" i="31"/>
  <c r="G306" i="31"/>
  <c r="G159" i="31"/>
  <c r="G140" i="31"/>
  <c r="G188" i="31"/>
  <c r="G222" i="31"/>
  <c r="G158" i="31"/>
  <c r="G37" i="31"/>
  <c r="G119" i="31"/>
  <c r="G106" i="31"/>
  <c r="G11" i="31"/>
  <c r="G173" i="31"/>
  <c r="G221" i="31"/>
  <c r="G143" i="31"/>
  <c r="G260" i="31"/>
  <c r="G85" i="31"/>
  <c r="G151" i="31"/>
  <c r="G26" i="31"/>
  <c r="G220" i="31"/>
  <c r="G142" i="31"/>
  <c r="G36" i="31"/>
  <c r="G122" i="31"/>
  <c r="G31" i="31"/>
  <c r="G63" i="31"/>
  <c r="G95" i="31"/>
  <c r="G164" i="31"/>
  <c r="G228" i="31"/>
  <c r="G165" i="31"/>
  <c r="G105" i="31"/>
  <c r="G96" i="31"/>
  <c r="G128" i="31"/>
  <c r="G144" i="31"/>
  <c r="G255" i="31"/>
  <c r="G207" i="31"/>
  <c r="G276" i="31"/>
  <c r="G69" i="31"/>
  <c r="G234" i="31"/>
  <c r="G107" i="31"/>
  <c r="G49" i="31"/>
  <c r="G161" i="31"/>
  <c r="G193" i="31"/>
  <c r="G241" i="31"/>
  <c r="G254" i="31"/>
  <c r="G206" i="31"/>
  <c r="G126" i="31"/>
  <c r="G261" i="31"/>
  <c r="G135" i="31"/>
  <c r="G34" i="31"/>
  <c r="G50" i="31"/>
  <c r="G130" i="31"/>
  <c r="G146" i="31"/>
  <c r="G162" i="31"/>
  <c r="G178" i="31"/>
  <c r="G194" i="31"/>
  <c r="G290" i="31"/>
  <c r="G125" i="31"/>
  <c r="G15" i="31"/>
  <c r="G157" i="31"/>
  <c r="G28" i="31"/>
  <c r="G12" i="31"/>
  <c r="G204" i="31"/>
  <c r="G281" i="31"/>
  <c r="G185" i="31"/>
  <c r="G72" i="31"/>
  <c r="G24" i="31"/>
  <c r="G39" i="31"/>
  <c r="G313" i="31"/>
  <c r="G297" i="31"/>
  <c r="G133" i="31"/>
  <c r="G101" i="31"/>
  <c r="G229" i="31"/>
  <c r="G100" i="31"/>
  <c r="G20" i="31"/>
  <c r="G51" i="31"/>
  <c r="G82" i="31"/>
  <c r="G257" i="31"/>
  <c r="G64" i="31"/>
  <c r="G48" i="31"/>
  <c r="G153" i="31"/>
  <c r="G7" i="31" l="1"/>
  <c r="G314" i="31" s="1"/>
  <c r="H23" i="1" l="1"/>
  <c r="F23" i="1"/>
  <c r="H22" i="1" l="1"/>
  <c r="F22" i="1" l="1"/>
  <c r="B16" i="1"/>
  <c r="H21" i="1" l="1"/>
  <c r="F21" i="1" l="1"/>
  <c r="H20" i="1" l="1"/>
  <c r="H19" i="1"/>
  <c r="F20" i="1" l="1"/>
  <c r="G206" i="19" l="1"/>
  <c r="G8" i="19"/>
  <c r="G281" i="19" l="1"/>
  <c r="G74" i="19" l="1"/>
  <c r="G263" i="19"/>
  <c r="G243" i="19"/>
  <c r="G195" i="19"/>
  <c r="G48" i="19"/>
  <c r="G116" i="19"/>
  <c r="G82" i="19"/>
  <c r="G222" i="19"/>
  <c r="G100" i="19"/>
  <c r="G34" i="19"/>
  <c r="G194" i="19"/>
  <c r="G10" i="19"/>
  <c r="G87" i="19"/>
  <c r="G117" i="19"/>
  <c r="G240" i="19" l="1"/>
  <c r="G24" i="19" l="1"/>
  <c r="G164" i="19"/>
  <c r="G59" i="19"/>
  <c r="G156" i="19" l="1"/>
  <c r="G17" i="19"/>
  <c r="G67" i="19"/>
  <c r="G123" i="19"/>
  <c r="G141" i="19"/>
  <c r="G276" i="19"/>
  <c r="G215" i="19"/>
  <c r="G189" i="19"/>
  <c r="G272" i="19"/>
  <c r="G99" i="19"/>
  <c r="G135" i="19"/>
  <c r="F19" i="1" l="1"/>
  <c r="G120" i="18"/>
  <c r="G119" i="19"/>
  <c r="G295" i="16" l="1"/>
  <c r="D308" i="19"/>
  <c r="F307" i="19"/>
  <c r="F306" i="19"/>
  <c r="H306" i="19" s="1"/>
  <c r="G305" i="19"/>
  <c r="F305" i="19"/>
  <c r="F304" i="19"/>
  <c r="H304" i="19" s="1"/>
  <c r="G303" i="19"/>
  <c r="F303" i="19"/>
  <c r="F302" i="19"/>
  <c r="H302" i="19" s="1"/>
  <c r="F301" i="19"/>
  <c r="F300" i="19"/>
  <c r="H300" i="19" s="1"/>
  <c r="H299" i="19"/>
  <c r="G299" i="19"/>
  <c r="F299" i="19"/>
  <c r="F298" i="19"/>
  <c r="H298" i="19" s="1"/>
  <c r="F297" i="19"/>
  <c r="G297" i="19" s="1"/>
  <c r="H297" i="19" s="1"/>
  <c r="F296" i="19"/>
  <c r="G296" i="19" s="1"/>
  <c r="H296" i="19" s="1"/>
  <c r="F295" i="19"/>
  <c r="H295" i="19" s="1"/>
  <c r="F294" i="19"/>
  <c r="H294" i="19" s="1"/>
  <c r="G293" i="19"/>
  <c r="F293" i="19"/>
  <c r="F292" i="19"/>
  <c r="F291" i="19"/>
  <c r="H291" i="19" s="1"/>
  <c r="F290" i="19"/>
  <c r="F289" i="19"/>
  <c r="H289" i="19" s="1"/>
  <c r="F288" i="19"/>
  <c r="H288" i="19" s="1"/>
  <c r="F287" i="19"/>
  <c r="H287" i="19" s="1"/>
  <c r="F286" i="19"/>
  <c r="H286" i="19" s="1"/>
  <c r="F285" i="19"/>
  <c r="H285" i="19" s="1"/>
  <c r="F284" i="19"/>
  <c r="F283" i="19"/>
  <c r="G283" i="19" s="1"/>
  <c r="F282" i="19"/>
  <c r="G282" i="19" s="1"/>
  <c r="F281" i="19"/>
  <c r="H281" i="19" s="1"/>
  <c r="F280" i="19"/>
  <c r="H280" i="19" s="1"/>
  <c r="F279" i="19"/>
  <c r="H279" i="19" s="1"/>
  <c r="G278" i="19"/>
  <c r="F278" i="19"/>
  <c r="F277" i="19"/>
  <c r="H277" i="19" s="1"/>
  <c r="F276" i="19"/>
  <c r="H276" i="19" s="1"/>
  <c r="F275" i="19"/>
  <c r="H275" i="19" s="1"/>
  <c r="F274" i="19"/>
  <c r="H274" i="19" s="1"/>
  <c r="F273" i="19"/>
  <c r="G273" i="19" s="1"/>
  <c r="F272" i="19"/>
  <c r="H272" i="19" s="1"/>
  <c r="F271" i="19"/>
  <c r="H271" i="19" s="1"/>
  <c r="F270" i="19"/>
  <c r="H270" i="19" s="1"/>
  <c r="F269" i="19"/>
  <c r="H269" i="19" s="1"/>
  <c r="F268" i="19"/>
  <c r="H268" i="19" s="1"/>
  <c r="F267" i="19"/>
  <c r="H267" i="19" s="1"/>
  <c r="F266" i="19"/>
  <c r="H266" i="19" s="1"/>
  <c r="F265" i="19"/>
  <c r="H265" i="19" s="1"/>
  <c r="F264" i="19"/>
  <c r="F263" i="19"/>
  <c r="F262" i="19"/>
  <c r="H262" i="19" s="1"/>
  <c r="F261" i="19"/>
  <c r="H261" i="19" s="1"/>
  <c r="F260" i="19"/>
  <c r="F259" i="19"/>
  <c r="H259" i="19" s="1"/>
  <c r="F258" i="19"/>
  <c r="H258" i="19" s="1"/>
  <c r="F257" i="19"/>
  <c r="G257" i="19" s="1"/>
  <c r="F256" i="19"/>
  <c r="H256" i="19" s="1"/>
  <c r="F255" i="19"/>
  <c r="H255" i="19" s="1"/>
  <c r="F254" i="19"/>
  <c r="F253" i="19"/>
  <c r="H253" i="19" s="1"/>
  <c r="F252" i="19"/>
  <c r="H252" i="19" s="1"/>
  <c r="F251" i="19"/>
  <c r="H251" i="19" s="1"/>
  <c r="G250" i="19"/>
  <c r="F250" i="19"/>
  <c r="F249" i="19"/>
  <c r="G249" i="19" s="1"/>
  <c r="F248" i="19"/>
  <c r="F247" i="19"/>
  <c r="H247" i="19" s="1"/>
  <c r="F246" i="19"/>
  <c r="H246" i="19" s="1"/>
  <c r="F245" i="19"/>
  <c r="H245" i="19" s="1"/>
  <c r="F244" i="19"/>
  <c r="H244" i="19" s="1"/>
  <c r="F243" i="19"/>
  <c r="H243" i="19" s="1"/>
  <c r="F242" i="19"/>
  <c r="H242" i="19" s="1"/>
  <c r="G241" i="19"/>
  <c r="F241" i="19"/>
  <c r="F240" i="19"/>
  <c r="H240" i="19" s="1"/>
  <c r="G239" i="19"/>
  <c r="F239" i="19"/>
  <c r="F238" i="19"/>
  <c r="H238" i="19" s="1"/>
  <c r="F237" i="19"/>
  <c r="H237" i="19" s="1"/>
  <c r="F236" i="19"/>
  <c r="H236" i="19" s="1"/>
  <c r="F235" i="19"/>
  <c r="H235" i="19" s="1"/>
  <c r="G234" i="19"/>
  <c r="F234" i="19"/>
  <c r="F233" i="19"/>
  <c r="H233" i="19" s="1"/>
  <c r="F232" i="19"/>
  <c r="H232" i="19" s="1"/>
  <c r="F231" i="19"/>
  <c r="H231" i="19" s="1"/>
  <c r="F230" i="19"/>
  <c r="H230" i="19" s="1"/>
  <c r="F229" i="19"/>
  <c r="H229" i="19" s="1"/>
  <c r="F228" i="19"/>
  <c r="H228" i="19" s="1"/>
  <c r="F227" i="19"/>
  <c r="H227" i="19" s="1"/>
  <c r="F226" i="19"/>
  <c r="H226" i="19" s="1"/>
  <c r="F225" i="19"/>
  <c r="H225" i="19" s="1"/>
  <c r="F224" i="19"/>
  <c r="H224" i="19" s="1"/>
  <c r="F223" i="19"/>
  <c r="H223" i="19" s="1"/>
  <c r="F222" i="19"/>
  <c r="H222" i="19" s="1"/>
  <c r="F221" i="19"/>
  <c r="H221" i="19" s="1"/>
  <c r="F220" i="19"/>
  <c r="H220" i="19" s="1"/>
  <c r="F219" i="19"/>
  <c r="H219" i="19" s="1"/>
  <c r="F218" i="19"/>
  <c r="H218" i="19" s="1"/>
  <c r="F217" i="19"/>
  <c r="H217" i="19" s="1"/>
  <c r="F216" i="19"/>
  <c r="H216" i="19" s="1"/>
  <c r="F215" i="19"/>
  <c r="H215" i="19" s="1"/>
  <c r="F214" i="19"/>
  <c r="H214" i="19" s="1"/>
  <c r="F213" i="19"/>
  <c r="H213" i="19" s="1"/>
  <c r="G212" i="19"/>
  <c r="F212" i="19"/>
  <c r="F211" i="19"/>
  <c r="H211" i="19" s="1"/>
  <c r="F210" i="19"/>
  <c r="F209" i="19"/>
  <c r="H209" i="19" s="1"/>
  <c r="F208" i="19"/>
  <c r="H208" i="19" s="1"/>
  <c r="G207" i="19"/>
  <c r="F207" i="19"/>
  <c r="F206" i="19"/>
  <c r="H206" i="19" s="1"/>
  <c r="F205" i="19"/>
  <c r="H205" i="19" s="1"/>
  <c r="F204" i="19"/>
  <c r="H204" i="19" s="1"/>
  <c r="F203" i="19"/>
  <c r="H203" i="19" s="1"/>
  <c r="F202" i="19"/>
  <c r="H202" i="19" s="1"/>
  <c r="G201" i="19"/>
  <c r="F201" i="19"/>
  <c r="F200" i="19"/>
  <c r="H200" i="19" s="1"/>
  <c r="F199" i="19"/>
  <c r="H199" i="19" s="1"/>
  <c r="F198" i="19"/>
  <c r="H198" i="19" s="1"/>
  <c r="F197" i="19"/>
  <c r="H197" i="19" s="1"/>
  <c r="F196" i="19"/>
  <c r="F195" i="19"/>
  <c r="H195" i="19" s="1"/>
  <c r="F194" i="19"/>
  <c r="H194" i="19" s="1"/>
  <c r="G193" i="19"/>
  <c r="F193" i="19"/>
  <c r="G192" i="19"/>
  <c r="F192" i="19"/>
  <c r="G191" i="19"/>
  <c r="F191" i="19"/>
  <c r="F190" i="19"/>
  <c r="H190" i="19" s="1"/>
  <c r="F189" i="19"/>
  <c r="H189" i="19" s="1"/>
  <c r="F188" i="19"/>
  <c r="H188" i="19" s="1"/>
  <c r="F187" i="19"/>
  <c r="H187" i="19" s="1"/>
  <c r="F186" i="19"/>
  <c r="F185" i="19"/>
  <c r="G185" i="19" s="1"/>
  <c r="F184" i="19"/>
  <c r="F183" i="19"/>
  <c r="H183" i="19" s="1"/>
  <c r="F182" i="19"/>
  <c r="H182" i="19" s="1"/>
  <c r="F181" i="19"/>
  <c r="G181" i="19" s="1"/>
  <c r="F180" i="19"/>
  <c r="H180" i="19" s="1"/>
  <c r="F179" i="19"/>
  <c r="H179" i="19" s="1"/>
  <c r="F178" i="19"/>
  <c r="H178" i="19" s="1"/>
  <c r="F177" i="19"/>
  <c r="H177" i="19" s="1"/>
  <c r="F176" i="19"/>
  <c r="H176" i="19" s="1"/>
  <c r="F175" i="19"/>
  <c r="H175" i="19" s="1"/>
  <c r="F174" i="19"/>
  <c r="H174" i="19" s="1"/>
  <c r="F173" i="19"/>
  <c r="H173" i="19" s="1"/>
  <c r="F172" i="19"/>
  <c r="F171" i="19"/>
  <c r="H171" i="19" s="1"/>
  <c r="G170" i="19"/>
  <c r="F170" i="19"/>
  <c r="F169" i="19"/>
  <c r="H169" i="19" s="1"/>
  <c r="G168" i="19"/>
  <c r="F168" i="19"/>
  <c r="F167" i="19"/>
  <c r="H167" i="19" s="1"/>
  <c r="F166" i="19"/>
  <c r="H166" i="19" s="1"/>
  <c r="F165" i="19"/>
  <c r="H165" i="19" s="1"/>
  <c r="F164" i="19"/>
  <c r="H164" i="19" s="1"/>
  <c r="F163" i="19"/>
  <c r="H163" i="19" s="1"/>
  <c r="F162" i="19"/>
  <c r="H162" i="19" s="1"/>
  <c r="F161" i="19"/>
  <c r="H161" i="19" s="1"/>
  <c r="F160" i="19"/>
  <c r="H160" i="19" s="1"/>
  <c r="F159" i="19"/>
  <c r="H159" i="19" s="1"/>
  <c r="G158" i="19"/>
  <c r="F158" i="19"/>
  <c r="G157" i="19"/>
  <c r="F157" i="19"/>
  <c r="F156" i="19"/>
  <c r="H156" i="19" s="1"/>
  <c r="F155" i="19"/>
  <c r="F154" i="19"/>
  <c r="H154" i="19" s="1"/>
  <c r="F153" i="19"/>
  <c r="H153" i="19" s="1"/>
  <c r="F152" i="19"/>
  <c r="H152" i="19" s="1"/>
  <c r="G151" i="19"/>
  <c r="F151" i="19"/>
  <c r="F150" i="19"/>
  <c r="H150" i="19" s="1"/>
  <c r="G149" i="19"/>
  <c r="F149" i="19"/>
  <c r="F148" i="19"/>
  <c r="H148" i="19" s="1"/>
  <c r="F147" i="19"/>
  <c r="G147" i="19" s="1"/>
  <c r="F146" i="19"/>
  <c r="H146" i="19" s="1"/>
  <c r="G145" i="19"/>
  <c r="F145" i="19"/>
  <c r="F144" i="19"/>
  <c r="H144" i="19" s="1"/>
  <c r="G143" i="19"/>
  <c r="F143" i="19"/>
  <c r="F142" i="19"/>
  <c r="H142" i="19" s="1"/>
  <c r="F141" i="19"/>
  <c r="H141" i="19" s="1"/>
  <c r="F140" i="19"/>
  <c r="H140" i="19" s="1"/>
  <c r="F139" i="19"/>
  <c r="H139" i="19" s="1"/>
  <c r="G138" i="19"/>
  <c r="F138" i="19"/>
  <c r="G137" i="19"/>
  <c r="F137" i="19"/>
  <c r="H137" i="19" s="1"/>
  <c r="F136" i="19"/>
  <c r="H136" i="19" s="1"/>
  <c r="F135" i="19"/>
  <c r="H135" i="19" s="1"/>
  <c r="F134" i="19"/>
  <c r="H134" i="19" s="1"/>
  <c r="F133" i="19"/>
  <c r="H133" i="19" s="1"/>
  <c r="F132" i="19"/>
  <c r="H132" i="19" s="1"/>
  <c r="F131" i="19"/>
  <c r="H131" i="19" s="1"/>
  <c r="F130" i="19"/>
  <c r="G130" i="19" s="1"/>
  <c r="F129" i="19"/>
  <c r="H129" i="19" s="1"/>
  <c r="F128" i="19"/>
  <c r="H128" i="19" s="1"/>
  <c r="F127" i="19"/>
  <c r="H127" i="19" s="1"/>
  <c r="F126" i="19"/>
  <c r="H126" i="19" s="1"/>
  <c r="F125" i="19"/>
  <c r="H125" i="19" s="1"/>
  <c r="F124" i="19"/>
  <c r="H124" i="19" s="1"/>
  <c r="F123" i="19"/>
  <c r="H123" i="19" s="1"/>
  <c r="F122" i="19"/>
  <c r="H122" i="19" s="1"/>
  <c r="F121" i="19"/>
  <c r="H121" i="19" s="1"/>
  <c r="F120" i="19"/>
  <c r="H120" i="19" s="1"/>
  <c r="F119" i="19"/>
  <c r="H119" i="19" s="1"/>
  <c r="F118" i="19"/>
  <c r="H118" i="19" s="1"/>
  <c r="F117" i="19"/>
  <c r="H117" i="19" s="1"/>
  <c r="F116" i="19"/>
  <c r="H116" i="19" s="1"/>
  <c r="F115" i="19"/>
  <c r="H115" i="19" s="1"/>
  <c r="F114" i="19"/>
  <c r="G114" i="19" s="1"/>
  <c r="H114" i="19" s="1"/>
  <c r="F113" i="19"/>
  <c r="H113" i="19" s="1"/>
  <c r="F112" i="19"/>
  <c r="F111" i="19"/>
  <c r="H111" i="19" s="1"/>
  <c r="F110" i="19"/>
  <c r="H110" i="19" s="1"/>
  <c r="F109" i="19"/>
  <c r="H109" i="19" s="1"/>
  <c r="F108" i="19"/>
  <c r="G108" i="19" s="1"/>
  <c r="F107" i="19"/>
  <c r="F106" i="19"/>
  <c r="G106" i="19" s="1"/>
  <c r="H106" i="19" s="1"/>
  <c r="F105" i="19"/>
  <c r="H105" i="19" s="1"/>
  <c r="F104" i="19"/>
  <c r="H104" i="19" s="1"/>
  <c r="F103" i="19"/>
  <c r="H103" i="19" s="1"/>
  <c r="F102" i="19"/>
  <c r="H102" i="19" s="1"/>
  <c r="F101" i="19"/>
  <c r="H101" i="19" s="1"/>
  <c r="F100" i="19"/>
  <c r="H100" i="19" s="1"/>
  <c r="F99" i="19"/>
  <c r="H99" i="19" s="1"/>
  <c r="F98" i="19"/>
  <c r="H98" i="19" s="1"/>
  <c r="F97" i="19"/>
  <c r="H97" i="19" s="1"/>
  <c r="F96" i="19"/>
  <c r="H96" i="19" s="1"/>
  <c r="F95" i="19"/>
  <c r="H95" i="19" s="1"/>
  <c r="F94" i="19"/>
  <c r="F93" i="19"/>
  <c r="H93" i="19" s="1"/>
  <c r="F92" i="19"/>
  <c r="H92" i="19" s="1"/>
  <c r="F91" i="19"/>
  <c r="H91" i="19" s="1"/>
  <c r="F90" i="19"/>
  <c r="H90" i="19" s="1"/>
  <c r="F89" i="19"/>
  <c r="H89" i="19" s="1"/>
  <c r="G88" i="19"/>
  <c r="F88" i="19"/>
  <c r="F87" i="19"/>
  <c r="H87" i="19" s="1"/>
  <c r="F86" i="19"/>
  <c r="H86" i="19" s="1"/>
  <c r="F85" i="19"/>
  <c r="H85" i="19" s="1"/>
  <c r="F84" i="19"/>
  <c r="H84" i="19" s="1"/>
  <c r="G83" i="19"/>
  <c r="F83" i="19"/>
  <c r="F82" i="19"/>
  <c r="H82" i="19" s="1"/>
  <c r="F81" i="19"/>
  <c r="H81" i="19" s="1"/>
  <c r="F80" i="19"/>
  <c r="H80" i="19" s="1"/>
  <c r="F79" i="19"/>
  <c r="F78" i="19"/>
  <c r="H78" i="19" s="1"/>
  <c r="F77" i="19"/>
  <c r="H77" i="19" s="1"/>
  <c r="F76" i="19"/>
  <c r="H76" i="19" s="1"/>
  <c r="F75" i="19"/>
  <c r="H75" i="19" s="1"/>
  <c r="F74" i="19"/>
  <c r="H74" i="19" s="1"/>
  <c r="F73" i="19"/>
  <c r="G73" i="19" s="1"/>
  <c r="F72" i="19"/>
  <c r="H72" i="19" s="1"/>
  <c r="F71" i="19"/>
  <c r="H71" i="19" s="1"/>
  <c r="F70" i="19"/>
  <c r="H70" i="19" s="1"/>
  <c r="F69" i="19"/>
  <c r="H69" i="19" s="1"/>
  <c r="F68" i="19"/>
  <c r="H68" i="19" s="1"/>
  <c r="F67" i="19"/>
  <c r="H67" i="19" s="1"/>
  <c r="F66" i="19"/>
  <c r="H66" i="19" s="1"/>
  <c r="F65" i="19"/>
  <c r="H65" i="19" s="1"/>
  <c r="F64" i="19"/>
  <c r="H64" i="19" s="1"/>
  <c r="F63" i="19"/>
  <c r="H63" i="19" s="1"/>
  <c r="F62" i="19"/>
  <c r="H62" i="19" s="1"/>
  <c r="F61" i="19"/>
  <c r="H61" i="19" s="1"/>
  <c r="F60" i="19"/>
  <c r="H60" i="19" s="1"/>
  <c r="F59" i="19"/>
  <c r="H59" i="19" s="1"/>
  <c r="G58" i="19"/>
  <c r="F58" i="19"/>
  <c r="F57" i="19"/>
  <c r="H57" i="19" s="1"/>
  <c r="F56" i="19"/>
  <c r="H56" i="19" s="1"/>
  <c r="F55" i="19"/>
  <c r="H55" i="19" s="1"/>
  <c r="G54" i="19"/>
  <c r="F54" i="19"/>
  <c r="F53" i="19"/>
  <c r="H53" i="19" s="1"/>
  <c r="F52" i="19"/>
  <c r="H52" i="19" s="1"/>
  <c r="F51" i="19"/>
  <c r="H51" i="19" s="1"/>
  <c r="F50" i="19"/>
  <c r="H50" i="19" s="1"/>
  <c r="F49" i="19"/>
  <c r="H49" i="19" s="1"/>
  <c r="F48" i="19"/>
  <c r="H48" i="19" s="1"/>
  <c r="F47" i="19"/>
  <c r="G47" i="19" s="1"/>
  <c r="F46" i="19"/>
  <c r="H46" i="19" s="1"/>
  <c r="G45" i="19"/>
  <c r="F45" i="19"/>
  <c r="F44" i="19"/>
  <c r="H44" i="19" s="1"/>
  <c r="F43" i="19"/>
  <c r="H43" i="19" s="1"/>
  <c r="F42" i="19"/>
  <c r="H42" i="19" s="1"/>
  <c r="F41" i="19"/>
  <c r="H41" i="19" s="1"/>
  <c r="F40" i="19"/>
  <c r="G40" i="19" s="1"/>
  <c r="H40" i="19" s="1"/>
  <c r="F39" i="19"/>
  <c r="F38" i="19"/>
  <c r="H38" i="19" s="1"/>
  <c r="F37" i="19"/>
  <c r="H37" i="19" s="1"/>
  <c r="G36" i="19"/>
  <c r="F36" i="19"/>
  <c r="F35" i="19"/>
  <c r="H35" i="19" s="1"/>
  <c r="F34" i="19"/>
  <c r="H34" i="19" s="1"/>
  <c r="G33" i="19"/>
  <c r="F33" i="19"/>
  <c r="F32" i="19"/>
  <c r="F31" i="19"/>
  <c r="H31" i="19" s="1"/>
  <c r="F30" i="19"/>
  <c r="H30" i="19" s="1"/>
  <c r="F29" i="19"/>
  <c r="H29" i="19" s="1"/>
  <c r="F28" i="19"/>
  <c r="H28" i="19" s="1"/>
  <c r="G27" i="19"/>
  <c r="F27" i="19"/>
  <c r="F26" i="19"/>
  <c r="H26" i="19" s="1"/>
  <c r="F25" i="19"/>
  <c r="H25" i="19" s="1"/>
  <c r="F24" i="19"/>
  <c r="H24" i="19" s="1"/>
  <c r="G23" i="19"/>
  <c r="F23" i="19"/>
  <c r="F22" i="19"/>
  <c r="H22" i="19" s="1"/>
  <c r="F21" i="19"/>
  <c r="H21" i="19" s="1"/>
  <c r="F20" i="19"/>
  <c r="H20" i="19" s="1"/>
  <c r="F19" i="19"/>
  <c r="H19" i="19" s="1"/>
  <c r="F18" i="19"/>
  <c r="H18" i="19" s="1"/>
  <c r="F17" i="19"/>
  <c r="H17" i="19" s="1"/>
  <c r="F16" i="19"/>
  <c r="H16" i="19" s="1"/>
  <c r="F15" i="19"/>
  <c r="G15" i="19" s="1"/>
  <c r="F14" i="19"/>
  <c r="H14" i="19" s="1"/>
  <c r="F13" i="19"/>
  <c r="H13" i="19" s="1"/>
  <c r="F12" i="19"/>
  <c r="H12" i="19" s="1"/>
  <c r="F11" i="19"/>
  <c r="H11" i="19" s="1"/>
  <c r="F10" i="19"/>
  <c r="H10" i="19" s="1"/>
  <c r="F9" i="19"/>
  <c r="H9" i="19" s="1"/>
  <c r="F8" i="19"/>
  <c r="H8" i="19" s="1"/>
  <c r="F7" i="19"/>
  <c r="H7" i="19" s="1"/>
  <c r="F6" i="19"/>
  <c r="H6" i="19" s="1"/>
  <c r="F5" i="19"/>
  <c r="H5" i="19" s="1"/>
  <c r="F4" i="19"/>
  <c r="H201" i="19" l="1"/>
  <c r="H293" i="19"/>
  <c r="H138" i="19"/>
  <c r="H192" i="19"/>
  <c r="H149" i="19"/>
  <c r="H143" i="19"/>
  <c r="H27" i="19"/>
  <c r="H157" i="19"/>
  <c r="H170" i="19"/>
  <c r="H212" i="19"/>
  <c r="H241" i="19"/>
  <c r="H193" i="19"/>
  <c r="H207" i="19"/>
  <c r="H250" i="19"/>
  <c r="H36" i="19"/>
  <c r="H303" i="19"/>
  <c r="H305" i="19"/>
  <c r="H168" i="19"/>
  <c r="H145" i="19"/>
  <c r="G301" i="19"/>
  <c r="H301" i="19" s="1"/>
  <c r="H23" i="19"/>
  <c r="H234" i="19"/>
  <c r="H130" i="19"/>
  <c r="H88" i="19"/>
  <c r="H278" i="19"/>
  <c r="H158" i="19"/>
  <c r="H54" i="19"/>
  <c r="G186" i="19"/>
  <c r="H186" i="19" s="1"/>
  <c r="H83" i="19"/>
  <c r="H151" i="19"/>
  <c r="H58" i="19"/>
  <c r="H191" i="19"/>
  <c r="H45" i="19"/>
  <c r="H33" i="19"/>
  <c r="H147" i="19"/>
  <c r="H283" i="19"/>
  <c r="H181" i="19"/>
  <c r="H257" i="19"/>
  <c r="H185" i="19"/>
  <c r="H239" i="19"/>
  <c r="H249" i="19"/>
  <c r="G79" i="19"/>
  <c r="H79" i="19" s="1"/>
  <c r="G292" i="19"/>
  <c r="H292" i="19" s="1"/>
  <c r="H47" i="19"/>
  <c r="G112" i="19"/>
  <c r="H112" i="19" s="1"/>
  <c r="G260" i="19"/>
  <c r="H260" i="19" s="1"/>
  <c r="H273" i="19"/>
  <c r="H73" i="19"/>
  <c r="G284" i="19"/>
  <c r="H284" i="19" s="1"/>
  <c r="F308" i="19"/>
  <c r="G254" i="19"/>
  <c r="H254" i="19" s="1"/>
  <c r="G307" i="19"/>
  <c r="H307" i="19" s="1"/>
  <c r="H15" i="19"/>
  <c r="G107" i="19"/>
  <c r="H107" i="19" s="1"/>
  <c r="G32" i="19"/>
  <c r="H32" i="19" s="1"/>
  <c r="H108" i="19"/>
  <c r="G172" i="19"/>
  <c r="H172" i="19" s="1"/>
  <c r="H263" i="19"/>
  <c r="H282" i="19"/>
  <c r="G290" i="19"/>
  <c r="H290" i="19" s="1"/>
  <c r="G94" i="19"/>
  <c r="H94" i="19" s="1"/>
  <c r="G196" i="19"/>
  <c r="H196" i="19" s="1"/>
  <c r="G210" i="19"/>
  <c r="H210" i="19" s="1"/>
  <c r="H4" i="19"/>
  <c r="G155" i="19"/>
  <c r="H155" i="19" s="1"/>
  <c r="G184" i="19"/>
  <c r="H184" i="19" s="1"/>
  <c r="G248" i="19"/>
  <c r="H248" i="19" s="1"/>
  <c r="G264" i="19"/>
  <c r="H264" i="19" s="1"/>
  <c r="G39" i="19"/>
  <c r="H39" i="19" s="1"/>
  <c r="G308" i="19" l="1"/>
  <c r="H308" i="19"/>
  <c r="G9" i="17" l="1"/>
  <c r="G9" i="16"/>
  <c r="G247" i="16"/>
  <c r="G249" i="17"/>
  <c r="G202" i="17"/>
  <c r="G200" i="16"/>
  <c r="G78" i="17"/>
  <c r="G308" i="18"/>
  <c r="G306" i="16"/>
  <c r="G67" i="18"/>
  <c r="G185" i="17"/>
  <c r="G185" i="18"/>
  <c r="G244" i="18"/>
  <c r="G311" i="18"/>
  <c r="G199" i="18"/>
  <c r="G99" i="16"/>
  <c r="G101" i="17"/>
  <c r="G229" i="17" l="1"/>
  <c r="G229" i="18"/>
  <c r="G64" i="17"/>
  <c r="G64" i="18"/>
  <c r="G284" i="18" l="1"/>
  <c r="G116" i="18" l="1"/>
  <c r="G139" i="18"/>
  <c r="G219" i="16"/>
  <c r="G155" i="18" l="1"/>
  <c r="G197" i="18" l="1"/>
  <c r="G196" i="18"/>
  <c r="G195" i="18"/>
  <c r="G23" i="18"/>
  <c r="G58" i="18"/>
  <c r="G59" i="18" l="1"/>
  <c r="G255" i="18"/>
  <c r="G44" i="7" l="1"/>
  <c r="G20" i="9"/>
  <c r="G250" i="17" l="1"/>
  <c r="G250" i="18"/>
  <c r="G42" i="16"/>
  <c r="G141" i="18"/>
  <c r="G161" i="18"/>
  <c r="G45" i="18"/>
  <c r="G306" i="18"/>
  <c r="G304" i="18"/>
  <c r="G34" i="17"/>
  <c r="G34" i="18"/>
  <c r="G54" i="18"/>
  <c r="G240" i="17"/>
  <c r="G240" i="18"/>
  <c r="G299" i="17"/>
  <c r="G276" i="17" l="1"/>
  <c r="G274" i="16"/>
  <c r="G310" i="17"/>
  <c r="G310" i="18"/>
  <c r="G100" i="18"/>
  <c r="G100" i="17"/>
  <c r="G33" i="18"/>
  <c r="G205" i="18" l="1"/>
  <c r="G42" i="15" l="1"/>
  <c r="G93" i="13"/>
  <c r="G81" i="13"/>
  <c r="G30" i="9"/>
  <c r="G18" i="9"/>
  <c r="G17" i="9"/>
  <c r="G15" i="9"/>
  <c r="G14" i="9"/>
  <c r="G6" i="9"/>
  <c r="G9" i="8"/>
  <c r="G237" i="18"/>
  <c r="G237" i="17"/>
  <c r="G8" i="18"/>
  <c r="G216" i="18"/>
  <c r="G149" i="18"/>
  <c r="G238" i="17" l="1"/>
  <c r="G162" i="18" l="1"/>
  <c r="G195" i="17"/>
  <c r="G136" i="15"/>
  <c r="G137" i="13"/>
  <c r="G232" i="17"/>
  <c r="G232" i="18"/>
  <c r="G236" i="18"/>
  <c r="G236" i="17"/>
  <c r="G186" i="17"/>
  <c r="G186" i="18"/>
  <c r="G225" i="18"/>
  <c r="G225" i="17"/>
  <c r="G78" i="16"/>
  <c r="G69" i="16"/>
  <c r="G37" i="16"/>
  <c r="G37" i="15"/>
  <c r="G235" i="17"/>
  <c r="G235" i="18"/>
  <c r="G147" i="17" l="1"/>
  <c r="G25" i="17" l="1"/>
  <c r="G12" i="18"/>
  <c r="G12" i="17"/>
  <c r="G142" i="18" l="1"/>
  <c r="G53" i="16"/>
  <c r="G149" i="17" l="1"/>
  <c r="G287" i="18" l="1"/>
  <c r="G287" i="17"/>
  <c r="G223" i="17"/>
  <c r="G223" i="18"/>
  <c r="G133" i="18"/>
  <c r="G131" i="16"/>
  <c r="G191" i="17"/>
  <c r="G191" i="18"/>
  <c r="G251" i="18"/>
  <c r="G251" i="17"/>
  <c r="G174" i="18"/>
  <c r="G241" i="17"/>
  <c r="G65" i="17"/>
  <c r="G65" i="18"/>
  <c r="G151" i="18"/>
  <c r="G151" i="17"/>
  <c r="G6" i="18"/>
  <c r="G6" i="17"/>
  <c r="G236" i="16"/>
  <c r="G154" i="17"/>
  <c r="G154" i="18"/>
  <c r="G5" i="18"/>
  <c r="G5" i="17"/>
  <c r="G272" i="18"/>
  <c r="G270" i="16"/>
  <c r="G57" i="16"/>
  <c r="G57" i="18"/>
  <c r="G312" i="18"/>
  <c r="G307" i="15"/>
  <c r="G110" i="17"/>
  <c r="G110" i="18"/>
  <c r="G123" i="18"/>
  <c r="G123" i="17"/>
  <c r="G98" i="18"/>
  <c r="G98" i="17"/>
  <c r="G215" i="17"/>
  <c r="G215" i="18"/>
  <c r="G90" i="18"/>
  <c r="G90" i="17"/>
  <c r="G122" i="17"/>
  <c r="G16" i="16"/>
  <c r="G16" i="15"/>
  <c r="G226" i="17" l="1"/>
  <c r="G223" i="15"/>
  <c r="G63" i="17"/>
  <c r="G63" i="15"/>
  <c r="G309" i="18"/>
  <c r="G245" i="17" l="1"/>
  <c r="G245" i="18"/>
  <c r="G219" i="18"/>
  <c r="G252" i="18"/>
  <c r="G252" i="17"/>
  <c r="G99" i="18"/>
  <c r="G99" i="17"/>
  <c r="G48" i="17"/>
  <c r="G48" i="18"/>
  <c r="G231" i="18"/>
  <c r="G231" i="17"/>
  <c r="G118" i="17"/>
  <c r="G118" i="18"/>
  <c r="G257" i="18"/>
  <c r="G255" i="16"/>
  <c r="G120" i="17" l="1"/>
  <c r="G82" i="17" l="1"/>
  <c r="G82" i="18"/>
  <c r="G74" i="18"/>
  <c r="G74" i="17"/>
  <c r="G204" i="17"/>
  <c r="G204" i="18"/>
  <c r="G182" i="17"/>
  <c r="G182" i="18"/>
  <c r="G86" i="18"/>
  <c r="G86" i="17"/>
  <c r="G126" i="17"/>
  <c r="G215" i="16"/>
  <c r="G217" i="17"/>
  <c r="G141" i="17"/>
  <c r="G143" i="16"/>
  <c r="G13" i="9"/>
  <c r="G181" i="15"/>
  <c r="G181" i="16"/>
  <c r="G132" i="17"/>
  <c r="G132" i="18"/>
  <c r="G244" i="17"/>
  <c r="G205" i="17"/>
  <c r="G262" i="17"/>
  <c r="G262" i="18"/>
  <c r="G32" i="17"/>
  <c r="G32" i="18"/>
  <c r="G194" i="13"/>
  <c r="G279" i="16"/>
  <c r="G281" i="17"/>
  <c r="G198" i="17"/>
  <c r="G198" i="18"/>
  <c r="G18" i="18"/>
  <c r="G18" i="17"/>
  <c r="G87" i="18"/>
  <c r="G303" i="16"/>
  <c r="G172" i="17"/>
  <c r="G72" i="18"/>
  <c r="G72" i="17"/>
  <c r="G102" i="18"/>
  <c r="G100" i="16"/>
  <c r="G164" i="17"/>
  <c r="G164" i="18"/>
  <c r="G307" i="17"/>
  <c r="G108" i="17"/>
  <c r="G298" i="17"/>
  <c r="G201" i="18"/>
  <c r="G199" i="16"/>
  <c r="G142" i="17" l="1"/>
  <c r="G140" i="17"/>
  <c r="G140" i="18"/>
  <c r="G7" i="17"/>
  <c r="G7" i="18"/>
  <c r="G278" i="18" l="1"/>
  <c r="G189" i="17"/>
  <c r="G189" i="18"/>
  <c r="G95" i="15"/>
  <c r="G47" i="7"/>
  <c r="G109" i="17"/>
  <c r="G266" i="17"/>
  <c r="G270" i="17"/>
  <c r="G254" i="17"/>
  <c r="G263" i="17"/>
  <c r="G214" i="17"/>
  <c r="G117" i="17"/>
  <c r="G117" i="18"/>
  <c r="G24" i="18"/>
  <c r="G24" i="17"/>
  <c r="G19" i="18"/>
  <c r="G242" i="16"/>
  <c r="G285" i="18"/>
  <c r="G283" i="16"/>
  <c r="G132" i="15"/>
  <c r="G28" i="17"/>
  <c r="G28" i="18"/>
  <c r="G46" i="18"/>
  <c r="G46" i="17"/>
  <c r="G162" i="17"/>
  <c r="G83" i="18"/>
  <c r="G199" i="17"/>
  <c r="G216" i="15"/>
  <c r="G54" i="17"/>
  <c r="G45" i="17"/>
  <c r="G194" i="18"/>
  <c r="G95" i="13"/>
  <c r="G95" i="18"/>
  <c r="G106" i="18"/>
  <c r="G106" i="13"/>
  <c r="G31" i="18"/>
  <c r="G31" i="13"/>
  <c r="G124" i="17"/>
  <c r="G124" i="18"/>
  <c r="G92" i="18"/>
  <c r="G91" i="16"/>
  <c r="G90" i="16"/>
  <c r="G91" i="18"/>
  <c r="G161" i="17"/>
  <c r="G246" i="15"/>
  <c r="G200" i="15"/>
  <c r="G139" i="17"/>
  <c r="G228" i="18"/>
  <c r="G228" i="17"/>
  <c r="G309" i="17"/>
  <c r="G88" i="17"/>
  <c r="G97" i="17"/>
  <c r="G55" i="16"/>
  <c r="G155" i="17" l="1"/>
  <c r="G10" i="18"/>
  <c r="G10" i="17"/>
  <c r="G259" i="17"/>
  <c r="G259" i="18"/>
  <c r="G26" i="18" l="1"/>
  <c r="G26" i="17"/>
  <c r="G197" i="17"/>
  <c r="G196" i="17"/>
  <c r="G34" i="16"/>
  <c r="G133" i="15"/>
  <c r="G116" i="16" l="1"/>
  <c r="G152" i="18" l="1"/>
  <c r="G152" i="17"/>
  <c r="G210" i="18"/>
  <c r="G210" i="17"/>
  <c r="G8" i="17"/>
  <c r="G263" i="16"/>
  <c r="G27" i="17" l="1"/>
  <c r="G255" i="17"/>
  <c r="G243" i="18" l="1"/>
  <c r="G241" i="16"/>
  <c r="G58" i="17" l="1"/>
  <c r="G23" i="17"/>
  <c r="G216" i="17" l="1"/>
  <c r="G67" i="17"/>
  <c r="G119" i="18"/>
  <c r="G119" i="17"/>
  <c r="G85" i="17" l="1"/>
  <c r="G311" i="17"/>
  <c r="G272" i="15" l="1"/>
  <c r="G308" i="16"/>
  <c r="G156" i="16"/>
  <c r="G158" i="17"/>
  <c r="G157" i="17"/>
  <c r="G155" i="16"/>
  <c r="G51" i="18"/>
  <c r="G51" i="15"/>
  <c r="G20" i="18"/>
  <c r="G20" i="17"/>
  <c r="G282" i="18"/>
  <c r="G280" i="16"/>
  <c r="G40" i="18"/>
  <c r="G40" i="16"/>
  <c r="G211" i="15" l="1"/>
  <c r="G212" i="13"/>
  <c r="F132" i="16" l="1"/>
  <c r="H132" i="16" s="1"/>
  <c r="B14" i="1" l="1"/>
  <c r="G61" i="18"/>
  <c r="G61" i="16"/>
  <c r="F4" i="18" l="1"/>
  <c r="H4" i="18" s="1"/>
  <c r="F5" i="18"/>
  <c r="H5" i="18" s="1"/>
  <c r="F6" i="18"/>
  <c r="H6" i="18" s="1"/>
  <c r="F7" i="18"/>
  <c r="H7" i="18" s="1"/>
  <c r="F8" i="18"/>
  <c r="H8" i="18" s="1"/>
  <c r="F9" i="18"/>
  <c r="H9" i="18" s="1"/>
  <c r="F10" i="18"/>
  <c r="H10" i="18" s="1"/>
  <c r="F11" i="18"/>
  <c r="H11" i="18" s="1"/>
  <c r="F12" i="18"/>
  <c r="H12" i="18" s="1"/>
  <c r="F13" i="18"/>
  <c r="H13" i="18" s="1"/>
  <c r="F14" i="18"/>
  <c r="H14" i="18" s="1"/>
  <c r="F15" i="18"/>
  <c r="F16" i="18"/>
  <c r="H16" i="18" s="1"/>
  <c r="F17" i="18"/>
  <c r="H17" i="18" s="1"/>
  <c r="F18" i="18"/>
  <c r="H18" i="18" s="1"/>
  <c r="F19" i="18"/>
  <c r="H19" i="18" s="1"/>
  <c r="F20" i="18"/>
  <c r="H20" i="18" s="1"/>
  <c r="F21" i="18"/>
  <c r="H21" i="18" s="1"/>
  <c r="F22" i="18"/>
  <c r="H22" i="18" s="1"/>
  <c r="F23" i="18"/>
  <c r="H23" i="18" s="1"/>
  <c r="F24" i="18"/>
  <c r="H24" i="18" s="1"/>
  <c r="F25" i="18"/>
  <c r="H25" i="18" s="1"/>
  <c r="F26" i="18"/>
  <c r="H26" i="18" s="1"/>
  <c r="F27" i="18"/>
  <c r="G27" i="18" s="1"/>
  <c r="F28" i="18"/>
  <c r="H28" i="18" s="1"/>
  <c r="F29" i="18"/>
  <c r="H29" i="18" s="1"/>
  <c r="F30" i="18"/>
  <c r="H30" i="18" s="1"/>
  <c r="F31" i="18"/>
  <c r="H31" i="18" s="1"/>
  <c r="F32" i="18"/>
  <c r="H32" i="18" s="1"/>
  <c r="F33" i="18"/>
  <c r="H33" i="18" s="1"/>
  <c r="F34" i="18"/>
  <c r="H34" i="18" s="1"/>
  <c r="F35" i="18"/>
  <c r="H35" i="18" s="1"/>
  <c r="F36" i="18"/>
  <c r="G36" i="18" s="1"/>
  <c r="F37" i="18"/>
  <c r="H37" i="18" s="1"/>
  <c r="F38" i="18"/>
  <c r="H38" i="18" s="1"/>
  <c r="F39" i="18"/>
  <c r="G39" i="18" s="1"/>
  <c r="F40" i="18"/>
  <c r="H40" i="18" s="1"/>
  <c r="F41" i="18"/>
  <c r="H41" i="18" s="1"/>
  <c r="F42" i="18"/>
  <c r="H42" i="18" s="1"/>
  <c r="F43" i="18"/>
  <c r="H43" i="18" s="1"/>
  <c r="F44" i="18"/>
  <c r="H44" i="18" s="1"/>
  <c r="F45" i="18"/>
  <c r="H45" i="18" s="1"/>
  <c r="F46" i="18"/>
  <c r="H46" i="18" s="1"/>
  <c r="F47" i="18"/>
  <c r="H47" i="18" s="1"/>
  <c r="F48" i="18"/>
  <c r="H48" i="18" s="1"/>
  <c r="F49" i="18"/>
  <c r="H49" i="18" s="1"/>
  <c r="F50" i="18"/>
  <c r="H50" i="18" s="1"/>
  <c r="F51" i="18"/>
  <c r="H51" i="18" s="1"/>
  <c r="F52" i="18"/>
  <c r="H52" i="18" s="1"/>
  <c r="F53" i="18"/>
  <c r="H53" i="18" s="1"/>
  <c r="F54" i="18"/>
  <c r="H54" i="18" s="1"/>
  <c r="F55" i="18"/>
  <c r="H55" i="18" s="1"/>
  <c r="F56" i="18"/>
  <c r="H56" i="18" s="1"/>
  <c r="F57" i="18"/>
  <c r="H57" i="18" s="1"/>
  <c r="F58" i="18"/>
  <c r="H58" i="18" s="1"/>
  <c r="F59" i="18"/>
  <c r="H59" i="18" s="1"/>
  <c r="F60" i="18"/>
  <c r="H60" i="18" s="1"/>
  <c r="F61" i="18"/>
  <c r="H61" i="18" s="1"/>
  <c r="F62" i="18"/>
  <c r="H62" i="18" s="1"/>
  <c r="F63" i="18"/>
  <c r="H63" i="18" s="1"/>
  <c r="F64" i="18"/>
  <c r="H64" i="18" s="1"/>
  <c r="F65" i="18"/>
  <c r="H65" i="18" s="1"/>
  <c r="F66" i="18"/>
  <c r="H66" i="18" s="1"/>
  <c r="F67" i="18"/>
  <c r="H67" i="18" s="1"/>
  <c r="F68" i="18"/>
  <c r="H68" i="18" s="1"/>
  <c r="F69" i="18"/>
  <c r="H69" i="18" s="1"/>
  <c r="F70" i="18"/>
  <c r="G70" i="18" s="1"/>
  <c r="F71" i="18"/>
  <c r="H71" i="18" s="1"/>
  <c r="F72" i="18"/>
  <c r="H72" i="18" s="1"/>
  <c r="F73" i="18"/>
  <c r="G73" i="18" s="1"/>
  <c r="F74" i="18"/>
  <c r="H74" i="18" s="1"/>
  <c r="F75" i="18"/>
  <c r="H75" i="18" s="1"/>
  <c r="F76" i="18"/>
  <c r="H76" i="18" s="1"/>
  <c r="F77" i="18"/>
  <c r="H77" i="18" s="1"/>
  <c r="F78" i="18"/>
  <c r="H78" i="18" s="1"/>
  <c r="F79" i="18"/>
  <c r="F80" i="18"/>
  <c r="H80" i="18" s="1"/>
  <c r="F81" i="18"/>
  <c r="H81" i="18" s="1"/>
  <c r="F82" i="18"/>
  <c r="H82" i="18" s="1"/>
  <c r="F83" i="18"/>
  <c r="H83" i="18" s="1"/>
  <c r="F84" i="18"/>
  <c r="H84" i="18" s="1"/>
  <c r="F85" i="18"/>
  <c r="G85" i="18" s="1"/>
  <c r="F86" i="18"/>
  <c r="H86" i="18" s="1"/>
  <c r="F87" i="18"/>
  <c r="H87" i="18" s="1"/>
  <c r="F88" i="18"/>
  <c r="G88" i="18" s="1"/>
  <c r="F89" i="18"/>
  <c r="H89" i="18" s="1"/>
  <c r="F90" i="18"/>
  <c r="H90" i="18" s="1"/>
  <c r="F91" i="18"/>
  <c r="H91" i="18" s="1"/>
  <c r="F92" i="18"/>
  <c r="H92" i="18" s="1"/>
  <c r="F93" i="18"/>
  <c r="H93" i="18" s="1"/>
  <c r="F94" i="18"/>
  <c r="G94" i="18" s="1"/>
  <c r="F95" i="18"/>
  <c r="H95" i="18" s="1"/>
  <c r="F96" i="18"/>
  <c r="G96" i="18" s="1"/>
  <c r="F97" i="18"/>
  <c r="G97" i="18" s="1"/>
  <c r="F98" i="18"/>
  <c r="H98" i="18" s="1"/>
  <c r="F99" i="18"/>
  <c r="H99" i="18" s="1"/>
  <c r="F100" i="18"/>
  <c r="H100" i="18" s="1"/>
  <c r="F101" i="18"/>
  <c r="H101" i="18" s="1"/>
  <c r="F102" i="18"/>
  <c r="H102" i="18" s="1"/>
  <c r="F103" i="18"/>
  <c r="H103" i="18" s="1"/>
  <c r="F104" i="18"/>
  <c r="H104" i="18" s="1"/>
  <c r="F105" i="18"/>
  <c r="H105" i="18" s="1"/>
  <c r="F106" i="18"/>
  <c r="H106" i="18" s="1"/>
  <c r="F107" i="18"/>
  <c r="G107" i="18" s="1"/>
  <c r="F108" i="18"/>
  <c r="G108" i="18" s="1"/>
  <c r="F109" i="18"/>
  <c r="G109" i="18" s="1"/>
  <c r="F110" i="18"/>
  <c r="H110" i="18" s="1"/>
  <c r="F111" i="18"/>
  <c r="H111" i="18" s="1"/>
  <c r="F112" i="18"/>
  <c r="G112" i="18" s="1"/>
  <c r="F113" i="18"/>
  <c r="G113" i="18" s="1"/>
  <c r="F114" i="18"/>
  <c r="H114" i="18" s="1"/>
  <c r="F115" i="18"/>
  <c r="G115" i="18" s="1"/>
  <c r="F116" i="18"/>
  <c r="H116" i="18" s="1"/>
  <c r="F117" i="18"/>
  <c r="H117" i="18" s="1"/>
  <c r="F118" i="18"/>
  <c r="H118" i="18" s="1"/>
  <c r="F119" i="18"/>
  <c r="H119" i="18" s="1"/>
  <c r="F120" i="18"/>
  <c r="H120" i="18" s="1"/>
  <c r="F121" i="18"/>
  <c r="H121" i="18" s="1"/>
  <c r="F122" i="18"/>
  <c r="H122" i="18" s="1"/>
  <c r="F123" i="18"/>
  <c r="H123" i="18" s="1"/>
  <c r="F124" i="18"/>
  <c r="H124" i="18" s="1"/>
  <c r="F125" i="18"/>
  <c r="H125" i="18" s="1"/>
  <c r="F126" i="18"/>
  <c r="H126" i="18" s="1"/>
  <c r="F127" i="18"/>
  <c r="H127" i="18" s="1"/>
  <c r="F128" i="18"/>
  <c r="G128" i="18" s="1"/>
  <c r="F129" i="18"/>
  <c r="H129" i="18" s="1"/>
  <c r="F130" i="18"/>
  <c r="G130" i="18" s="1"/>
  <c r="F131" i="18"/>
  <c r="H131" i="18" s="1"/>
  <c r="F132" i="18"/>
  <c r="H132" i="18" s="1"/>
  <c r="F133" i="18"/>
  <c r="H133" i="18" s="1"/>
  <c r="F134" i="18"/>
  <c r="G134" i="18" s="1"/>
  <c r="F135" i="18"/>
  <c r="H135" i="18" s="1"/>
  <c r="F136" i="18"/>
  <c r="H136" i="18" s="1"/>
  <c r="F137" i="18"/>
  <c r="H137" i="18" s="1"/>
  <c r="F138" i="18"/>
  <c r="H138" i="18" s="1"/>
  <c r="F139" i="18"/>
  <c r="H139" i="18" s="1"/>
  <c r="F140" i="18"/>
  <c r="H140" i="18" s="1"/>
  <c r="F141" i="18"/>
  <c r="H141" i="18" s="1"/>
  <c r="F142" i="18"/>
  <c r="H142" i="18" s="1"/>
  <c r="F143" i="18"/>
  <c r="H143" i="18" s="1"/>
  <c r="F144" i="18"/>
  <c r="H144" i="18" s="1"/>
  <c r="F145" i="18"/>
  <c r="H145" i="18" s="1"/>
  <c r="F146" i="18"/>
  <c r="H146" i="18" s="1"/>
  <c r="F147" i="18"/>
  <c r="F148" i="18"/>
  <c r="H148" i="18" s="1"/>
  <c r="F149" i="18"/>
  <c r="H149" i="18" s="1"/>
  <c r="F150" i="18"/>
  <c r="H150" i="18" s="1"/>
  <c r="F151" i="18"/>
  <c r="H151" i="18" s="1"/>
  <c r="F152" i="18"/>
  <c r="H152" i="18" s="1"/>
  <c r="F153" i="18"/>
  <c r="G153" i="18" s="1"/>
  <c r="F154" i="18"/>
  <c r="H154" i="18" s="1"/>
  <c r="F155" i="18"/>
  <c r="H155" i="18" s="1"/>
  <c r="F156" i="18"/>
  <c r="H156" i="18" s="1"/>
  <c r="F157" i="18"/>
  <c r="H157" i="18" s="1"/>
  <c r="F158" i="18"/>
  <c r="H158" i="18" s="1"/>
  <c r="F159" i="18"/>
  <c r="F160" i="18"/>
  <c r="H160" i="18" s="1"/>
  <c r="F161" i="18"/>
  <c r="H161" i="18" s="1"/>
  <c r="F162" i="18"/>
  <c r="H162" i="18" s="1"/>
  <c r="F163" i="18"/>
  <c r="H163" i="18" s="1"/>
  <c r="F164" i="18"/>
  <c r="H164" i="18" s="1"/>
  <c r="F165" i="18"/>
  <c r="H165" i="18" s="1"/>
  <c r="F166" i="18"/>
  <c r="H166" i="18" s="1"/>
  <c r="F167" i="18"/>
  <c r="H167" i="18" s="1"/>
  <c r="F168" i="18"/>
  <c r="G168" i="18" s="1"/>
  <c r="H168" i="18" s="1"/>
  <c r="F169" i="18"/>
  <c r="H169" i="18" s="1"/>
  <c r="F170" i="18"/>
  <c r="H170" i="18" s="1"/>
  <c r="F171" i="18"/>
  <c r="H171" i="18" s="1"/>
  <c r="F172" i="18"/>
  <c r="G172" i="18" s="1"/>
  <c r="F173" i="18"/>
  <c r="H173" i="18" s="1"/>
  <c r="F174" i="18"/>
  <c r="H174" i="18" s="1"/>
  <c r="F175" i="18"/>
  <c r="G175" i="18" s="1"/>
  <c r="F176" i="18"/>
  <c r="G176" i="18" s="1"/>
  <c r="F177" i="18"/>
  <c r="H177" i="18" s="1"/>
  <c r="F178" i="18"/>
  <c r="H178" i="18" s="1"/>
  <c r="F179" i="18"/>
  <c r="H179" i="18" s="1"/>
  <c r="F180" i="18"/>
  <c r="H180" i="18" s="1"/>
  <c r="F181" i="18"/>
  <c r="H181" i="18" s="1"/>
  <c r="F182" i="18"/>
  <c r="H182" i="18" s="1"/>
  <c r="F183" i="18"/>
  <c r="H183" i="18" s="1"/>
  <c r="F184" i="18"/>
  <c r="H184" i="18" s="1"/>
  <c r="F185" i="18"/>
  <c r="H185" i="18" s="1"/>
  <c r="F186" i="18"/>
  <c r="H186" i="18" s="1"/>
  <c r="F187" i="18"/>
  <c r="H187" i="18" s="1"/>
  <c r="F188" i="18"/>
  <c r="G188" i="18" s="1"/>
  <c r="F189" i="18"/>
  <c r="H189" i="18" s="1"/>
  <c r="F190" i="18"/>
  <c r="H190" i="18" s="1"/>
  <c r="F191" i="18"/>
  <c r="H191" i="18" s="1"/>
  <c r="F192" i="18"/>
  <c r="H192" i="18" s="1"/>
  <c r="F193" i="18"/>
  <c r="H193" i="18" s="1"/>
  <c r="F194" i="18"/>
  <c r="H194" i="18" s="1"/>
  <c r="F195" i="18"/>
  <c r="H195" i="18" s="1"/>
  <c r="F196" i="18"/>
  <c r="H196" i="18" s="1"/>
  <c r="F197" i="18"/>
  <c r="H197" i="18" s="1"/>
  <c r="F198" i="18"/>
  <c r="H198" i="18" s="1"/>
  <c r="F199" i="18"/>
  <c r="H199" i="18" s="1"/>
  <c r="F200" i="18"/>
  <c r="H200" i="18" s="1"/>
  <c r="F201" i="18"/>
  <c r="H201" i="18" s="1"/>
  <c r="F202" i="18"/>
  <c r="H202" i="18" s="1"/>
  <c r="F203" i="18"/>
  <c r="H203" i="18" s="1"/>
  <c r="F204" i="18"/>
  <c r="H204" i="18" s="1"/>
  <c r="F205" i="18"/>
  <c r="H205" i="18" s="1"/>
  <c r="F206" i="18"/>
  <c r="H206" i="18" s="1"/>
  <c r="F207" i="18"/>
  <c r="G207" i="18" s="1"/>
  <c r="F208" i="18"/>
  <c r="H208" i="18" s="1"/>
  <c r="F209" i="18"/>
  <c r="H209" i="18" s="1"/>
  <c r="F210" i="18"/>
  <c r="H210" i="18" s="1"/>
  <c r="F211" i="18"/>
  <c r="H211" i="18" s="1"/>
  <c r="F212" i="18"/>
  <c r="H212" i="18" s="1"/>
  <c r="F213" i="18"/>
  <c r="H213" i="18" s="1"/>
  <c r="F214" i="18"/>
  <c r="G214" i="18" s="1"/>
  <c r="F215" i="18"/>
  <c r="H215" i="18" s="1"/>
  <c r="F216" i="18"/>
  <c r="H216" i="18" s="1"/>
  <c r="F217" i="18"/>
  <c r="H217" i="18" s="1"/>
  <c r="F218" i="18"/>
  <c r="H218" i="18" s="1"/>
  <c r="F219" i="18"/>
  <c r="H219" i="18" s="1"/>
  <c r="F220" i="18"/>
  <c r="H220" i="18" s="1"/>
  <c r="F221" i="18"/>
  <c r="H221" i="18" s="1"/>
  <c r="F222" i="18"/>
  <c r="F223" i="18"/>
  <c r="H223" i="18" s="1"/>
  <c r="F224" i="18"/>
  <c r="G224" i="18" s="1"/>
  <c r="F225" i="18"/>
  <c r="H225" i="18" s="1"/>
  <c r="F226" i="18"/>
  <c r="H226" i="18" s="1"/>
  <c r="F227" i="18"/>
  <c r="H227" i="18" s="1"/>
  <c r="F228" i="18"/>
  <c r="H228" i="18" s="1"/>
  <c r="F229" i="18"/>
  <c r="H229" i="18" s="1"/>
  <c r="F230" i="18"/>
  <c r="H230" i="18" s="1"/>
  <c r="F231" i="18"/>
  <c r="H231" i="18" s="1"/>
  <c r="F232" i="18"/>
  <c r="H232" i="18" s="1"/>
  <c r="F233" i="18"/>
  <c r="H233" i="18" s="1"/>
  <c r="F234" i="18"/>
  <c r="H234" i="18" s="1"/>
  <c r="F235" i="18"/>
  <c r="H235" i="18" s="1"/>
  <c r="F236" i="18"/>
  <c r="H236" i="18" s="1"/>
  <c r="F237" i="18"/>
  <c r="H237" i="18" s="1"/>
  <c r="F238" i="18"/>
  <c r="F239" i="18"/>
  <c r="H239" i="18" s="1"/>
  <c r="F240" i="18"/>
  <c r="H240" i="18" s="1"/>
  <c r="F241" i="18"/>
  <c r="H241" i="18" s="1"/>
  <c r="F242" i="18"/>
  <c r="H242" i="18" s="1"/>
  <c r="F243" i="18"/>
  <c r="H243" i="18" s="1"/>
  <c r="F244" i="18"/>
  <c r="H244" i="18" s="1"/>
  <c r="F245" i="18"/>
  <c r="H245" i="18" s="1"/>
  <c r="F246" i="18"/>
  <c r="G246" i="18" s="1"/>
  <c r="F247" i="18"/>
  <c r="H247" i="18" s="1"/>
  <c r="F248" i="18"/>
  <c r="G248" i="18" s="1"/>
  <c r="F249" i="18"/>
  <c r="H249" i="18" s="1"/>
  <c r="F250" i="18"/>
  <c r="H250" i="18" s="1"/>
  <c r="F251" i="18"/>
  <c r="H251" i="18" s="1"/>
  <c r="F252" i="18"/>
  <c r="H252" i="18" s="1"/>
  <c r="F253" i="18"/>
  <c r="G253" i="18" s="1"/>
  <c r="F254" i="18"/>
  <c r="G254" i="18" s="1"/>
  <c r="F255" i="18"/>
  <c r="H255" i="18" s="1"/>
  <c r="F256" i="18"/>
  <c r="H256" i="18" s="1"/>
  <c r="F257" i="18"/>
  <c r="H257" i="18" s="1"/>
  <c r="F258" i="18"/>
  <c r="H258" i="18" s="1"/>
  <c r="F259" i="18"/>
  <c r="H259" i="18" s="1"/>
  <c r="F260" i="18"/>
  <c r="G260" i="18" s="1"/>
  <c r="F261" i="18"/>
  <c r="G261" i="18" s="1"/>
  <c r="F262" i="18"/>
  <c r="H262" i="18" s="1"/>
  <c r="F263" i="18"/>
  <c r="G263" i="18" s="1"/>
  <c r="F264" i="18"/>
  <c r="H264" i="18" s="1"/>
  <c r="F265" i="18"/>
  <c r="H265" i="18" s="1"/>
  <c r="F266" i="18"/>
  <c r="G266" i="18" s="1"/>
  <c r="F267" i="18"/>
  <c r="G267" i="18" s="1"/>
  <c r="F268" i="18"/>
  <c r="H268" i="18" s="1"/>
  <c r="F269" i="18"/>
  <c r="H269" i="18" s="1"/>
  <c r="F270" i="18"/>
  <c r="G270" i="18" s="1"/>
  <c r="F271" i="18"/>
  <c r="F272" i="18"/>
  <c r="H272" i="18" s="1"/>
  <c r="F273" i="18"/>
  <c r="H273" i="18" s="1"/>
  <c r="F274" i="18"/>
  <c r="H274" i="18" s="1"/>
  <c r="F275" i="18"/>
  <c r="H275" i="18" s="1"/>
  <c r="F276" i="18"/>
  <c r="H276" i="18" s="1"/>
  <c r="F277" i="18"/>
  <c r="H277" i="18" s="1"/>
  <c r="F278" i="18"/>
  <c r="H278" i="18" s="1"/>
  <c r="F279" i="18"/>
  <c r="G279" i="18" s="1"/>
  <c r="F280" i="18"/>
  <c r="H280" i="18" s="1"/>
  <c r="F281" i="18"/>
  <c r="H281" i="18" s="1"/>
  <c r="F282" i="18"/>
  <c r="H282" i="18" s="1"/>
  <c r="F283" i="18"/>
  <c r="G283" i="18" s="1"/>
  <c r="F284" i="18"/>
  <c r="H284" i="18" s="1"/>
  <c r="F285" i="18"/>
  <c r="H285" i="18" s="1"/>
  <c r="F286" i="18"/>
  <c r="H286" i="18" s="1"/>
  <c r="F287" i="18"/>
  <c r="H287" i="18" s="1"/>
  <c r="F288" i="18"/>
  <c r="G288" i="18" s="1"/>
  <c r="F289" i="18"/>
  <c r="H289" i="18" s="1"/>
  <c r="F290" i="18"/>
  <c r="H290" i="18" s="1"/>
  <c r="F291" i="18"/>
  <c r="G291" i="18" s="1"/>
  <c r="F292" i="18"/>
  <c r="H292" i="18" s="1"/>
  <c r="F293" i="18"/>
  <c r="H293" i="18" s="1"/>
  <c r="F294" i="18"/>
  <c r="H294" i="18" s="1"/>
  <c r="F295" i="18"/>
  <c r="H295" i="18" s="1"/>
  <c r="F296" i="18"/>
  <c r="G296" i="18" s="1"/>
  <c r="F297" i="18"/>
  <c r="H297" i="18" s="1"/>
  <c r="F298" i="18"/>
  <c r="G298" i="18" s="1"/>
  <c r="F299" i="18"/>
  <c r="G299" i="18" s="1"/>
  <c r="F300" i="18"/>
  <c r="H300" i="18" s="1"/>
  <c r="F301" i="18"/>
  <c r="H301" i="18" s="1"/>
  <c r="F302" i="18"/>
  <c r="G302" i="18" s="1"/>
  <c r="H302" i="18" s="1"/>
  <c r="F303" i="18"/>
  <c r="G303" i="18" s="1"/>
  <c r="F304" i="18"/>
  <c r="H304" i="18" s="1"/>
  <c r="F305" i="18"/>
  <c r="G305" i="18" s="1"/>
  <c r="F306" i="18"/>
  <c r="H306" i="18" s="1"/>
  <c r="F307" i="18"/>
  <c r="G307" i="18" s="1"/>
  <c r="F308" i="18"/>
  <c r="H308" i="18" s="1"/>
  <c r="F309" i="18"/>
  <c r="H309" i="18" s="1"/>
  <c r="F310" i="18"/>
  <c r="H310" i="18" s="1"/>
  <c r="F311" i="18"/>
  <c r="H311" i="18" s="1"/>
  <c r="F312" i="18"/>
  <c r="H312" i="18" s="1"/>
  <c r="F313" i="18"/>
  <c r="G313" i="18" s="1"/>
  <c r="D314" i="18"/>
  <c r="D316" i="18" s="1"/>
  <c r="G297" i="16"/>
  <c r="G280" i="17"/>
  <c r="G250" i="16"/>
  <c r="G230" i="16"/>
  <c r="G116" i="17"/>
  <c r="G271" i="18" l="1"/>
  <c r="H271" i="18" s="1"/>
  <c r="H153" i="18"/>
  <c r="H296" i="18"/>
  <c r="G222" i="18"/>
  <c r="H222" i="18" s="1"/>
  <c r="H224" i="18"/>
  <c r="G238" i="18"/>
  <c r="H238" i="18" s="1"/>
  <c r="F314" i="18"/>
  <c r="H299" i="18"/>
  <c r="G79" i="18"/>
  <c r="H79" i="18" s="1"/>
  <c r="G159" i="18"/>
  <c r="H159" i="18"/>
  <c r="G147" i="18"/>
  <c r="H147" i="18" s="1"/>
  <c r="H94" i="18"/>
  <c r="H175" i="18"/>
  <c r="H130" i="18"/>
  <c r="H73" i="18"/>
  <c r="H270" i="18"/>
  <c r="H254" i="18"/>
  <c r="H288" i="18"/>
  <c r="H248" i="18"/>
  <c r="H128" i="18"/>
  <c r="H109" i="18"/>
  <c r="H108" i="18"/>
  <c r="H253" i="18"/>
  <c r="H176" i="18"/>
  <c r="H112" i="18"/>
  <c r="H96" i="18"/>
  <c r="G15" i="18"/>
  <c r="G314" i="18" s="1"/>
  <c r="H303" i="18"/>
  <c r="H207" i="18"/>
  <c r="H283" i="18"/>
  <c r="H267" i="18"/>
  <c r="H107" i="18"/>
  <c r="H172" i="18"/>
  <c r="H298" i="18"/>
  <c r="H266" i="18"/>
  <c r="H88" i="18"/>
  <c r="H39" i="18"/>
  <c r="H279" i="18"/>
  <c r="H263" i="18"/>
  <c r="H246" i="18"/>
  <c r="H214" i="18"/>
  <c r="H134" i="18"/>
  <c r="H70" i="18"/>
  <c r="H313" i="18"/>
  <c r="H261" i="18"/>
  <c r="H85" i="18"/>
  <c r="H260" i="18"/>
  <c r="H188" i="18"/>
  <c r="H27" i="18"/>
  <c r="H307" i="18"/>
  <c r="H291" i="18"/>
  <c r="H115" i="18"/>
  <c r="H305" i="18"/>
  <c r="H113" i="18"/>
  <c r="H97" i="18"/>
  <c r="H36" i="18"/>
  <c r="G153" i="17"/>
  <c r="H15" i="18" l="1"/>
  <c r="H314" i="18" s="1"/>
  <c r="G284" i="17"/>
  <c r="G33" i="17"/>
  <c r="G33" i="16"/>
  <c r="G180" i="16"/>
  <c r="G85" i="16"/>
  <c r="G24" i="9" l="1"/>
  <c r="G256" i="17"/>
  <c r="G28" i="16"/>
  <c r="G137" i="16"/>
  <c r="G225" i="16"/>
  <c r="G227" i="17"/>
  <c r="G211" i="17"/>
  <c r="G209" i="16"/>
  <c r="G146" i="15"/>
  <c r="G196" i="16"/>
  <c r="G248" i="16"/>
  <c r="G36" i="17"/>
  <c r="G278" i="17" l="1"/>
  <c r="G10" i="8" l="1"/>
  <c r="G227" i="16"/>
  <c r="G64" i="16"/>
  <c r="G83" i="17" l="1"/>
  <c r="G217" i="16"/>
  <c r="G194" i="16"/>
  <c r="G195" i="16"/>
  <c r="G37" i="13"/>
  <c r="G69" i="13"/>
  <c r="G187" i="16"/>
  <c r="G65" i="16"/>
  <c r="G238" i="16"/>
  <c r="G265" i="16"/>
  <c r="G267" i="17"/>
  <c r="G296" i="16"/>
  <c r="G203" i="16"/>
  <c r="G153" i="16"/>
  <c r="G300" i="16" l="1"/>
  <c r="G129" i="15"/>
  <c r="G134" i="15"/>
  <c r="G130" i="16"/>
  <c r="G87" i="16"/>
  <c r="G59" i="17" l="1"/>
  <c r="G97" i="16" l="1"/>
  <c r="G243" i="16" l="1"/>
  <c r="G32" i="16"/>
  <c r="G189" i="16"/>
  <c r="G277" i="17"/>
  <c r="G275" i="16"/>
  <c r="G229" i="16"/>
  <c r="G117" i="16"/>
  <c r="G78" i="15"/>
  <c r="G84" i="16"/>
  <c r="G173" i="17"/>
  <c r="G173" i="13"/>
  <c r="G170" i="16"/>
  <c r="G7" i="8"/>
  <c r="G184" i="16" l="1"/>
  <c r="G108" i="16"/>
  <c r="G45" i="16"/>
  <c r="G282" i="16" l="1"/>
  <c r="G46" i="16"/>
  <c r="G82" i="16"/>
  <c r="G159" i="16" l="1"/>
  <c r="G60" i="16"/>
  <c r="G60" i="17"/>
  <c r="G72" i="16"/>
  <c r="G70" i="17"/>
  <c r="G12" i="9"/>
  <c r="G175" i="17"/>
  <c r="G51" i="7" l="1"/>
  <c r="G59" i="16"/>
  <c r="G172" i="16"/>
  <c r="G212" i="16"/>
  <c r="G152" i="16"/>
  <c r="G5" i="16"/>
  <c r="G74" i="16"/>
  <c r="G118" i="16"/>
  <c r="G120" i="16"/>
  <c r="G305" i="16"/>
  <c r="G106" i="16"/>
  <c r="G150" i="16"/>
  <c r="G12" i="16"/>
  <c r="G70" i="16"/>
  <c r="G193" i="17"/>
  <c r="G191" i="15"/>
  <c r="G96" i="16"/>
  <c r="G213" i="16"/>
  <c r="G149" i="16"/>
  <c r="G234" i="16"/>
  <c r="G235" i="15"/>
  <c r="G18" i="16"/>
  <c r="G121" i="16"/>
  <c r="G89" i="16"/>
  <c r="G233" i="16"/>
  <c r="G147" i="16"/>
  <c r="G54" i="16"/>
  <c r="G16" i="13" l="1"/>
  <c r="G23" i="16"/>
  <c r="G58" i="16"/>
  <c r="G57" i="15"/>
  <c r="G21" i="17"/>
  <c r="G221" i="16"/>
  <c r="G24" i="16" l="1"/>
  <c r="G202" i="16"/>
  <c r="G223" i="16"/>
  <c r="G222" i="15"/>
  <c r="G162" i="16"/>
  <c r="G309" i="16"/>
  <c r="G214" i="16"/>
  <c r="G160" i="16"/>
  <c r="G139" i="16"/>
  <c r="G26" i="16"/>
  <c r="G257" i="16"/>
  <c r="G285" i="16"/>
  <c r="G307" i="16"/>
  <c r="G226" i="16"/>
  <c r="G249" i="16"/>
  <c r="G183" i="16"/>
  <c r="G171" i="17"/>
  <c r="G169" i="16"/>
  <c r="G253" i="16"/>
  <c r="G107" i="16" l="1"/>
  <c r="G48" i="16"/>
  <c r="G260" i="16"/>
  <c r="G252" i="16"/>
  <c r="G261" i="16"/>
  <c r="G264" i="16"/>
  <c r="G268" i="16"/>
  <c r="G115" i="16"/>
  <c r="G10" i="16"/>
  <c r="G197" i="16"/>
  <c r="G248" i="13"/>
  <c r="G138" i="16"/>
  <c r="G7" i="16"/>
  <c r="G173" i="16"/>
  <c r="F15" i="1" l="1"/>
  <c r="F4" i="17"/>
  <c r="H4" i="17" s="1"/>
  <c r="F5" i="17"/>
  <c r="H5" i="17" s="1"/>
  <c r="F6" i="17"/>
  <c r="H6" i="17" s="1"/>
  <c r="F7" i="17"/>
  <c r="H7" i="17" s="1"/>
  <c r="F8" i="17"/>
  <c r="H8" i="17" s="1"/>
  <c r="F9" i="17"/>
  <c r="H9" i="17" s="1"/>
  <c r="F10" i="17"/>
  <c r="H10" i="17" s="1"/>
  <c r="F11" i="17"/>
  <c r="H11" i="17" s="1"/>
  <c r="F12" i="17"/>
  <c r="H12" i="17" s="1"/>
  <c r="F13" i="17"/>
  <c r="H13" i="17" s="1"/>
  <c r="F14" i="17"/>
  <c r="H14" i="17" s="1"/>
  <c r="F15" i="17"/>
  <c r="G15" i="17" s="1"/>
  <c r="F16" i="17"/>
  <c r="H16" i="17" s="1"/>
  <c r="F17" i="17"/>
  <c r="G17" i="17"/>
  <c r="F18" i="17"/>
  <c r="H18" i="17" s="1"/>
  <c r="F19" i="17"/>
  <c r="F20" i="17"/>
  <c r="F21" i="17"/>
  <c r="H21" i="17" s="1"/>
  <c r="F22" i="17"/>
  <c r="H22" i="17" s="1"/>
  <c r="F23" i="17"/>
  <c r="H23" i="17" s="1"/>
  <c r="F24" i="17"/>
  <c r="H24" i="17" s="1"/>
  <c r="F25" i="17"/>
  <c r="H25" i="17" s="1"/>
  <c r="F26" i="17"/>
  <c r="H26" i="17" s="1"/>
  <c r="F27" i="17"/>
  <c r="F28" i="17"/>
  <c r="H28" i="17" s="1"/>
  <c r="F29" i="17"/>
  <c r="H29" i="17" s="1"/>
  <c r="F30" i="17"/>
  <c r="H30" i="17" s="1"/>
  <c r="F31" i="17"/>
  <c r="F32" i="17"/>
  <c r="H32" i="17" s="1"/>
  <c r="F33" i="17"/>
  <c r="H33" i="17" s="1"/>
  <c r="F34" i="17"/>
  <c r="H34" i="17" s="1"/>
  <c r="F35" i="17"/>
  <c r="H35" i="17" s="1"/>
  <c r="F36" i="17"/>
  <c r="F37" i="17"/>
  <c r="H37" i="17" s="1"/>
  <c r="F38" i="17"/>
  <c r="H38" i="17" s="1"/>
  <c r="F39" i="17"/>
  <c r="G39" i="17" s="1"/>
  <c r="F40" i="17"/>
  <c r="F41" i="17"/>
  <c r="H41" i="17" s="1"/>
  <c r="F42" i="17"/>
  <c r="H42" i="17" s="1"/>
  <c r="F43" i="17"/>
  <c r="H43" i="17" s="1"/>
  <c r="F44" i="17"/>
  <c r="H44" i="17" s="1"/>
  <c r="F45" i="17"/>
  <c r="H45" i="17" s="1"/>
  <c r="F46" i="17"/>
  <c r="H46" i="17" s="1"/>
  <c r="F47" i="17"/>
  <c r="G47" i="17" s="1"/>
  <c r="F48" i="17"/>
  <c r="H48" i="17" s="1"/>
  <c r="F49" i="17"/>
  <c r="H49" i="17" s="1"/>
  <c r="F50" i="17"/>
  <c r="H50" i="17" s="1"/>
  <c r="F51" i="17"/>
  <c r="F52" i="17"/>
  <c r="H52" i="17" s="1"/>
  <c r="F53" i="17"/>
  <c r="H53" i="17" s="1"/>
  <c r="F54" i="17"/>
  <c r="H54" i="17" s="1"/>
  <c r="F55" i="17"/>
  <c r="H55" i="17" s="1"/>
  <c r="F56" i="17"/>
  <c r="H56" i="17" s="1"/>
  <c r="F57" i="17"/>
  <c r="F58" i="17"/>
  <c r="H58" i="17" s="1"/>
  <c r="F59" i="17"/>
  <c r="H59" i="17" s="1"/>
  <c r="F60" i="17"/>
  <c r="H60" i="17" s="1"/>
  <c r="F61" i="17"/>
  <c r="F62" i="17"/>
  <c r="H62" i="17" s="1"/>
  <c r="F63" i="17"/>
  <c r="H63" i="17" s="1"/>
  <c r="F64" i="17"/>
  <c r="H64" i="17" s="1"/>
  <c r="F65" i="17"/>
  <c r="H65" i="17" s="1"/>
  <c r="F66" i="17"/>
  <c r="H66" i="17" s="1"/>
  <c r="F67" i="17"/>
  <c r="F68" i="17"/>
  <c r="H68" i="17" s="1"/>
  <c r="F69" i="17"/>
  <c r="H69" i="17" s="1"/>
  <c r="F70" i="17"/>
  <c r="H70" i="17" s="1"/>
  <c r="F71" i="17"/>
  <c r="H71" i="17" s="1"/>
  <c r="F72" i="17"/>
  <c r="H72" i="17" s="1"/>
  <c r="F73" i="17"/>
  <c r="F74" i="17"/>
  <c r="H74" i="17" s="1"/>
  <c r="F75" i="17"/>
  <c r="H75" i="17" s="1"/>
  <c r="F76" i="17"/>
  <c r="H76" i="17" s="1"/>
  <c r="F77" i="17"/>
  <c r="H77" i="17" s="1"/>
  <c r="F78" i="17"/>
  <c r="H78" i="17" s="1"/>
  <c r="F79" i="17"/>
  <c r="F80" i="17"/>
  <c r="H80" i="17" s="1"/>
  <c r="F81" i="17"/>
  <c r="H81" i="17" s="1"/>
  <c r="F82" i="17"/>
  <c r="H82" i="17" s="1"/>
  <c r="F83" i="17"/>
  <c r="H83" i="17" s="1"/>
  <c r="F84" i="17"/>
  <c r="H84" i="17" s="1"/>
  <c r="F85" i="17"/>
  <c r="H85" i="17" s="1"/>
  <c r="F86" i="17"/>
  <c r="H86" i="17" s="1"/>
  <c r="F87" i="17"/>
  <c r="F88" i="17"/>
  <c r="H88" i="17" s="1"/>
  <c r="F89" i="17"/>
  <c r="H89" i="17" s="1"/>
  <c r="F90" i="17"/>
  <c r="H90" i="17" s="1"/>
  <c r="F91" i="17"/>
  <c r="F92" i="17"/>
  <c r="F93" i="17"/>
  <c r="H93" i="17" s="1"/>
  <c r="F94" i="17"/>
  <c r="G94" i="17" s="1"/>
  <c r="F95" i="17"/>
  <c r="F96" i="17"/>
  <c r="F97" i="17"/>
  <c r="H97" i="17" s="1"/>
  <c r="F98" i="17"/>
  <c r="H98" i="17" s="1"/>
  <c r="F99" i="17"/>
  <c r="H99" i="17" s="1"/>
  <c r="F100" i="17"/>
  <c r="H100" i="17" s="1"/>
  <c r="F101" i="17"/>
  <c r="H101" i="17" s="1"/>
  <c r="F102" i="17"/>
  <c r="F103" i="17"/>
  <c r="H103" i="17" s="1"/>
  <c r="F104" i="17"/>
  <c r="H104" i="17" s="1"/>
  <c r="F105" i="17"/>
  <c r="H105" i="17" s="1"/>
  <c r="F106" i="17"/>
  <c r="F107" i="17"/>
  <c r="G107" i="17" s="1"/>
  <c r="F108" i="17"/>
  <c r="H108" i="17" s="1"/>
  <c r="F109" i="17"/>
  <c r="H109" i="17" s="1"/>
  <c r="F110" i="17"/>
  <c r="H110" i="17" s="1"/>
  <c r="F111" i="17"/>
  <c r="H111" i="17" s="1"/>
  <c r="F112" i="17"/>
  <c r="G112" i="17" s="1"/>
  <c r="F113" i="17"/>
  <c r="F114" i="17"/>
  <c r="H114" i="17" s="1"/>
  <c r="F115" i="17"/>
  <c r="G115" i="17" s="1"/>
  <c r="H115" i="17" s="1"/>
  <c r="F116" i="17"/>
  <c r="F117" i="17"/>
  <c r="H117" i="17" s="1"/>
  <c r="F118" i="17"/>
  <c r="H118" i="17" s="1"/>
  <c r="F119" i="17"/>
  <c r="H119" i="17" s="1"/>
  <c r="F120" i="17"/>
  <c r="H120" i="17" s="1"/>
  <c r="F121" i="17"/>
  <c r="H121" i="17" s="1"/>
  <c r="F122" i="17"/>
  <c r="H122" i="17" s="1"/>
  <c r="F123" i="17"/>
  <c r="H123" i="17" s="1"/>
  <c r="F124" i="17"/>
  <c r="H124" i="17" s="1"/>
  <c r="F125" i="17"/>
  <c r="H125" i="17" s="1"/>
  <c r="F126" i="17"/>
  <c r="H126" i="17" s="1"/>
  <c r="F127" i="17"/>
  <c r="H127" i="17" s="1"/>
  <c r="F128" i="17"/>
  <c r="F129" i="17"/>
  <c r="F130" i="17"/>
  <c r="F131" i="17"/>
  <c r="H131" i="17" s="1"/>
  <c r="F132" i="17"/>
  <c r="H132" i="17" s="1"/>
  <c r="F133" i="17"/>
  <c r="F134" i="17"/>
  <c r="F135" i="17"/>
  <c r="F136" i="17"/>
  <c r="H136" i="17" s="1"/>
  <c r="F137" i="17"/>
  <c r="H137" i="17" s="1"/>
  <c r="F138" i="17"/>
  <c r="H138" i="17" s="1"/>
  <c r="F139" i="17"/>
  <c r="H139" i="17" s="1"/>
  <c r="F140" i="17"/>
  <c r="H140" i="17" s="1"/>
  <c r="F141" i="17"/>
  <c r="H141" i="17" s="1"/>
  <c r="F142" i="17"/>
  <c r="H142" i="17" s="1"/>
  <c r="F143" i="17"/>
  <c r="F144" i="17"/>
  <c r="H144" i="17" s="1"/>
  <c r="F145" i="17"/>
  <c r="H145" i="17" s="1"/>
  <c r="F146" i="17"/>
  <c r="H146" i="17" s="1"/>
  <c r="F147" i="17"/>
  <c r="H147" i="17" s="1"/>
  <c r="F148" i="17"/>
  <c r="H148" i="17" s="1"/>
  <c r="F149" i="17"/>
  <c r="H149" i="17" s="1"/>
  <c r="F150" i="17"/>
  <c r="H150" i="17" s="1"/>
  <c r="F151" i="17"/>
  <c r="H151" i="17" s="1"/>
  <c r="F152" i="17"/>
  <c r="H152" i="17" s="1"/>
  <c r="F153" i="17"/>
  <c r="H153" i="17" s="1"/>
  <c r="F154" i="17"/>
  <c r="H154" i="17" s="1"/>
  <c r="F155" i="17"/>
  <c r="H155" i="17" s="1"/>
  <c r="F156" i="17"/>
  <c r="H156" i="17" s="1"/>
  <c r="F157" i="17"/>
  <c r="H157" i="17" s="1"/>
  <c r="F158" i="17"/>
  <c r="H158" i="17" s="1"/>
  <c r="F159" i="17"/>
  <c r="F160" i="17"/>
  <c r="H160" i="17" s="1"/>
  <c r="F161" i="17"/>
  <c r="H161" i="17" s="1"/>
  <c r="F162" i="17"/>
  <c r="H162" i="17" s="1"/>
  <c r="F163" i="17"/>
  <c r="H163" i="17" s="1"/>
  <c r="F164" i="17"/>
  <c r="H164" i="17" s="1"/>
  <c r="F165" i="17"/>
  <c r="H165" i="17" s="1"/>
  <c r="F166" i="17"/>
  <c r="H166" i="17" s="1"/>
  <c r="F167" i="17"/>
  <c r="H167" i="17" s="1"/>
  <c r="F168" i="17"/>
  <c r="F169" i="17"/>
  <c r="F170" i="17"/>
  <c r="H170" i="17" s="1"/>
  <c r="F171" i="17"/>
  <c r="H171" i="17" s="1"/>
  <c r="F172" i="17"/>
  <c r="H172" i="17" s="1"/>
  <c r="F173" i="17"/>
  <c r="H173" i="17" s="1"/>
  <c r="F174" i="17"/>
  <c r="F175" i="17"/>
  <c r="H175" i="17" s="1"/>
  <c r="F176" i="17"/>
  <c r="F177" i="17"/>
  <c r="H177" i="17" s="1"/>
  <c r="F178" i="17"/>
  <c r="H178" i="17" s="1"/>
  <c r="F179" i="17"/>
  <c r="H179" i="17" s="1"/>
  <c r="F180" i="17"/>
  <c r="H180" i="17" s="1"/>
  <c r="F181" i="17"/>
  <c r="H181" i="17" s="1"/>
  <c r="F182" i="17"/>
  <c r="H182" i="17" s="1"/>
  <c r="F183" i="17"/>
  <c r="H183" i="17" s="1"/>
  <c r="F184" i="17"/>
  <c r="H184" i="17" s="1"/>
  <c r="F185" i="17"/>
  <c r="H185" i="17" s="1"/>
  <c r="F186" i="17"/>
  <c r="H186" i="17" s="1"/>
  <c r="F187" i="17"/>
  <c r="H187" i="17" s="1"/>
  <c r="F188" i="17"/>
  <c r="F189" i="17"/>
  <c r="H189" i="17" s="1"/>
  <c r="F190" i="17"/>
  <c r="H190" i="17" s="1"/>
  <c r="F191" i="17"/>
  <c r="H191" i="17" s="1"/>
  <c r="F192" i="17"/>
  <c r="H192" i="17" s="1"/>
  <c r="F193" i="17"/>
  <c r="H193" i="17" s="1"/>
  <c r="F194" i="17"/>
  <c r="F195" i="17"/>
  <c r="H195" i="17" s="1"/>
  <c r="F196" i="17"/>
  <c r="H196" i="17" s="1"/>
  <c r="F197" i="17"/>
  <c r="H197" i="17" s="1"/>
  <c r="F198" i="17"/>
  <c r="H198" i="17" s="1"/>
  <c r="F199" i="17"/>
  <c r="H199" i="17" s="1"/>
  <c r="F200" i="17"/>
  <c r="H200" i="17" s="1"/>
  <c r="F201" i="17"/>
  <c r="F202" i="17"/>
  <c r="H202" i="17" s="1"/>
  <c r="F203" i="17"/>
  <c r="H203" i="17" s="1"/>
  <c r="F204" i="17"/>
  <c r="H204" i="17" s="1"/>
  <c r="F205" i="17"/>
  <c r="H205" i="17" s="1"/>
  <c r="F206" i="17"/>
  <c r="H206" i="17" s="1"/>
  <c r="F207" i="17"/>
  <c r="F208" i="17"/>
  <c r="H208" i="17" s="1"/>
  <c r="F209" i="17"/>
  <c r="H209" i="17" s="1"/>
  <c r="F210" i="17"/>
  <c r="F211" i="17"/>
  <c r="H211" i="17" s="1"/>
  <c r="F212" i="17"/>
  <c r="H212" i="17" s="1"/>
  <c r="F213" i="17"/>
  <c r="H213" i="17" s="1"/>
  <c r="F214" i="17"/>
  <c r="H214" i="17" s="1"/>
  <c r="F215" i="17"/>
  <c r="H215" i="17" s="1"/>
  <c r="F216" i="17"/>
  <c r="H216" i="17" s="1"/>
  <c r="F217" i="17"/>
  <c r="H217" i="17" s="1"/>
  <c r="F218" i="17"/>
  <c r="H218" i="17" s="1"/>
  <c r="F219" i="17"/>
  <c r="F220" i="17"/>
  <c r="H220" i="17" s="1"/>
  <c r="F221" i="17"/>
  <c r="H221" i="17" s="1"/>
  <c r="F222" i="17"/>
  <c r="F223" i="17"/>
  <c r="H223" i="17" s="1"/>
  <c r="F224" i="17"/>
  <c r="F225" i="17"/>
  <c r="H225" i="17" s="1"/>
  <c r="F226" i="17"/>
  <c r="H226" i="17" s="1"/>
  <c r="F227" i="17"/>
  <c r="H227" i="17" s="1"/>
  <c r="F228" i="17"/>
  <c r="H228" i="17" s="1"/>
  <c r="F229" i="17"/>
  <c r="H229" i="17" s="1"/>
  <c r="F230" i="17"/>
  <c r="H230" i="17" s="1"/>
  <c r="F231" i="17"/>
  <c r="H231" i="17" s="1"/>
  <c r="F232" i="17"/>
  <c r="H232" i="17" s="1"/>
  <c r="F233" i="17"/>
  <c r="H233" i="17" s="1"/>
  <c r="F234" i="17"/>
  <c r="H234" i="17" s="1"/>
  <c r="F235" i="17"/>
  <c r="H235" i="17" s="1"/>
  <c r="F236" i="17"/>
  <c r="H236" i="17" s="1"/>
  <c r="F237" i="17"/>
  <c r="H237" i="17" s="1"/>
  <c r="F238" i="17"/>
  <c r="H238" i="17" s="1"/>
  <c r="F239" i="17"/>
  <c r="H239" i="17" s="1"/>
  <c r="F240" i="17"/>
  <c r="H240" i="17" s="1"/>
  <c r="F241" i="17"/>
  <c r="H241" i="17" s="1"/>
  <c r="F242" i="17"/>
  <c r="H242" i="17" s="1"/>
  <c r="F243" i="17"/>
  <c r="F244" i="17"/>
  <c r="H244" i="17" s="1"/>
  <c r="F245" i="17"/>
  <c r="H245" i="17" s="1"/>
  <c r="F246" i="17"/>
  <c r="F247" i="17"/>
  <c r="H247" i="17" s="1"/>
  <c r="F248" i="17"/>
  <c r="F249" i="17"/>
  <c r="H249" i="17" s="1"/>
  <c r="F250" i="17"/>
  <c r="H250" i="17" s="1"/>
  <c r="F251" i="17"/>
  <c r="H251" i="17" s="1"/>
  <c r="F252" i="17"/>
  <c r="H252" i="17" s="1"/>
  <c r="F253" i="17"/>
  <c r="G253" i="17" s="1"/>
  <c r="F254" i="17"/>
  <c r="H254" i="17" s="1"/>
  <c r="F255" i="17"/>
  <c r="H255" i="17" s="1"/>
  <c r="F256" i="17"/>
  <c r="H256" i="17" s="1"/>
  <c r="F257" i="17"/>
  <c r="F258" i="17"/>
  <c r="H258" i="17" s="1"/>
  <c r="F259" i="17"/>
  <c r="H259" i="17" s="1"/>
  <c r="F260" i="17"/>
  <c r="G260" i="17" s="1"/>
  <c r="H260" i="17" s="1"/>
  <c r="F261" i="17"/>
  <c r="G261" i="17" s="1"/>
  <c r="F262" i="17"/>
  <c r="H262" i="17" s="1"/>
  <c r="F263" i="17"/>
  <c r="H263" i="17" s="1"/>
  <c r="F264" i="17"/>
  <c r="H264" i="17" s="1"/>
  <c r="F265" i="17"/>
  <c r="H265" i="17" s="1"/>
  <c r="F266" i="17"/>
  <c r="H266" i="17" s="1"/>
  <c r="F267" i="17"/>
  <c r="H267" i="17" s="1"/>
  <c r="F268" i="17"/>
  <c r="H268" i="17" s="1"/>
  <c r="F269" i="17"/>
  <c r="F270" i="17"/>
  <c r="H270" i="17" s="1"/>
  <c r="F271" i="17"/>
  <c r="F272" i="17"/>
  <c r="F273" i="17"/>
  <c r="H273" i="17" s="1"/>
  <c r="F274" i="17"/>
  <c r="H274" i="17" s="1"/>
  <c r="F275" i="17"/>
  <c r="H275" i="17" s="1"/>
  <c r="F276" i="17"/>
  <c r="H276" i="17" s="1"/>
  <c r="F277" i="17"/>
  <c r="H277" i="17" s="1"/>
  <c r="F278" i="17"/>
  <c r="F279" i="17"/>
  <c r="G279" i="17" s="1"/>
  <c r="F280" i="17"/>
  <c r="H280" i="17" s="1"/>
  <c r="F281" i="17"/>
  <c r="H281" i="17" s="1"/>
  <c r="F282" i="17"/>
  <c r="F283" i="17"/>
  <c r="G283" i="17" s="1"/>
  <c r="F284" i="17"/>
  <c r="H284" i="17" s="1"/>
  <c r="F285" i="17"/>
  <c r="F286" i="17"/>
  <c r="H286" i="17" s="1"/>
  <c r="F287" i="17"/>
  <c r="H287" i="17" s="1"/>
  <c r="F288" i="17"/>
  <c r="G288" i="17" s="1"/>
  <c r="F289" i="17"/>
  <c r="H289" i="17" s="1"/>
  <c r="F290" i="17"/>
  <c r="G290" i="17" s="1"/>
  <c r="F291" i="17"/>
  <c r="G291" i="17" s="1"/>
  <c r="F292" i="17"/>
  <c r="F293" i="17"/>
  <c r="H293" i="17" s="1"/>
  <c r="F294" i="17"/>
  <c r="H294" i="17" s="1"/>
  <c r="F295" i="17"/>
  <c r="H295" i="17" s="1"/>
  <c r="F296" i="17"/>
  <c r="G296" i="17" s="1"/>
  <c r="F297" i="17"/>
  <c r="H297" i="17" s="1"/>
  <c r="F298" i="17"/>
  <c r="H298" i="17" s="1"/>
  <c r="F299" i="17"/>
  <c r="H299" i="17" s="1"/>
  <c r="F300" i="17"/>
  <c r="H300" i="17" s="1"/>
  <c r="F301" i="17"/>
  <c r="H301" i="17" s="1"/>
  <c r="F302" i="17"/>
  <c r="F303" i="17"/>
  <c r="F304" i="17"/>
  <c r="F305" i="17"/>
  <c r="F306" i="17"/>
  <c r="F307" i="17"/>
  <c r="H307" i="17" s="1"/>
  <c r="F308" i="17"/>
  <c r="F309" i="17"/>
  <c r="H309" i="17" s="1"/>
  <c r="F310" i="17"/>
  <c r="H310" i="17" s="1"/>
  <c r="F311" i="17"/>
  <c r="H311" i="17" s="1"/>
  <c r="F312" i="17"/>
  <c r="F313" i="17"/>
  <c r="G313" i="17" s="1"/>
  <c r="D314" i="17"/>
  <c r="G222" i="17" l="1"/>
  <c r="H222" i="17" s="1"/>
  <c r="G269" i="17"/>
  <c r="H269" i="17" s="1"/>
  <c r="G308" i="17"/>
  <c r="H308" i="17" s="1"/>
  <c r="G304" i="17"/>
  <c r="H304" i="17" s="1"/>
  <c r="G306" i="17"/>
  <c r="H306" i="17" s="1"/>
  <c r="G272" i="17"/>
  <c r="H272" i="17" s="1"/>
  <c r="G143" i="17"/>
  <c r="H143" i="17" s="1"/>
  <c r="G169" i="17"/>
  <c r="H169" i="17" s="1"/>
  <c r="G57" i="17"/>
  <c r="H57" i="17" s="1"/>
  <c r="G133" i="17"/>
  <c r="H133" i="17" s="1"/>
  <c r="G312" i="17"/>
  <c r="H312" i="17" s="1"/>
  <c r="G257" i="17"/>
  <c r="H257" i="17" s="1"/>
  <c r="G31" i="17"/>
  <c r="H31" i="17" s="1"/>
  <c r="G285" i="17"/>
  <c r="H285" i="17" s="1"/>
  <c r="G106" i="17"/>
  <c r="H106" i="17" s="1"/>
  <c r="G91" i="17"/>
  <c r="H91" i="17" s="1"/>
  <c r="G201" i="17"/>
  <c r="H201" i="17" s="1"/>
  <c r="G168" i="17"/>
  <c r="H168" i="17" s="1"/>
  <c r="G87" i="17"/>
  <c r="H87" i="17" s="1"/>
  <c r="G134" i="17"/>
  <c r="H134" i="17" s="1"/>
  <c r="G102" i="17"/>
  <c r="H102" i="17" s="1"/>
  <c r="G96" i="17"/>
  <c r="H96" i="17" s="1"/>
  <c r="G92" i="17"/>
  <c r="H92" i="17" s="1"/>
  <c r="G292" i="17"/>
  <c r="H292" i="17" s="1"/>
  <c r="G224" i="17"/>
  <c r="H224" i="17" s="1"/>
  <c r="G95" i="17"/>
  <c r="H95" i="17" s="1"/>
  <c r="G194" i="17"/>
  <c r="H194" i="17" s="1"/>
  <c r="G19" i="17"/>
  <c r="H19" i="17" s="1"/>
  <c r="G303" i="17"/>
  <c r="H303" i="17" s="1"/>
  <c r="G305" i="17"/>
  <c r="H305" i="17" s="1"/>
  <c r="G271" i="17"/>
  <c r="H271" i="17" s="1"/>
  <c r="G79" i="17"/>
  <c r="H79" i="17" s="1"/>
  <c r="G61" i="17"/>
  <c r="H61" i="17" s="1"/>
  <c r="G282" i="17"/>
  <c r="H282" i="17" s="1"/>
  <c r="G40" i="17"/>
  <c r="H40" i="17" s="1"/>
  <c r="G73" i="17"/>
  <c r="H73" i="17" s="1"/>
  <c r="G243" i="17"/>
  <c r="H243" i="17" s="1"/>
  <c r="G129" i="17"/>
  <c r="H129" i="17" s="1"/>
  <c r="G51" i="17"/>
  <c r="H51" i="17" s="1"/>
  <c r="G248" i="17"/>
  <c r="H248" i="17" s="1"/>
  <c r="G113" i="17"/>
  <c r="H113" i="17" s="1"/>
  <c r="H313" i="17"/>
  <c r="G135" i="17"/>
  <c r="H135" i="17" s="1"/>
  <c r="G130" i="17"/>
  <c r="H130" i="17" s="1"/>
  <c r="G302" i="17"/>
  <c r="H302" i="17" s="1"/>
  <c r="G176" i="17"/>
  <c r="H176" i="17" s="1"/>
  <c r="G128" i="17"/>
  <c r="G219" i="17"/>
  <c r="H219" i="17" s="1"/>
  <c r="H210" i="17"/>
  <c r="G207" i="17"/>
  <c r="H207" i="17" s="1"/>
  <c r="G188" i="17"/>
  <c r="H188" i="17" s="1"/>
  <c r="H67" i="17"/>
  <c r="H36" i="17"/>
  <c r="H20" i="17"/>
  <c r="H278" i="17"/>
  <c r="H27" i="17"/>
  <c r="H116" i="17"/>
  <c r="H17" i="17"/>
  <c r="H15" i="17"/>
  <c r="G246" i="17"/>
  <c r="H246" i="17" s="1"/>
  <c r="H279" i="17"/>
  <c r="F314" i="17"/>
  <c r="H291" i="17"/>
  <c r="G159" i="17"/>
  <c r="H159" i="17" s="1"/>
  <c r="H107" i="17"/>
  <c r="H94" i="17"/>
  <c r="H290" i="17"/>
  <c r="G174" i="17"/>
  <c r="H174" i="17" s="1"/>
  <c r="H283" i="17"/>
  <c r="H47" i="17"/>
  <c r="H296" i="17"/>
  <c r="H261" i="17"/>
  <c r="H253" i="17"/>
  <c r="H112" i="17"/>
  <c r="H39" i="17"/>
  <c r="H288" i="17"/>
  <c r="G67" i="16"/>
  <c r="G215" i="15"/>
  <c r="G34" i="15"/>
  <c r="G28" i="15"/>
  <c r="G133" i="13"/>
  <c r="G201" i="13"/>
  <c r="G51" i="13"/>
  <c r="G314" i="17" l="1"/>
  <c r="G316" i="17" s="1"/>
  <c r="H128" i="17"/>
  <c r="H314" i="17"/>
  <c r="G110" i="16"/>
  <c r="G36" i="16" l="1"/>
  <c r="G267" i="15" l="1"/>
  <c r="G276" i="16" l="1"/>
  <c r="G16" i="9"/>
  <c r="G21" i="9"/>
  <c r="G83" i="16" l="1"/>
  <c r="G241" i="15"/>
  <c r="G295" i="15"/>
  <c r="G305" i="15"/>
  <c r="G117" i="15"/>
  <c r="G91" i="13"/>
  <c r="G90" i="15"/>
  <c r="G187" i="15" l="1"/>
  <c r="G27" i="16" l="1"/>
  <c r="G228" i="15"/>
  <c r="G195" i="15"/>
  <c r="G184" i="15"/>
  <c r="G9" i="7"/>
  <c r="G157" i="15"/>
  <c r="G156" i="15"/>
  <c r="G27" i="9"/>
  <c r="G249" i="15"/>
  <c r="G39" i="15" l="1"/>
  <c r="G98" i="16" l="1"/>
  <c r="G95" i="16" l="1"/>
  <c r="G114" i="16"/>
  <c r="M136" i="16" l="1"/>
  <c r="G8" i="16"/>
  <c r="G208" i="16"/>
  <c r="G151" i="16"/>
  <c r="G226" i="15" l="1"/>
  <c r="G64" i="15"/>
  <c r="G231" i="15"/>
  <c r="G173" i="15"/>
  <c r="G47" i="16" l="1"/>
  <c r="G47" i="15"/>
  <c r="G291" i="13" l="1"/>
  <c r="G243" i="13"/>
  <c r="G105" i="13"/>
  <c r="G233" i="15"/>
  <c r="G10" i="7"/>
  <c r="G283" i="13"/>
  <c r="G20" i="7"/>
  <c r="G180" i="15"/>
  <c r="G10" i="15"/>
  <c r="G194" i="15"/>
  <c r="G224" i="15"/>
  <c r="G84" i="15"/>
  <c r="G118" i="15"/>
  <c r="G317" i="13" l="1"/>
  <c r="G54" i="7" l="1"/>
  <c r="G73" i="13"/>
  <c r="G79" i="13"/>
  <c r="G4" i="8"/>
  <c r="G163" i="15"/>
  <c r="G50" i="16"/>
  <c r="G65" i="15"/>
  <c r="G35" i="7"/>
  <c r="G33" i="15"/>
  <c r="G28" i="13"/>
  <c r="G58" i="13"/>
  <c r="G23" i="15"/>
  <c r="G17" i="15" l="1"/>
  <c r="G78" i="13" l="1"/>
  <c r="G131" i="15"/>
  <c r="G234" i="15" l="1"/>
  <c r="G25" i="7" l="1"/>
  <c r="G212" i="15"/>
  <c r="G5" i="15"/>
  <c r="G153" i="15"/>
  <c r="F153" i="15"/>
  <c r="G242" i="15"/>
  <c r="G147" i="13"/>
  <c r="G46" i="7"/>
  <c r="G98" i="15"/>
  <c r="G304" i="15"/>
  <c r="G55" i="7"/>
  <c r="G29" i="9"/>
  <c r="G53" i="7"/>
  <c r="G196" i="15"/>
  <c r="G109" i="15"/>
  <c r="G72" i="15"/>
  <c r="G64" i="13"/>
  <c r="G39" i="13"/>
  <c r="G38" i="16"/>
  <c r="G7" i="9"/>
  <c r="G18" i="15"/>
  <c r="G113" i="13" l="1"/>
  <c r="G28" i="9" l="1"/>
  <c r="G170" i="15"/>
  <c r="G12" i="7" l="1"/>
  <c r="G16" i="7"/>
  <c r="G294" i="15"/>
  <c r="G263" i="15"/>
  <c r="G70" i="15"/>
  <c r="G256" i="13"/>
  <c r="G111" i="15"/>
  <c r="G31" i="9"/>
  <c r="G82" i="15"/>
  <c r="G119" i="13"/>
  <c r="G228" i="13" l="1"/>
  <c r="G247" i="15"/>
  <c r="G89" i="15"/>
  <c r="G171" i="15"/>
  <c r="G74" i="15"/>
  <c r="G119" i="15"/>
  <c r="G121" i="15"/>
  <c r="G196" i="13"/>
  <c r="G42" i="7"/>
  <c r="G230" i="13"/>
  <c r="G283" i="15"/>
  <c r="G303" i="13"/>
  <c r="G6" i="15" l="1"/>
  <c r="G308" i="15"/>
  <c r="G123" i="13" l="1"/>
  <c r="G160" i="15"/>
  <c r="G60" i="15"/>
  <c r="G214" i="15"/>
  <c r="G140" i="15"/>
  <c r="G46" i="15" l="1"/>
  <c r="G154" i="13"/>
  <c r="G237" i="15" l="1"/>
  <c r="G197" i="15" l="1"/>
  <c r="G45" i="15"/>
  <c r="G54" i="15"/>
  <c r="G150" i="15"/>
  <c r="G221" i="15"/>
  <c r="G59" i="15"/>
  <c r="G85" i="13"/>
  <c r="G202" i="15"/>
  <c r="G151" i="15"/>
  <c r="G139" i="15"/>
  <c r="G26" i="15"/>
  <c r="G11" i="9" l="1"/>
  <c r="G174" i="15" l="1"/>
  <c r="G99" i="15" l="1"/>
  <c r="G13" i="7"/>
  <c r="G87" i="15"/>
  <c r="G115" i="15"/>
  <c r="G96" i="15" l="1"/>
  <c r="G225" i="15" l="1"/>
  <c r="G57" i="13"/>
  <c r="G232" i="15"/>
  <c r="G237" i="13" l="1"/>
  <c r="G240" i="15" l="1"/>
  <c r="G248" i="15" l="1"/>
  <c r="G251" i="15" l="1"/>
  <c r="G259" i="15" l="1"/>
  <c r="F248" i="15"/>
  <c r="G262" i="15" l="1"/>
  <c r="G266" i="15" l="1"/>
  <c r="G274" i="15" l="1"/>
  <c r="G278" i="15" l="1"/>
  <c r="G12" i="15" l="1"/>
  <c r="G10" i="13" l="1"/>
  <c r="G7" i="15" l="1"/>
  <c r="G161" i="15"/>
  <c r="G67" i="15"/>
  <c r="G27" i="15" l="1"/>
  <c r="G252" i="15"/>
  <c r="G183" i="15"/>
  <c r="G48" i="13" l="1"/>
  <c r="G229" i="15"/>
  <c r="G176" i="16"/>
  <c r="G177" i="13"/>
  <c r="G152" i="15"/>
  <c r="G208" i="15"/>
  <c r="G8" i="15"/>
  <c r="G258" i="15"/>
  <c r="G214" i="13"/>
  <c r="G23" i="13"/>
  <c r="G24" i="15"/>
  <c r="G185" i="13"/>
  <c r="G40" i="7"/>
  <c r="G148" i="15"/>
  <c r="G97" i="15"/>
  <c r="G108" i="15"/>
  <c r="G282" i="13"/>
  <c r="G20" i="16" l="1"/>
  <c r="G197" i="13"/>
  <c r="G83" i="15"/>
  <c r="G41" i="7"/>
  <c r="G116" i="15"/>
  <c r="G118" i="13"/>
  <c r="G26" i="7"/>
  <c r="G33" i="13" l="1"/>
  <c r="G151" i="13" l="1"/>
  <c r="G216" i="13"/>
  <c r="G112" i="13"/>
  <c r="G158" i="13"/>
  <c r="G157" i="13"/>
  <c r="G134" i="13"/>
  <c r="G33" i="7"/>
  <c r="G135" i="13"/>
  <c r="G34" i="7"/>
  <c r="G30" i="7"/>
  <c r="G130" i="13"/>
  <c r="G96" i="13"/>
  <c r="G23" i="7"/>
  <c r="G280" i="13"/>
  <c r="G97" i="13"/>
  <c r="G184" i="13"/>
  <c r="D312" i="16"/>
  <c r="F311" i="16"/>
  <c r="F310" i="16"/>
  <c r="F309" i="16"/>
  <c r="H309" i="16" s="1"/>
  <c r="F308" i="16"/>
  <c r="H308" i="16" s="1"/>
  <c r="F307" i="16"/>
  <c r="H307" i="16" s="1"/>
  <c r="F306" i="16"/>
  <c r="H306" i="16" s="1"/>
  <c r="F305" i="16"/>
  <c r="H305" i="16" s="1"/>
  <c r="F304" i="16"/>
  <c r="F303" i="16"/>
  <c r="H303" i="16" s="1"/>
  <c r="F302" i="16"/>
  <c r="H302" i="16" s="1"/>
  <c r="F301" i="16"/>
  <c r="F300" i="16"/>
  <c r="H300" i="16" s="1"/>
  <c r="F299" i="16"/>
  <c r="H299" i="16" s="1"/>
  <c r="F298" i="16"/>
  <c r="H298" i="16" s="1"/>
  <c r="F297" i="16"/>
  <c r="H297" i="16" s="1"/>
  <c r="F296" i="16"/>
  <c r="H296" i="16" s="1"/>
  <c r="F295" i="16"/>
  <c r="H295" i="16" s="1"/>
  <c r="F294" i="16"/>
  <c r="F293" i="16"/>
  <c r="H293" i="16" s="1"/>
  <c r="F292" i="16"/>
  <c r="H292" i="16" s="1"/>
  <c r="F291" i="16"/>
  <c r="H291" i="16" s="1"/>
  <c r="F290" i="16"/>
  <c r="F289" i="16"/>
  <c r="F288" i="16"/>
  <c r="F287" i="16"/>
  <c r="H287" i="16" s="1"/>
  <c r="F286" i="16"/>
  <c r="F285" i="16"/>
  <c r="H285" i="16" s="1"/>
  <c r="F284" i="16"/>
  <c r="H284" i="16" s="1"/>
  <c r="F283" i="16"/>
  <c r="H283" i="16" s="1"/>
  <c r="F282" i="16"/>
  <c r="H282" i="16" s="1"/>
  <c r="F281" i="16"/>
  <c r="F280" i="16"/>
  <c r="H280" i="16" s="1"/>
  <c r="F279" i="16"/>
  <c r="H279" i="16" s="1"/>
  <c r="F278" i="16"/>
  <c r="F277" i="16"/>
  <c r="F276" i="16"/>
  <c r="H276" i="16" s="1"/>
  <c r="F275" i="16"/>
  <c r="H275" i="16" s="1"/>
  <c r="F274" i="16"/>
  <c r="H274" i="16" s="1"/>
  <c r="F273" i="16"/>
  <c r="H273" i="16" s="1"/>
  <c r="F272" i="16"/>
  <c r="H272" i="16" s="1"/>
  <c r="F271" i="16"/>
  <c r="F270" i="16"/>
  <c r="H270" i="16" s="1"/>
  <c r="F269" i="16"/>
  <c r="F268" i="16"/>
  <c r="H268" i="16" s="1"/>
  <c r="F267" i="16"/>
  <c r="F266" i="16"/>
  <c r="H266" i="16" s="1"/>
  <c r="F265" i="16"/>
  <c r="H265" i="16" s="1"/>
  <c r="F264" i="16"/>
  <c r="H264" i="16" s="1"/>
  <c r="F263" i="16"/>
  <c r="H263" i="16" s="1"/>
  <c r="F262" i="16"/>
  <c r="H262" i="16" s="1"/>
  <c r="F261" i="16"/>
  <c r="H261" i="16" s="1"/>
  <c r="F260" i="16"/>
  <c r="H260" i="16" s="1"/>
  <c r="F259" i="16"/>
  <c r="F258" i="16"/>
  <c r="F257" i="16"/>
  <c r="H257" i="16" s="1"/>
  <c r="F256" i="16"/>
  <c r="H256" i="16" s="1"/>
  <c r="F255" i="16"/>
  <c r="H255" i="16" s="1"/>
  <c r="F254" i="16"/>
  <c r="F253" i="16"/>
  <c r="H253" i="16" s="1"/>
  <c r="F252" i="16"/>
  <c r="H252" i="16" s="1"/>
  <c r="F251" i="16"/>
  <c r="F250" i="16"/>
  <c r="H250" i="16" s="1"/>
  <c r="F249" i="16"/>
  <c r="H249" i="16" s="1"/>
  <c r="F248" i="16"/>
  <c r="H248" i="16" s="1"/>
  <c r="F247" i="16"/>
  <c r="H247" i="16" s="1"/>
  <c r="F246" i="16"/>
  <c r="F245" i="16"/>
  <c r="H245" i="16" s="1"/>
  <c r="F244" i="16"/>
  <c r="F243" i="16"/>
  <c r="H243" i="16" s="1"/>
  <c r="F242" i="16"/>
  <c r="H242" i="16" s="1"/>
  <c r="F241" i="16"/>
  <c r="H241" i="16" s="1"/>
  <c r="F240" i="16"/>
  <c r="H240" i="16" s="1"/>
  <c r="F239" i="16"/>
  <c r="F238" i="16"/>
  <c r="H238" i="16" s="1"/>
  <c r="F237" i="16"/>
  <c r="H237" i="16" s="1"/>
  <c r="F236" i="16"/>
  <c r="H236" i="16" s="1"/>
  <c r="F235" i="16"/>
  <c r="H235" i="16" s="1"/>
  <c r="F234" i="16"/>
  <c r="H234" i="16" s="1"/>
  <c r="F233" i="16"/>
  <c r="H233" i="16" s="1"/>
  <c r="F232" i="16"/>
  <c r="H232" i="16" s="1"/>
  <c r="F231" i="16"/>
  <c r="H231" i="16" s="1"/>
  <c r="F230" i="16"/>
  <c r="H230" i="16" s="1"/>
  <c r="F229" i="16"/>
  <c r="H229" i="16" s="1"/>
  <c r="F228" i="16"/>
  <c r="H228" i="16" s="1"/>
  <c r="F227" i="16"/>
  <c r="H227" i="16" s="1"/>
  <c r="F226" i="16"/>
  <c r="H226" i="16" s="1"/>
  <c r="F225" i="16"/>
  <c r="H225" i="16" s="1"/>
  <c r="F224" i="16"/>
  <c r="F223" i="16"/>
  <c r="H223" i="16" s="1"/>
  <c r="F222" i="16"/>
  <c r="F221" i="16"/>
  <c r="H221" i="16" s="1"/>
  <c r="F220" i="16"/>
  <c r="F219" i="16"/>
  <c r="H219" i="16" s="1"/>
  <c r="F218" i="16"/>
  <c r="H218" i="16" s="1"/>
  <c r="F217" i="16"/>
  <c r="F216" i="16"/>
  <c r="H216" i="16" s="1"/>
  <c r="F215" i="16"/>
  <c r="H215" i="16" s="1"/>
  <c r="F214" i="16"/>
  <c r="H214" i="16" s="1"/>
  <c r="F213" i="16"/>
  <c r="H213" i="16" s="1"/>
  <c r="F212" i="16"/>
  <c r="H212" i="16" s="1"/>
  <c r="F211" i="16"/>
  <c r="H211" i="16" s="1"/>
  <c r="F210" i="16"/>
  <c r="H210" i="16" s="1"/>
  <c r="F209" i="16"/>
  <c r="H209" i="16" s="1"/>
  <c r="F208" i="16"/>
  <c r="H208" i="16" s="1"/>
  <c r="F207" i="16"/>
  <c r="H207" i="16" s="1"/>
  <c r="F206" i="16"/>
  <c r="H206" i="16" s="1"/>
  <c r="F205" i="16"/>
  <c r="F204" i="16"/>
  <c r="H204" i="16" s="1"/>
  <c r="F203" i="16"/>
  <c r="H203" i="16" s="1"/>
  <c r="F202" i="16"/>
  <c r="H202" i="16" s="1"/>
  <c r="F201" i="16"/>
  <c r="F200" i="16"/>
  <c r="H200" i="16" s="1"/>
  <c r="F199" i="16"/>
  <c r="H199" i="16" s="1"/>
  <c r="F198" i="16"/>
  <c r="H198" i="16" s="1"/>
  <c r="F197" i="16"/>
  <c r="H197" i="16" s="1"/>
  <c r="F196" i="16"/>
  <c r="H196" i="16" s="1"/>
  <c r="F195" i="16"/>
  <c r="H195" i="16" s="1"/>
  <c r="F194" i="16"/>
  <c r="H194" i="16" s="1"/>
  <c r="F193" i="16"/>
  <c r="F192" i="16"/>
  <c r="F191" i="16"/>
  <c r="F190" i="16"/>
  <c r="H190" i="16" s="1"/>
  <c r="F189" i="16"/>
  <c r="H189" i="16" s="1"/>
  <c r="F188" i="16"/>
  <c r="H188" i="16" s="1"/>
  <c r="F187" i="16"/>
  <c r="H187" i="16" s="1"/>
  <c r="F186" i="16"/>
  <c r="F185" i="16"/>
  <c r="H185" i="16" s="1"/>
  <c r="F184" i="16"/>
  <c r="H184" i="16" s="1"/>
  <c r="F183" i="16"/>
  <c r="H183" i="16" s="1"/>
  <c r="F182" i="16"/>
  <c r="H182" i="16" s="1"/>
  <c r="F181" i="16"/>
  <c r="H181" i="16" s="1"/>
  <c r="F180" i="16"/>
  <c r="H180" i="16" s="1"/>
  <c r="F179" i="16"/>
  <c r="H179" i="16" s="1"/>
  <c r="F178" i="16"/>
  <c r="H178" i="16" s="1"/>
  <c r="F177" i="16"/>
  <c r="H177" i="16" s="1"/>
  <c r="F176" i="16"/>
  <c r="H176" i="16" s="1"/>
  <c r="F175" i="16"/>
  <c r="H175" i="16" s="1"/>
  <c r="F174" i="16"/>
  <c r="F173" i="16"/>
  <c r="H173" i="16" s="1"/>
  <c r="F172" i="16"/>
  <c r="H172" i="16" s="1"/>
  <c r="F171" i="16"/>
  <c r="F170" i="16"/>
  <c r="H170" i="16" s="1"/>
  <c r="F169" i="16"/>
  <c r="H169" i="16" s="1"/>
  <c r="F168" i="16"/>
  <c r="H168" i="16" s="1"/>
  <c r="F167" i="16"/>
  <c r="F166" i="16"/>
  <c r="F165" i="16"/>
  <c r="H165" i="16" s="1"/>
  <c r="F164" i="16"/>
  <c r="H164" i="16" s="1"/>
  <c r="F163" i="16"/>
  <c r="H163" i="16" s="1"/>
  <c r="F162" i="16"/>
  <c r="H162" i="16" s="1"/>
  <c r="F161" i="16"/>
  <c r="H161" i="16" s="1"/>
  <c r="F160" i="16"/>
  <c r="H160" i="16" s="1"/>
  <c r="F159" i="16"/>
  <c r="H159" i="16" s="1"/>
  <c r="F158" i="16"/>
  <c r="H158" i="16" s="1"/>
  <c r="F157" i="16"/>
  <c r="F156" i="16"/>
  <c r="H156" i="16" s="1"/>
  <c r="F155" i="16"/>
  <c r="H155" i="16" s="1"/>
  <c r="F154" i="16"/>
  <c r="H154" i="16" s="1"/>
  <c r="F153" i="16"/>
  <c r="H153" i="16" s="1"/>
  <c r="F152" i="16"/>
  <c r="H152" i="16" s="1"/>
  <c r="F151" i="16"/>
  <c r="H151" i="16" s="1"/>
  <c r="F150" i="16"/>
  <c r="H150" i="16" s="1"/>
  <c r="F149" i="16"/>
  <c r="H149" i="16" s="1"/>
  <c r="F148" i="16"/>
  <c r="H148" i="16" s="1"/>
  <c r="F147" i="16"/>
  <c r="H147" i="16" s="1"/>
  <c r="F146" i="16"/>
  <c r="H146" i="16" s="1"/>
  <c r="F145" i="16"/>
  <c r="F144" i="16"/>
  <c r="H144" i="16" s="1"/>
  <c r="F143" i="16"/>
  <c r="H143" i="16" s="1"/>
  <c r="F142" i="16"/>
  <c r="H142" i="16" s="1"/>
  <c r="F141" i="16"/>
  <c r="F140" i="16"/>
  <c r="F139" i="16"/>
  <c r="H139" i="16" s="1"/>
  <c r="F138" i="16"/>
  <c r="H138" i="16" s="1"/>
  <c r="F137" i="16"/>
  <c r="H137" i="16" s="1"/>
  <c r="F136" i="16"/>
  <c r="H136" i="16" s="1"/>
  <c r="F135" i="16"/>
  <c r="H135" i="16" s="1"/>
  <c r="F134" i="16"/>
  <c r="H134" i="16" s="1"/>
  <c r="F133" i="16"/>
  <c r="F131" i="16"/>
  <c r="H131" i="16" s="1"/>
  <c r="F130" i="16"/>
  <c r="H130" i="16" s="1"/>
  <c r="F129" i="16"/>
  <c r="H129" i="16" s="1"/>
  <c r="F128" i="16"/>
  <c r="F127" i="16"/>
  <c r="F126" i="16"/>
  <c r="F125" i="16"/>
  <c r="H125" i="16" s="1"/>
  <c r="F124" i="16"/>
  <c r="F123" i="16"/>
  <c r="H123" i="16" s="1"/>
  <c r="F122" i="16"/>
  <c r="F121" i="16"/>
  <c r="H121" i="16" s="1"/>
  <c r="F120" i="16"/>
  <c r="H120" i="16" s="1"/>
  <c r="F119" i="16"/>
  <c r="H119" i="16" s="1"/>
  <c r="F118" i="16"/>
  <c r="H118" i="16" s="1"/>
  <c r="F117" i="16"/>
  <c r="H117" i="16" s="1"/>
  <c r="F116" i="16"/>
  <c r="H116" i="16" s="1"/>
  <c r="F115" i="16"/>
  <c r="H115" i="16" s="1"/>
  <c r="F114" i="16"/>
  <c r="H114" i="16" s="1"/>
  <c r="F113" i="16"/>
  <c r="F112" i="16"/>
  <c r="H112" i="16" s="1"/>
  <c r="F111" i="16"/>
  <c r="F110" i="16"/>
  <c r="H110" i="16" s="1"/>
  <c r="F109" i="16"/>
  <c r="H109" i="16" s="1"/>
  <c r="F108" i="16"/>
  <c r="H108" i="16" s="1"/>
  <c r="F107" i="16"/>
  <c r="H107" i="16" s="1"/>
  <c r="F106" i="16"/>
  <c r="H106" i="16" s="1"/>
  <c r="F105" i="16"/>
  <c r="F104" i="16"/>
  <c r="F103" i="16"/>
  <c r="F102" i="16"/>
  <c r="H102" i="16" s="1"/>
  <c r="F101" i="16"/>
  <c r="H101" i="16" s="1"/>
  <c r="F100" i="16"/>
  <c r="H100" i="16" s="1"/>
  <c r="F99" i="16"/>
  <c r="H99" i="16" s="1"/>
  <c r="F98" i="16"/>
  <c r="H98" i="16" s="1"/>
  <c r="F97" i="16"/>
  <c r="H97" i="16" s="1"/>
  <c r="F96" i="16"/>
  <c r="H96" i="16" s="1"/>
  <c r="F95" i="16"/>
  <c r="H95" i="16" s="1"/>
  <c r="F94" i="16"/>
  <c r="F93" i="16"/>
  <c r="F92" i="16"/>
  <c r="H92" i="16" s="1"/>
  <c r="F91" i="16"/>
  <c r="H91" i="16" s="1"/>
  <c r="F90" i="16"/>
  <c r="H90" i="16" s="1"/>
  <c r="F89" i="16"/>
  <c r="H89" i="16" s="1"/>
  <c r="F88" i="16"/>
  <c r="H88" i="16" s="1"/>
  <c r="F87" i="16"/>
  <c r="H87" i="16" s="1"/>
  <c r="F86" i="16"/>
  <c r="F85" i="16"/>
  <c r="H85" i="16" s="1"/>
  <c r="F84" i="16"/>
  <c r="H84" i="16" s="1"/>
  <c r="F83" i="16"/>
  <c r="H83" i="16" s="1"/>
  <c r="F82" i="16"/>
  <c r="H82" i="16" s="1"/>
  <c r="F81" i="16"/>
  <c r="H81" i="16" s="1"/>
  <c r="F80" i="16"/>
  <c r="H80" i="16" s="1"/>
  <c r="F79" i="16"/>
  <c r="F78" i="16"/>
  <c r="H78" i="16" s="1"/>
  <c r="F77" i="16"/>
  <c r="H77" i="16" s="1"/>
  <c r="F76" i="16"/>
  <c r="H76" i="16" s="1"/>
  <c r="F75" i="16"/>
  <c r="H75" i="16" s="1"/>
  <c r="F74" i="16"/>
  <c r="H74" i="16" s="1"/>
  <c r="F73" i="16"/>
  <c r="F72" i="16"/>
  <c r="H72" i="16" s="1"/>
  <c r="F71" i="16"/>
  <c r="H71" i="16" s="1"/>
  <c r="F70" i="16"/>
  <c r="H70" i="16" s="1"/>
  <c r="F69" i="16"/>
  <c r="H69" i="16" s="1"/>
  <c r="F68" i="16"/>
  <c r="H68" i="16" s="1"/>
  <c r="F67" i="16"/>
  <c r="H67" i="16" s="1"/>
  <c r="F66" i="16"/>
  <c r="H66" i="16" s="1"/>
  <c r="F65" i="16"/>
  <c r="H65" i="16" s="1"/>
  <c r="F64" i="16"/>
  <c r="H64" i="16" s="1"/>
  <c r="F63" i="16"/>
  <c r="F62" i="16"/>
  <c r="H62" i="16" s="1"/>
  <c r="F61" i="16"/>
  <c r="H61" i="16" s="1"/>
  <c r="F60" i="16"/>
  <c r="H60" i="16" s="1"/>
  <c r="F59" i="16"/>
  <c r="H59" i="16" s="1"/>
  <c r="F58" i="16"/>
  <c r="H58" i="16" s="1"/>
  <c r="F57" i="16"/>
  <c r="H57" i="16" s="1"/>
  <c r="F56" i="16"/>
  <c r="H56" i="16" s="1"/>
  <c r="F55" i="16"/>
  <c r="H55" i="16" s="1"/>
  <c r="F54" i="16"/>
  <c r="H54" i="16" s="1"/>
  <c r="F53" i="16"/>
  <c r="H53" i="16" s="1"/>
  <c r="F52" i="16"/>
  <c r="H52" i="16" s="1"/>
  <c r="F51" i="16"/>
  <c r="F50" i="16"/>
  <c r="H50" i="16" s="1"/>
  <c r="F49" i="16"/>
  <c r="H49" i="16" s="1"/>
  <c r="F48" i="16"/>
  <c r="H48" i="16" s="1"/>
  <c r="F47" i="16"/>
  <c r="H47" i="16" s="1"/>
  <c r="F46" i="16"/>
  <c r="H46" i="16" s="1"/>
  <c r="F45" i="16"/>
  <c r="H45" i="16" s="1"/>
  <c r="F44" i="16"/>
  <c r="H44" i="16" s="1"/>
  <c r="F43" i="16"/>
  <c r="H43" i="16" s="1"/>
  <c r="F42" i="16"/>
  <c r="H42" i="16" s="1"/>
  <c r="F41" i="16"/>
  <c r="H41" i="16" s="1"/>
  <c r="F40" i="16"/>
  <c r="H40" i="16" s="1"/>
  <c r="F39" i="16"/>
  <c r="F38" i="16"/>
  <c r="H38" i="16" s="1"/>
  <c r="F37" i="16"/>
  <c r="H37" i="16" s="1"/>
  <c r="F36" i="16"/>
  <c r="H36" i="16" s="1"/>
  <c r="F35" i="16"/>
  <c r="H35" i="16" s="1"/>
  <c r="F34" i="16"/>
  <c r="H34" i="16" s="1"/>
  <c r="F33" i="16"/>
  <c r="H33" i="16" s="1"/>
  <c r="F32" i="16"/>
  <c r="H32" i="16" s="1"/>
  <c r="F31" i="16"/>
  <c r="F30" i="16"/>
  <c r="H30" i="16" s="1"/>
  <c r="F29" i="16"/>
  <c r="H29" i="16" s="1"/>
  <c r="F28" i="16"/>
  <c r="H28" i="16" s="1"/>
  <c r="F27" i="16"/>
  <c r="H27" i="16" s="1"/>
  <c r="F26" i="16"/>
  <c r="H26" i="16" s="1"/>
  <c r="F25" i="16"/>
  <c r="F24" i="16"/>
  <c r="H24" i="16" s="1"/>
  <c r="F23" i="16"/>
  <c r="H23" i="16" s="1"/>
  <c r="F22" i="16"/>
  <c r="H22" i="16" s="1"/>
  <c r="F21" i="16"/>
  <c r="F20" i="16"/>
  <c r="F19" i="16"/>
  <c r="F18" i="16"/>
  <c r="H18" i="16" s="1"/>
  <c r="F17" i="16"/>
  <c r="F16" i="16"/>
  <c r="H16" i="16" s="1"/>
  <c r="F15" i="16"/>
  <c r="F14" i="16"/>
  <c r="H14" i="16" s="1"/>
  <c r="F13" i="16"/>
  <c r="H13" i="16" s="1"/>
  <c r="F12" i="16"/>
  <c r="H12" i="16" s="1"/>
  <c r="F11" i="16"/>
  <c r="H11" i="16" s="1"/>
  <c r="F10" i="16"/>
  <c r="H10" i="16" s="1"/>
  <c r="F9" i="16"/>
  <c r="H9" i="16" s="1"/>
  <c r="F8" i="16"/>
  <c r="H8" i="16" s="1"/>
  <c r="F7" i="16"/>
  <c r="H7" i="16" s="1"/>
  <c r="F6" i="16"/>
  <c r="F5" i="16"/>
  <c r="H5" i="16" s="1"/>
  <c r="F4" i="16"/>
  <c r="G267" i="16" l="1"/>
  <c r="H267" i="16" s="1"/>
  <c r="G271" i="16"/>
  <c r="H271" i="16" s="1"/>
  <c r="G304" i="16"/>
  <c r="H304" i="16" s="1"/>
  <c r="G25" i="16"/>
  <c r="H25" i="16" s="1"/>
  <c r="G220" i="16"/>
  <c r="H220" i="16" s="1"/>
  <c r="G141" i="16"/>
  <c r="H141" i="16" s="1"/>
  <c r="G124" i="16"/>
  <c r="H124" i="16" s="1"/>
  <c r="G63" i="16"/>
  <c r="H63" i="16" s="1"/>
  <c r="G224" i="16"/>
  <c r="H224" i="16" s="1"/>
  <c r="G310" i="16"/>
  <c r="H310" i="16" s="1"/>
  <c r="G167" i="16"/>
  <c r="H167" i="16" s="1"/>
  <c r="G222" i="16"/>
  <c r="H222" i="16" s="1"/>
  <c r="G193" i="16"/>
  <c r="H193" i="16" s="1"/>
  <c r="G290" i="16"/>
  <c r="H290" i="16" s="1"/>
  <c r="G86" i="16"/>
  <c r="H86" i="16" s="1"/>
  <c r="G239" i="16"/>
  <c r="H239" i="16" s="1"/>
  <c r="G19" i="16"/>
  <c r="H19" i="16" s="1"/>
  <c r="G51" i="16"/>
  <c r="H51" i="16" s="1"/>
  <c r="G94" i="16"/>
  <c r="H94" i="16" s="1"/>
  <c r="G31" i="16"/>
  <c r="H31" i="16" s="1"/>
  <c r="G103" i="16"/>
  <c r="H103" i="16" s="1"/>
  <c r="G192" i="16"/>
  <c r="H192" i="16" s="1"/>
  <c r="G104" i="16"/>
  <c r="H104" i="16" s="1"/>
  <c r="G127" i="16"/>
  <c r="H127" i="16" s="1"/>
  <c r="G278" i="16"/>
  <c r="H278" i="16" s="1"/>
  <c r="G254" i="16"/>
  <c r="H254" i="16" s="1"/>
  <c r="G128" i="16"/>
  <c r="H128" i="16" s="1"/>
  <c r="G174" i="16"/>
  <c r="H174" i="16" s="1"/>
  <c r="G191" i="16"/>
  <c r="H191" i="16" s="1"/>
  <c r="G244" i="16"/>
  <c r="H244" i="16" s="1"/>
  <c r="G133" i="16"/>
  <c r="H133" i="16" s="1"/>
  <c r="G21" i="16"/>
  <c r="H21" i="16" s="1"/>
  <c r="G145" i="16"/>
  <c r="H145" i="16" s="1"/>
  <c r="G122" i="16"/>
  <c r="H122" i="16" s="1"/>
  <c r="G171" i="16"/>
  <c r="H171" i="16" s="1"/>
  <c r="G140" i="16"/>
  <c r="H140" i="16" s="1"/>
  <c r="G301" i="16"/>
  <c r="H301" i="16" s="1"/>
  <c r="G6" i="16"/>
  <c r="H6" i="16" s="1"/>
  <c r="G93" i="16"/>
  <c r="H93" i="16" s="1"/>
  <c r="G288" i="16"/>
  <c r="H288" i="16" s="1"/>
  <c r="G15" i="16"/>
  <c r="G39" i="16"/>
  <c r="H39" i="16" s="1"/>
  <c r="G126" i="16"/>
  <c r="H126" i="16" s="1"/>
  <c r="G157" i="16"/>
  <c r="H157" i="16" s="1"/>
  <c r="G258" i="16"/>
  <c r="H258" i="16" s="1"/>
  <c r="G281" i="16"/>
  <c r="H281" i="16" s="1"/>
  <c r="G289" i="16"/>
  <c r="H289" i="16" s="1"/>
  <c r="G79" i="16"/>
  <c r="H79" i="16" s="1"/>
  <c r="G111" i="16"/>
  <c r="H111" i="16" s="1"/>
  <c r="G205" i="16"/>
  <c r="H205" i="16" s="1"/>
  <c r="G251" i="16"/>
  <c r="H251" i="16" s="1"/>
  <c r="G259" i="16"/>
  <c r="H259" i="16" s="1"/>
  <c r="G17" i="16"/>
  <c r="H17" i="16" s="1"/>
  <c r="G166" i="16"/>
  <c r="H166" i="16" s="1"/>
  <c r="G73" i="16"/>
  <c r="H73" i="16" s="1"/>
  <c r="G105" i="16"/>
  <c r="H105" i="16" s="1"/>
  <c r="G113" i="16"/>
  <c r="H113" i="16" s="1"/>
  <c r="G269" i="16"/>
  <c r="H269" i="16" s="1"/>
  <c r="G277" i="16"/>
  <c r="H277" i="16" s="1"/>
  <c r="G201" i="16"/>
  <c r="G286" i="16"/>
  <c r="H286" i="16" s="1"/>
  <c r="G294" i="16"/>
  <c r="H294" i="16" s="1"/>
  <c r="G186" i="16"/>
  <c r="H186" i="16" s="1"/>
  <c r="G311" i="16"/>
  <c r="H311" i="16" s="1"/>
  <c r="H217" i="16"/>
  <c r="H20" i="16"/>
  <c r="F312" i="16"/>
  <c r="G246" i="16"/>
  <c r="H246" i="16" s="1"/>
  <c r="H4" i="16"/>
  <c r="H201" i="16" l="1"/>
  <c r="G313" i="16"/>
  <c r="G312" i="16"/>
  <c r="G314" i="16" s="1"/>
  <c r="H314" i="16" s="1"/>
  <c r="H15" i="16"/>
  <c r="H312" i="16" s="1"/>
  <c r="H18" i="8" s="1"/>
  <c r="G268" i="15"/>
  <c r="D23" i="14"/>
  <c r="G116" i="13"/>
  <c r="G21" i="7"/>
  <c r="G88" i="13"/>
  <c r="G226" i="13"/>
  <c r="G249" i="13"/>
  <c r="G92" i="13"/>
  <c r="G308" i="13"/>
  <c r="G6" i="13" l="1"/>
  <c r="G8" i="9"/>
  <c r="G5" i="8"/>
  <c r="G72" i="13"/>
  <c r="G47" i="13"/>
  <c r="G141" i="13"/>
  <c r="G307" i="13"/>
  <c r="G74" i="13" l="1"/>
  <c r="G217" i="15" l="1"/>
  <c r="G7" i="7" l="1"/>
  <c r="G32" i="7"/>
  <c r="G149" i="13"/>
  <c r="G242" i="13"/>
  <c r="G52" i="7"/>
  <c r="G19" i="7"/>
  <c r="G297" i="13"/>
  <c r="G5" i="13"/>
  <c r="G110" i="13"/>
  <c r="G10" i="9"/>
  <c r="G270" i="13"/>
  <c r="G209" i="13"/>
  <c r="G8" i="13"/>
  <c r="G100" i="13" l="1"/>
  <c r="D14" i="14"/>
  <c r="G29" i="7"/>
  <c r="G104" i="13" l="1"/>
  <c r="G25" i="9"/>
  <c r="G235" i="13"/>
  <c r="G38" i="7"/>
  <c r="G181" i="13"/>
  <c r="G276" i="13"/>
  <c r="G18" i="13"/>
  <c r="G164" i="13"/>
  <c r="G14" i="7"/>
  <c r="G311" i="13"/>
  <c r="G4" i="9"/>
  <c r="G15" i="7"/>
  <c r="G9" i="9"/>
  <c r="G48" i="7"/>
  <c r="G22" i="9"/>
  <c r="G67" i="13"/>
  <c r="G122" i="13"/>
  <c r="G43" i="7"/>
  <c r="G174" i="13"/>
  <c r="G90" i="13" l="1"/>
  <c r="G229" i="13" l="1"/>
  <c r="G227" i="15"/>
  <c r="G203" i="13" l="1"/>
  <c r="G152" i="13"/>
  <c r="G265" i="13"/>
  <c r="G65" i="13"/>
  <c r="G172" i="13"/>
  <c r="G236" i="13"/>
  <c r="G162" i="13" l="1"/>
  <c r="G234" i="13"/>
  <c r="G268" i="13"/>
  <c r="G264" i="13"/>
  <c r="G260" i="13"/>
  <c r="G5" i="9"/>
  <c r="G140" i="13"/>
  <c r="G99" i="13"/>
  <c r="G7" i="13"/>
  <c r="G171" i="13"/>
  <c r="G19" i="9"/>
  <c r="G117" i="13" l="1"/>
  <c r="G254" i="13"/>
  <c r="G36" i="7" l="1"/>
  <c r="G215" i="13"/>
  <c r="G45" i="13"/>
  <c r="G27" i="13"/>
  <c r="G218" i="13"/>
  <c r="G227" i="13"/>
  <c r="G24" i="7" l="1"/>
  <c r="G26" i="13"/>
  <c r="G82" i="13"/>
  <c r="G224" i="13"/>
  <c r="G83" i="13"/>
  <c r="G285" i="13"/>
  <c r="G23" i="9"/>
  <c r="G198" i="13" l="1"/>
  <c r="G222" i="13"/>
  <c r="G59" i="13"/>
  <c r="G24" i="13"/>
  <c r="G239" i="13"/>
  <c r="G109" i="13"/>
  <c r="G56" i="7"/>
  <c r="G231" i="13"/>
  <c r="G18" i="7"/>
  <c r="G175" i="13"/>
  <c r="G250" i="13"/>
  <c r="G213" i="13"/>
  <c r="G31" i="7"/>
  <c r="G244" i="13"/>
  <c r="G5" i="7"/>
  <c r="G12" i="13"/>
  <c r="G26" i="9"/>
  <c r="G17" i="7" l="1"/>
  <c r="G161" i="13"/>
  <c r="G60" i="13"/>
  <c r="G49" i="7"/>
  <c r="G37" i="7" l="1"/>
  <c r="G120" i="13"/>
  <c r="G204" i="13"/>
  <c r="D309" i="15"/>
  <c r="F308" i="15"/>
  <c r="H308" i="15" s="1"/>
  <c r="F307" i="15"/>
  <c r="H307" i="15" s="1"/>
  <c r="F306" i="15"/>
  <c r="F305" i="15"/>
  <c r="H305" i="15" s="1"/>
  <c r="F304" i="15"/>
  <c r="H304" i="15" s="1"/>
  <c r="F303" i="15"/>
  <c r="F302" i="15"/>
  <c r="F301" i="15"/>
  <c r="F300" i="15"/>
  <c r="F299" i="15"/>
  <c r="F298" i="15"/>
  <c r="F297" i="15"/>
  <c r="F296" i="15"/>
  <c r="F295" i="15"/>
  <c r="H295" i="15" s="1"/>
  <c r="F294" i="15"/>
  <c r="H294" i="15" s="1"/>
  <c r="F293" i="15"/>
  <c r="F292" i="15"/>
  <c r="F291" i="15"/>
  <c r="F290" i="15"/>
  <c r="F289" i="15"/>
  <c r="F288" i="15"/>
  <c r="F287" i="15"/>
  <c r="G287" i="15" s="1"/>
  <c r="F286" i="15"/>
  <c r="G286" i="15" s="1"/>
  <c r="F285" i="15"/>
  <c r="F284" i="15"/>
  <c r="F283" i="15"/>
  <c r="H283" i="15" s="1"/>
  <c r="F282" i="15"/>
  <c r="F281" i="15"/>
  <c r="F280" i="15"/>
  <c r="F279" i="15"/>
  <c r="F278" i="15"/>
  <c r="H278" i="15" s="1"/>
  <c r="F277" i="15"/>
  <c r="F276" i="15"/>
  <c r="F275" i="15"/>
  <c r="F274" i="15"/>
  <c r="H274" i="15" s="1"/>
  <c r="F273" i="15"/>
  <c r="F272" i="15"/>
  <c r="H272" i="15" s="1"/>
  <c r="F271" i="15"/>
  <c r="F270" i="15"/>
  <c r="F269" i="15"/>
  <c r="F268" i="15"/>
  <c r="H268" i="15" s="1"/>
  <c r="F267" i="15"/>
  <c r="H267" i="15" s="1"/>
  <c r="F266" i="15"/>
  <c r="H266" i="15" s="1"/>
  <c r="F265" i="15"/>
  <c r="F264" i="15"/>
  <c r="F263" i="15"/>
  <c r="H263" i="15" s="1"/>
  <c r="F262" i="15"/>
  <c r="H262" i="15" s="1"/>
  <c r="F261" i="15"/>
  <c r="F260" i="15"/>
  <c r="F259" i="15"/>
  <c r="H259" i="15" s="1"/>
  <c r="F258" i="15"/>
  <c r="H258" i="15" s="1"/>
  <c r="F257" i="15"/>
  <c r="F256" i="15"/>
  <c r="F255" i="15"/>
  <c r="F254" i="15"/>
  <c r="F253" i="15"/>
  <c r="F252" i="15"/>
  <c r="H252" i="15" s="1"/>
  <c r="F251" i="15"/>
  <c r="H251" i="15" s="1"/>
  <c r="F250" i="15"/>
  <c r="F249" i="15"/>
  <c r="H249" i="15" s="1"/>
  <c r="H248" i="15"/>
  <c r="F247" i="15"/>
  <c r="H247" i="15" s="1"/>
  <c r="F246" i="15"/>
  <c r="H246" i="15" s="1"/>
  <c r="F245" i="15"/>
  <c r="F244" i="15"/>
  <c r="F243" i="15"/>
  <c r="F242" i="15"/>
  <c r="H242" i="15" s="1"/>
  <c r="F241" i="15"/>
  <c r="H241" i="15" s="1"/>
  <c r="F240" i="15"/>
  <c r="H240" i="15" s="1"/>
  <c r="F239" i="15"/>
  <c r="F238" i="15"/>
  <c r="F237" i="15"/>
  <c r="H237" i="15" s="1"/>
  <c r="F236" i="15"/>
  <c r="F235" i="15"/>
  <c r="H235" i="15" s="1"/>
  <c r="F234" i="15"/>
  <c r="H234" i="15" s="1"/>
  <c r="F233" i="15"/>
  <c r="H233" i="15" s="1"/>
  <c r="F232" i="15"/>
  <c r="H232" i="15" s="1"/>
  <c r="F231" i="15"/>
  <c r="H231" i="15" s="1"/>
  <c r="F230" i="15"/>
  <c r="F229" i="15"/>
  <c r="H229" i="15" s="1"/>
  <c r="F228" i="15"/>
  <c r="H228" i="15" s="1"/>
  <c r="F227" i="15"/>
  <c r="H227" i="15" s="1"/>
  <c r="F226" i="15"/>
  <c r="H226" i="15" s="1"/>
  <c r="F225" i="15"/>
  <c r="H225" i="15" s="1"/>
  <c r="F224" i="15"/>
  <c r="H224" i="15" s="1"/>
  <c r="F223" i="15"/>
  <c r="H223" i="15" s="1"/>
  <c r="F222" i="15"/>
  <c r="H222" i="15" s="1"/>
  <c r="F221" i="15"/>
  <c r="H221" i="15" s="1"/>
  <c r="F220" i="15"/>
  <c r="F219" i="15"/>
  <c r="F218" i="15"/>
  <c r="H218" i="15" s="1"/>
  <c r="F217" i="15"/>
  <c r="H217" i="15" s="1"/>
  <c r="F216" i="15"/>
  <c r="H216" i="15" s="1"/>
  <c r="F215" i="15"/>
  <c r="H215" i="15" s="1"/>
  <c r="F214" i="15"/>
  <c r="H214" i="15" s="1"/>
  <c r="F213" i="15"/>
  <c r="F212" i="15"/>
  <c r="H212" i="15" s="1"/>
  <c r="F211" i="15"/>
  <c r="H211" i="15" s="1"/>
  <c r="F210" i="15"/>
  <c r="F209" i="15"/>
  <c r="F208" i="15"/>
  <c r="H208" i="15" s="1"/>
  <c r="F207" i="15"/>
  <c r="F206" i="15"/>
  <c r="F205" i="15"/>
  <c r="F204" i="15"/>
  <c r="F203" i="15"/>
  <c r="G203" i="15" s="1"/>
  <c r="F202" i="15"/>
  <c r="H202" i="15" s="1"/>
  <c r="F201" i="15"/>
  <c r="H201" i="15" s="1"/>
  <c r="F200" i="15"/>
  <c r="H200" i="15" s="1"/>
  <c r="F199" i="15"/>
  <c r="F198" i="15"/>
  <c r="F197" i="15"/>
  <c r="H197" i="15" s="1"/>
  <c r="F196" i="15"/>
  <c r="H196" i="15" s="1"/>
  <c r="F195" i="15"/>
  <c r="H195" i="15" s="1"/>
  <c r="F194" i="15"/>
  <c r="H194" i="15" s="1"/>
  <c r="F193" i="15"/>
  <c r="F192" i="15"/>
  <c r="F191" i="15"/>
  <c r="H191" i="15" s="1"/>
  <c r="F190" i="15"/>
  <c r="F189" i="15"/>
  <c r="F188" i="15"/>
  <c r="F187" i="15"/>
  <c r="H187" i="15" s="1"/>
  <c r="F186" i="15"/>
  <c r="F185" i="15"/>
  <c r="F184" i="15"/>
  <c r="H184" i="15" s="1"/>
  <c r="F183" i="15"/>
  <c r="H183" i="15" s="1"/>
  <c r="F182" i="15"/>
  <c r="F181" i="15"/>
  <c r="H181" i="15" s="1"/>
  <c r="F180" i="15"/>
  <c r="H180" i="15" s="1"/>
  <c r="F179" i="15"/>
  <c r="F178" i="15"/>
  <c r="F177" i="15"/>
  <c r="F176" i="15"/>
  <c r="F175" i="15"/>
  <c r="F174" i="15"/>
  <c r="H174" i="15" s="1"/>
  <c r="F173" i="15"/>
  <c r="H173" i="15" s="1"/>
  <c r="F172" i="15"/>
  <c r="F171" i="15"/>
  <c r="H171" i="15" s="1"/>
  <c r="F170" i="15"/>
  <c r="H170" i="15" s="1"/>
  <c r="F169" i="15"/>
  <c r="F168" i="15"/>
  <c r="F167" i="15"/>
  <c r="F166" i="15"/>
  <c r="F165" i="15"/>
  <c r="F164" i="15"/>
  <c r="H164" i="15" s="1"/>
  <c r="F163" i="15"/>
  <c r="H163" i="15" s="1"/>
  <c r="F162" i="15"/>
  <c r="F161" i="15"/>
  <c r="H161" i="15" s="1"/>
  <c r="F160" i="15"/>
  <c r="H160" i="15" s="1"/>
  <c r="F159" i="15"/>
  <c r="F158" i="15"/>
  <c r="G158" i="15" s="1"/>
  <c r="F157" i="15"/>
  <c r="H157" i="15" s="1"/>
  <c r="F156" i="15"/>
  <c r="H156" i="15" s="1"/>
  <c r="F155" i="15"/>
  <c r="H155" i="15" s="1"/>
  <c r="F154" i="15"/>
  <c r="H153" i="15"/>
  <c r="F152" i="15"/>
  <c r="H152" i="15" s="1"/>
  <c r="F151" i="15"/>
  <c r="H151" i="15" s="1"/>
  <c r="F150" i="15"/>
  <c r="H150" i="15" s="1"/>
  <c r="F149" i="15"/>
  <c r="F148" i="15"/>
  <c r="H148" i="15" s="1"/>
  <c r="F147" i="15"/>
  <c r="F146" i="15"/>
  <c r="H146" i="15" s="1"/>
  <c r="F145" i="15"/>
  <c r="F144" i="15"/>
  <c r="F143" i="15"/>
  <c r="F142" i="15"/>
  <c r="F141" i="15"/>
  <c r="F140" i="15"/>
  <c r="H140" i="15" s="1"/>
  <c r="F139" i="15"/>
  <c r="H139" i="15" s="1"/>
  <c r="F138" i="15"/>
  <c r="F137" i="15"/>
  <c r="F136" i="15"/>
  <c r="H136" i="15" s="1"/>
  <c r="F135" i="15"/>
  <c r="F134" i="15"/>
  <c r="H134" i="15" s="1"/>
  <c r="F133" i="15"/>
  <c r="H133" i="15" s="1"/>
  <c r="F132" i="15"/>
  <c r="H132" i="15" s="1"/>
  <c r="F131" i="15"/>
  <c r="H131" i="15" s="1"/>
  <c r="F130" i="15"/>
  <c r="F129" i="15"/>
  <c r="H129" i="15" s="1"/>
  <c r="F128" i="15"/>
  <c r="F127" i="15"/>
  <c r="F126" i="15"/>
  <c r="F125" i="15"/>
  <c r="F124" i="15"/>
  <c r="F123" i="15"/>
  <c r="F122" i="15"/>
  <c r="F121" i="15"/>
  <c r="H121" i="15" s="1"/>
  <c r="F120" i="15"/>
  <c r="F119" i="15"/>
  <c r="F118" i="15"/>
  <c r="H118" i="15" s="1"/>
  <c r="F117" i="15"/>
  <c r="H117" i="15" s="1"/>
  <c r="F116" i="15"/>
  <c r="H116" i="15" s="1"/>
  <c r="F115" i="15"/>
  <c r="H115" i="15" s="1"/>
  <c r="F114" i="15"/>
  <c r="G114" i="15" s="1"/>
  <c r="F113" i="15"/>
  <c r="F112" i="15"/>
  <c r="F111" i="15"/>
  <c r="H111" i="15" s="1"/>
  <c r="F110" i="15"/>
  <c r="F109" i="15"/>
  <c r="H109" i="15" s="1"/>
  <c r="F108" i="15"/>
  <c r="H108" i="15" s="1"/>
  <c r="F107" i="15"/>
  <c r="F106" i="15"/>
  <c r="F105" i="15"/>
  <c r="F104" i="15"/>
  <c r="F103" i="15"/>
  <c r="F102" i="15"/>
  <c r="F101" i="15"/>
  <c r="F100" i="15"/>
  <c r="F99" i="15"/>
  <c r="H99" i="15" s="1"/>
  <c r="F98" i="15"/>
  <c r="H98" i="15" s="1"/>
  <c r="F97" i="15"/>
  <c r="H97" i="15" s="1"/>
  <c r="F96" i="15"/>
  <c r="H96" i="15" s="1"/>
  <c r="F95" i="15"/>
  <c r="H95" i="15" s="1"/>
  <c r="F94" i="15"/>
  <c r="F93" i="15"/>
  <c r="G93" i="15" s="1"/>
  <c r="F92" i="15"/>
  <c r="F91" i="15"/>
  <c r="F90" i="15"/>
  <c r="H90" i="15" s="1"/>
  <c r="F89" i="15"/>
  <c r="H89" i="15" s="1"/>
  <c r="F88" i="15"/>
  <c r="F87" i="15"/>
  <c r="H87" i="15" s="1"/>
  <c r="F86" i="15"/>
  <c r="F85" i="15"/>
  <c r="F84" i="15"/>
  <c r="H84" i="15" s="1"/>
  <c r="F83" i="15"/>
  <c r="H83" i="15" s="1"/>
  <c r="F82" i="15"/>
  <c r="H82" i="15" s="1"/>
  <c r="F81" i="15"/>
  <c r="F80" i="15"/>
  <c r="F79" i="15"/>
  <c r="F78" i="15"/>
  <c r="H78" i="15" s="1"/>
  <c r="F77" i="15"/>
  <c r="F76" i="15"/>
  <c r="F75" i="15"/>
  <c r="F74" i="15"/>
  <c r="H74" i="15" s="1"/>
  <c r="F73" i="15"/>
  <c r="F72" i="15"/>
  <c r="H72" i="15" s="1"/>
  <c r="F71" i="15"/>
  <c r="F70" i="15"/>
  <c r="H70" i="15" s="1"/>
  <c r="F69" i="15"/>
  <c r="F68" i="15"/>
  <c r="F67" i="15"/>
  <c r="H67" i="15" s="1"/>
  <c r="F66" i="15"/>
  <c r="F65" i="15"/>
  <c r="H65" i="15" s="1"/>
  <c r="F64" i="15"/>
  <c r="H64" i="15" s="1"/>
  <c r="F63" i="15"/>
  <c r="H63" i="15" s="1"/>
  <c r="F62" i="15"/>
  <c r="F61" i="15"/>
  <c r="F60" i="15"/>
  <c r="H60" i="15" s="1"/>
  <c r="F59" i="15"/>
  <c r="H59" i="15" s="1"/>
  <c r="F58" i="15"/>
  <c r="F57" i="15"/>
  <c r="H57" i="15" s="1"/>
  <c r="F56" i="15"/>
  <c r="F55" i="15"/>
  <c r="F54" i="15"/>
  <c r="H54" i="15" s="1"/>
  <c r="F53" i="15"/>
  <c r="F52" i="15"/>
  <c r="F51" i="15"/>
  <c r="H51" i="15" s="1"/>
  <c r="F50" i="15"/>
  <c r="F49" i="15"/>
  <c r="F48" i="15"/>
  <c r="F47" i="15"/>
  <c r="H47" i="15" s="1"/>
  <c r="F46" i="15"/>
  <c r="H46" i="15" s="1"/>
  <c r="F45" i="15"/>
  <c r="H45" i="15" s="1"/>
  <c r="F44" i="15"/>
  <c r="F43" i="15"/>
  <c r="F42" i="15"/>
  <c r="H42" i="15" s="1"/>
  <c r="F41" i="15"/>
  <c r="F40" i="15"/>
  <c r="F39" i="15"/>
  <c r="H39" i="15" s="1"/>
  <c r="F38" i="15"/>
  <c r="F37" i="15"/>
  <c r="H37" i="15" s="1"/>
  <c r="F36" i="15"/>
  <c r="F35" i="15"/>
  <c r="F34" i="15"/>
  <c r="H34" i="15" s="1"/>
  <c r="F33" i="15"/>
  <c r="H33" i="15" s="1"/>
  <c r="F32" i="15"/>
  <c r="F31" i="15"/>
  <c r="F30" i="15"/>
  <c r="F29" i="15"/>
  <c r="F28" i="15"/>
  <c r="H28" i="15" s="1"/>
  <c r="F27" i="15"/>
  <c r="H27" i="15" s="1"/>
  <c r="F26" i="15"/>
  <c r="H26" i="15" s="1"/>
  <c r="F25" i="15"/>
  <c r="F24" i="15"/>
  <c r="H24" i="15" s="1"/>
  <c r="F23" i="15"/>
  <c r="H23" i="15" s="1"/>
  <c r="F22" i="15"/>
  <c r="F21" i="15"/>
  <c r="F20" i="15"/>
  <c r="G20" i="15" s="1"/>
  <c r="F19" i="15"/>
  <c r="F18" i="15"/>
  <c r="H18" i="15" s="1"/>
  <c r="F17" i="15"/>
  <c r="H17" i="15" s="1"/>
  <c r="F16" i="15"/>
  <c r="H16" i="15" s="1"/>
  <c r="F15" i="15"/>
  <c r="G15" i="15" s="1"/>
  <c r="F14" i="15"/>
  <c r="F13" i="15"/>
  <c r="F12" i="15"/>
  <c r="H12" i="15" s="1"/>
  <c r="F11" i="15"/>
  <c r="F10" i="15"/>
  <c r="H10" i="15" s="1"/>
  <c r="F9" i="15"/>
  <c r="F8" i="15"/>
  <c r="H8" i="15" s="1"/>
  <c r="F7" i="15"/>
  <c r="H7" i="15" s="1"/>
  <c r="F6" i="15"/>
  <c r="H6" i="15" s="1"/>
  <c r="F5" i="15"/>
  <c r="H5" i="15" s="1"/>
  <c r="F4" i="15"/>
  <c r="G4" i="15" s="1"/>
  <c r="G80" i="15" l="1"/>
  <c r="H80" i="15" s="1"/>
  <c r="G177" i="15"/>
  <c r="H177" i="15" s="1"/>
  <c r="G289" i="15"/>
  <c r="H289" i="15" s="1"/>
  <c r="G66" i="15"/>
  <c r="H66" i="15" s="1"/>
  <c r="G130" i="15"/>
  <c r="H130" i="15" s="1"/>
  <c r="G162" i="15"/>
  <c r="H162" i="15" s="1"/>
  <c r="G210" i="15"/>
  <c r="H210" i="15" s="1"/>
  <c r="G290" i="15"/>
  <c r="H290" i="15" s="1"/>
  <c r="G178" i="15"/>
  <c r="H178" i="15" s="1"/>
  <c r="G35" i="15"/>
  <c r="H35" i="15" s="1"/>
  <c r="G147" i="15"/>
  <c r="H147" i="15" s="1"/>
  <c r="G179" i="15"/>
  <c r="H179" i="15" s="1"/>
  <c r="G291" i="15"/>
  <c r="H291" i="15" s="1"/>
  <c r="G52" i="15"/>
  <c r="H52" i="15" s="1"/>
  <c r="G68" i="15"/>
  <c r="H68" i="15" s="1"/>
  <c r="G244" i="15"/>
  <c r="H244" i="15" s="1"/>
  <c r="G260" i="15"/>
  <c r="H260" i="15" s="1"/>
  <c r="G293" i="15"/>
  <c r="H293" i="15" s="1"/>
  <c r="G81" i="15"/>
  <c r="H81" i="15" s="1"/>
  <c r="G71" i="15"/>
  <c r="H71" i="15" s="1"/>
  <c r="G135" i="15"/>
  <c r="H135" i="15" s="1"/>
  <c r="G113" i="15"/>
  <c r="H113" i="15" s="1"/>
  <c r="G102" i="15"/>
  <c r="H102" i="15" s="1"/>
  <c r="G56" i="15"/>
  <c r="H56" i="15" s="1"/>
  <c r="G88" i="15"/>
  <c r="H88" i="15" s="1"/>
  <c r="G120" i="15"/>
  <c r="H120" i="15" s="1"/>
  <c r="G264" i="15"/>
  <c r="H264" i="15" s="1"/>
  <c r="G296" i="15"/>
  <c r="H296" i="15" s="1"/>
  <c r="G230" i="15"/>
  <c r="H230" i="15" s="1"/>
  <c r="G137" i="15"/>
  <c r="H137" i="15" s="1"/>
  <c r="G169" i="15"/>
  <c r="H169" i="15" s="1"/>
  <c r="G185" i="15"/>
  <c r="H185" i="15" s="1"/>
  <c r="G265" i="15"/>
  <c r="H265" i="15" s="1"/>
  <c r="G297" i="15"/>
  <c r="H297" i="15" s="1"/>
  <c r="G149" i="15"/>
  <c r="H149" i="15" s="1"/>
  <c r="G282" i="15"/>
  <c r="H282" i="15" s="1"/>
  <c r="G145" i="15"/>
  <c r="H145" i="15" s="1"/>
  <c r="G41" i="15"/>
  <c r="H41" i="15" s="1"/>
  <c r="G11" i="15"/>
  <c r="H11" i="15" s="1"/>
  <c r="G43" i="15"/>
  <c r="H43" i="15" s="1"/>
  <c r="G75" i="15"/>
  <c r="H75" i="15" s="1"/>
  <c r="G165" i="15"/>
  <c r="H165" i="15" s="1"/>
  <c r="G22" i="15"/>
  <c r="H22" i="15" s="1"/>
  <c r="G166" i="15"/>
  <c r="H166" i="15" s="1"/>
  <c r="G182" i="15"/>
  <c r="H182" i="15" s="1"/>
  <c r="G198" i="15"/>
  <c r="H198" i="15" s="1"/>
  <c r="G44" i="15"/>
  <c r="H44" i="15" s="1"/>
  <c r="G76" i="15"/>
  <c r="H76" i="15" s="1"/>
  <c r="G92" i="15"/>
  <c r="H92" i="15" s="1"/>
  <c r="G124" i="15"/>
  <c r="H124" i="15" s="1"/>
  <c r="G188" i="15"/>
  <c r="H188" i="15" s="1"/>
  <c r="G204" i="15"/>
  <c r="H204" i="15" s="1"/>
  <c r="G220" i="15"/>
  <c r="H220" i="15" s="1"/>
  <c r="G236" i="15"/>
  <c r="H236" i="15" s="1"/>
  <c r="G300" i="15"/>
  <c r="H300" i="15" s="1"/>
  <c r="G49" i="15"/>
  <c r="H49" i="15" s="1"/>
  <c r="G25" i="15"/>
  <c r="H25" i="15" s="1"/>
  <c r="G13" i="15"/>
  <c r="H13" i="15" s="1"/>
  <c r="G77" i="15"/>
  <c r="H77" i="15" s="1"/>
  <c r="G285" i="15"/>
  <c r="H285" i="15" s="1"/>
  <c r="G301" i="15"/>
  <c r="H301" i="15" s="1"/>
  <c r="G9" i="15"/>
  <c r="H9" i="15" s="1"/>
  <c r="G29" i="15"/>
  <c r="H29" i="15" s="1"/>
  <c r="G14" i="15"/>
  <c r="H14" i="15" s="1"/>
  <c r="G30" i="15"/>
  <c r="H30" i="15" s="1"/>
  <c r="G62" i="15"/>
  <c r="H62" i="15" s="1"/>
  <c r="G110" i="15"/>
  <c r="H110" i="15" s="1"/>
  <c r="G126" i="15"/>
  <c r="H126" i="15" s="1"/>
  <c r="G190" i="15"/>
  <c r="H190" i="15" s="1"/>
  <c r="G206" i="15"/>
  <c r="H206" i="15" s="1"/>
  <c r="G270" i="15"/>
  <c r="H270" i="15" s="1"/>
  <c r="G143" i="15"/>
  <c r="H143" i="15" s="1"/>
  <c r="G159" i="15"/>
  <c r="H159" i="15" s="1"/>
  <c r="G207" i="15"/>
  <c r="H207" i="15" s="1"/>
  <c r="G239" i="15"/>
  <c r="H239" i="15" s="1"/>
  <c r="G255" i="15"/>
  <c r="H255" i="15" s="1"/>
  <c r="G271" i="15"/>
  <c r="H271" i="15" s="1"/>
  <c r="G53" i="15"/>
  <c r="H53" i="15" s="1"/>
  <c r="G168" i="15"/>
  <c r="H168" i="15" s="1"/>
  <c r="G144" i="15"/>
  <c r="H144" i="15" s="1"/>
  <c r="G125" i="15"/>
  <c r="H125" i="15" s="1"/>
  <c r="G142" i="15"/>
  <c r="H142" i="15" s="1"/>
  <c r="G19" i="15"/>
  <c r="H19" i="15" s="1"/>
  <c r="G288" i="15"/>
  <c r="H288" i="15" s="1"/>
  <c r="G101" i="15"/>
  <c r="H101" i="15" s="1"/>
  <c r="G261" i="15"/>
  <c r="H261" i="15" s="1"/>
  <c r="G104" i="15"/>
  <c r="H104" i="15" s="1"/>
  <c r="G105" i="15"/>
  <c r="H105" i="15" s="1"/>
  <c r="G128" i="15"/>
  <c r="H128" i="15" s="1"/>
  <c r="G192" i="15"/>
  <c r="H192" i="15" s="1"/>
  <c r="G219" i="15"/>
  <c r="H219" i="15" s="1"/>
  <c r="G193" i="15"/>
  <c r="H193" i="15" s="1"/>
  <c r="G269" i="15"/>
  <c r="H269" i="15" s="1"/>
  <c r="G86" i="15"/>
  <c r="H86" i="15" s="1"/>
  <c r="G94" i="15"/>
  <c r="H94" i="15" s="1"/>
  <c r="G31" i="15"/>
  <c r="H31" i="15" s="1"/>
  <c r="G253" i="15"/>
  <c r="H253" i="15" s="1"/>
  <c r="G276" i="15"/>
  <c r="H276" i="15" s="1"/>
  <c r="G243" i="15"/>
  <c r="H243" i="15" s="1"/>
  <c r="G199" i="15"/>
  <c r="H199" i="15" s="1"/>
  <c r="G280" i="15"/>
  <c r="H280" i="15" s="1"/>
  <c r="G69" i="15"/>
  <c r="H69" i="15" s="1"/>
  <c r="G299" i="15"/>
  <c r="H299" i="15" s="1"/>
  <c r="G172" i="15"/>
  <c r="H172" i="15" s="1"/>
  <c r="G141" i="15"/>
  <c r="H141" i="15" s="1"/>
  <c r="G175" i="15"/>
  <c r="H175" i="15" s="1"/>
  <c r="G277" i="15"/>
  <c r="H277" i="15" s="1"/>
  <c r="G123" i="15"/>
  <c r="H123" i="15" s="1"/>
  <c r="G21" i="15"/>
  <c r="H21" i="15" s="1"/>
  <c r="G273" i="15"/>
  <c r="H273" i="15" s="1"/>
  <c r="G122" i="15"/>
  <c r="H122" i="15" s="1"/>
  <c r="G138" i="15"/>
  <c r="H138" i="15" s="1"/>
  <c r="G298" i="15"/>
  <c r="H298" i="15" s="1"/>
  <c r="G36" i="15"/>
  <c r="H36" i="15" s="1"/>
  <c r="G100" i="15"/>
  <c r="H100" i="15" s="1"/>
  <c r="G284" i="15"/>
  <c r="H284" i="15" s="1"/>
  <c r="G292" i="15"/>
  <c r="H292" i="15" s="1"/>
  <c r="N71" i="15"/>
  <c r="G61" i="15"/>
  <c r="H61" i="15" s="1"/>
  <c r="G85" i="15"/>
  <c r="H85" i="15" s="1"/>
  <c r="G189" i="15"/>
  <c r="H189" i="15" s="1"/>
  <c r="G205" i="15"/>
  <c r="H205" i="15" s="1"/>
  <c r="G213" i="15"/>
  <c r="H213" i="15" s="1"/>
  <c r="G245" i="15"/>
  <c r="H245" i="15" s="1"/>
  <c r="G38" i="15"/>
  <c r="H38" i="15" s="1"/>
  <c r="G238" i="15"/>
  <c r="G254" i="15"/>
  <c r="H254" i="15" s="1"/>
  <c r="G73" i="15"/>
  <c r="H73" i="15" s="1"/>
  <c r="G209" i="15"/>
  <c r="H209" i="15" s="1"/>
  <c r="G281" i="15"/>
  <c r="H281" i="15" s="1"/>
  <c r="G50" i="15"/>
  <c r="H50" i="15" s="1"/>
  <c r="G58" i="15"/>
  <c r="H58" i="15" s="1"/>
  <c r="G154" i="15"/>
  <c r="H154" i="15" s="1"/>
  <c r="G186" i="15"/>
  <c r="H186" i="15" s="1"/>
  <c r="G306" i="15"/>
  <c r="H306" i="15" s="1"/>
  <c r="G91" i="15"/>
  <c r="H91" i="15" s="1"/>
  <c r="G79" i="15"/>
  <c r="H79" i="15" s="1"/>
  <c r="G279" i="15"/>
  <c r="H279" i="15" s="1"/>
  <c r="G303" i="15"/>
  <c r="H303" i="15" s="1"/>
  <c r="G32" i="15"/>
  <c r="H32" i="15" s="1"/>
  <c r="G40" i="15"/>
  <c r="H40" i="15" s="1"/>
  <c r="G48" i="15"/>
  <c r="H48" i="15" s="1"/>
  <c r="G112" i="15"/>
  <c r="H112" i="15" s="1"/>
  <c r="G176" i="15"/>
  <c r="H176" i="15" s="1"/>
  <c r="G256" i="15"/>
  <c r="H256" i="15" s="1"/>
  <c r="G257" i="15"/>
  <c r="H257" i="15" s="1"/>
  <c r="G55" i="15"/>
  <c r="H55" i="15" s="1"/>
  <c r="G106" i="15"/>
  <c r="H106" i="15" s="1"/>
  <c r="G103" i="15"/>
  <c r="H103" i="15" s="1"/>
  <c r="H203" i="15"/>
  <c r="G250" i="15"/>
  <c r="H250" i="15" s="1"/>
  <c r="H158" i="15"/>
  <c r="G275" i="15"/>
  <c r="H275" i="15" s="1"/>
  <c r="H15" i="15"/>
  <c r="G127" i="15"/>
  <c r="H127" i="15" s="1"/>
  <c r="G167" i="15"/>
  <c r="H167" i="15" s="1"/>
  <c r="H287" i="15"/>
  <c r="G302" i="15"/>
  <c r="H302" i="15" s="1"/>
  <c r="G107" i="15"/>
  <c r="H107" i="15" s="1"/>
  <c r="H119" i="15"/>
  <c r="H114" i="15"/>
  <c r="H93" i="15"/>
  <c r="H286" i="15"/>
  <c r="F309" i="15"/>
  <c r="H20" i="15"/>
  <c r="H4" i="15"/>
  <c r="H309" i="15" l="1"/>
  <c r="H17" i="8" s="1"/>
  <c r="H238" i="15"/>
  <c r="G311" i="15"/>
  <c r="G309" i="15"/>
  <c r="F310" i="15" l="1"/>
  <c r="H311" i="15"/>
  <c r="I311" i="15" s="1"/>
  <c r="D15" i="14" l="1"/>
  <c r="E15" i="1"/>
  <c r="D25" i="14" l="1"/>
  <c r="D24" i="14"/>
  <c r="D22" i="14"/>
  <c r="D21" i="14"/>
  <c r="D20" i="14"/>
  <c r="D19" i="14"/>
  <c r="D312" i="13" l="1"/>
  <c r="Z311" i="13"/>
  <c r="X311" i="13"/>
  <c r="V311" i="13"/>
  <c r="T311" i="13"/>
  <c r="R311" i="13"/>
  <c r="F311" i="13"/>
  <c r="H311" i="13" s="1"/>
  <c r="Z310" i="13"/>
  <c r="X310" i="13"/>
  <c r="V310" i="13"/>
  <c r="T310" i="13"/>
  <c r="R310" i="13"/>
  <c r="F310" i="13"/>
  <c r="Z309" i="13"/>
  <c r="X309" i="13"/>
  <c r="V309" i="13"/>
  <c r="T309" i="13"/>
  <c r="R309" i="13"/>
  <c r="F309" i="13"/>
  <c r="G309" i="13" s="1"/>
  <c r="Z308" i="13"/>
  <c r="X308" i="13"/>
  <c r="V308" i="13"/>
  <c r="T308" i="13"/>
  <c r="R308" i="13"/>
  <c r="F308" i="13"/>
  <c r="H308" i="13" s="1"/>
  <c r="F307" i="13"/>
  <c r="H307" i="13" s="1"/>
  <c r="F306" i="13"/>
  <c r="F305" i="13"/>
  <c r="G305" i="13" s="1"/>
  <c r="F304" i="13"/>
  <c r="Z303" i="13"/>
  <c r="X303" i="13"/>
  <c r="V303" i="13"/>
  <c r="T303" i="13"/>
  <c r="R303" i="13"/>
  <c r="F303" i="13"/>
  <c r="H303" i="13" s="1"/>
  <c r="Z302" i="13"/>
  <c r="X302" i="13"/>
  <c r="V302" i="13"/>
  <c r="T302" i="13"/>
  <c r="R302" i="13"/>
  <c r="F302" i="13"/>
  <c r="Z301" i="13"/>
  <c r="X301" i="13"/>
  <c r="V301" i="13"/>
  <c r="T301" i="13"/>
  <c r="R301" i="13"/>
  <c r="F301" i="13"/>
  <c r="Z300" i="13"/>
  <c r="X300" i="13"/>
  <c r="V300" i="13"/>
  <c r="T300" i="13"/>
  <c r="R300" i="13"/>
  <c r="F300" i="13"/>
  <c r="Z299" i="13"/>
  <c r="X299" i="13"/>
  <c r="V299" i="13"/>
  <c r="T299" i="13"/>
  <c r="R299" i="13"/>
  <c r="F299" i="13"/>
  <c r="Z298" i="13"/>
  <c r="X298" i="13"/>
  <c r="V298" i="13"/>
  <c r="T298" i="13"/>
  <c r="R298" i="13"/>
  <c r="F298" i="13"/>
  <c r="Z297" i="13"/>
  <c r="X297" i="13"/>
  <c r="V297" i="13"/>
  <c r="T297" i="13"/>
  <c r="R297" i="13"/>
  <c r="F297" i="13"/>
  <c r="H297" i="13" s="1"/>
  <c r="Z296" i="13"/>
  <c r="X296" i="13"/>
  <c r="V296" i="13"/>
  <c r="T296" i="13"/>
  <c r="R296" i="13"/>
  <c r="F296" i="13"/>
  <c r="Z295" i="13"/>
  <c r="X295" i="13"/>
  <c r="V295" i="13"/>
  <c r="T295" i="13"/>
  <c r="R295" i="13"/>
  <c r="F295" i="13"/>
  <c r="Z294" i="13"/>
  <c r="X294" i="13"/>
  <c r="V294" i="13"/>
  <c r="T294" i="13"/>
  <c r="R294" i="13"/>
  <c r="F294" i="13"/>
  <c r="Z293" i="13"/>
  <c r="X293" i="13"/>
  <c r="V293" i="13"/>
  <c r="T293" i="13"/>
  <c r="R293" i="13"/>
  <c r="F293" i="13"/>
  <c r="Z292" i="13"/>
  <c r="X292" i="13"/>
  <c r="V292" i="13"/>
  <c r="T292" i="13"/>
  <c r="R292" i="13"/>
  <c r="F292" i="13"/>
  <c r="Z291" i="13"/>
  <c r="X291" i="13"/>
  <c r="V291" i="13"/>
  <c r="T291" i="13"/>
  <c r="R291" i="13"/>
  <c r="F291" i="13"/>
  <c r="H291" i="13" s="1"/>
  <c r="Z290" i="13"/>
  <c r="X290" i="13"/>
  <c r="V290" i="13"/>
  <c r="T290" i="13"/>
  <c r="R290" i="13"/>
  <c r="F290" i="13"/>
  <c r="Z289" i="13"/>
  <c r="X289" i="13"/>
  <c r="V289" i="13"/>
  <c r="T289" i="13"/>
  <c r="R289" i="13"/>
  <c r="F289" i="13"/>
  <c r="G289" i="13" s="1"/>
  <c r="Z288" i="13"/>
  <c r="X288" i="13"/>
  <c r="V288" i="13"/>
  <c r="T288" i="13"/>
  <c r="R288" i="13"/>
  <c r="F288" i="13"/>
  <c r="Z287" i="13"/>
  <c r="X287" i="13"/>
  <c r="V287" i="13"/>
  <c r="T287" i="13"/>
  <c r="R287" i="13"/>
  <c r="F287" i="13"/>
  <c r="Z286" i="13"/>
  <c r="X286" i="13"/>
  <c r="V286" i="13"/>
  <c r="T286" i="13"/>
  <c r="R286" i="13"/>
  <c r="F286" i="13"/>
  <c r="Z285" i="13"/>
  <c r="X285" i="13"/>
  <c r="V285" i="13"/>
  <c r="T285" i="13"/>
  <c r="R285" i="13"/>
  <c r="F285" i="13"/>
  <c r="H285" i="13" s="1"/>
  <c r="Z284" i="13"/>
  <c r="X284" i="13"/>
  <c r="V284" i="13"/>
  <c r="T284" i="13"/>
  <c r="R284" i="13"/>
  <c r="F284" i="13"/>
  <c r="Z283" i="13"/>
  <c r="X283" i="13"/>
  <c r="V283" i="13"/>
  <c r="T283" i="13"/>
  <c r="R283" i="13"/>
  <c r="F283" i="13"/>
  <c r="H283" i="13" s="1"/>
  <c r="Z282" i="13"/>
  <c r="X282" i="13"/>
  <c r="V282" i="13"/>
  <c r="T282" i="13"/>
  <c r="R282" i="13"/>
  <c r="F282" i="13"/>
  <c r="H282" i="13" s="1"/>
  <c r="Z281" i="13"/>
  <c r="X281" i="13"/>
  <c r="V281" i="13"/>
  <c r="T281" i="13"/>
  <c r="R281" i="13"/>
  <c r="F281" i="13"/>
  <c r="Z280" i="13"/>
  <c r="X280" i="13"/>
  <c r="V280" i="13"/>
  <c r="T280" i="13"/>
  <c r="R280" i="13"/>
  <c r="F280" i="13"/>
  <c r="H280" i="13" s="1"/>
  <c r="Z279" i="13"/>
  <c r="X279" i="13"/>
  <c r="V279" i="13"/>
  <c r="T279" i="13"/>
  <c r="R279" i="13"/>
  <c r="F279" i="13"/>
  <c r="Z278" i="13"/>
  <c r="X278" i="13"/>
  <c r="V278" i="13"/>
  <c r="T278" i="13"/>
  <c r="R278" i="13"/>
  <c r="F278" i="13"/>
  <c r="Z277" i="13"/>
  <c r="X277" i="13"/>
  <c r="V277" i="13"/>
  <c r="T277" i="13"/>
  <c r="R277" i="13"/>
  <c r="F277" i="13"/>
  <c r="G277" i="13" s="1"/>
  <c r="Z276" i="13"/>
  <c r="X276" i="13"/>
  <c r="V276" i="13"/>
  <c r="T276" i="13"/>
  <c r="R276" i="13"/>
  <c r="F276" i="13"/>
  <c r="H276" i="13" s="1"/>
  <c r="Z275" i="13"/>
  <c r="X275" i="13"/>
  <c r="V275" i="13"/>
  <c r="T275" i="13"/>
  <c r="R275" i="13"/>
  <c r="F275" i="13"/>
  <c r="G275" i="13" s="1"/>
  <c r="Z274" i="13"/>
  <c r="X274" i="13"/>
  <c r="V274" i="13"/>
  <c r="T274" i="13"/>
  <c r="R274" i="13"/>
  <c r="F274" i="13"/>
  <c r="Z273" i="13"/>
  <c r="X273" i="13"/>
  <c r="V273" i="13"/>
  <c r="T273" i="13"/>
  <c r="R273" i="13"/>
  <c r="F273" i="13"/>
  <c r="Z272" i="13"/>
  <c r="X272" i="13"/>
  <c r="V272" i="13"/>
  <c r="T272" i="13"/>
  <c r="R272" i="13"/>
  <c r="F272" i="13"/>
  <c r="Z271" i="13"/>
  <c r="X271" i="13"/>
  <c r="V271" i="13"/>
  <c r="T271" i="13"/>
  <c r="R271" i="13"/>
  <c r="F271" i="13"/>
  <c r="Z270" i="13"/>
  <c r="X270" i="13"/>
  <c r="V270" i="13"/>
  <c r="T270" i="13"/>
  <c r="R270" i="13"/>
  <c r="F270" i="13"/>
  <c r="H270" i="13" s="1"/>
  <c r="Z269" i="13"/>
  <c r="X269" i="13"/>
  <c r="V269" i="13"/>
  <c r="T269" i="13"/>
  <c r="R269" i="13"/>
  <c r="F269" i="13"/>
  <c r="G269" i="13" s="1"/>
  <c r="Z268" i="13"/>
  <c r="X268" i="13"/>
  <c r="V268" i="13"/>
  <c r="T268" i="13"/>
  <c r="R268" i="13"/>
  <c r="F268" i="13"/>
  <c r="H268" i="13" s="1"/>
  <c r="Z267" i="13"/>
  <c r="X267" i="13"/>
  <c r="V267" i="13"/>
  <c r="T267" i="13"/>
  <c r="R267" i="13"/>
  <c r="F267" i="13"/>
  <c r="F266" i="13"/>
  <c r="Z265" i="13"/>
  <c r="X265" i="13"/>
  <c r="V265" i="13"/>
  <c r="T265" i="13"/>
  <c r="R265" i="13"/>
  <c r="F265" i="13"/>
  <c r="H265" i="13" s="1"/>
  <c r="Z264" i="13"/>
  <c r="X264" i="13"/>
  <c r="V264" i="13"/>
  <c r="T264" i="13"/>
  <c r="R264" i="13"/>
  <c r="F264" i="13"/>
  <c r="H264" i="13" s="1"/>
  <c r="Z263" i="13"/>
  <c r="X263" i="13"/>
  <c r="V263" i="13"/>
  <c r="T263" i="13"/>
  <c r="R263" i="13"/>
  <c r="F263" i="13"/>
  <c r="F262" i="13"/>
  <c r="Z261" i="13"/>
  <c r="X261" i="13"/>
  <c r="V261" i="13"/>
  <c r="T261" i="13"/>
  <c r="R261" i="13"/>
  <c r="F261" i="13"/>
  <c r="Z260" i="13"/>
  <c r="X260" i="13"/>
  <c r="V260" i="13"/>
  <c r="T260" i="13"/>
  <c r="R260" i="13"/>
  <c r="F260" i="13"/>
  <c r="H260" i="13" s="1"/>
  <c r="Z259" i="13"/>
  <c r="X259" i="13"/>
  <c r="V259" i="13"/>
  <c r="T259" i="13"/>
  <c r="R259" i="13"/>
  <c r="F259" i="13"/>
  <c r="F258" i="13"/>
  <c r="Z257" i="13"/>
  <c r="X257" i="13"/>
  <c r="V257" i="13"/>
  <c r="T257" i="13"/>
  <c r="R257" i="13"/>
  <c r="F257" i="13"/>
  <c r="Z256" i="13"/>
  <c r="X256" i="13"/>
  <c r="V256" i="13"/>
  <c r="T256" i="13"/>
  <c r="R256" i="13"/>
  <c r="F256" i="13"/>
  <c r="H256" i="13" s="1"/>
  <c r="Z255" i="13"/>
  <c r="X255" i="13"/>
  <c r="V255" i="13"/>
  <c r="T255" i="13"/>
  <c r="R255" i="13"/>
  <c r="F255" i="13"/>
  <c r="Z254" i="13"/>
  <c r="X254" i="13"/>
  <c r="V254" i="13"/>
  <c r="T254" i="13"/>
  <c r="R254" i="13"/>
  <c r="F254" i="13"/>
  <c r="H254" i="13" s="1"/>
  <c r="Z253" i="13"/>
  <c r="X253" i="13"/>
  <c r="V253" i="13"/>
  <c r="T253" i="13"/>
  <c r="R253" i="13"/>
  <c r="F253" i="13"/>
  <c r="Z252" i="13"/>
  <c r="X252" i="13"/>
  <c r="V252" i="13"/>
  <c r="T252" i="13"/>
  <c r="R252" i="13"/>
  <c r="F252" i="13"/>
  <c r="G252" i="13" s="1"/>
  <c r="Z251" i="13"/>
  <c r="X251" i="13"/>
  <c r="V251" i="13"/>
  <c r="T251" i="13"/>
  <c r="R251" i="13"/>
  <c r="F251" i="13"/>
  <c r="Z250" i="13"/>
  <c r="X250" i="13"/>
  <c r="V250" i="13"/>
  <c r="T250" i="13"/>
  <c r="R250" i="13"/>
  <c r="F250" i="13"/>
  <c r="H250" i="13" s="1"/>
  <c r="Z249" i="13"/>
  <c r="X249" i="13"/>
  <c r="V249" i="13"/>
  <c r="T249" i="13"/>
  <c r="R249" i="13"/>
  <c r="F249" i="13"/>
  <c r="H249" i="13" s="1"/>
  <c r="Z248" i="13"/>
  <c r="X248" i="13"/>
  <c r="V248" i="13"/>
  <c r="T248" i="13"/>
  <c r="R248" i="13"/>
  <c r="F248" i="13"/>
  <c r="H248" i="13" s="1"/>
  <c r="Z247" i="13"/>
  <c r="X247" i="13"/>
  <c r="V247" i="13"/>
  <c r="T247" i="13"/>
  <c r="R247" i="13"/>
  <c r="F247" i="13"/>
  <c r="Z246" i="13"/>
  <c r="X246" i="13"/>
  <c r="V246" i="13"/>
  <c r="T246" i="13"/>
  <c r="R246" i="13"/>
  <c r="F246" i="13"/>
  <c r="Z245" i="13"/>
  <c r="X245" i="13"/>
  <c r="V245" i="13"/>
  <c r="T245" i="13"/>
  <c r="R245" i="13"/>
  <c r="F245" i="13"/>
  <c r="Z244" i="13"/>
  <c r="X244" i="13"/>
  <c r="V244" i="13"/>
  <c r="T244" i="13"/>
  <c r="R244" i="13"/>
  <c r="F244" i="13"/>
  <c r="H244" i="13" s="1"/>
  <c r="Z243" i="13"/>
  <c r="X243" i="13"/>
  <c r="V243" i="13"/>
  <c r="T243" i="13"/>
  <c r="R243" i="13"/>
  <c r="F243" i="13"/>
  <c r="H243" i="13" s="1"/>
  <c r="Z242" i="13"/>
  <c r="X242" i="13"/>
  <c r="V242" i="13"/>
  <c r="T242" i="13"/>
  <c r="R242" i="13"/>
  <c r="F242" i="13"/>
  <c r="H242" i="13" s="1"/>
  <c r="Z241" i="13"/>
  <c r="X241" i="13"/>
  <c r="V241" i="13"/>
  <c r="T241" i="13"/>
  <c r="R241" i="13"/>
  <c r="F241" i="13"/>
  <c r="Z240" i="13"/>
  <c r="X240" i="13"/>
  <c r="V240" i="13"/>
  <c r="T240" i="13"/>
  <c r="R240" i="13"/>
  <c r="F240" i="13"/>
  <c r="Z239" i="13"/>
  <c r="X239" i="13"/>
  <c r="V239" i="13"/>
  <c r="T239" i="13"/>
  <c r="R239" i="13"/>
  <c r="F239" i="13"/>
  <c r="H239" i="13" s="1"/>
  <c r="F238" i="13"/>
  <c r="Z237" i="13"/>
  <c r="X237" i="13"/>
  <c r="V237" i="13"/>
  <c r="T237" i="13"/>
  <c r="R237" i="13"/>
  <c r="F237" i="13"/>
  <c r="H237" i="13" s="1"/>
  <c r="Z236" i="13"/>
  <c r="X236" i="13"/>
  <c r="V236" i="13"/>
  <c r="T236" i="13"/>
  <c r="R236" i="13"/>
  <c r="F236" i="13"/>
  <c r="H236" i="13" s="1"/>
  <c r="Z235" i="13"/>
  <c r="X235" i="13"/>
  <c r="V235" i="13"/>
  <c r="T235" i="13"/>
  <c r="R235" i="13"/>
  <c r="F235" i="13"/>
  <c r="H235" i="13" s="1"/>
  <c r="Z234" i="13"/>
  <c r="X234" i="13"/>
  <c r="V234" i="13"/>
  <c r="T234" i="13"/>
  <c r="R234" i="13"/>
  <c r="F234" i="13"/>
  <c r="H234" i="13" s="1"/>
  <c r="Z233" i="13"/>
  <c r="X233" i="13"/>
  <c r="V233" i="13"/>
  <c r="T233" i="13"/>
  <c r="R233" i="13"/>
  <c r="F233" i="13"/>
  <c r="Z232" i="13"/>
  <c r="X232" i="13"/>
  <c r="V232" i="13"/>
  <c r="T232" i="13"/>
  <c r="R232" i="13"/>
  <c r="F232" i="13"/>
  <c r="Z231" i="13"/>
  <c r="X231" i="13"/>
  <c r="V231" i="13"/>
  <c r="T231" i="13"/>
  <c r="R231" i="13"/>
  <c r="F231" i="13"/>
  <c r="H231" i="13" s="1"/>
  <c r="Z230" i="13"/>
  <c r="X230" i="13"/>
  <c r="V230" i="13"/>
  <c r="T230" i="13"/>
  <c r="R230" i="13"/>
  <c r="F230" i="13"/>
  <c r="H230" i="13" s="1"/>
  <c r="Z229" i="13"/>
  <c r="X229" i="13"/>
  <c r="V229" i="13"/>
  <c r="T229" i="13"/>
  <c r="R229" i="13"/>
  <c r="F229" i="13"/>
  <c r="H229" i="13" s="1"/>
  <c r="Z228" i="13"/>
  <c r="X228" i="13"/>
  <c r="V228" i="13"/>
  <c r="T228" i="13"/>
  <c r="R228" i="13"/>
  <c r="F228" i="13"/>
  <c r="H228" i="13" s="1"/>
  <c r="Z227" i="13"/>
  <c r="X227" i="13"/>
  <c r="V227" i="13"/>
  <c r="T227" i="13"/>
  <c r="R227" i="13"/>
  <c r="F227" i="13"/>
  <c r="H227" i="13" s="1"/>
  <c r="Z226" i="13"/>
  <c r="X226" i="13"/>
  <c r="V226" i="13"/>
  <c r="T226" i="13"/>
  <c r="R226" i="13"/>
  <c r="F226" i="13"/>
  <c r="H226" i="13" s="1"/>
  <c r="Z225" i="13"/>
  <c r="X225" i="13"/>
  <c r="V225" i="13"/>
  <c r="T225" i="13"/>
  <c r="R225" i="13"/>
  <c r="F225" i="13"/>
  <c r="Z224" i="13"/>
  <c r="X224" i="13"/>
  <c r="V224" i="13"/>
  <c r="T224" i="13"/>
  <c r="R224" i="13"/>
  <c r="F224" i="13"/>
  <c r="H224" i="13" s="1"/>
  <c r="Z223" i="13"/>
  <c r="X223" i="13"/>
  <c r="V223" i="13"/>
  <c r="T223" i="13"/>
  <c r="R223" i="13"/>
  <c r="F223" i="13"/>
  <c r="G223" i="13" s="1"/>
  <c r="F222" i="13"/>
  <c r="H222" i="13" s="1"/>
  <c r="Z221" i="13"/>
  <c r="X221" i="13"/>
  <c r="V221" i="13"/>
  <c r="T221" i="13"/>
  <c r="R221" i="13"/>
  <c r="F221" i="13"/>
  <c r="Z220" i="13"/>
  <c r="X220" i="13"/>
  <c r="V220" i="13"/>
  <c r="T220" i="13"/>
  <c r="R220" i="13"/>
  <c r="F220" i="13"/>
  <c r="Z219" i="13"/>
  <c r="X219" i="13"/>
  <c r="V219" i="13"/>
  <c r="T219" i="13"/>
  <c r="R219" i="13"/>
  <c r="F219" i="13"/>
  <c r="Z218" i="13"/>
  <c r="X218" i="13"/>
  <c r="V218" i="13"/>
  <c r="T218" i="13"/>
  <c r="R218" i="13"/>
  <c r="F218" i="13"/>
  <c r="H218" i="13" s="1"/>
  <c r="Z217" i="13"/>
  <c r="X217" i="13"/>
  <c r="V217" i="13"/>
  <c r="T217" i="13"/>
  <c r="R217" i="13"/>
  <c r="F217" i="13"/>
  <c r="Z216" i="13"/>
  <c r="X216" i="13"/>
  <c r="V216" i="13"/>
  <c r="T216" i="13"/>
  <c r="R216" i="13"/>
  <c r="F216" i="13"/>
  <c r="H216" i="13" s="1"/>
  <c r="Z215" i="13"/>
  <c r="X215" i="13"/>
  <c r="V215" i="13"/>
  <c r="T215" i="13"/>
  <c r="R215" i="13"/>
  <c r="F215" i="13"/>
  <c r="H215" i="13" s="1"/>
  <c r="Z214" i="13"/>
  <c r="X214" i="13"/>
  <c r="V214" i="13"/>
  <c r="T214" i="13"/>
  <c r="R214" i="13"/>
  <c r="F214" i="13"/>
  <c r="H214" i="13" s="1"/>
  <c r="Z213" i="13"/>
  <c r="X213" i="13"/>
  <c r="V213" i="13"/>
  <c r="T213" i="13"/>
  <c r="R213" i="13"/>
  <c r="F213" i="13"/>
  <c r="H213" i="13" s="1"/>
  <c r="Z212" i="13"/>
  <c r="X212" i="13"/>
  <c r="V212" i="13"/>
  <c r="T212" i="13"/>
  <c r="R212" i="13"/>
  <c r="F212" i="13"/>
  <c r="H212" i="13" s="1"/>
  <c r="Z211" i="13"/>
  <c r="X211" i="13"/>
  <c r="V211" i="13"/>
  <c r="T211" i="13"/>
  <c r="R211" i="13"/>
  <c r="F211" i="13"/>
  <c r="Z210" i="13"/>
  <c r="X210" i="13"/>
  <c r="V210" i="13"/>
  <c r="T210" i="13"/>
  <c r="R210" i="13"/>
  <c r="F210" i="13"/>
  <c r="Z209" i="13"/>
  <c r="X209" i="13"/>
  <c r="V209" i="13"/>
  <c r="T209" i="13"/>
  <c r="R209" i="13"/>
  <c r="F209" i="13"/>
  <c r="H209" i="13" s="1"/>
  <c r="Z208" i="13"/>
  <c r="X208" i="13"/>
  <c r="V208" i="13"/>
  <c r="T208" i="13"/>
  <c r="R208" i="13"/>
  <c r="F208" i="13"/>
  <c r="Z207" i="13"/>
  <c r="X207" i="13"/>
  <c r="V207" i="13"/>
  <c r="T207" i="13"/>
  <c r="R207" i="13"/>
  <c r="F207" i="13"/>
  <c r="Z206" i="13"/>
  <c r="X206" i="13"/>
  <c r="V206" i="13"/>
  <c r="T206" i="13"/>
  <c r="R206" i="13"/>
  <c r="F206" i="13"/>
  <c r="G206" i="13" s="1"/>
  <c r="Z205" i="13"/>
  <c r="X205" i="13"/>
  <c r="V205" i="13"/>
  <c r="T205" i="13"/>
  <c r="R205" i="13"/>
  <c r="F205" i="13"/>
  <c r="Z204" i="13"/>
  <c r="X204" i="13"/>
  <c r="V204" i="13"/>
  <c r="T204" i="13"/>
  <c r="R204" i="13"/>
  <c r="F204" i="13"/>
  <c r="H204" i="13" s="1"/>
  <c r="Z203" i="13"/>
  <c r="X203" i="13"/>
  <c r="V203" i="13"/>
  <c r="T203" i="13"/>
  <c r="R203" i="13"/>
  <c r="F203" i="13"/>
  <c r="H203" i="13" s="1"/>
  <c r="Z202" i="13"/>
  <c r="X202" i="13"/>
  <c r="V202" i="13"/>
  <c r="T202" i="13"/>
  <c r="R202" i="13"/>
  <c r="F202" i="13"/>
  <c r="H202" i="13" s="1"/>
  <c r="Z201" i="13"/>
  <c r="X201" i="13"/>
  <c r="V201" i="13"/>
  <c r="T201" i="13"/>
  <c r="R201" i="13"/>
  <c r="F201" i="13"/>
  <c r="H201" i="13" s="1"/>
  <c r="Z200" i="13"/>
  <c r="X200" i="13"/>
  <c r="V200" i="13"/>
  <c r="T200" i="13"/>
  <c r="R200" i="13"/>
  <c r="F200" i="13"/>
  <c r="Z199" i="13"/>
  <c r="X199" i="13"/>
  <c r="V199" i="13"/>
  <c r="T199" i="13"/>
  <c r="R199" i="13"/>
  <c r="F199" i="13"/>
  <c r="Z198" i="13"/>
  <c r="X198" i="13"/>
  <c r="V198" i="13"/>
  <c r="T198" i="13"/>
  <c r="R198" i="13"/>
  <c r="F198" i="13"/>
  <c r="H198" i="13" s="1"/>
  <c r="Z197" i="13"/>
  <c r="X197" i="13"/>
  <c r="V197" i="13"/>
  <c r="T197" i="13"/>
  <c r="R197" i="13"/>
  <c r="F197" i="13"/>
  <c r="H197" i="13" s="1"/>
  <c r="Z196" i="13"/>
  <c r="X196" i="13"/>
  <c r="V196" i="13"/>
  <c r="T196" i="13"/>
  <c r="R196" i="13"/>
  <c r="F196" i="13"/>
  <c r="H196" i="13" s="1"/>
  <c r="Z195" i="13"/>
  <c r="X195" i="13"/>
  <c r="V195" i="13"/>
  <c r="T195" i="13"/>
  <c r="R195" i="13"/>
  <c r="F195" i="13"/>
  <c r="G195" i="13" s="1"/>
  <c r="Z194" i="13"/>
  <c r="X194" i="13"/>
  <c r="V194" i="13"/>
  <c r="T194" i="13"/>
  <c r="R194" i="13"/>
  <c r="F194" i="13"/>
  <c r="H194" i="13" s="1"/>
  <c r="Z193" i="13"/>
  <c r="X193" i="13"/>
  <c r="V193" i="13"/>
  <c r="T193" i="13"/>
  <c r="R193" i="13"/>
  <c r="F193" i="13"/>
  <c r="Z192" i="13"/>
  <c r="X192" i="13"/>
  <c r="V192" i="13"/>
  <c r="T192" i="13"/>
  <c r="R192" i="13"/>
  <c r="F192" i="13"/>
  <c r="Z191" i="13"/>
  <c r="X191" i="13"/>
  <c r="V191" i="13"/>
  <c r="T191" i="13"/>
  <c r="R191" i="13"/>
  <c r="F191" i="13"/>
  <c r="Z190" i="13"/>
  <c r="X190" i="13"/>
  <c r="V190" i="13"/>
  <c r="T190" i="13"/>
  <c r="R190" i="13"/>
  <c r="F190" i="13"/>
  <c r="Z189" i="13"/>
  <c r="X189" i="13"/>
  <c r="V189" i="13"/>
  <c r="T189" i="13"/>
  <c r="R189" i="13"/>
  <c r="F189" i="13"/>
  <c r="G189" i="13" s="1"/>
  <c r="Z188" i="13"/>
  <c r="X188" i="13"/>
  <c r="V188" i="13"/>
  <c r="T188" i="13"/>
  <c r="R188" i="13"/>
  <c r="F188" i="13"/>
  <c r="Z187" i="13"/>
  <c r="X187" i="13"/>
  <c r="V187" i="13"/>
  <c r="T187" i="13"/>
  <c r="R187" i="13"/>
  <c r="F187" i="13"/>
  <c r="G187" i="13" s="1"/>
  <c r="Z186" i="13"/>
  <c r="X186" i="13"/>
  <c r="V186" i="13"/>
  <c r="T186" i="13"/>
  <c r="R186" i="13"/>
  <c r="F186" i="13"/>
  <c r="Z185" i="13"/>
  <c r="X185" i="13"/>
  <c r="V185" i="13"/>
  <c r="T185" i="13"/>
  <c r="R185" i="13"/>
  <c r="F185" i="13"/>
  <c r="H185" i="13" s="1"/>
  <c r="Z184" i="13"/>
  <c r="X184" i="13"/>
  <c r="V184" i="13"/>
  <c r="T184" i="13"/>
  <c r="R184" i="13"/>
  <c r="F184" i="13"/>
  <c r="H184" i="13" s="1"/>
  <c r="Z183" i="13"/>
  <c r="X183" i="13"/>
  <c r="V183" i="13"/>
  <c r="T183" i="13"/>
  <c r="R183" i="13"/>
  <c r="F183" i="13"/>
  <c r="Z182" i="13"/>
  <c r="X182" i="13"/>
  <c r="V182" i="13"/>
  <c r="T182" i="13"/>
  <c r="R182" i="13"/>
  <c r="F182" i="13"/>
  <c r="Z181" i="13"/>
  <c r="X181" i="13"/>
  <c r="V181" i="13"/>
  <c r="T181" i="13"/>
  <c r="R181" i="13"/>
  <c r="F181" i="13"/>
  <c r="H181" i="13" s="1"/>
  <c r="F180" i="13"/>
  <c r="Z179" i="13"/>
  <c r="X179" i="13"/>
  <c r="V179" i="13"/>
  <c r="T179" i="13"/>
  <c r="R179" i="13"/>
  <c r="F179" i="13"/>
  <c r="Z178" i="13"/>
  <c r="X178" i="13"/>
  <c r="V178" i="13"/>
  <c r="T178" i="13"/>
  <c r="R178" i="13"/>
  <c r="F178" i="13"/>
  <c r="Z177" i="13"/>
  <c r="X177" i="13"/>
  <c r="V177" i="13"/>
  <c r="T177" i="13"/>
  <c r="R177" i="13"/>
  <c r="F177" i="13"/>
  <c r="H177" i="13" s="1"/>
  <c r="Z176" i="13"/>
  <c r="X176" i="13"/>
  <c r="V176" i="13"/>
  <c r="T176" i="13"/>
  <c r="R176" i="13"/>
  <c r="F176" i="13"/>
  <c r="Z175" i="13"/>
  <c r="X175" i="13"/>
  <c r="V175" i="13"/>
  <c r="T175" i="13"/>
  <c r="R175" i="13"/>
  <c r="F175" i="13"/>
  <c r="H175" i="13" s="1"/>
  <c r="Z174" i="13"/>
  <c r="X174" i="13"/>
  <c r="V174" i="13"/>
  <c r="T174" i="13"/>
  <c r="R174" i="13"/>
  <c r="F174" i="13"/>
  <c r="H174" i="13" s="1"/>
  <c r="Z173" i="13"/>
  <c r="X173" i="13"/>
  <c r="V173" i="13"/>
  <c r="T173" i="13"/>
  <c r="R173" i="13"/>
  <c r="F173" i="13"/>
  <c r="H173" i="13" s="1"/>
  <c r="Z172" i="13"/>
  <c r="X172" i="13"/>
  <c r="V172" i="13"/>
  <c r="T172" i="13"/>
  <c r="R172" i="13"/>
  <c r="F172" i="13"/>
  <c r="H172" i="13" s="1"/>
  <c r="Z171" i="13"/>
  <c r="X171" i="13"/>
  <c r="V171" i="13"/>
  <c r="T171" i="13"/>
  <c r="R171" i="13"/>
  <c r="F171" i="13"/>
  <c r="H171" i="13" s="1"/>
  <c r="Z170" i="13"/>
  <c r="X170" i="13"/>
  <c r="V170" i="13"/>
  <c r="T170" i="13"/>
  <c r="R170" i="13"/>
  <c r="F170" i="13"/>
  <c r="Z169" i="13"/>
  <c r="X169" i="13"/>
  <c r="V169" i="13"/>
  <c r="T169" i="13"/>
  <c r="R169" i="13"/>
  <c r="F169" i="13"/>
  <c r="Z168" i="13"/>
  <c r="X168" i="13"/>
  <c r="V168" i="13"/>
  <c r="T168" i="13"/>
  <c r="R168" i="13"/>
  <c r="F168" i="13"/>
  <c r="Z167" i="13"/>
  <c r="X167" i="13"/>
  <c r="V167" i="13"/>
  <c r="T167" i="13"/>
  <c r="R167" i="13"/>
  <c r="F167" i="13"/>
  <c r="Z166" i="13"/>
  <c r="X166" i="13"/>
  <c r="V166" i="13"/>
  <c r="T166" i="13"/>
  <c r="R166" i="13"/>
  <c r="F166" i="13"/>
  <c r="Z165" i="13"/>
  <c r="X165" i="13"/>
  <c r="V165" i="13"/>
  <c r="T165" i="13"/>
  <c r="R165" i="13"/>
  <c r="F165" i="13"/>
  <c r="Z164" i="13"/>
  <c r="X164" i="13"/>
  <c r="V164" i="13"/>
  <c r="T164" i="13"/>
  <c r="R164" i="13"/>
  <c r="F164" i="13"/>
  <c r="H164" i="13" s="1"/>
  <c r="Z163" i="13"/>
  <c r="X163" i="13"/>
  <c r="V163" i="13"/>
  <c r="T163" i="13"/>
  <c r="R163" i="13"/>
  <c r="F163" i="13"/>
  <c r="Z162" i="13"/>
  <c r="X162" i="13"/>
  <c r="V162" i="13"/>
  <c r="T162" i="13"/>
  <c r="R162" i="13"/>
  <c r="F162" i="13"/>
  <c r="H162" i="13" s="1"/>
  <c r="Z161" i="13"/>
  <c r="X161" i="13"/>
  <c r="V161" i="13"/>
  <c r="T161" i="13"/>
  <c r="R161" i="13"/>
  <c r="F161" i="13"/>
  <c r="H161" i="13" s="1"/>
  <c r="Z160" i="13"/>
  <c r="X160" i="13"/>
  <c r="V160" i="13"/>
  <c r="T160" i="13"/>
  <c r="R160" i="13"/>
  <c r="F160" i="13"/>
  <c r="Z159" i="13"/>
  <c r="X159" i="13"/>
  <c r="V159" i="13"/>
  <c r="T159" i="13"/>
  <c r="R159" i="13"/>
  <c r="F159" i="13"/>
  <c r="G159" i="13" s="1"/>
  <c r="Z158" i="13"/>
  <c r="X158" i="13"/>
  <c r="V158" i="13"/>
  <c r="T158" i="13"/>
  <c r="R158" i="13"/>
  <c r="F158" i="13"/>
  <c r="H158" i="13" s="1"/>
  <c r="Z157" i="13"/>
  <c r="X157" i="13"/>
  <c r="V157" i="13"/>
  <c r="T157" i="13"/>
  <c r="R157" i="13"/>
  <c r="F157" i="13"/>
  <c r="H157" i="13" s="1"/>
  <c r="Z156" i="13"/>
  <c r="X156" i="13"/>
  <c r="V156" i="13"/>
  <c r="T156" i="13"/>
  <c r="R156" i="13"/>
  <c r="F156" i="13"/>
  <c r="H156" i="13" s="1"/>
  <c r="Z155" i="13"/>
  <c r="X155" i="13"/>
  <c r="V155" i="13"/>
  <c r="T155" i="13"/>
  <c r="R155" i="13"/>
  <c r="F155" i="13"/>
  <c r="Z154" i="13"/>
  <c r="X154" i="13"/>
  <c r="V154" i="13"/>
  <c r="T154" i="13"/>
  <c r="R154" i="13"/>
  <c r="F154" i="13"/>
  <c r="H154" i="13" s="1"/>
  <c r="Z153" i="13"/>
  <c r="X153" i="13"/>
  <c r="V153" i="13"/>
  <c r="T153" i="13"/>
  <c r="R153" i="13"/>
  <c r="F153" i="13"/>
  <c r="G153" i="13" s="1"/>
  <c r="Z152" i="13"/>
  <c r="X152" i="13"/>
  <c r="V152" i="13"/>
  <c r="T152" i="13"/>
  <c r="R152" i="13"/>
  <c r="F152" i="13"/>
  <c r="H152" i="13" s="1"/>
  <c r="Z151" i="13"/>
  <c r="X151" i="13"/>
  <c r="V151" i="13"/>
  <c r="T151" i="13"/>
  <c r="R151" i="13"/>
  <c r="F151" i="13"/>
  <c r="H151" i="13" s="1"/>
  <c r="Z150" i="13"/>
  <c r="X150" i="13"/>
  <c r="V150" i="13"/>
  <c r="T150" i="13"/>
  <c r="R150" i="13"/>
  <c r="F150" i="13"/>
  <c r="Z149" i="13"/>
  <c r="X149" i="13"/>
  <c r="V149" i="13"/>
  <c r="T149" i="13"/>
  <c r="R149" i="13"/>
  <c r="F149" i="13"/>
  <c r="H149" i="13" s="1"/>
  <c r="Z148" i="13"/>
  <c r="X148" i="13"/>
  <c r="V148" i="13"/>
  <c r="T148" i="13"/>
  <c r="R148" i="13"/>
  <c r="F148" i="13"/>
  <c r="Z147" i="13"/>
  <c r="X147" i="13"/>
  <c r="V147" i="13"/>
  <c r="T147" i="13"/>
  <c r="R147" i="13"/>
  <c r="F147" i="13"/>
  <c r="H147" i="13" s="1"/>
  <c r="Z146" i="13"/>
  <c r="X146" i="13"/>
  <c r="V146" i="13"/>
  <c r="T146" i="13"/>
  <c r="R146" i="13"/>
  <c r="F146" i="13"/>
  <c r="Z145" i="13"/>
  <c r="X145" i="13"/>
  <c r="V145" i="13"/>
  <c r="T145" i="13"/>
  <c r="R145" i="13"/>
  <c r="F145" i="13"/>
  <c r="F144" i="13"/>
  <c r="Z143" i="13"/>
  <c r="X143" i="13"/>
  <c r="V143" i="13"/>
  <c r="T143" i="13"/>
  <c r="R143" i="13"/>
  <c r="F143" i="13"/>
  <c r="Z142" i="13"/>
  <c r="X142" i="13"/>
  <c r="V142" i="13"/>
  <c r="T142" i="13"/>
  <c r="R142" i="13"/>
  <c r="F142" i="13"/>
  <c r="Z141" i="13"/>
  <c r="X141" i="13"/>
  <c r="V141" i="13"/>
  <c r="T141" i="13"/>
  <c r="R141" i="13"/>
  <c r="F141" i="13"/>
  <c r="H141" i="13" s="1"/>
  <c r="Z140" i="13"/>
  <c r="X140" i="13"/>
  <c r="V140" i="13"/>
  <c r="T140" i="13"/>
  <c r="R140" i="13"/>
  <c r="F140" i="13"/>
  <c r="H140" i="13" s="1"/>
  <c r="Z139" i="13"/>
  <c r="X139" i="13"/>
  <c r="V139" i="13"/>
  <c r="T139" i="13"/>
  <c r="R139" i="13"/>
  <c r="F139" i="13"/>
  <c r="G139" i="13" s="1"/>
  <c r="Z138" i="13"/>
  <c r="X138" i="13"/>
  <c r="V138" i="13"/>
  <c r="T138" i="13"/>
  <c r="R138" i="13"/>
  <c r="F138" i="13"/>
  <c r="Z137" i="13"/>
  <c r="X137" i="13"/>
  <c r="V137" i="13"/>
  <c r="T137" i="13"/>
  <c r="R137" i="13"/>
  <c r="F137" i="13"/>
  <c r="H137" i="13" s="1"/>
  <c r="Z136" i="13"/>
  <c r="X136" i="13"/>
  <c r="V136" i="13"/>
  <c r="T136" i="13"/>
  <c r="R136" i="13"/>
  <c r="F136" i="13"/>
  <c r="Z135" i="13"/>
  <c r="X135" i="13"/>
  <c r="V135" i="13"/>
  <c r="T135" i="13"/>
  <c r="R135" i="13"/>
  <c r="F135" i="13"/>
  <c r="H135" i="13" s="1"/>
  <c r="F134" i="13"/>
  <c r="H134" i="13" s="1"/>
  <c r="Z133" i="13"/>
  <c r="X133" i="13"/>
  <c r="V133" i="13"/>
  <c r="T133" i="13"/>
  <c r="R133" i="13"/>
  <c r="F133" i="13"/>
  <c r="H133" i="13" s="1"/>
  <c r="Z132" i="13"/>
  <c r="X132" i="13"/>
  <c r="V132" i="13"/>
  <c r="T132" i="13"/>
  <c r="R132" i="13"/>
  <c r="F132" i="13"/>
  <c r="G132" i="13" s="1"/>
  <c r="Z131" i="13"/>
  <c r="X131" i="13"/>
  <c r="V131" i="13"/>
  <c r="T131" i="13"/>
  <c r="R131" i="13"/>
  <c r="F131" i="13"/>
  <c r="Z130" i="13"/>
  <c r="X130" i="13"/>
  <c r="V130" i="13"/>
  <c r="T130" i="13"/>
  <c r="R130" i="13"/>
  <c r="F130" i="13"/>
  <c r="H130" i="13" s="1"/>
  <c r="Z129" i="13"/>
  <c r="X129" i="13"/>
  <c r="V129" i="13"/>
  <c r="T129" i="13"/>
  <c r="R129" i="13"/>
  <c r="F129" i="13"/>
  <c r="Z128" i="13"/>
  <c r="X128" i="13"/>
  <c r="V128" i="13"/>
  <c r="T128" i="13"/>
  <c r="R128" i="13"/>
  <c r="F128" i="13"/>
  <c r="Z127" i="13"/>
  <c r="X127" i="13"/>
  <c r="V127" i="13"/>
  <c r="T127" i="13"/>
  <c r="R127" i="13"/>
  <c r="F127" i="13"/>
  <c r="Z126" i="13"/>
  <c r="X126" i="13"/>
  <c r="V126" i="13"/>
  <c r="T126" i="13"/>
  <c r="R126" i="13"/>
  <c r="F126" i="13"/>
  <c r="Z125" i="13"/>
  <c r="X125" i="13"/>
  <c r="V125" i="13"/>
  <c r="T125" i="13"/>
  <c r="R125" i="13"/>
  <c r="F125" i="13"/>
  <c r="Z124" i="13"/>
  <c r="X124" i="13"/>
  <c r="V124" i="13"/>
  <c r="T124" i="13"/>
  <c r="R124" i="13"/>
  <c r="F124" i="13"/>
  <c r="Z123" i="13"/>
  <c r="X123" i="13"/>
  <c r="V123" i="13"/>
  <c r="T123" i="13"/>
  <c r="R123" i="13"/>
  <c r="F123" i="13"/>
  <c r="H123" i="13" s="1"/>
  <c r="Z122" i="13"/>
  <c r="X122" i="13"/>
  <c r="V122" i="13"/>
  <c r="T122" i="13"/>
  <c r="R122" i="13"/>
  <c r="F122" i="13"/>
  <c r="H122" i="13" s="1"/>
  <c r="Z121" i="13"/>
  <c r="X121" i="13"/>
  <c r="V121" i="13"/>
  <c r="T121" i="13"/>
  <c r="R121" i="13"/>
  <c r="F121" i="13"/>
  <c r="Z120" i="13"/>
  <c r="X120" i="13"/>
  <c r="V120" i="13"/>
  <c r="T120" i="13"/>
  <c r="R120" i="13"/>
  <c r="F120" i="13"/>
  <c r="H120" i="13" s="1"/>
  <c r="Z119" i="13"/>
  <c r="X119" i="13"/>
  <c r="V119" i="13"/>
  <c r="T119" i="13"/>
  <c r="R119" i="13"/>
  <c r="F119" i="13"/>
  <c r="H119" i="13" s="1"/>
  <c r="Z118" i="13"/>
  <c r="X118" i="13"/>
  <c r="V118" i="13"/>
  <c r="T118" i="13"/>
  <c r="R118" i="13"/>
  <c r="F118" i="13"/>
  <c r="H118" i="13" s="1"/>
  <c r="Z117" i="13"/>
  <c r="X117" i="13"/>
  <c r="V117" i="13"/>
  <c r="T117" i="13"/>
  <c r="R117" i="13"/>
  <c r="F117" i="13"/>
  <c r="H117" i="13" s="1"/>
  <c r="Z116" i="13"/>
  <c r="X116" i="13"/>
  <c r="V116" i="13"/>
  <c r="T116" i="13"/>
  <c r="R116" i="13"/>
  <c r="F116" i="13"/>
  <c r="H116" i="13" s="1"/>
  <c r="Z115" i="13"/>
  <c r="X115" i="13"/>
  <c r="V115" i="13"/>
  <c r="T115" i="13"/>
  <c r="R115" i="13"/>
  <c r="F115" i="13"/>
  <c r="G115" i="13" s="1"/>
  <c r="Z114" i="13"/>
  <c r="X114" i="13"/>
  <c r="V114" i="13"/>
  <c r="T114" i="13"/>
  <c r="R114" i="13"/>
  <c r="F114" i="13"/>
  <c r="G114" i="13" s="1"/>
  <c r="Z113" i="13"/>
  <c r="X113" i="13"/>
  <c r="V113" i="13"/>
  <c r="T113" i="13"/>
  <c r="R113" i="13"/>
  <c r="F113" i="13"/>
  <c r="H113" i="13" s="1"/>
  <c r="Z112" i="13"/>
  <c r="X112" i="13"/>
  <c r="V112" i="13"/>
  <c r="T112" i="13"/>
  <c r="R112" i="13"/>
  <c r="F112" i="13"/>
  <c r="H112" i="13" s="1"/>
  <c r="F111" i="13"/>
  <c r="F110" i="13"/>
  <c r="H110" i="13" s="1"/>
  <c r="Z109" i="13"/>
  <c r="X109" i="13"/>
  <c r="V109" i="13"/>
  <c r="T109" i="13"/>
  <c r="R109" i="13"/>
  <c r="F109" i="13"/>
  <c r="H109" i="13" s="1"/>
  <c r="Z108" i="13"/>
  <c r="X108" i="13"/>
  <c r="V108" i="13"/>
  <c r="T108" i="13"/>
  <c r="R108" i="13"/>
  <c r="F108" i="13"/>
  <c r="G108" i="13" s="1"/>
  <c r="H108" i="13" s="1"/>
  <c r="Z107" i="13"/>
  <c r="X107" i="13"/>
  <c r="V107" i="13"/>
  <c r="T107" i="13"/>
  <c r="R107" i="13"/>
  <c r="F107" i="13"/>
  <c r="G107" i="13" s="1"/>
  <c r="Z106" i="13"/>
  <c r="X106" i="13"/>
  <c r="V106" i="13"/>
  <c r="T106" i="13"/>
  <c r="R106" i="13"/>
  <c r="F106" i="13"/>
  <c r="H106" i="13" s="1"/>
  <c r="Z105" i="13"/>
  <c r="X105" i="13"/>
  <c r="V105" i="13"/>
  <c r="T105" i="13"/>
  <c r="R105" i="13"/>
  <c r="F105" i="13"/>
  <c r="H105" i="13" s="1"/>
  <c r="Z104" i="13"/>
  <c r="X104" i="13"/>
  <c r="V104" i="13"/>
  <c r="T104" i="13"/>
  <c r="R104" i="13"/>
  <c r="F104" i="13"/>
  <c r="H104" i="13" s="1"/>
  <c r="Z103" i="13"/>
  <c r="X103" i="13"/>
  <c r="V103" i="13"/>
  <c r="T103" i="13"/>
  <c r="R103" i="13"/>
  <c r="F103" i="13"/>
  <c r="Z102" i="13"/>
  <c r="X102" i="13"/>
  <c r="V102" i="13"/>
  <c r="T102" i="13"/>
  <c r="R102" i="13"/>
  <c r="F102" i="13"/>
  <c r="Z101" i="13"/>
  <c r="X101" i="13"/>
  <c r="V101" i="13"/>
  <c r="T101" i="13"/>
  <c r="R101" i="13"/>
  <c r="F101" i="13"/>
  <c r="Z100" i="13"/>
  <c r="X100" i="13"/>
  <c r="V100" i="13"/>
  <c r="T100" i="13"/>
  <c r="R100" i="13"/>
  <c r="F100" i="13"/>
  <c r="H100" i="13" s="1"/>
  <c r="Z99" i="13"/>
  <c r="X99" i="13"/>
  <c r="V99" i="13"/>
  <c r="T99" i="13"/>
  <c r="R99" i="13"/>
  <c r="F99" i="13"/>
  <c r="H99" i="13" s="1"/>
  <c r="Z98" i="13"/>
  <c r="X98" i="13"/>
  <c r="V98" i="13"/>
  <c r="T98" i="13"/>
  <c r="R98" i="13"/>
  <c r="F98" i="13"/>
  <c r="G98" i="13" s="1"/>
  <c r="Z97" i="13"/>
  <c r="X97" i="13"/>
  <c r="V97" i="13"/>
  <c r="T97" i="13"/>
  <c r="R97" i="13"/>
  <c r="F97" i="13"/>
  <c r="H97" i="13" s="1"/>
  <c r="Z96" i="13"/>
  <c r="X96" i="13"/>
  <c r="V96" i="13"/>
  <c r="T96" i="13"/>
  <c r="R96" i="13"/>
  <c r="F96" i="13"/>
  <c r="H96" i="13" s="1"/>
  <c r="Z95" i="13"/>
  <c r="X95" i="13"/>
  <c r="V95" i="13"/>
  <c r="T95" i="13"/>
  <c r="R95" i="13"/>
  <c r="F95" i="13"/>
  <c r="H95" i="13" s="1"/>
  <c r="Z94" i="13"/>
  <c r="X94" i="13"/>
  <c r="V94" i="13"/>
  <c r="T94" i="13"/>
  <c r="R94" i="13"/>
  <c r="F94" i="13"/>
  <c r="G94" i="13" s="1"/>
  <c r="Z93" i="13"/>
  <c r="X93" i="13"/>
  <c r="V93" i="13"/>
  <c r="T93" i="13"/>
  <c r="R93" i="13"/>
  <c r="F93" i="13"/>
  <c r="H93" i="13" s="1"/>
  <c r="Z92" i="13"/>
  <c r="X92" i="13"/>
  <c r="V92" i="13"/>
  <c r="T92" i="13"/>
  <c r="R92" i="13"/>
  <c r="F92" i="13"/>
  <c r="H92" i="13" s="1"/>
  <c r="Z91" i="13"/>
  <c r="X91" i="13"/>
  <c r="V91" i="13"/>
  <c r="T91" i="13"/>
  <c r="R91" i="13"/>
  <c r="F91" i="13"/>
  <c r="H91" i="13" s="1"/>
  <c r="Z90" i="13"/>
  <c r="X90" i="13"/>
  <c r="V90" i="13"/>
  <c r="T90" i="13"/>
  <c r="R90" i="13"/>
  <c r="F90" i="13"/>
  <c r="H90" i="13" s="1"/>
  <c r="Z89" i="13"/>
  <c r="X89" i="13"/>
  <c r="V89" i="13"/>
  <c r="T89" i="13"/>
  <c r="R89" i="13"/>
  <c r="F89" i="13"/>
  <c r="Z88" i="13"/>
  <c r="X88" i="13"/>
  <c r="V88" i="13"/>
  <c r="T88" i="13"/>
  <c r="R88" i="13"/>
  <c r="F88" i="13"/>
  <c r="H88" i="13" s="1"/>
  <c r="Z87" i="13"/>
  <c r="X87" i="13"/>
  <c r="V87" i="13"/>
  <c r="T87" i="13"/>
  <c r="R87" i="13"/>
  <c r="F87" i="13"/>
  <c r="Z86" i="13"/>
  <c r="X86" i="13"/>
  <c r="V86" i="13"/>
  <c r="T86" i="13"/>
  <c r="R86" i="13"/>
  <c r="F86" i="13"/>
  <c r="Z85" i="13"/>
  <c r="X85" i="13"/>
  <c r="V85" i="13"/>
  <c r="T85" i="13"/>
  <c r="R85" i="13"/>
  <c r="F85" i="13"/>
  <c r="H85" i="13" s="1"/>
  <c r="Z84" i="13"/>
  <c r="X84" i="13"/>
  <c r="V84" i="13"/>
  <c r="T84" i="13"/>
  <c r="R84" i="13"/>
  <c r="F84" i="13"/>
  <c r="Z83" i="13"/>
  <c r="X83" i="13"/>
  <c r="V83" i="13"/>
  <c r="T83" i="13"/>
  <c r="R83" i="13"/>
  <c r="F83" i="13"/>
  <c r="H83" i="13" s="1"/>
  <c r="Z82" i="13"/>
  <c r="X82" i="13"/>
  <c r="V82" i="13"/>
  <c r="T82" i="13"/>
  <c r="R82" i="13"/>
  <c r="F82" i="13"/>
  <c r="H82" i="13" s="1"/>
  <c r="Z81" i="13"/>
  <c r="X81" i="13"/>
  <c r="V81" i="13"/>
  <c r="T81" i="13"/>
  <c r="R81" i="13"/>
  <c r="F81" i="13"/>
  <c r="H81" i="13" s="1"/>
  <c r="Z80" i="13"/>
  <c r="X80" i="13"/>
  <c r="V80" i="13"/>
  <c r="T80" i="13"/>
  <c r="R80" i="13"/>
  <c r="F80" i="13"/>
  <c r="Z79" i="13"/>
  <c r="X79" i="13"/>
  <c r="V79" i="13"/>
  <c r="T79" i="13"/>
  <c r="R79" i="13"/>
  <c r="F79" i="13"/>
  <c r="H79" i="13" s="1"/>
  <c r="Z78" i="13"/>
  <c r="X78" i="13"/>
  <c r="V78" i="13"/>
  <c r="T78" i="13"/>
  <c r="R78" i="13"/>
  <c r="F78" i="13"/>
  <c r="H78" i="13" s="1"/>
  <c r="Z77" i="13"/>
  <c r="X77" i="13"/>
  <c r="V77" i="13"/>
  <c r="T77" i="13"/>
  <c r="R77" i="13"/>
  <c r="F77" i="13"/>
  <c r="Z76" i="13"/>
  <c r="X76" i="13"/>
  <c r="V76" i="13"/>
  <c r="T76" i="13"/>
  <c r="R76" i="13"/>
  <c r="F76" i="13"/>
  <c r="Z75" i="13"/>
  <c r="X75" i="13"/>
  <c r="V75" i="13"/>
  <c r="T75" i="13"/>
  <c r="R75" i="13"/>
  <c r="F75" i="13"/>
  <c r="F74" i="13"/>
  <c r="H74" i="13" s="1"/>
  <c r="Z73" i="13"/>
  <c r="X73" i="13"/>
  <c r="V73" i="13"/>
  <c r="T73" i="13"/>
  <c r="R73" i="13"/>
  <c r="F73" i="13"/>
  <c r="H73" i="13" s="1"/>
  <c r="Z72" i="13"/>
  <c r="X72" i="13"/>
  <c r="V72" i="13"/>
  <c r="T72" i="13"/>
  <c r="R72" i="13"/>
  <c r="F72" i="13"/>
  <c r="H72" i="13" s="1"/>
  <c r="Z71" i="13"/>
  <c r="X71" i="13"/>
  <c r="V71" i="13"/>
  <c r="T71" i="13"/>
  <c r="R71" i="13"/>
  <c r="F71" i="13"/>
  <c r="Z70" i="13"/>
  <c r="X70" i="13"/>
  <c r="V70" i="13"/>
  <c r="T70" i="13"/>
  <c r="R70" i="13"/>
  <c r="F70" i="13"/>
  <c r="G70" i="13" s="1"/>
  <c r="H70" i="13" s="1"/>
  <c r="Z69" i="13"/>
  <c r="X69" i="13"/>
  <c r="V69" i="13"/>
  <c r="T69" i="13"/>
  <c r="R69" i="13"/>
  <c r="F69" i="13"/>
  <c r="H69" i="13" s="1"/>
  <c r="Z68" i="13"/>
  <c r="X68" i="13"/>
  <c r="V68" i="13"/>
  <c r="T68" i="13"/>
  <c r="R68" i="13"/>
  <c r="F68" i="13"/>
  <c r="Z67" i="13"/>
  <c r="X67" i="13"/>
  <c r="V67" i="13"/>
  <c r="T67" i="13"/>
  <c r="R67" i="13"/>
  <c r="F67" i="13"/>
  <c r="H67" i="13" s="1"/>
  <c r="Z66" i="13"/>
  <c r="X66" i="13"/>
  <c r="V66" i="13"/>
  <c r="T66" i="13"/>
  <c r="R66" i="13"/>
  <c r="F66" i="13"/>
  <c r="Z65" i="13"/>
  <c r="X65" i="13"/>
  <c r="V65" i="13"/>
  <c r="T65" i="13"/>
  <c r="R65" i="13"/>
  <c r="F65" i="13"/>
  <c r="H65" i="13" s="1"/>
  <c r="Z64" i="13"/>
  <c r="X64" i="13"/>
  <c r="V64" i="13"/>
  <c r="T64" i="13"/>
  <c r="R64" i="13"/>
  <c r="F64" i="13"/>
  <c r="H64" i="13" s="1"/>
  <c r="Z63" i="13"/>
  <c r="X63" i="13"/>
  <c r="V63" i="13"/>
  <c r="T63" i="13"/>
  <c r="R63" i="13"/>
  <c r="F63" i="13"/>
  <c r="Z62" i="13"/>
  <c r="X62" i="13"/>
  <c r="V62" i="13"/>
  <c r="T62" i="13"/>
  <c r="R62" i="13"/>
  <c r="F62" i="13"/>
  <c r="Z61" i="13"/>
  <c r="X61" i="13"/>
  <c r="V61" i="13"/>
  <c r="T61" i="13"/>
  <c r="R61" i="13"/>
  <c r="F61" i="13"/>
  <c r="Z60" i="13"/>
  <c r="X60" i="13"/>
  <c r="V60" i="13"/>
  <c r="T60" i="13"/>
  <c r="R60" i="13"/>
  <c r="F60" i="13"/>
  <c r="H60" i="13" s="1"/>
  <c r="Z59" i="13"/>
  <c r="X59" i="13"/>
  <c r="V59" i="13"/>
  <c r="T59" i="13"/>
  <c r="R59" i="13"/>
  <c r="F59" i="13"/>
  <c r="H59" i="13" s="1"/>
  <c r="Z58" i="13"/>
  <c r="X58" i="13"/>
  <c r="V58" i="13"/>
  <c r="T58" i="13"/>
  <c r="R58" i="13"/>
  <c r="F58" i="13"/>
  <c r="H58" i="13" s="1"/>
  <c r="Z57" i="13"/>
  <c r="X57" i="13"/>
  <c r="V57" i="13"/>
  <c r="T57" i="13"/>
  <c r="R57" i="13"/>
  <c r="F57" i="13"/>
  <c r="H57" i="13" s="1"/>
  <c r="Z56" i="13"/>
  <c r="X56" i="13"/>
  <c r="V56" i="13"/>
  <c r="T56" i="13"/>
  <c r="R56" i="13"/>
  <c r="F56" i="13"/>
  <c r="Z55" i="13"/>
  <c r="X55" i="13"/>
  <c r="V55" i="13"/>
  <c r="T55" i="13"/>
  <c r="R55" i="13"/>
  <c r="F55" i="13"/>
  <c r="G55" i="13" s="1"/>
  <c r="Z54" i="13"/>
  <c r="X54" i="13"/>
  <c r="V54" i="13"/>
  <c r="T54" i="13"/>
  <c r="R54" i="13"/>
  <c r="F54" i="13"/>
  <c r="Z53" i="13"/>
  <c r="X53" i="13"/>
  <c r="V53" i="13"/>
  <c r="T53" i="13"/>
  <c r="R53" i="13"/>
  <c r="F53" i="13"/>
  <c r="Z52" i="13"/>
  <c r="X52" i="13"/>
  <c r="V52" i="13"/>
  <c r="T52" i="13"/>
  <c r="R52" i="13"/>
  <c r="F52" i="13"/>
  <c r="Z51" i="13"/>
  <c r="X51" i="13"/>
  <c r="V51" i="13"/>
  <c r="T51" i="13"/>
  <c r="R51" i="13"/>
  <c r="F51" i="13"/>
  <c r="H51" i="13" s="1"/>
  <c r="Z50" i="13"/>
  <c r="X50" i="13"/>
  <c r="V50" i="13"/>
  <c r="T50" i="13"/>
  <c r="R50" i="13"/>
  <c r="F50" i="13"/>
  <c r="Z49" i="13"/>
  <c r="X49" i="13"/>
  <c r="V49" i="13"/>
  <c r="T49" i="13"/>
  <c r="R49" i="13"/>
  <c r="F49" i="13"/>
  <c r="Z48" i="13"/>
  <c r="X48" i="13"/>
  <c r="V48" i="13"/>
  <c r="T48" i="13"/>
  <c r="R48" i="13"/>
  <c r="F48" i="13"/>
  <c r="H48" i="13" s="1"/>
  <c r="Z47" i="13"/>
  <c r="X47" i="13"/>
  <c r="V47" i="13"/>
  <c r="T47" i="13"/>
  <c r="R47" i="13"/>
  <c r="F47" i="13"/>
  <c r="H47" i="13" s="1"/>
  <c r="Z46" i="13"/>
  <c r="X46" i="13"/>
  <c r="V46" i="13"/>
  <c r="T46" i="13"/>
  <c r="R46" i="13"/>
  <c r="F46" i="13"/>
  <c r="Z45" i="13"/>
  <c r="X45" i="13"/>
  <c r="V45" i="13"/>
  <c r="T45" i="13"/>
  <c r="R45" i="13"/>
  <c r="F45" i="13"/>
  <c r="H45" i="13" s="1"/>
  <c r="Z44" i="13"/>
  <c r="X44" i="13"/>
  <c r="V44" i="13"/>
  <c r="T44" i="13"/>
  <c r="R44" i="13"/>
  <c r="F44" i="13"/>
  <c r="Z43" i="13"/>
  <c r="X43" i="13"/>
  <c r="V43" i="13"/>
  <c r="T43" i="13"/>
  <c r="R43" i="13"/>
  <c r="F43" i="13"/>
  <c r="Z42" i="13"/>
  <c r="X42" i="13"/>
  <c r="V42" i="13"/>
  <c r="T42" i="13"/>
  <c r="R42" i="13"/>
  <c r="F42" i="13"/>
  <c r="Z41" i="13"/>
  <c r="X41" i="13"/>
  <c r="V41" i="13"/>
  <c r="T41" i="13"/>
  <c r="R41" i="13"/>
  <c r="F41" i="13"/>
  <c r="Z40" i="13"/>
  <c r="X40" i="13"/>
  <c r="V40" i="13"/>
  <c r="T40" i="13"/>
  <c r="R40" i="13"/>
  <c r="F40" i="13"/>
  <c r="Z39" i="13"/>
  <c r="X39" i="13"/>
  <c r="V39" i="13"/>
  <c r="T39" i="13"/>
  <c r="R39" i="13"/>
  <c r="F39" i="13"/>
  <c r="H39" i="13" s="1"/>
  <c r="Z38" i="13"/>
  <c r="X38" i="13"/>
  <c r="V38" i="13"/>
  <c r="T38" i="13"/>
  <c r="R38" i="13"/>
  <c r="F38" i="13"/>
  <c r="Z37" i="13"/>
  <c r="X37" i="13"/>
  <c r="V37" i="13"/>
  <c r="T37" i="13"/>
  <c r="R37" i="13"/>
  <c r="F37" i="13"/>
  <c r="H37" i="13" s="1"/>
  <c r="Z36" i="13"/>
  <c r="X36" i="13"/>
  <c r="V36" i="13"/>
  <c r="T36" i="13"/>
  <c r="R36" i="13"/>
  <c r="F36" i="13"/>
  <c r="Z35" i="13"/>
  <c r="X35" i="13"/>
  <c r="V35" i="13"/>
  <c r="T35" i="13"/>
  <c r="R35" i="13"/>
  <c r="F35" i="13"/>
  <c r="Z34" i="13"/>
  <c r="X34" i="13"/>
  <c r="V34" i="13"/>
  <c r="T34" i="13"/>
  <c r="R34" i="13"/>
  <c r="F34" i="13"/>
  <c r="Z33" i="13"/>
  <c r="X33" i="13"/>
  <c r="V33" i="13"/>
  <c r="T33" i="13"/>
  <c r="R33" i="13"/>
  <c r="F33" i="13"/>
  <c r="H33" i="13" s="1"/>
  <c r="Z32" i="13"/>
  <c r="X32" i="13"/>
  <c r="V32" i="13"/>
  <c r="T32" i="13"/>
  <c r="R32" i="13"/>
  <c r="F32" i="13"/>
  <c r="Z31" i="13"/>
  <c r="X31" i="13"/>
  <c r="V31" i="13"/>
  <c r="T31" i="13"/>
  <c r="R31" i="13"/>
  <c r="F31" i="13"/>
  <c r="H31" i="13" s="1"/>
  <c r="Z30" i="13"/>
  <c r="X30" i="13"/>
  <c r="V30" i="13"/>
  <c r="T30" i="13"/>
  <c r="R30" i="13"/>
  <c r="F30" i="13"/>
  <c r="Z29" i="13"/>
  <c r="X29" i="13"/>
  <c r="V29" i="13"/>
  <c r="T29" i="13"/>
  <c r="R29" i="13"/>
  <c r="F29" i="13"/>
  <c r="Z28" i="13"/>
  <c r="X28" i="13"/>
  <c r="V28" i="13"/>
  <c r="T28" i="13"/>
  <c r="R28" i="13"/>
  <c r="F28" i="13"/>
  <c r="H28" i="13" s="1"/>
  <c r="Z27" i="13"/>
  <c r="X27" i="13"/>
  <c r="V27" i="13"/>
  <c r="T27" i="13"/>
  <c r="R27" i="13"/>
  <c r="F27" i="13"/>
  <c r="H27" i="13" s="1"/>
  <c r="Z26" i="13"/>
  <c r="X26" i="13"/>
  <c r="V26" i="13"/>
  <c r="T26" i="13"/>
  <c r="R26" i="13"/>
  <c r="F26" i="13"/>
  <c r="H26" i="13" s="1"/>
  <c r="Z25" i="13"/>
  <c r="X25" i="13"/>
  <c r="V25" i="13"/>
  <c r="T25" i="13"/>
  <c r="R25" i="13"/>
  <c r="F25" i="13"/>
  <c r="Z24" i="13"/>
  <c r="X24" i="13"/>
  <c r="V24" i="13"/>
  <c r="T24" i="13"/>
  <c r="R24" i="13"/>
  <c r="F24" i="13"/>
  <c r="H24" i="13" s="1"/>
  <c r="Z23" i="13"/>
  <c r="X23" i="13"/>
  <c r="V23" i="13"/>
  <c r="T23" i="13"/>
  <c r="R23" i="13"/>
  <c r="F23" i="13"/>
  <c r="H23" i="13" s="1"/>
  <c r="Z22" i="13"/>
  <c r="X22" i="13"/>
  <c r="V22" i="13"/>
  <c r="T22" i="13"/>
  <c r="R22" i="13"/>
  <c r="F22" i="13"/>
  <c r="Z21" i="13"/>
  <c r="X21" i="13"/>
  <c r="V21" i="13"/>
  <c r="T21" i="13"/>
  <c r="R21" i="13"/>
  <c r="F21" i="13"/>
  <c r="Z20" i="13"/>
  <c r="X20" i="13"/>
  <c r="V20" i="13"/>
  <c r="T20" i="13"/>
  <c r="R20" i="13"/>
  <c r="F20" i="13"/>
  <c r="F19" i="13"/>
  <c r="Z18" i="13"/>
  <c r="X18" i="13"/>
  <c r="V18" i="13"/>
  <c r="T18" i="13"/>
  <c r="R18" i="13"/>
  <c r="F18" i="13"/>
  <c r="H18" i="13" s="1"/>
  <c r="F17" i="13"/>
  <c r="Z16" i="13"/>
  <c r="X16" i="13"/>
  <c r="V16" i="13"/>
  <c r="T16" i="13"/>
  <c r="R16" i="13"/>
  <c r="F16" i="13"/>
  <c r="H16" i="13" s="1"/>
  <c r="Z15" i="13"/>
  <c r="X15" i="13"/>
  <c r="V15" i="13"/>
  <c r="T15" i="13"/>
  <c r="R15" i="13"/>
  <c r="F15" i="13"/>
  <c r="G15" i="13" s="1"/>
  <c r="H15" i="13" s="1"/>
  <c r="Z14" i="13"/>
  <c r="X14" i="13"/>
  <c r="V14" i="13"/>
  <c r="T14" i="13"/>
  <c r="R14" i="13"/>
  <c r="F14" i="13"/>
  <c r="Z13" i="13"/>
  <c r="X13" i="13"/>
  <c r="V13" i="13"/>
  <c r="T13" i="13"/>
  <c r="R13" i="13"/>
  <c r="F13" i="13"/>
  <c r="Z12" i="13"/>
  <c r="X12" i="13"/>
  <c r="V12" i="13"/>
  <c r="T12" i="13"/>
  <c r="R12" i="13"/>
  <c r="F12" i="13"/>
  <c r="H12" i="13" s="1"/>
  <c r="Z11" i="13"/>
  <c r="X11" i="13"/>
  <c r="V11" i="13"/>
  <c r="T11" i="13"/>
  <c r="R11" i="13"/>
  <c r="F11" i="13"/>
  <c r="Z10" i="13"/>
  <c r="X10" i="13"/>
  <c r="V10" i="13"/>
  <c r="T10" i="13"/>
  <c r="R10" i="13"/>
  <c r="F10" i="13"/>
  <c r="H10" i="13" s="1"/>
  <c r="Z9" i="13"/>
  <c r="X9" i="13"/>
  <c r="V9" i="13"/>
  <c r="T9" i="13"/>
  <c r="R9" i="13"/>
  <c r="F9" i="13"/>
  <c r="Z8" i="13"/>
  <c r="X8" i="13"/>
  <c r="V8" i="13"/>
  <c r="T8" i="13"/>
  <c r="R8" i="13"/>
  <c r="F8" i="13"/>
  <c r="H8" i="13" s="1"/>
  <c r="Z7" i="13"/>
  <c r="X7" i="13"/>
  <c r="V7" i="13"/>
  <c r="T7" i="13"/>
  <c r="R7" i="13"/>
  <c r="F7" i="13"/>
  <c r="H7" i="13" s="1"/>
  <c r="Z6" i="13"/>
  <c r="X6" i="13"/>
  <c r="V6" i="13"/>
  <c r="T6" i="13"/>
  <c r="R6" i="13"/>
  <c r="F6" i="13"/>
  <c r="H6" i="13" s="1"/>
  <c r="Z5" i="13"/>
  <c r="X5" i="13"/>
  <c r="V5" i="13"/>
  <c r="T5" i="13"/>
  <c r="R5" i="13"/>
  <c r="F5" i="13"/>
  <c r="H5" i="13" s="1"/>
  <c r="Z4" i="13"/>
  <c r="X4" i="13"/>
  <c r="V4" i="13"/>
  <c r="T4" i="13"/>
  <c r="R4" i="13"/>
  <c r="F4" i="13"/>
  <c r="G4" i="13" s="1"/>
  <c r="G267" i="13" l="1"/>
  <c r="H267" i="13" s="1"/>
  <c r="G77" i="13"/>
  <c r="H77" i="13" s="1"/>
  <c r="G138" i="13"/>
  <c r="H138" i="13" s="1"/>
  <c r="G193" i="13"/>
  <c r="H193" i="13" s="1"/>
  <c r="G217" i="13"/>
  <c r="H217" i="13" s="1"/>
  <c r="G262" i="13"/>
  <c r="H262" i="13" s="1"/>
  <c r="G293" i="13"/>
  <c r="H293" i="13" s="1"/>
  <c r="G301" i="13"/>
  <c r="H301" i="13" s="1"/>
  <c r="G63" i="13"/>
  <c r="H63" i="13" s="1"/>
  <c r="G71" i="13"/>
  <c r="H71" i="13" s="1"/>
  <c r="G124" i="13"/>
  <c r="H124" i="13" s="1"/>
  <c r="G163" i="13"/>
  <c r="H163" i="13" s="1"/>
  <c r="G179" i="13"/>
  <c r="H179" i="13" s="1"/>
  <c r="G263" i="13"/>
  <c r="H263" i="13" s="1"/>
  <c r="G80" i="13"/>
  <c r="H80" i="13" s="1"/>
  <c r="G220" i="13"/>
  <c r="H220" i="13" s="1"/>
  <c r="G272" i="13"/>
  <c r="H272" i="13" s="1"/>
  <c r="G304" i="13"/>
  <c r="H304" i="13" s="1"/>
  <c r="G11" i="13"/>
  <c r="H11" i="13" s="1"/>
  <c r="G42" i="13"/>
  <c r="H42" i="13" s="1"/>
  <c r="G66" i="13"/>
  <c r="H66" i="13" s="1"/>
  <c r="G127" i="13"/>
  <c r="H127" i="13" s="1"/>
  <c r="G150" i="13"/>
  <c r="H150" i="13" s="1"/>
  <c r="G166" i="13"/>
  <c r="H166" i="13" s="1"/>
  <c r="G266" i="13"/>
  <c r="H266" i="13" s="1"/>
  <c r="G75" i="13"/>
  <c r="H75" i="13" s="1"/>
  <c r="G9" i="13"/>
  <c r="H9" i="13" s="1"/>
  <c r="G32" i="13"/>
  <c r="H32" i="13" s="1"/>
  <c r="G40" i="13"/>
  <c r="H40" i="13" s="1"/>
  <c r="G56" i="13"/>
  <c r="H56" i="13" s="1"/>
  <c r="G111" i="13"/>
  <c r="H111" i="13" s="1"/>
  <c r="G125" i="13"/>
  <c r="H125" i="13" s="1"/>
  <c r="G148" i="13"/>
  <c r="H148" i="13" s="1"/>
  <c r="G180" i="13"/>
  <c r="H180" i="13" s="1"/>
  <c r="G136" i="13"/>
  <c r="H136" i="13" s="1"/>
  <c r="H114" i="13"/>
  <c r="G102" i="13"/>
  <c r="H102" i="13" s="1"/>
  <c r="G186" i="13"/>
  <c r="H186" i="13" s="1"/>
  <c r="G89" i="13"/>
  <c r="H89" i="13" s="1"/>
  <c r="G142" i="13"/>
  <c r="H142" i="13" s="1"/>
  <c r="G205" i="13"/>
  <c r="H205" i="13" s="1"/>
  <c r="G221" i="13"/>
  <c r="H221" i="13" s="1"/>
  <c r="G273" i="13"/>
  <c r="H273" i="13" s="1"/>
  <c r="G35" i="13"/>
  <c r="H35" i="13" s="1"/>
  <c r="G43" i="13"/>
  <c r="H43" i="13" s="1"/>
  <c r="G167" i="13"/>
  <c r="H167" i="13" s="1"/>
  <c r="G238" i="13"/>
  <c r="H238" i="13" s="1"/>
  <c r="G183" i="13"/>
  <c r="H183" i="13" s="1"/>
  <c r="G53" i="13"/>
  <c r="H53" i="13" s="1"/>
  <c r="G169" i="13"/>
  <c r="H169" i="13" s="1"/>
  <c r="G232" i="13"/>
  <c r="H232" i="13" s="1"/>
  <c r="G278" i="13"/>
  <c r="H278" i="13" s="1"/>
  <c r="G76" i="13"/>
  <c r="H76" i="13" s="1"/>
  <c r="G84" i="13"/>
  <c r="H84" i="13" s="1"/>
  <c r="G200" i="13"/>
  <c r="H200" i="13" s="1"/>
  <c r="G208" i="13"/>
  <c r="H208" i="13" s="1"/>
  <c r="G255" i="13"/>
  <c r="H255" i="13" s="1"/>
  <c r="G284" i="13"/>
  <c r="H284" i="13" s="1"/>
  <c r="G292" i="13"/>
  <c r="H292" i="13" s="1"/>
  <c r="G199" i="13"/>
  <c r="H199" i="13" s="1"/>
  <c r="G299" i="13"/>
  <c r="H299" i="13" s="1"/>
  <c r="G21" i="13"/>
  <c r="H21" i="13" s="1"/>
  <c r="G22" i="13"/>
  <c r="H22" i="13" s="1"/>
  <c r="G30" i="13"/>
  <c r="H30" i="13" s="1"/>
  <c r="G62" i="13"/>
  <c r="H62" i="13" s="1"/>
  <c r="G131" i="13"/>
  <c r="H131" i="13" s="1"/>
  <c r="G146" i="13"/>
  <c r="H146" i="13" s="1"/>
  <c r="G170" i="13"/>
  <c r="H170" i="13" s="1"/>
  <c r="G178" i="13"/>
  <c r="H178" i="13" s="1"/>
  <c r="G233" i="13"/>
  <c r="H233" i="13" s="1"/>
  <c r="G144" i="13"/>
  <c r="H144" i="13" s="1"/>
  <c r="G145" i="13"/>
  <c r="H145" i="13" s="1"/>
  <c r="G87" i="13"/>
  <c r="H87" i="13" s="1"/>
  <c r="G103" i="13"/>
  <c r="H103" i="13" s="1"/>
  <c r="G211" i="13"/>
  <c r="H211" i="13" s="1"/>
  <c r="G219" i="13"/>
  <c r="H219" i="13" s="1"/>
  <c r="G258" i="13"/>
  <c r="H258" i="13" s="1"/>
  <c r="G271" i="13"/>
  <c r="H271" i="13" s="1"/>
  <c r="G279" i="13"/>
  <c r="H279" i="13" s="1"/>
  <c r="G287" i="13"/>
  <c r="H287" i="13" s="1"/>
  <c r="G295" i="13"/>
  <c r="H295" i="13" s="1"/>
  <c r="G191" i="13"/>
  <c r="H191" i="13" s="1"/>
  <c r="G14" i="13"/>
  <c r="H14" i="13" s="1"/>
  <c r="G61" i="13"/>
  <c r="H61" i="13" s="1"/>
  <c r="G241" i="13"/>
  <c r="H241" i="13" s="1"/>
  <c r="G25" i="13"/>
  <c r="H25" i="13" s="1"/>
  <c r="G41" i="13"/>
  <c r="H41" i="13" s="1"/>
  <c r="G49" i="13"/>
  <c r="H49" i="13" s="1"/>
  <c r="G126" i="13"/>
  <c r="H126" i="13" s="1"/>
  <c r="G165" i="13"/>
  <c r="H165" i="13" s="1"/>
  <c r="G207" i="13"/>
  <c r="H207" i="13" s="1"/>
  <c r="G246" i="13"/>
  <c r="H246" i="13" s="1"/>
  <c r="G29" i="13"/>
  <c r="H29" i="13" s="1"/>
  <c r="G257" i="13"/>
  <c r="H257" i="13" s="1"/>
  <c r="G19" i="13"/>
  <c r="H19" i="13" s="1"/>
  <c r="G143" i="13"/>
  <c r="H143" i="13" s="1"/>
  <c r="G182" i="13"/>
  <c r="H182" i="13" s="1"/>
  <c r="G245" i="13"/>
  <c r="H245" i="13" s="1"/>
  <c r="G274" i="13"/>
  <c r="H274" i="13" s="1"/>
  <c r="G290" i="13"/>
  <c r="H290" i="13" s="1"/>
  <c r="G298" i="13"/>
  <c r="H298" i="13" s="1"/>
  <c r="G302" i="13"/>
  <c r="H302" i="13" s="1"/>
  <c r="G13" i="13"/>
  <c r="H13" i="13" s="1"/>
  <c r="G44" i="13"/>
  <c r="H44" i="13" s="1"/>
  <c r="G52" i="13"/>
  <c r="H52" i="13" s="1"/>
  <c r="G68" i="13"/>
  <c r="H68" i="13" s="1"/>
  <c r="G121" i="13"/>
  <c r="H121" i="13" s="1"/>
  <c r="G129" i="13"/>
  <c r="H129" i="13" s="1"/>
  <c r="G160" i="13"/>
  <c r="H160" i="13" s="1"/>
  <c r="G34" i="13"/>
  <c r="H34" i="13" s="1"/>
  <c r="G86" i="13"/>
  <c r="H86" i="13" s="1"/>
  <c r="H275" i="13"/>
  <c r="G225" i="13"/>
  <c r="H225" i="13" s="1"/>
  <c r="G38" i="13"/>
  <c r="H38" i="13" s="1"/>
  <c r="G192" i="13"/>
  <c r="H192" i="13" s="1"/>
  <c r="G306" i="13"/>
  <c r="H306" i="13" s="1"/>
  <c r="H139" i="13"/>
  <c r="H187" i="13"/>
  <c r="G286" i="13"/>
  <c r="H286" i="13" s="1"/>
  <c r="G101" i="13"/>
  <c r="H101" i="13" s="1"/>
  <c r="G128" i="13"/>
  <c r="H128" i="13" s="1"/>
  <c r="G210" i="13"/>
  <c r="H210" i="13" s="1"/>
  <c r="G281" i="13"/>
  <c r="H281" i="13" s="1"/>
  <c r="G36" i="13"/>
  <c r="H36" i="13" s="1"/>
  <c r="G190" i="13"/>
  <c r="H190" i="13" s="1"/>
  <c r="H195" i="13"/>
  <c r="H289" i="13"/>
  <c r="G253" i="13"/>
  <c r="H253" i="13" s="1"/>
  <c r="G300" i="13"/>
  <c r="H300" i="13" s="1"/>
  <c r="G188" i="13"/>
  <c r="H188" i="13" s="1"/>
  <c r="H94" i="13"/>
  <c r="G50" i="13"/>
  <c r="H50" i="13" s="1"/>
  <c r="H107" i="13"/>
  <c r="H206" i="13"/>
  <c r="H305" i="13"/>
  <c r="G310" i="13"/>
  <c r="H310" i="13" s="1"/>
  <c r="H98" i="13"/>
  <c r="H159" i="13"/>
  <c r="G247" i="13"/>
  <c r="H247" i="13" s="1"/>
  <c r="H252" i="13"/>
  <c r="H277" i="13"/>
  <c r="G54" i="13"/>
  <c r="H54" i="13" s="1"/>
  <c r="G46" i="13"/>
  <c r="H46" i="13" s="1"/>
  <c r="G240" i="13"/>
  <c r="H240" i="13" s="1"/>
  <c r="G261" i="13"/>
  <c r="H261" i="13" s="1"/>
  <c r="G155" i="13"/>
  <c r="H155" i="13" s="1"/>
  <c r="G17" i="13"/>
  <c r="H17" i="13" s="1"/>
  <c r="G259" i="13"/>
  <c r="H259" i="13" s="1"/>
  <c r="H132" i="13"/>
  <c r="H153" i="13"/>
  <c r="G288" i="13"/>
  <c r="H288" i="13" s="1"/>
  <c r="H115" i="13"/>
  <c r="G251" i="13"/>
  <c r="H251" i="13" s="1"/>
  <c r="G296" i="13"/>
  <c r="H296" i="13" s="1"/>
  <c r="H309" i="13"/>
  <c r="G20" i="13"/>
  <c r="H20" i="13" s="1"/>
  <c r="H223" i="13"/>
  <c r="F312" i="13"/>
  <c r="H269" i="13"/>
  <c r="G176" i="13"/>
  <c r="H176" i="13" s="1"/>
  <c r="H189" i="13"/>
  <c r="G294" i="13"/>
  <c r="H294" i="13" s="1"/>
  <c r="H55" i="13"/>
  <c r="H4" i="13"/>
  <c r="G168" i="13"/>
  <c r="H168" i="13" s="1"/>
  <c r="G312" i="13" l="1"/>
  <c r="G314" i="13" s="1"/>
  <c r="H312" i="13"/>
  <c r="H16" i="8" s="1"/>
  <c r="F24" i="1" l="1"/>
  <c r="G318" i="13"/>
  <c r="G321" i="13" s="1"/>
  <c r="B16" i="14"/>
  <c r="H14" i="1" l="1"/>
  <c r="H15" i="1"/>
  <c r="F7" i="10" l="1"/>
  <c r="H7" i="10" s="1"/>
  <c r="F6" i="10"/>
  <c r="H6" i="10" s="1"/>
  <c r="AH6" i="10"/>
  <c r="AJ6" i="10" s="1"/>
  <c r="H8" i="10" l="1"/>
  <c r="D32" i="9"/>
  <c r="F31" i="9"/>
  <c r="H31" i="9" s="1"/>
  <c r="F30" i="9"/>
  <c r="H30" i="9" s="1"/>
  <c r="F29" i="9"/>
  <c r="H29" i="9" s="1"/>
  <c r="F28" i="9"/>
  <c r="H28" i="9" s="1"/>
  <c r="F27" i="9"/>
  <c r="H27" i="9" s="1"/>
  <c r="F26" i="9"/>
  <c r="F25" i="9"/>
  <c r="H25" i="9" s="1"/>
  <c r="F24" i="9"/>
  <c r="H24" i="9" s="1"/>
  <c r="F23" i="9"/>
  <c r="H23" i="9" s="1"/>
  <c r="F22" i="9"/>
  <c r="H22" i="9" s="1"/>
  <c r="F21" i="9"/>
  <c r="H21" i="9" s="1"/>
  <c r="F20" i="9"/>
  <c r="H20" i="9" s="1"/>
  <c r="F19" i="9"/>
  <c r="H19" i="9" s="1"/>
  <c r="F18" i="9"/>
  <c r="F17" i="9"/>
  <c r="H17" i="9" s="1"/>
  <c r="F16" i="9"/>
  <c r="H16" i="9" s="1"/>
  <c r="F15" i="9"/>
  <c r="H15" i="9" s="1"/>
  <c r="F14" i="9"/>
  <c r="H14" i="9" s="1"/>
  <c r="F13" i="9"/>
  <c r="H13" i="9" s="1"/>
  <c r="F12" i="9"/>
  <c r="F11" i="9"/>
  <c r="H11" i="9" s="1"/>
  <c r="F10" i="9"/>
  <c r="H10" i="9" s="1"/>
  <c r="F9" i="9"/>
  <c r="H9" i="9" s="1"/>
  <c r="F8" i="9"/>
  <c r="H8" i="9" s="1"/>
  <c r="F7" i="9"/>
  <c r="H7" i="9" s="1"/>
  <c r="F6" i="9"/>
  <c r="H6" i="9" s="1"/>
  <c r="F5" i="9"/>
  <c r="H5" i="9" s="1"/>
  <c r="F4" i="9"/>
  <c r="H4" i="9" s="1"/>
  <c r="D11" i="8"/>
  <c r="F10" i="8"/>
  <c r="H10" i="8" s="1"/>
  <c r="F9" i="8"/>
  <c r="H9" i="8" s="1"/>
  <c r="F8" i="8"/>
  <c r="H8" i="8" s="1"/>
  <c r="F7" i="8"/>
  <c r="H7" i="8" s="1"/>
  <c r="H6" i="8"/>
  <c r="F5" i="8"/>
  <c r="H5" i="8" s="1"/>
  <c r="F14" i="1"/>
  <c r="F4" i="8"/>
  <c r="H4" i="8" s="1"/>
  <c r="H26" i="9" l="1"/>
  <c r="H12" i="9"/>
  <c r="H18" i="9"/>
  <c r="H11" i="8"/>
  <c r="H13" i="8" s="1"/>
  <c r="B14" i="14"/>
  <c r="F32" i="9"/>
  <c r="G11" i="8"/>
  <c r="F11" i="8"/>
  <c r="G32" i="9" l="1"/>
  <c r="F35" i="9" s="1"/>
  <c r="H32" i="9" l="1"/>
  <c r="H14" i="8" s="1"/>
  <c r="G34" i="9"/>
  <c r="D57" i="7"/>
  <c r="F56" i="7"/>
  <c r="H56" i="7" s="1"/>
  <c r="F55" i="7"/>
  <c r="H55" i="7" s="1"/>
  <c r="F54" i="7"/>
  <c r="H54" i="7" s="1"/>
  <c r="F53" i="7"/>
  <c r="H53" i="7" s="1"/>
  <c r="F52" i="7"/>
  <c r="H52" i="7" s="1"/>
  <c r="F51" i="7"/>
  <c r="H51" i="7" s="1"/>
  <c r="F50" i="7"/>
  <c r="F49" i="7"/>
  <c r="H49" i="7" s="1"/>
  <c r="F48" i="7"/>
  <c r="H48" i="7" s="1"/>
  <c r="F47" i="7"/>
  <c r="H47" i="7" s="1"/>
  <c r="F46" i="7"/>
  <c r="H46" i="7" s="1"/>
  <c r="F45" i="7"/>
  <c r="H45" i="7" s="1"/>
  <c r="F44" i="7"/>
  <c r="H44" i="7" s="1"/>
  <c r="F43" i="7"/>
  <c r="H43" i="7" s="1"/>
  <c r="F42" i="7"/>
  <c r="H42" i="7" s="1"/>
  <c r="F41" i="7"/>
  <c r="H41" i="7" s="1"/>
  <c r="F40" i="7"/>
  <c r="H40" i="7" s="1"/>
  <c r="F39" i="7"/>
  <c r="F38" i="7"/>
  <c r="H38" i="7" s="1"/>
  <c r="F37" i="7"/>
  <c r="H37" i="7" s="1"/>
  <c r="F36" i="7"/>
  <c r="H36" i="7" s="1"/>
  <c r="F35" i="7"/>
  <c r="H35" i="7" s="1"/>
  <c r="F34" i="7"/>
  <c r="H34" i="7" s="1"/>
  <c r="F33" i="7"/>
  <c r="H33" i="7" s="1"/>
  <c r="F32" i="7"/>
  <c r="H32" i="7" s="1"/>
  <c r="F31" i="7"/>
  <c r="H31" i="7" s="1"/>
  <c r="F30" i="7"/>
  <c r="H30" i="7" s="1"/>
  <c r="F29" i="7"/>
  <c r="H29" i="7" s="1"/>
  <c r="F28" i="7"/>
  <c r="F27" i="7"/>
  <c r="F26" i="7"/>
  <c r="H26" i="7" s="1"/>
  <c r="F25" i="7"/>
  <c r="H25" i="7" s="1"/>
  <c r="F24" i="7"/>
  <c r="H24" i="7" s="1"/>
  <c r="F23" i="7"/>
  <c r="H23" i="7" s="1"/>
  <c r="F22" i="7"/>
  <c r="F21" i="7"/>
  <c r="H21" i="7" s="1"/>
  <c r="F20" i="7"/>
  <c r="H20" i="7" s="1"/>
  <c r="F19" i="7"/>
  <c r="H19" i="7" s="1"/>
  <c r="F18" i="7"/>
  <c r="H18" i="7" s="1"/>
  <c r="F17" i="7"/>
  <c r="H17" i="7" s="1"/>
  <c r="F16" i="7"/>
  <c r="H16" i="7" s="1"/>
  <c r="F15" i="7"/>
  <c r="H15" i="7" s="1"/>
  <c r="F14" i="7"/>
  <c r="H14" i="7" s="1"/>
  <c r="F13" i="7"/>
  <c r="H13" i="7" s="1"/>
  <c r="F12" i="7"/>
  <c r="H12" i="7" s="1"/>
  <c r="F11" i="7"/>
  <c r="F10" i="7"/>
  <c r="H10" i="7" s="1"/>
  <c r="F9" i="7"/>
  <c r="H9" i="7" s="1"/>
  <c r="F8" i="7"/>
  <c r="F7" i="7"/>
  <c r="H7" i="7" s="1"/>
  <c r="F6" i="7"/>
  <c r="F5" i="7"/>
  <c r="H5" i="7" s="1"/>
  <c r="F4" i="7"/>
  <c r="G28" i="7" l="1"/>
  <c r="H28" i="7" s="1"/>
  <c r="G50" i="7"/>
  <c r="H50" i="7" s="1"/>
  <c r="G39" i="7"/>
  <c r="H39" i="7" s="1"/>
  <c r="G6" i="7"/>
  <c r="H6" i="7" s="1"/>
  <c r="G8" i="7"/>
  <c r="H8" i="7" s="1"/>
  <c r="G4" i="7"/>
  <c r="H4" i="7" s="1"/>
  <c r="G22" i="7"/>
  <c r="H22" i="7" s="1"/>
  <c r="G11" i="7"/>
  <c r="H11" i="7" s="1"/>
  <c r="G27" i="7"/>
  <c r="H27" i="7" s="1"/>
  <c r="F57" i="7"/>
  <c r="G57" i="7" l="1"/>
  <c r="H57" i="7"/>
  <c r="H61" i="7" l="1"/>
  <c r="H15" i="8"/>
  <c r="G58" i="7"/>
  <c r="G61" i="7"/>
  <c r="E25" i="1" l="1"/>
  <c r="E24" i="1"/>
  <c r="E23" i="1" l="1"/>
  <c r="E19" i="1"/>
  <c r="E20" i="1"/>
  <c r="E21" i="1"/>
  <c r="E22" i="1"/>
  <c r="E26" i="1" l="1"/>
  <c r="F26" i="1" s="1"/>
</calcChain>
</file>

<file path=xl/sharedStrings.xml><?xml version="1.0" encoding="utf-8"?>
<sst xmlns="http://schemas.openxmlformats.org/spreadsheetml/2006/main" count="13317" uniqueCount="976">
  <si>
    <t>HAJEEF CAMEL MILK PROCUREMENT FROM 01-APR-2024 TO 30-APR-2024</t>
  </si>
  <si>
    <t xml:space="preserve">Sr. No. </t>
  </si>
  <si>
    <t>Farmer Code</t>
  </si>
  <si>
    <t xml:space="preserve">Farmer Name </t>
  </si>
  <si>
    <t>Total Milk Qty</t>
  </si>
  <si>
    <t>Avg. Rate (OMR/Ltr.)</t>
  </si>
  <si>
    <t>Amount (OMR)</t>
  </si>
  <si>
    <t>paid</t>
  </si>
  <si>
    <t>balance</t>
  </si>
  <si>
    <t>ID No.</t>
  </si>
  <si>
    <t>Bank Account</t>
  </si>
  <si>
    <t xml:space="preserve"> Bank Name. </t>
  </si>
  <si>
    <t>SWIFT</t>
  </si>
  <si>
    <t>Phone No.</t>
  </si>
  <si>
    <t>remark 2</t>
  </si>
  <si>
    <t>Mohamed Salam Amer Al Yafee</t>
  </si>
  <si>
    <t>01041185194001</t>
  </si>
  <si>
    <t>BANK DHOFAR</t>
  </si>
  <si>
    <t>BDOFOMRU</t>
  </si>
  <si>
    <t>19-08-2024-feeds</t>
  </si>
  <si>
    <t>Ghazi Salim Ahmed Al Kathiri</t>
  </si>
  <si>
    <t>01011238092002</t>
  </si>
  <si>
    <t>13-08-2024-FEEDS</t>
  </si>
  <si>
    <t>Salim Ali said Al Masahli</t>
  </si>
  <si>
    <t>0406045085100027</t>
  </si>
  <si>
    <t>BANK MUSCAT</t>
  </si>
  <si>
    <t>BMUSOMRX</t>
  </si>
  <si>
    <t>Said Ahmed Suhail Alkathiri</t>
  </si>
  <si>
    <t>0439064863460012</t>
  </si>
  <si>
    <t>Ahmed Ali  Suhail Lahbet Alkathiri</t>
  </si>
  <si>
    <t>0406003222800013</t>
  </si>
  <si>
    <t>Wafi Musallam Ahmed Almasahli</t>
  </si>
  <si>
    <t>0406045269090019</t>
  </si>
  <si>
    <t>Ali Mohammed Suhail Ghawas</t>
  </si>
  <si>
    <t>0401002351490018</t>
  </si>
  <si>
    <t>18-08-2024-feeds</t>
  </si>
  <si>
    <t xml:space="preserve">Ahmed Ali Said Musallam Hubas </t>
  </si>
  <si>
    <t>01012585908001</t>
  </si>
  <si>
    <t>Ahmed Mohammed Ahmed Jashuul</t>
  </si>
  <si>
    <t>01010940205001</t>
  </si>
  <si>
    <t>14-08-24-feed</t>
  </si>
  <si>
    <t>Musallm hassan Abdullah Khdhran Al Kathiri</t>
  </si>
  <si>
    <t>3109497923700</t>
  </si>
  <si>
    <t>OAB</t>
  </si>
  <si>
    <t>OMABOMRU</t>
  </si>
  <si>
    <t>TOTAL</t>
  </si>
  <si>
    <t>Hassan Ghaly</t>
  </si>
  <si>
    <t>Sakku Mathew</t>
  </si>
  <si>
    <t>HAJEEF CAMEL MILK PROCUREMENT FROM 01-May-2024 TO 31-May-2024</t>
  </si>
  <si>
    <t>Bakhit Ahmed Musallam Al kathiri</t>
  </si>
  <si>
    <t>0439012124150013</t>
  </si>
  <si>
    <t>Bakhait Salim Ahmed Alash Al Kathiri</t>
  </si>
  <si>
    <t>0439014599800023</t>
  </si>
  <si>
    <t>Mohammed Suhail Ali Hawas Al Aamri</t>
  </si>
  <si>
    <t>3109720870700</t>
  </si>
  <si>
    <t>16-09-24</t>
  </si>
  <si>
    <t>Mahammed Musallam Ahmed Hwas</t>
  </si>
  <si>
    <t>0397003987550015</t>
  </si>
  <si>
    <t>Said Ahmed Sabah Ali Badar</t>
  </si>
  <si>
    <t>01012574607001</t>
  </si>
  <si>
    <t>Said Mohammed Salem Akdha Al Rawas</t>
  </si>
  <si>
    <t>0397003785300017</t>
  </si>
  <si>
    <t>Bakhit Mohamed Salim Rawas</t>
  </si>
  <si>
    <t>01010850230001</t>
  </si>
  <si>
    <t>26-08-2024-feeds</t>
  </si>
  <si>
    <t>Ahmed Musallam Ahmed Al Kathiri</t>
  </si>
  <si>
    <t>0439017196260028</t>
  </si>
  <si>
    <t>Sulaim Said Mohammed Hawas Al Aamri</t>
  </si>
  <si>
    <t>0406012189810015</t>
  </si>
  <si>
    <t>Salim Mustahil Jamaan Al Shakl Al kathiri</t>
  </si>
  <si>
    <t>01012583986001</t>
  </si>
  <si>
    <t>Suhail Said Ali Bait said</t>
  </si>
  <si>
    <t>0396003267730012</t>
  </si>
  <si>
    <t>Mahad Salim Zaed Baitsaid</t>
  </si>
  <si>
    <t>1023113274001</t>
  </si>
  <si>
    <t>NBO</t>
  </si>
  <si>
    <t>NBOMOMRX</t>
  </si>
  <si>
    <t>Ahmed Amer Said Baitsaid</t>
  </si>
  <si>
    <t>0396003219770029</t>
  </si>
  <si>
    <t>Saed Ali Ahmed Al Kathiri</t>
  </si>
  <si>
    <t>1083724895017</t>
  </si>
  <si>
    <t>20-08-2024-feeds</t>
  </si>
  <si>
    <t>MUSALLAM HASAN ALI BAIT SAID</t>
  </si>
  <si>
    <t>0397003183710017</t>
  </si>
  <si>
    <t>Bank Muscat</t>
  </si>
  <si>
    <t>Musallam Bakhit Salim Al Aamri</t>
  </si>
  <si>
    <t>01011373210001</t>
  </si>
  <si>
    <t>Ahmed Salim Bakhit Qatan</t>
  </si>
  <si>
    <t>3109628132500</t>
  </si>
  <si>
    <t>05-09-2024-feeds</t>
  </si>
  <si>
    <t>Salim Suhail Ali Al Kathiri</t>
  </si>
  <si>
    <t>0406059374210012</t>
  </si>
  <si>
    <t>Ahmed Mohammed Salim Al Barami</t>
  </si>
  <si>
    <t>3129711924500</t>
  </si>
  <si>
    <t>Ahmed Mohammed Faraj Al Kathiri</t>
  </si>
  <si>
    <t>0439058732890011</t>
  </si>
  <si>
    <t>Bakhit Salim Bakhit Qatan</t>
  </si>
  <si>
    <t>0397004184300024</t>
  </si>
  <si>
    <t>Bakhit Ali Salim Qatan</t>
  </si>
  <si>
    <t>0401002342630017</t>
  </si>
  <si>
    <t>Hussein Masoud Aubad Al Kathiri</t>
  </si>
  <si>
    <t>1060656310017</t>
  </si>
  <si>
    <t>Musallam  Salim Mahad Qatan</t>
  </si>
  <si>
    <t>0401002461080028</t>
  </si>
  <si>
    <t>27-08-2024-feeds</t>
  </si>
  <si>
    <t>Amer Salem Ahmed  Qatan</t>
  </si>
  <si>
    <t>0401003532620025</t>
  </si>
  <si>
    <t>Salim Ahmed Mahad Aamir Jid</t>
  </si>
  <si>
    <t>01011362595002</t>
  </si>
  <si>
    <t xml:space="preserve">Salim Ahmed Salim Amer Jid </t>
  </si>
  <si>
    <t>0401050718800013</t>
  </si>
  <si>
    <t>Said Ahmed Mahad Qatan</t>
  </si>
  <si>
    <t>3109016888700</t>
  </si>
  <si>
    <t>Said  Aubad Ali Ghawas</t>
  </si>
  <si>
    <t>0397003933630013</t>
  </si>
  <si>
    <t>Ali Bakhit Ahmed Qatan</t>
  </si>
  <si>
    <t>3129376165700</t>
  </si>
  <si>
    <t>Mohamed Ahmed Suhail Qatan</t>
  </si>
  <si>
    <t>0397004395550019</t>
  </si>
  <si>
    <t>Mohammed Salim Said Al Barami</t>
  </si>
  <si>
    <t>250094968001</t>
  </si>
  <si>
    <t>HSBC</t>
  </si>
  <si>
    <t>BBMEOMRX</t>
  </si>
  <si>
    <t>Mohammed Ali Suhail Qatan</t>
  </si>
  <si>
    <t>0396041232890032</t>
  </si>
  <si>
    <t>14-08-2024-feeds</t>
  </si>
  <si>
    <t>Musallam Bakhit Masoud Qatan</t>
  </si>
  <si>
    <t>010010201414</t>
  </si>
  <si>
    <t>Bank Sohar</t>
  </si>
  <si>
    <t>BSHROMRU</t>
  </si>
  <si>
    <t>Yhaya Musallam Said Qatan</t>
  </si>
  <si>
    <t>0401016503450018</t>
  </si>
  <si>
    <t>Bakhit Amer Salem Qatan</t>
  </si>
  <si>
    <t>00510034969002</t>
  </si>
  <si>
    <t>BANK NIZWA</t>
  </si>
  <si>
    <t>BNZWOMRX</t>
  </si>
  <si>
    <t>Ali Ahmed Aubad Jamaan Al Kathiri</t>
  </si>
  <si>
    <t>0304024501570012</t>
  </si>
  <si>
    <t>Salim Ahmed Said Tabuk</t>
  </si>
  <si>
    <t>0426003863310028</t>
  </si>
  <si>
    <t>Salim Said Suhail Qatan</t>
  </si>
  <si>
    <t>0401002332700028</t>
  </si>
  <si>
    <t>Mohammed Salim Amer Qatan</t>
  </si>
  <si>
    <t>0317002509980029</t>
  </si>
  <si>
    <t>Mohammed Ahmed Suhail Mahad Qatan</t>
  </si>
  <si>
    <t>0401016956230027</t>
  </si>
  <si>
    <t>Khalid Ahmed Salim Amer Jid Al Mahri</t>
  </si>
  <si>
    <t>Abdul Sallam Ahmed Abdullah Al Abbadi Al Rawas</t>
  </si>
  <si>
    <t>3109061950500</t>
  </si>
  <si>
    <t>Ali Musallam Ahmed Tabuk</t>
  </si>
  <si>
    <t>0397004227360018</t>
  </si>
  <si>
    <t>Ahmed Said Ahmed Qutan</t>
  </si>
  <si>
    <t>0401044694220018</t>
  </si>
  <si>
    <t>Ali Salim Said Qatan</t>
  </si>
  <si>
    <t>01041090275001</t>
  </si>
  <si>
    <t>Salim Ahmed Ali Qatan</t>
  </si>
  <si>
    <t>0132906010084010</t>
  </si>
  <si>
    <t>Musallam Salim Amir Said Qatan</t>
  </si>
  <si>
    <t>0401047625040018</t>
  </si>
  <si>
    <t>Hassan Suhail Ahmed Said Qatan</t>
  </si>
  <si>
    <t>0426060858570018</t>
  </si>
  <si>
    <t>DCF feed</t>
  </si>
  <si>
    <t>Said Ali Ahmed Al Katheri</t>
  </si>
  <si>
    <t>0406020751730014</t>
  </si>
  <si>
    <t>Ali Mahad Said Qatan</t>
  </si>
  <si>
    <t>001010070151</t>
  </si>
  <si>
    <t>BANK SOHAR</t>
  </si>
  <si>
    <t>MOHAMMED ALI MAHAD QATAN</t>
  </si>
  <si>
    <t>01011386365003</t>
  </si>
  <si>
    <t>Said Suhail Ali Al Kathiri</t>
  </si>
  <si>
    <t>0397016698910016</t>
  </si>
  <si>
    <t>Ahmed Said Mubarak Al Zawamri</t>
  </si>
  <si>
    <t>0401002467120013</t>
  </si>
  <si>
    <t>Salim Mohammed Musallam Al Baraami</t>
  </si>
  <si>
    <t>01010941305001</t>
  </si>
  <si>
    <t>Mohammed Said Mahad Qatan</t>
  </si>
  <si>
    <t>050170299001</t>
  </si>
  <si>
    <t xml:space="preserve">Ali Ahmed Suhail Qatan </t>
  </si>
  <si>
    <t>0397004383920015</t>
  </si>
  <si>
    <t>Salim Musallam Ahmed Tabouk</t>
  </si>
  <si>
    <t>01041249912001</t>
  </si>
  <si>
    <t>Suhail Awadh Salim Hawas Al Aamri</t>
  </si>
  <si>
    <t>01010853900001</t>
  </si>
  <si>
    <t>Hassan Musallam  Ali Qatan</t>
  </si>
  <si>
    <t>00510059623001</t>
  </si>
  <si>
    <t>Said Salim Ali Hawas Al Aamri</t>
  </si>
  <si>
    <t>0406003141690019</t>
  </si>
  <si>
    <t>Adnan Mohammed Said Bait Said</t>
  </si>
  <si>
    <t>01011445808001</t>
  </si>
  <si>
    <t>Musallam Mohammed Salim Al Barami</t>
  </si>
  <si>
    <t>0401003471060021</t>
  </si>
  <si>
    <t>Mohammed Ahmed Bakhit Qatan</t>
  </si>
  <si>
    <t>01011448559002</t>
  </si>
  <si>
    <t>Salim Said Mustahil Al Kathiri</t>
  </si>
  <si>
    <t>00510087464001</t>
  </si>
  <si>
    <t>Salim Said Salim Qatan</t>
  </si>
  <si>
    <t>0439002422440029</t>
  </si>
  <si>
    <t>Mohamed Ahmed Salam Alamri</t>
  </si>
  <si>
    <t>0397004248490019</t>
  </si>
  <si>
    <t>0406003835930033</t>
  </si>
  <si>
    <t>Ali Amer Salim Qatan</t>
  </si>
  <si>
    <t>01011440583003</t>
  </si>
  <si>
    <t>Musallam Amer Salim Qatan</t>
  </si>
  <si>
    <t>0401002417310016</t>
  </si>
  <si>
    <t>Mohammed Abdullah Ali Ghawas</t>
  </si>
  <si>
    <t>0406003363090017</t>
  </si>
  <si>
    <t>Tanaf Suhail Ali Hawas Al Aamri</t>
  </si>
  <si>
    <t>01010120940001</t>
  </si>
  <si>
    <t>Salim Mohammed Ahmed Al Aamri</t>
  </si>
  <si>
    <t>0500012521101001</t>
  </si>
  <si>
    <t>Alizz Islamic Bank</t>
  </si>
  <si>
    <t>IZZBOMRU</t>
  </si>
  <si>
    <t>Masoud  Salim  Ahmed Alash Al Kathiri</t>
  </si>
  <si>
    <t>0406017202280014</t>
  </si>
  <si>
    <t>Ahmed Mahad Musallam Amor Jid</t>
  </si>
  <si>
    <t>10600341164086</t>
  </si>
  <si>
    <t>Salim Ali Mohammed Hawas Al Amari</t>
  </si>
  <si>
    <t>0397060863170013</t>
  </si>
  <si>
    <t>Suhail Salim Mohammed Al Daakari</t>
  </si>
  <si>
    <t>3109633774500</t>
  </si>
  <si>
    <t>Mohammed Ali Said Qatan</t>
  </si>
  <si>
    <t>0401011715810012</t>
  </si>
  <si>
    <t xml:space="preserve">Ali Salim Bakhit Qatan </t>
  </si>
  <si>
    <t>0413009940010018</t>
  </si>
  <si>
    <t xml:space="preserve">Ali Said Salim  Al kathiri </t>
  </si>
  <si>
    <t>00510029714001</t>
  </si>
  <si>
    <t>23-09-2024</t>
  </si>
  <si>
    <t>Bashar Ahmed Ali Qatan</t>
  </si>
  <si>
    <t>0401040842100016</t>
  </si>
  <si>
    <t>Asad Ali Ahmed Suhail Aamir Jid</t>
  </si>
  <si>
    <t>0406056811780029</t>
  </si>
  <si>
    <t>18-09-2024</t>
  </si>
  <si>
    <t>Mohammed Ali Bakhit Qatan</t>
  </si>
  <si>
    <t>0397042697150019</t>
  </si>
  <si>
    <t>Musallam Ahmed Mohammed Aldakari Al Kathiri</t>
  </si>
  <si>
    <t>996477</t>
  </si>
  <si>
    <t>3109331947500</t>
  </si>
  <si>
    <t>Salim Suhail Said Ghawas</t>
  </si>
  <si>
    <t>0397003998840015</t>
  </si>
  <si>
    <t>Mohammed Suhail Said Ghawas</t>
  </si>
  <si>
    <t>0406003150110017</t>
  </si>
  <si>
    <t>Ahmed Suhail Said Ghawas</t>
  </si>
  <si>
    <t>0406040710420017</t>
  </si>
  <si>
    <t>Amir Musallam Hadi Salim Al Aamri</t>
  </si>
  <si>
    <t>0406025047690017</t>
  </si>
  <si>
    <t>Mahad Ahmed Mahad Aamir Jid</t>
  </si>
  <si>
    <t>0401002372390013</t>
  </si>
  <si>
    <t>Said Amer Salim Qatan</t>
  </si>
  <si>
    <t>0397003656070021</t>
  </si>
  <si>
    <t>Abdull Ali Ahmed  Suhail Aamir Jid</t>
  </si>
  <si>
    <t>0406061192660017</t>
  </si>
  <si>
    <t>Said Mohammed Musallam Al Shihri</t>
  </si>
  <si>
    <t>0401004242270027</t>
  </si>
  <si>
    <t>Bakhit Ahmed Musallam Khinan Al Shahri</t>
  </si>
  <si>
    <t>1060605003017</t>
  </si>
  <si>
    <t>Salim Said Salim Al Mahri</t>
  </si>
  <si>
    <t>70401001815001</t>
  </si>
  <si>
    <t>SOHAR ISLAMIC BANK</t>
  </si>
  <si>
    <t>BSHROMRUISL</t>
  </si>
  <si>
    <t>Ahmed Salim Amer Qatan</t>
  </si>
  <si>
    <t>1006708876017</t>
  </si>
  <si>
    <t>Ali Musalam Said Salim Qatan</t>
  </si>
  <si>
    <t>0401022465590037</t>
  </si>
  <si>
    <t>Salim Mohamed Salim Qatan</t>
  </si>
  <si>
    <t>0439041281100011</t>
  </si>
  <si>
    <t>Suhail Ahmed Said Qatan</t>
  </si>
  <si>
    <t>3109092018500</t>
  </si>
  <si>
    <t>Ahmed Ali Suhail Bait Said</t>
  </si>
  <si>
    <t>10230145735017</t>
  </si>
  <si>
    <t>Said Ahmed Mahad Aamir Jid</t>
  </si>
  <si>
    <t>0439028694470015</t>
  </si>
  <si>
    <t>Ahmed Ali  Mustahil Al Jahfali</t>
  </si>
  <si>
    <t>0439058205670011</t>
  </si>
  <si>
    <t>Hassan Bakhit  Ahmed Al Kathiri</t>
  </si>
  <si>
    <t>0500071563104001</t>
  </si>
  <si>
    <t>Hassan Muslem Ali Aamir Jid Al Mahri</t>
  </si>
  <si>
    <t>01011198160001</t>
  </si>
  <si>
    <t>Hassan Salim Bakhit Mahad Qatan</t>
  </si>
  <si>
    <t>01041124895001</t>
  </si>
  <si>
    <t>Mahmood Said Khuwaidem Qutan</t>
  </si>
  <si>
    <t>0401057877410018</t>
  </si>
  <si>
    <t>Masoud  Salim Faraj Al Kathiri</t>
  </si>
  <si>
    <t>01011028414003</t>
  </si>
  <si>
    <t>Mundher Ahmed Musallam Amer Jeed</t>
  </si>
  <si>
    <t>0401051591510017</t>
  </si>
  <si>
    <t>Rajah Masoud Aubad Jamaan Al Kathiri</t>
  </si>
  <si>
    <t>1060656310018</t>
  </si>
  <si>
    <t>Mohammed Musallam Hadi Al Aamri</t>
  </si>
  <si>
    <t>Khalid Ali Ahmed Suhail Amer Jid</t>
  </si>
  <si>
    <t>1501095702330</t>
  </si>
  <si>
    <t>AHLI BANK</t>
  </si>
  <si>
    <t>AUBOOMRU</t>
  </si>
  <si>
    <t>Said Musallam Suhail Jaboob</t>
  </si>
  <si>
    <t>00510034668001</t>
  </si>
  <si>
    <t>13-08-24-feeds</t>
  </si>
  <si>
    <t>Ali Salim Amor Salim Qatan</t>
  </si>
  <si>
    <t>0401027769730018</t>
  </si>
  <si>
    <t>Ahmed Bakhit Ahmed Qatan</t>
  </si>
  <si>
    <t>0439003219570029</t>
  </si>
  <si>
    <t>12-08-2024-feeds</t>
  </si>
  <si>
    <t>Ali Suhail Ali Hawas Alaamri</t>
  </si>
  <si>
    <t>01011290175001</t>
  </si>
  <si>
    <t>Bank Dhofar</t>
  </si>
  <si>
    <t>Salim Bakhit Mahad Qutan</t>
  </si>
  <si>
    <t>1006214422017</t>
  </si>
  <si>
    <t>Suhail Salim Suhail Hawas Alaamri</t>
  </si>
  <si>
    <t>01011103509001</t>
  </si>
  <si>
    <t>Suhail Musallam Said Barook Amer Jeed</t>
  </si>
  <si>
    <t>1006638627002</t>
  </si>
  <si>
    <t>Ahmed Ali Said Qatan</t>
  </si>
  <si>
    <t>0401058533150013</t>
  </si>
  <si>
    <t>Ahmed Salim Ahmed Tabook</t>
  </si>
  <si>
    <t>01041230416001</t>
  </si>
  <si>
    <t>Ali Musallam Said Qatan</t>
  </si>
  <si>
    <t>0406003431800012</t>
  </si>
  <si>
    <t>Ahmed Amor Ahmed  Qatan</t>
  </si>
  <si>
    <t>0397010599490023</t>
  </si>
  <si>
    <t>Mohamed Ahmed Salim Khalis Almasahli</t>
  </si>
  <si>
    <t>0406003410520017</t>
  </si>
  <si>
    <t>Said Amer Said Qatan</t>
  </si>
  <si>
    <t>01040607392001</t>
  </si>
  <si>
    <t>Ahmed Said Amer Qatan</t>
  </si>
  <si>
    <t>0440016419030029</t>
  </si>
  <si>
    <t>Bakhet Salim Ahmed  Qatan</t>
  </si>
  <si>
    <t>7033824</t>
  </si>
  <si>
    <t>01646039750001</t>
  </si>
  <si>
    <t>Maisarah Islamic Bank</t>
  </si>
  <si>
    <t>BDOFOMRUMIB</t>
  </si>
  <si>
    <t>Ahmed Salim Said Amor Jid Al Mahri</t>
  </si>
  <si>
    <t>250122207160</t>
  </si>
  <si>
    <t>Said Aubad Jamaan Al Kathiri</t>
  </si>
  <si>
    <t>0397026856800032</t>
  </si>
  <si>
    <t>16-09-2024</t>
  </si>
  <si>
    <t>Musallam Said Amer Qatan</t>
  </si>
  <si>
    <t>0401062391100018</t>
  </si>
  <si>
    <t>Amer Said Amer Salim Qatan</t>
  </si>
  <si>
    <t>0401027682850017</t>
  </si>
  <si>
    <t>ALI OMAR ABDULLAH  ALABBADI ALRAWAS</t>
  </si>
  <si>
    <t>0397004380820017</t>
  </si>
  <si>
    <t>MOHAMED AMOR SAID QATAN</t>
  </si>
  <si>
    <t>0401049367130018</t>
  </si>
  <si>
    <t>Ali Mohammed Suhail Qatan</t>
  </si>
  <si>
    <t>3129625223700</t>
  </si>
  <si>
    <t>0426016888570021</t>
  </si>
  <si>
    <t>Musallam Ahmed Ali Hawas Al Aamri</t>
  </si>
  <si>
    <t>01040015365001</t>
  </si>
  <si>
    <t>Ahmed Said Mohammed Tabook</t>
  </si>
  <si>
    <t>0396003234930016</t>
  </si>
  <si>
    <t>Said Ahmed Mustahil Alshahri</t>
  </si>
  <si>
    <t>1006510914017</t>
  </si>
  <si>
    <t>Husam Ahmed Salim Alkatini Alrawas</t>
  </si>
  <si>
    <t>010010158541</t>
  </si>
  <si>
    <t>Sohar International</t>
  </si>
  <si>
    <t>Mohammed Said Mohammed Baitsaid</t>
  </si>
  <si>
    <t>01040088320001</t>
  </si>
  <si>
    <t>Amer Said Suhail Qatan</t>
  </si>
  <si>
    <t>0397004322480012</t>
  </si>
  <si>
    <t>Mohammed Suhail Saad Ghawas</t>
  </si>
  <si>
    <t>0406003333830027</t>
  </si>
  <si>
    <t>Ahmed Mohammed Salim Qatan</t>
  </si>
  <si>
    <t>0401062696050013</t>
  </si>
  <si>
    <t>Said Salim Tamtim Ali Hawas Al Aamri</t>
  </si>
  <si>
    <t>01010128076001</t>
  </si>
  <si>
    <t>Mohsin Suhail Ghawas</t>
  </si>
  <si>
    <t>0397003852970014</t>
  </si>
  <si>
    <t>04-09-24-feeds</t>
  </si>
  <si>
    <t>Ahmed Salim Masood Alkatini Alrawas</t>
  </si>
  <si>
    <t>01010408398001</t>
  </si>
  <si>
    <t xml:space="preserve">Bakhit Ali Masoud Thuaar </t>
  </si>
  <si>
    <t>250020015931</t>
  </si>
  <si>
    <t>Hafidh Salim Ahmed Alash Al Kathiri</t>
  </si>
  <si>
    <t>21827716</t>
  </si>
  <si>
    <t>01013041639001</t>
  </si>
  <si>
    <t>Salim Ali Said Kashoub</t>
  </si>
  <si>
    <t>231033101160</t>
  </si>
  <si>
    <t>Bakhit Salim Musallam Kashob</t>
  </si>
  <si>
    <t>0401056757830017</t>
  </si>
  <si>
    <t>Mohammed Masoud Mohammed Kashob</t>
  </si>
  <si>
    <t>0406003154150013</t>
  </si>
  <si>
    <t>Said Mohammed Masoud Kashob</t>
  </si>
  <si>
    <t>0401002617050019</t>
  </si>
  <si>
    <t>Said Salim Nassir Al Aamri</t>
  </si>
  <si>
    <t>28-08-2024-feeds</t>
  </si>
  <si>
    <t>0396003228210017</t>
  </si>
  <si>
    <t>Abdul Aziz Ali  Said  Ali  Kashoob</t>
  </si>
  <si>
    <t>23860076</t>
  </si>
  <si>
    <t>0439020976250025</t>
  </si>
  <si>
    <t>Ahmed  Amor Bakhit Suhail Al Awayid</t>
  </si>
  <si>
    <t>24849713</t>
  </si>
  <si>
    <t>01013035865001</t>
  </si>
  <si>
    <t>Ahmed Ali Faraj Al Manjawi</t>
  </si>
  <si>
    <t>443037</t>
  </si>
  <si>
    <t>0406003335120019</t>
  </si>
  <si>
    <t>Ahmed Ali Jamaan Atif ALYafai</t>
  </si>
  <si>
    <t>962934</t>
  </si>
  <si>
    <t>250033032001</t>
  </si>
  <si>
    <t>Suhail Said Salim Akadha Al Rawas</t>
  </si>
  <si>
    <t>863006</t>
  </si>
  <si>
    <t>0397004081260016</t>
  </si>
  <si>
    <t>Salim Ali Musallam ALMaashani</t>
  </si>
  <si>
    <t>6349394</t>
  </si>
  <si>
    <t>0398060867830011</t>
  </si>
  <si>
    <t>feeds -06-08-2024</t>
  </si>
  <si>
    <t>Sohail Ali Bakhit Qatan</t>
  </si>
  <si>
    <t>21916816</t>
  </si>
  <si>
    <t>3129165841700</t>
  </si>
  <si>
    <t>Said Ahmed Ali Al Zawamri</t>
  </si>
  <si>
    <t>6610475</t>
  </si>
  <si>
    <t>10060260267017</t>
  </si>
  <si>
    <t>Mohammed Ahmed Masoud Dakari ALKathiri</t>
  </si>
  <si>
    <t>2518469</t>
  </si>
  <si>
    <t>01040280417002</t>
  </si>
  <si>
    <t>Salim Ali Salim ALKathiri</t>
  </si>
  <si>
    <t>22792559</t>
  </si>
  <si>
    <t>10600421424017</t>
  </si>
  <si>
    <t>Said Suhail Said Qatan</t>
  </si>
  <si>
    <t>0401002567740027</t>
  </si>
  <si>
    <t>0397003325360011</t>
  </si>
  <si>
    <t>Sohar Islamic</t>
  </si>
  <si>
    <t>Suhail Said Salim Qatan</t>
  </si>
  <si>
    <t>287348</t>
  </si>
  <si>
    <t>0397003878240014</t>
  </si>
  <si>
    <t>Suhail Musallam Suhail Musallam Qatan</t>
  </si>
  <si>
    <t>0426056366870019</t>
  </si>
  <si>
    <t>Amer Mohammed Suhail Said Qatan</t>
  </si>
  <si>
    <t>23265822</t>
  </si>
  <si>
    <t>0426062489230014</t>
  </si>
  <si>
    <t>Ahmed Salim Ahmed Qatan</t>
  </si>
  <si>
    <t>5873419</t>
  </si>
  <si>
    <t>0401002505120014</t>
  </si>
  <si>
    <t>Ahmed Masoud Salim Alkathiri</t>
  </si>
  <si>
    <t>0406003433270018</t>
  </si>
  <si>
    <t>Salim Said Amer Salim Qatan</t>
  </si>
  <si>
    <t>0401020982140017</t>
  </si>
  <si>
    <t>Salim Musallam Bakhit Alkathiri</t>
  </si>
  <si>
    <t>01040856734001</t>
  </si>
  <si>
    <t>Ahmed Said Bakhit Alhamar</t>
  </si>
  <si>
    <t>0439050331670018</t>
  </si>
  <si>
    <t>Qais Mohammed Said Qatan</t>
  </si>
  <si>
    <t>0401021357750024</t>
  </si>
  <si>
    <t>Amer Said Salim Ahmed Al kathiri</t>
  </si>
  <si>
    <t>01043807880001</t>
  </si>
  <si>
    <t>Mohammed Said Suhail Qatan</t>
  </si>
  <si>
    <t>70402002089201</t>
  </si>
  <si>
    <t>Salim Mahad Mahroos Tabouk</t>
  </si>
  <si>
    <t>0406003154690018</t>
  </si>
  <si>
    <t>Said Muamen Ahmed Almasahli Alkathiri</t>
  </si>
  <si>
    <t>0406003262210014</t>
  </si>
  <si>
    <t>Nadir Said Ahmed Al kathiri</t>
  </si>
  <si>
    <t>0396044540590022</t>
  </si>
  <si>
    <t>Mohammed Nasser Salim Alhamar</t>
  </si>
  <si>
    <t>0439054520590012</t>
  </si>
  <si>
    <t>Ali Salim Amer Al kathiri</t>
  </si>
  <si>
    <t>0406003375130017</t>
  </si>
  <si>
    <t>Awadh Ali Said AL Shanfari</t>
  </si>
  <si>
    <t>0401043497010016</t>
  </si>
  <si>
    <t>Yasir Omar Masoud Alkathiri</t>
  </si>
  <si>
    <t>0406017543380017</t>
  </si>
  <si>
    <t>Said Bakhit Ahmed Alkathiri</t>
  </si>
  <si>
    <t>01041069697001</t>
  </si>
  <si>
    <t>Mohammed Ali Ahmed Houti Al Shahari</t>
  </si>
  <si>
    <t>0500046614002001</t>
  </si>
  <si>
    <t>Said Amer Said Amar Jid Al mahri</t>
  </si>
  <si>
    <t>0397003957040028</t>
  </si>
  <si>
    <t>Ahmed Said Salim Al Dakari Al kathiri</t>
  </si>
  <si>
    <t>0406060156570013</t>
  </si>
  <si>
    <t>Suhail Ali Mohammed Alkathiri</t>
  </si>
  <si>
    <t>050412956035</t>
  </si>
  <si>
    <t>Ali Suhail Ali Alkathiri</t>
  </si>
  <si>
    <t>0406012619810014</t>
  </si>
  <si>
    <t>Aubad Said Aubad Ghawas</t>
  </si>
  <si>
    <t>01041075335001</t>
  </si>
  <si>
    <t>Ahmed Al Bakhaet Salim Hawas</t>
  </si>
  <si>
    <t>0439011191920021</t>
  </si>
  <si>
    <t>Ali Musallam Amer Amer Jid Almahri</t>
  </si>
  <si>
    <t>0397003950410019</t>
  </si>
  <si>
    <t>Said Mohsin Suhail Ghawas</t>
  </si>
  <si>
    <t>01011096619001</t>
  </si>
  <si>
    <t>Mohammed Bakhit  Suhail Tabouk</t>
  </si>
  <si>
    <t>0397026446300016</t>
  </si>
  <si>
    <t>Azad Hadid Said Khinan Al shahri</t>
  </si>
  <si>
    <t>0401063512700017</t>
  </si>
  <si>
    <t>Said Ali Ahmed Amer Alkathiri</t>
  </si>
  <si>
    <t>3107563019700</t>
  </si>
  <si>
    <t>Mohsin Said Mohsin Almasahli</t>
  </si>
  <si>
    <t>0396019395080024</t>
  </si>
  <si>
    <t>Mohammed Ahmed  Ali Aati Al yafii</t>
  </si>
  <si>
    <t>0439053703280016</t>
  </si>
  <si>
    <t>Ahmed Amer Said Qatan</t>
  </si>
  <si>
    <t>0500005038101001</t>
  </si>
  <si>
    <t>Ali Said Ahmed Naoom Al Kathiri</t>
  </si>
  <si>
    <t>01040405051001</t>
  </si>
  <si>
    <t>Suhail Mohamed Suhail Saad Ghawas</t>
  </si>
  <si>
    <t>0500047173104001</t>
  </si>
  <si>
    <t>Amer Salim Said Akadha Al Rawas</t>
  </si>
  <si>
    <t>0439018920020038</t>
  </si>
  <si>
    <t>Nasser bakhit Salim Qatan</t>
  </si>
  <si>
    <t>0426019439940034</t>
  </si>
  <si>
    <t>Abdullah Salim Mohammed Alaamri</t>
  </si>
  <si>
    <t>01040014624001</t>
  </si>
  <si>
    <t>Said Salim Doul Samhan ALMashali</t>
  </si>
  <si>
    <t>1970558</t>
  </si>
  <si>
    <t>0006500151945</t>
  </si>
  <si>
    <t>FAB</t>
  </si>
  <si>
    <t>NBADOMRX</t>
  </si>
  <si>
    <t>Mohammed Ahmed Said Tabook</t>
  </si>
  <si>
    <t>01015077263001</t>
  </si>
  <si>
    <t>Amro Hassan Mahad Ali Baitsaid</t>
  </si>
  <si>
    <t>01011318851003</t>
  </si>
  <si>
    <t>Badar Bakhit Ahmed Qatan</t>
  </si>
  <si>
    <t>0401056973610013</t>
  </si>
  <si>
    <t>Said Bakhit taman jaboob</t>
  </si>
  <si>
    <t>1501119668330</t>
  </si>
  <si>
    <t>Ahmed Musallam Suhail Almaashani</t>
  </si>
  <si>
    <t>0398003688570038</t>
  </si>
  <si>
    <t>Ahmed Amer Salim Qatan</t>
  </si>
  <si>
    <t>0401017430950021</t>
  </si>
  <si>
    <t>Suhail Ahmed Salim Alkhlis Alm asahali</t>
  </si>
  <si>
    <t>0406053962240019</t>
  </si>
  <si>
    <t>Ahmed Suhail Said  Suhail Jaboob</t>
  </si>
  <si>
    <t>01014312046001</t>
  </si>
  <si>
    <t>Musallam Taman Ahmed Almaashani</t>
  </si>
  <si>
    <t>3109603832500</t>
  </si>
  <si>
    <t>Salim Ahmed Said Tabook</t>
  </si>
  <si>
    <t>0426002677910038</t>
  </si>
  <si>
    <t>Mohammed Musthail Jamaan Alkathiri</t>
  </si>
  <si>
    <t>01010125708001</t>
  </si>
  <si>
    <t>Ahmed Ali Mohammed Almashani</t>
  </si>
  <si>
    <t>0426017114630028</t>
  </si>
  <si>
    <t>Said Salim Ali Mubarak Kashoob</t>
  </si>
  <si>
    <t>0401002626040042</t>
  </si>
  <si>
    <t>Hamid Awadh Salim Hawas AL Aamri</t>
  </si>
  <si>
    <t>01011172994001</t>
  </si>
  <si>
    <t>18-09-2024-feeds</t>
  </si>
  <si>
    <t>Amer Salim Bakhit Tabook</t>
  </si>
  <si>
    <t>0406050998610018</t>
  </si>
  <si>
    <t>Mohammed Ali Salim Tamtim Hawas AL Aamri</t>
  </si>
  <si>
    <t>10230374612017</t>
  </si>
  <si>
    <t>Musallam Mubarak Musallam Mahood Koob ALShahri</t>
  </si>
  <si>
    <t>0426010159340018</t>
  </si>
  <si>
    <t>Suhail Ali Suhail Ghawas</t>
  </si>
  <si>
    <t>01015376629001</t>
  </si>
  <si>
    <t>Ahmed Ali Mustahil  Alshakal Al Kathiri</t>
  </si>
  <si>
    <t>01011284416002</t>
  </si>
  <si>
    <t>Ghanim Ahmed Mohammed Wawas Al Aamri</t>
  </si>
  <si>
    <t>10230374511017</t>
  </si>
  <si>
    <t>Ahmed Ali Salim Bait Said</t>
  </si>
  <si>
    <t>01040854794001</t>
  </si>
  <si>
    <t>Salim Abdul Aziz Abdullah Al daakari AL Kathiri</t>
  </si>
  <si>
    <t>01040850786001</t>
  </si>
  <si>
    <t>Ghanim Musallam Salim Ghawas Al Kathiri</t>
  </si>
  <si>
    <t>0406003497880017</t>
  </si>
  <si>
    <t>15-08-2024-feed</t>
  </si>
  <si>
    <t>Salim Musallam Salim Qatan</t>
  </si>
  <si>
    <t>0317009002700018</t>
  </si>
  <si>
    <t>Masoud Musallam Masoud Bait Said</t>
  </si>
  <si>
    <t>1023528809017</t>
  </si>
  <si>
    <t>Ali Musallam Rabeea Hubais</t>
  </si>
  <si>
    <t>0406004085780022</t>
  </si>
  <si>
    <t>Nassar Musallam Said Qatan</t>
  </si>
  <si>
    <t>0401028251810014</t>
  </si>
  <si>
    <t>Mohammed Amer Said Al Maashani</t>
  </si>
  <si>
    <t>0398043498400014</t>
  </si>
  <si>
    <t>Messalam Ali Said Suhail Jaboob</t>
  </si>
  <si>
    <t>0401040937500011</t>
  </si>
  <si>
    <t>Ahmed Salim Ali Al Mashani</t>
  </si>
  <si>
    <t>0398041006520017</t>
  </si>
  <si>
    <t>Suhail Musallam Ahmed Jaboob</t>
  </si>
  <si>
    <t>0397003811440019</t>
  </si>
  <si>
    <t>Salim Mohammed Issa AL Maashani</t>
  </si>
  <si>
    <t>0397004130470013</t>
  </si>
  <si>
    <t>Bakhit Mohammed Bakhit Al jahfali</t>
  </si>
  <si>
    <t>01040124131001</t>
  </si>
  <si>
    <t>Abdullh Mohsin Suhail Ghawas</t>
  </si>
  <si>
    <t>0439061417630018</t>
  </si>
  <si>
    <t>Yahya Mahad Ali Al maashani</t>
  </si>
  <si>
    <t>0500033637104001</t>
  </si>
  <si>
    <t>Said Mohammed Ali Hawas Al aamri</t>
  </si>
  <si>
    <t>3109378022700</t>
  </si>
  <si>
    <t>Said Amer Azad AL Kathiri</t>
  </si>
  <si>
    <t>0406003177010014</t>
  </si>
  <si>
    <t>Mohammed Ahmed Ali Al aamri</t>
  </si>
  <si>
    <t>0396003431270036</t>
  </si>
  <si>
    <t>Talal  ali ahmed Al Jahfali</t>
  </si>
  <si>
    <t>0406025049040017</t>
  </si>
  <si>
    <t>Hatem Ali Aslam Al Zawamri</t>
  </si>
  <si>
    <t>1006646918017</t>
  </si>
  <si>
    <t>Ahmed Suhail Ahmed Qatan</t>
  </si>
  <si>
    <t>01040280161001</t>
  </si>
  <si>
    <t>Suhail Issa Salim Jashuul Qatan</t>
  </si>
  <si>
    <t>0439003418580025</t>
  </si>
  <si>
    <t>Said Suhail Abdullah Al Daakari Al kathiri</t>
  </si>
  <si>
    <t>01040280634001</t>
  </si>
  <si>
    <t>Said Salim Ahmed ALJahfali</t>
  </si>
  <si>
    <t>01011013681002</t>
  </si>
  <si>
    <t>Musallem Ahmed Suhail Jashuul</t>
  </si>
  <si>
    <t>0406003226070028</t>
  </si>
  <si>
    <t>19-08-2024 feeds</t>
  </si>
  <si>
    <t>Ahmed Mohammed Hasson Alkathiri</t>
  </si>
  <si>
    <t>01011264535001</t>
  </si>
  <si>
    <t>Mohammed Said Ahmed Shamas</t>
  </si>
  <si>
    <t>0406061455670012</t>
  </si>
  <si>
    <t>Said Ahmed Khalfan ALBaraami</t>
  </si>
  <si>
    <t>0397014761880022</t>
  </si>
  <si>
    <t>Nassir Mohammed Salim Al Amri</t>
  </si>
  <si>
    <t>0406003445830046</t>
  </si>
  <si>
    <t>Ahmed Said Salim Al Amri</t>
  </si>
  <si>
    <t>0439058549000015</t>
  </si>
  <si>
    <t>Omer Abdul Aziz Salim Al Amri</t>
  </si>
  <si>
    <t>0439063674190016</t>
  </si>
  <si>
    <t>Amer Said Ali Akaak</t>
  </si>
  <si>
    <t>1006578437001</t>
  </si>
  <si>
    <t>Said suhail Mahad Akaak</t>
  </si>
  <si>
    <t>0396050442190032</t>
  </si>
  <si>
    <t>Ali Salim Suhail Baqi</t>
  </si>
  <si>
    <t>3109093868500</t>
  </si>
  <si>
    <t>Ahmed Ali Salim Al Aamri</t>
  </si>
  <si>
    <t>01011297253001</t>
  </si>
  <si>
    <t>Ghazi Omar Nasib Fadhil Al Kathiri</t>
  </si>
  <si>
    <t>1083716004017</t>
  </si>
  <si>
    <t>Bakhit Salim Reehan Al Aamri</t>
  </si>
  <si>
    <t>0406003170210026</t>
  </si>
  <si>
    <t>Al Mundher Salim Bakhit Hawas Al Aamri</t>
  </si>
  <si>
    <t>3158231329700</t>
  </si>
  <si>
    <t>Mohammed Ahmed Said Bait Said</t>
  </si>
  <si>
    <t>01013808099001</t>
  </si>
  <si>
    <t>Said  Salim Ali Jaboob</t>
  </si>
  <si>
    <t>0401014063060023</t>
  </si>
  <si>
    <t>19-08-2024-feed</t>
  </si>
  <si>
    <t>Rajeh Ahmed Said Kirdas Al Shahri</t>
  </si>
  <si>
    <t>70402003875101</t>
  </si>
  <si>
    <t>Ali Muslem Suhail Jaboob</t>
  </si>
  <si>
    <t>0397004190150026</t>
  </si>
  <si>
    <t>Aubad Mohammed Salim Al Jahfali</t>
  </si>
  <si>
    <t>0401018818700015</t>
  </si>
  <si>
    <t>Salim Mohsin Karaayas Al Hamar</t>
  </si>
  <si>
    <t>250010036311</t>
  </si>
  <si>
    <t>Hassan Salim Ali Bait Said</t>
  </si>
  <si>
    <t>0396003250790011</t>
  </si>
  <si>
    <t>Nashmi Amer Salim Qatan</t>
  </si>
  <si>
    <t>0396051472730011</t>
  </si>
  <si>
    <t>Yousuf Ali Said Suhail Qatan</t>
  </si>
  <si>
    <t>0401026014770013</t>
  </si>
  <si>
    <t>01041021230002</t>
  </si>
  <si>
    <t>Mohammed Said Ali Shnat Al Shahri</t>
  </si>
  <si>
    <t>0462021032910017</t>
  </si>
  <si>
    <t>Mohammed Said Salim Al Msahli Al Kathiri</t>
  </si>
  <si>
    <t>01011400001002</t>
  </si>
  <si>
    <t>Ali Mohammed Ali al Aamri</t>
  </si>
  <si>
    <t>0406019038700026</t>
  </si>
  <si>
    <t>Said Mohammed Musallam rajhait Al mahri</t>
  </si>
  <si>
    <t>0406053349120019</t>
  </si>
  <si>
    <t>Salim Said Shamis Habais</t>
  </si>
  <si>
    <t>01040015814001</t>
  </si>
  <si>
    <t>Othman Mohammed Said rajhit</t>
  </si>
  <si>
    <t>0406044884240032</t>
  </si>
  <si>
    <t>Ali Salim Musallam Ba lahaf</t>
  </si>
  <si>
    <t>0406003332550028</t>
  </si>
  <si>
    <t>Salem Ahmed Ali Qatan</t>
  </si>
  <si>
    <t>0401003158700044</t>
  </si>
  <si>
    <t>Abdul  Hakhim Salim Suhail Sahim Ghawas</t>
  </si>
  <si>
    <t>0401016419010018</t>
  </si>
  <si>
    <t>Salim Suhail Sahim Ghawas</t>
  </si>
  <si>
    <t>0406003203290012</t>
  </si>
  <si>
    <t>Jaber Abdullah Mohammed Al Jahfali</t>
  </si>
  <si>
    <t>01010424921001</t>
  </si>
  <si>
    <t>Ali Said Mohammed al amri</t>
  </si>
  <si>
    <t>01010425502002</t>
  </si>
  <si>
    <t>Salim Musallam Ahmed  Al Kathiri</t>
  </si>
  <si>
    <t>0397003709810014</t>
  </si>
  <si>
    <t>Ali Nasser Ali Said Bait  rajahit</t>
  </si>
  <si>
    <t>0439015164060024</t>
  </si>
  <si>
    <t>Ali Bakhit Ali Al Jahfali</t>
  </si>
  <si>
    <t>0396041909430017</t>
  </si>
  <si>
    <t>Mohammed Salim Ali Al  Jahf ali</t>
  </si>
  <si>
    <t>01041028056001</t>
  </si>
  <si>
    <t>Ahmed Salim Mustahil Ali Sakroon</t>
  </si>
  <si>
    <t>10060365164017</t>
  </si>
  <si>
    <t>Said Salim Bakhit  Taman Jaboob</t>
  </si>
  <si>
    <t>0406029038960023</t>
  </si>
  <si>
    <t>Amor mohammed Masoud Amor Jid</t>
  </si>
  <si>
    <t>0405024387630019</t>
  </si>
  <si>
    <t>Mohammed Salim ahmed Jumaa Al Kathiri</t>
  </si>
  <si>
    <t>0439003015350027</t>
  </si>
  <si>
    <t>Mohammed Bakhit Ahmed Al Kathiri</t>
  </si>
  <si>
    <t>0500140714104001</t>
  </si>
  <si>
    <t>Salim Ali Said Al Kathiri</t>
  </si>
  <si>
    <t>0439043931190021</t>
  </si>
  <si>
    <t>Issa Salim Mubarak Raboob Al Shahri</t>
  </si>
  <si>
    <t>0426049074570026</t>
  </si>
  <si>
    <t>Suhail Hassan Said Jaabub</t>
  </si>
  <si>
    <t>01616019626002</t>
  </si>
  <si>
    <t>Ahmed Suhail Ahmed Jaboob</t>
  </si>
  <si>
    <t>0401044073090016</t>
  </si>
  <si>
    <t>Ahmed Ali Mohammed Alsaaduni Akaak</t>
  </si>
  <si>
    <t>0397003968300016</t>
  </si>
  <si>
    <t>Salim Ali Dablan Jaboob</t>
  </si>
  <si>
    <t>01040281131001</t>
  </si>
  <si>
    <t>Said Mohammed Said Almusahli Alkathiri</t>
  </si>
  <si>
    <t>0406019441820023</t>
  </si>
  <si>
    <t>May</t>
  </si>
  <si>
    <t>June</t>
  </si>
  <si>
    <t>HAJEEF CAMEL MILK PROCUREMENT FROM 01-June-2024 TO 30-June-2024</t>
  </si>
  <si>
    <t>Paid</t>
  </si>
  <si>
    <t>Balance</t>
  </si>
  <si>
    <t>30-09-2024</t>
  </si>
  <si>
    <t>09-01-2024-feeds</t>
  </si>
  <si>
    <t>16-09-2024 feeds</t>
  </si>
  <si>
    <t>16-09-2024-feeds</t>
  </si>
  <si>
    <t>25-09-2024,13-10-24,21-10</t>
  </si>
  <si>
    <t>12-09-2024-BT</t>
  </si>
  <si>
    <t>23-09-24</t>
  </si>
  <si>
    <t>05-09-24-feeds</t>
  </si>
  <si>
    <t>HAJEEF CAMEL MILK PROCUREMENT FROM 01-July-2024 TO 31-July-2024</t>
  </si>
  <si>
    <t>Mosoud Ali Salim Al Kathiri</t>
  </si>
  <si>
    <t>0401064266530014</t>
  </si>
  <si>
    <t>dcf feed</t>
  </si>
  <si>
    <t>09/10/2024,15-10-24</t>
  </si>
  <si>
    <t>17/10/2024,28-10-24</t>
  </si>
  <si>
    <t xml:space="preserve"> </t>
  </si>
  <si>
    <t>09/10/2024,15-10-2024</t>
  </si>
  <si>
    <t>Musallam Masoud Suhail Kashob</t>
  </si>
  <si>
    <t>23/10/2024,31-10-24</t>
  </si>
  <si>
    <t>15/10/2024,31-10-24</t>
  </si>
  <si>
    <t>Bank Transfer 01-10-2024</t>
  </si>
  <si>
    <t>Bank Transfer 16-9-2024 BT 09-21</t>
  </si>
  <si>
    <t>2-10-2024  --  soumay Chack ?</t>
  </si>
  <si>
    <t>Bank Transfer-14-10-2024</t>
  </si>
  <si>
    <t>dudect more 51.05 in may 24 trensfer to july</t>
  </si>
  <si>
    <t>02/10/2024,23-10-24</t>
  </si>
  <si>
    <t>AL MOROOJ DAIRY CO SAOC</t>
  </si>
  <si>
    <t>CR NO:1249988</t>
  </si>
  <si>
    <t>P.O BOX: 1385,PC-211</t>
  </si>
  <si>
    <t>VAT:OM1100091687</t>
  </si>
  <si>
    <t>SALALAH, SULTANATE OF OMAN</t>
  </si>
  <si>
    <t>PURCHASE REQUEST</t>
  </si>
  <si>
    <t>Farmer Name</t>
  </si>
  <si>
    <t>PR Ref:</t>
  </si>
  <si>
    <t>PR Date:</t>
  </si>
  <si>
    <t>Farmer ID</t>
  </si>
  <si>
    <t>أسم المنتج  / Product</t>
  </si>
  <si>
    <t>الوزن بالكيلوا / Weight</t>
  </si>
  <si>
    <t>السعر / Price</t>
  </si>
  <si>
    <t>الكمية / Quantity</t>
  </si>
  <si>
    <t>إجمالي المبلغ / Total</t>
  </si>
  <si>
    <t>مراعي ظفار 
Marai Dhofar</t>
  </si>
  <si>
    <t xml:space="preserve">العلف الكامل
Whole Feed </t>
  </si>
  <si>
    <t>التسمين السريع
 Rapid Growth</t>
  </si>
  <si>
    <t>التسمين السريع
Rapid Growth</t>
  </si>
  <si>
    <t>-</t>
  </si>
  <si>
    <t>نخالة القمح
Wheat Bran</t>
  </si>
  <si>
    <t xml:space="preserve">علف ادرار الحليب
Milk-producing Feed </t>
  </si>
  <si>
    <t>Month</t>
  </si>
  <si>
    <t>الإجمالي / Total</t>
  </si>
  <si>
    <t>شركة المروج للألبان</t>
  </si>
  <si>
    <t>Al Morooj Dairy Co</t>
  </si>
  <si>
    <t>email id: feeds@almoroojdairy.om</t>
  </si>
  <si>
    <t>Tel: +96 23202611,23294248</t>
  </si>
  <si>
    <t>SL</t>
  </si>
  <si>
    <t>توقيع العميل</t>
  </si>
  <si>
    <t>Customer Signature</t>
  </si>
  <si>
    <t xml:space="preserve">أسعار الاعلاف </t>
  </si>
  <si>
    <t xml:space="preserve">أسم المنتج </t>
  </si>
  <si>
    <t>الوزن بالكيلوا</t>
  </si>
  <si>
    <t xml:space="preserve">القيمه بالريال العماني </t>
  </si>
  <si>
    <t xml:space="preserve">تخفيض </t>
  </si>
  <si>
    <t>السعر بعد التخفيض</t>
  </si>
  <si>
    <t xml:space="preserve">مراعي ظفار </t>
  </si>
  <si>
    <t xml:space="preserve">العلف الكامل </t>
  </si>
  <si>
    <t>التسمين السريع</t>
  </si>
  <si>
    <t>علف ادرار الحليب</t>
  </si>
  <si>
    <t>Total</t>
  </si>
  <si>
    <t>HAJEEF CAMEL MILK PROCUREMENT FROM 01-Aug-2024 TO 31-Aug-2024</t>
  </si>
  <si>
    <t xml:space="preserve">22-08-2024 already payment has been transferred  and paid again , hence deducted from Aug </t>
  </si>
  <si>
    <t>Ahmed Suhail Ali Lahbet Alkathiri</t>
  </si>
  <si>
    <t>DCF FEED</t>
  </si>
  <si>
    <t>dcf feed-.350</t>
  </si>
  <si>
    <t>2.150 dcf feed</t>
  </si>
  <si>
    <t>4.25 bt</t>
  </si>
  <si>
    <t>Bank Transfer on11-04-24</t>
  </si>
  <si>
    <t>063-11-24</t>
  </si>
  <si>
    <t>06/11/224</t>
  </si>
  <si>
    <t>06-111-24</t>
  </si>
  <si>
    <t>11-11-524</t>
  </si>
  <si>
    <t>1.85-dcf</t>
  </si>
  <si>
    <t>3.11 dcf</t>
  </si>
  <si>
    <t>13--11-24</t>
  </si>
  <si>
    <t>Ahmed Ali Suhail Hawas Al Aamri</t>
  </si>
  <si>
    <t>24-11-24-BT</t>
  </si>
  <si>
    <t>HAJEEF CAMEL MILK PROCUREMENT FROM 01-Sept-2024 TO 30-Sept-2024</t>
  </si>
  <si>
    <t>Ahmed Ali Suhail ALAamri</t>
  </si>
  <si>
    <t>Ahmed Said Suhail Al Barami</t>
  </si>
  <si>
    <t>Said Amer Bakhit Qatan</t>
  </si>
  <si>
    <t>27-11-245</t>
  </si>
  <si>
    <t>304.24-dcf</t>
  </si>
  <si>
    <t>405.060-dcf</t>
  </si>
  <si>
    <t>Bank Transfer 03-12-2024</t>
  </si>
  <si>
    <t>03-112-24</t>
  </si>
  <si>
    <t>03-1224</t>
  </si>
  <si>
    <t>03-12-20214</t>
  </si>
  <si>
    <t>03-12-234</t>
  </si>
  <si>
    <t>2.480-dcf</t>
  </si>
  <si>
    <t>.120-dcf</t>
  </si>
  <si>
    <t>2.25-dcf</t>
  </si>
  <si>
    <t>BT on 10-12-2024</t>
  </si>
  <si>
    <t>BT 10-12-2024</t>
  </si>
  <si>
    <t>3.630 RO as BT on 10-12-2024</t>
  </si>
  <si>
    <t>10-12-241</t>
  </si>
  <si>
    <t>.98-dcf</t>
  </si>
  <si>
    <t>1.61-dcf</t>
  </si>
  <si>
    <t>4.06-DCF</t>
  </si>
  <si>
    <t>BT 15-12-2024</t>
  </si>
  <si>
    <t>Bank Transfer -18-12-2024</t>
  </si>
  <si>
    <t>134.75 (PR-439 has been cancelled) and transfer the payment on 18-12-24</t>
  </si>
  <si>
    <t>010010264223</t>
  </si>
  <si>
    <t>94.730-DFI</t>
  </si>
  <si>
    <t>BT 25-12-2024</t>
  </si>
  <si>
    <t>19/11/2024 - 24-12-2024</t>
  </si>
  <si>
    <t>19/11/2024  - 24/12/2024</t>
  </si>
  <si>
    <t>06/11/2024  - 24/12/2024</t>
  </si>
  <si>
    <t>19/11/2024  24-12-2024</t>
  </si>
  <si>
    <t>13/11/2024 - 24-12-2024</t>
  </si>
  <si>
    <t>24/12/2024  - 24-12-2024</t>
  </si>
  <si>
    <t>28/11/2024 - 24-12-2024</t>
  </si>
  <si>
    <t>3.35-dcf</t>
  </si>
  <si>
    <t>1.14dcf</t>
  </si>
  <si>
    <t xml:space="preserve">Remark: </t>
  </si>
  <si>
    <t>ملاحظة:</t>
  </si>
  <si>
    <t>1.The customer are agreed to transfer the full feeds as per the purchase request signed</t>
  </si>
  <si>
    <t>1- أنا العميل الموقع أدناه موافق على شحن الكمية الموضحة في طلب الشراء بالكامل</t>
  </si>
  <si>
    <t>2.All the farmer should bring the ID copy. Without ID proof, feeds will not issue</t>
  </si>
  <si>
    <t>2- على جميع المربين احضار نسخة من البطاقة الشخصية , بدون البطاقة الشخصية لن يتم صرف الاعلاف</t>
  </si>
  <si>
    <t>Apr</t>
  </si>
  <si>
    <t>July</t>
  </si>
  <si>
    <t>Aug</t>
  </si>
  <si>
    <t>Sep</t>
  </si>
  <si>
    <t>Oct</t>
  </si>
  <si>
    <t>Nov</t>
  </si>
  <si>
    <t>30-121-24</t>
  </si>
  <si>
    <t>30-12-241</t>
  </si>
  <si>
    <t>0401002379270013</t>
  </si>
  <si>
    <t>01040012964001</t>
  </si>
  <si>
    <t>HAJEEF CAMEL MILK PROCUREMENT FROM 01-Oct-2024 TO 31-Oct-2024</t>
  </si>
  <si>
    <t>.14 willd educt form 11-24</t>
  </si>
  <si>
    <t>05-014-25</t>
  </si>
  <si>
    <t xml:space="preserve">   </t>
  </si>
  <si>
    <t>#</t>
  </si>
  <si>
    <t>BT 07-01-2025</t>
  </si>
  <si>
    <t>BT-07-01-25</t>
  </si>
  <si>
    <t>1.310 dcf</t>
  </si>
  <si>
    <t>08-01-245</t>
  </si>
  <si>
    <t>058-01-25</t>
  </si>
  <si>
    <t>3.020 BT09-01-25</t>
  </si>
  <si>
    <t>BT09-01-25</t>
  </si>
  <si>
    <t>13-01-25-dcf</t>
  </si>
  <si>
    <t>358.05-13-01-25</t>
  </si>
  <si>
    <t>13-01-125</t>
  </si>
  <si>
    <t>remark 3</t>
  </si>
  <si>
    <t>DCF Feed</t>
  </si>
  <si>
    <t>BALANCE</t>
  </si>
  <si>
    <t>HAJEEF CAMEL MILK PROCUREMENT FROM 01-Nov-2024 TO 30-Nov-2024</t>
  </si>
  <si>
    <t>20-01-225</t>
  </si>
  <si>
    <t>BT-20-01-25</t>
  </si>
  <si>
    <t>BT-20-01-24</t>
  </si>
  <si>
    <t>.260 will deduct from 12-2024</t>
  </si>
  <si>
    <t>BT on 22-01-2025</t>
  </si>
  <si>
    <t>BT-22-01-25</t>
  </si>
  <si>
    <t>BT 22-01-2025</t>
  </si>
  <si>
    <t>BT  22-01-2025</t>
  </si>
  <si>
    <t>BT - 22-01-2025</t>
  </si>
  <si>
    <t>DCF-27-01-2025</t>
  </si>
  <si>
    <t>BT 26-01-25</t>
  </si>
  <si>
    <t>28=-1-25</t>
  </si>
  <si>
    <t>dcf-28-01-25</t>
  </si>
  <si>
    <t>DCF Feed-29-01-25</t>
  </si>
  <si>
    <t>DFI Feeds 29-01-2025</t>
  </si>
  <si>
    <t>DCF-29-01-2025</t>
  </si>
  <si>
    <t>DCF-02-02-25</t>
  </si>
  <si>
    <t>DCF FEED-02-02-25</t>
  </si>
  <si>
    <t>dcf-02-02-2025</t>
  </si>
  <si>
    <t>dcF-02-02-2025</t>
  </si>
  <si>
    <t>BT 02-02-2025</t>
  </si>
  <si>
    <t>DCF -03-02-2025</t>
  </si>
  <si>
    <t>DCF-03-02-2025</t>
  </si>
  <si>
    <t>1.030-dcf-03-02-25</t>
  </si>
  <si>
    <t>.35-03-02-25</t>
  </si>
  <si>
    <t>28-01-25</t>
  </si>
  <si>
    <t>19-01-25</t>
  </si>
  <si>
    <t>19-0125</t>
  </si>
  <si>
    <t>21-01-25</t>
  </si>
  <si>
    <t>14-01-25</t>
  </si>
  <si>
    <t>16-01-25</t>
  </si>
  <si>
    <t>15-01-25</t>
  </si>
  <si>
    <t>13-2-25</t>
  </si>
  <si>
    <t>13-1-25</t>
  </si>
  <si>
    <t>13-02-25</t>
  </si>
  <si>
    <t>ID</t>
  </si>
  <si>
    <t>Remark</t>
  </si>
  <si>
    <t>transfer the money of Aug  and also took the feeds also from DFI-029 and 27.04 will deduct from 01-25</t>
  </si>
  <si>
    <t>12-2--25</t>
  </si>
  <si>
    <t>16-2-25</t>
  </si>
  <si>
    <t>17-2-25</t>
  </si>
  <si>
    <t>18-2-25</t>
  </si>
  <si>
    <t>20-02-25</t>
  </si>
  <si>
    <t>20-2-25</t>
  </si>
  <si>
    <t xml:space="preserve">transfer the money of Aug  and also took the feeds also from DFI-107 and </t>
  </si>
  <si>
    <t>23-2-25</t>
  </si>
  <si>
    <t>24-2-25</t>
  </si>
  <si>
    <t>25-2-25</t>
  </si>
  <si>
    <t>AMDC/H/25-860</t>
  </si>
  <si>
    <t>2,3</t>
  </si>
  <si>
    <t>0401010970280028</t>
  </si>
  <si>
    <t>Salim Ahmed Said Alrawas</t>
  </si>
  <si>
    <t>868449</t>
  </si>
  <si>
    <t>Mohammed Ali Ahmed Aljahfail</t>
  </si>
  <si>
    <t>0406069181390019</t>
  </si>
  <si>
    <t>0462021032910044</t>
  </si>
  <si>
    <t>HAJEEF CAMEL MILK PROCUREMENT FROM 01-Aug-2025 to 31-Aug-2025</t>
  </si>
  <si>
    <t>17-9-2025</t>
  </si>
  <si>
    <t>الاسم ورقم البطاقة ورقم الحساب مختلف عن الشهور السابقة</t>
  </si>
  <si>
    <t>24.9.2025</t>
  </si>
  <si>
    <t>29.9.2025</t>
  </si>
  <si>
    <t>.69-09-2025</t>
  </si>
  <si>
    <t>13-10-2025</t>
  </si>
  <si>
    <t>HAJEEF CAMEL MILK PROCUREMENT FROM 01-Sep-2025 to 30-Sep-2025</t>
  </si>
  <si>
    <t>14-10-2025</t>
  </si>
  <si>
    <t>14-10-25</t>
  </si>
  <si>
    <t>15-10-2025</t>
  </si>
  <si>
    <t>15-10-25</t>
  </si>
  <si>
    <t>97.84 - will deduct from 10-2025</t>
  </si>
  <si>
    <t>20-10-2025</t>
  </si>
  <si>
    <t>20-10-25</t>
  </si>
  <si>
    <t xml:space="preserve">update the name - 03-08-2025 </t>
  </si>
  <si>
    <t>22-10-2025</t>
  </si>
  <si>
    <t>22-10-25</t>
  </si>
  <si>
    <t>23-10-2025</t>
  </si>
  <si>
    <t>26-10-2025</t>
  </si>
  <si>
    <t>26-10-25</t>
  </si>
  <si>
    <t>27-10-2025</t>
  </si>
  <si>
    <t>.37-10-25</t>
  </si>
  <si>
    <t>29-10-2025</t>
  </si>
  <si>
    <t>29-10-25</t>
  </si>
  <si>
    <t>49.78 will deduct from 10-25</t>
  </si>
  <si>
    <t>24.810 will deduct from10-25</t>
  </si>
  <si>
    <t>22.78 will deduct form 10-2025</t>
  </si>
  <si>
    <t>9.86 will deduct from 10-2025</t>
  </si>
  <si>
    <t>BT02-11-25</t>
  </si>
  <si>
    <t>BT 02-11-25</t>
  </si>
  <si>
    <t>BT 3-11-2025</t>
  </si>
  <si>
    <t>BT 03-11-2025</t>
  </si>
  <si>
    <t>BT 04-11-2025</t>
  </si>
  <si>
    <t>HAJEEF CAMEL MILK PROCUREMENT FROM 01-Oct-2025 to 31-Oct-2025</t>
  </si>
  <si>
    <t xml:space="preserve"> will decuct from 11-2025</t>
  </si>
  <si>
    <t>BT-16-11-25</t>
  </si>
  <si>
    <t>17-11-25</t>
  </si>
  <si>
    <t>18-11-25</t>
  </si>
  <si>
    <t>19-11-25</t>
  </si>
  <si>
    <t>BT -20-10-25 due to mistakenly transfeered in 02-11-25 -3835</t>
  </si>
  <si>
    <t>20-11-25</t>
  </si>
  <si>
    <t>24-11-25</t>
  </si>
  <si>
    <t>33.91-11-2025</t>
  </si>
  <si>
    <t>30-11-2025</t>
  </si>
  <si>
    <t>BT 04-12-2025</t>
  </si>
  <si>
    <t>BT11-12-25</t>
  </si>
  <si>
    <t>Bt11-12-25</t>
  </si>
  <si>
    <t>14-12-25</t>
  </si>
  <si>
    <t>15-12-25</t>
  </si>
  <si>
    <t>16-12-25</t>
  </si>
  <si>
    <t>17-12-25</t>
  </si>
  <si>
    <t>HAJEEF CAMEL MILK PROCUREMENT FROM 01-Nov-2025 to 30-Nov-2025</t>
  </si>
  <si>
    <t>22-12-25</t>
  </si>
  <si>
    <t>22-12-2025</t>
  </si>
  <si>
    <t>24-12-25</t>
  </si>
  <si>
    <t>29-12-25</t>
  </si>
  <si>
    <t>31-12-25</t>
  </si>
  <si>
    <t>HAJEEF CAMEL MILK PROCUREMENT FROM 01-Dec-2025 to 31-Dec-2025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</si>
</sst>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dd\-mm\-yyyy;@"/>
    <numFmt numFmtId="167" formatCode="_(* #,##0.000_);_(* \(#,##0.000\);_(* &quot;-&quot;??_);_(@_)"/>
    <numFmt numFmtId="168" formatCode="#,##0.0"/>
    <numFmt numFmtId="169" formatCode="#,##0.000"/>
  </numFmts>
  <fonts count="4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rgb="FFFF0000"/>
      <name val="Aptos Narrow"/>
      <family val="2"/>
      <scheme val="minor"/>
    </font>
    <font>
      <b/>
      <sz val="18"/>
      <color rgb="FF0070C0"/>
      <name val="Times New Roman"/>
      <family val="1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i/>
      <u/>
      <sz val="10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sz val="8"/>
      <name val="Aptos Narrow"/>
      <family val="2"/>
      <scheme val="minor"/>
    </font>
    <font>
      <b/>
      <u val="doubleAccounting"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8"/>
      <name val="Aptos Narrow"/>
      <family val="2"/>
      <scheme val="minor"/>
    </font>
    <font>
      <b/>
      <i/>
      <u/>
      <sz val="8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i/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4" fontId="47" fillId="0" borderId="0" applyFont="0" applyFill="0" applyBorder="0" applyAlignment="0" applyProtection="0"/>
  </cellStyleXfs>
  <cellXfs count="614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0" fontId="2" fillId="0" borderId="0" xfId="0" applyFont="1" applyAlignment="1">
      <alignment horizontal="center"/>
    </xf>
    <xf numFmtId="0" fontId="4" fillId="5" borderId="1" xfId="0" applyFont="1" applyFill="1" applyBorder="1" applyAlignment="1">
      <alignment horizontal="left" wrapText="1"/>
    </xf>
    <xf numFmtId="167" fontId="1" fillId="2" borderId="1" xfId="1" applyNumberFormat="1" applyFont="1" applyFill="1" applyBorder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6" xfId="2" applyFont="1" applyFill="1" applyBorder="1" applyAlignment="1">
      <alignment horizontal="center" vertical="center" wrapText="1"/>
    </xf>
    <xf numFmtId="0" fontId="18" fillId="6" borderId="7" xfId="2" applyFont="1" applyFill="1" applyBorder="1" applyAlignment="1">
      <alignment horizontal="center" vertical="center" wrapText="1"/>
    </xf>
    <xf numFmtId="0" fontId="18" fillId="6" borderId="7" xfId="2" applyFont="1" applyFill="1" applyBorder="1" applyAlignment="1">
      <alignment horizontal="left" vertical="center" wrapText="1"/>
    </xf>
    <xf numFmtId="168" fontId="18" fillId="6" borderId="7" xfId="2" applyNumberFormat="1" applyFont="1" applyFill="1" applyBorder="1" applyAlignment="1">
      <alignment horizontal="center" vertical="center" wrapText="1"/>
    </xf>
    <xf numFmtId="0" fontId="18" fillId="6" borderId="7" xfId="2" applyFont="1" applyFill="1" applyBorder="1" applyAlignment="1">
      <alignment horizontal="center" vertical="center"/>
    </xf>
    <xf numFmtId="0" fontId="18" fillId="6" borderId="7" xfId="2" applyFont="1" applyFill="1" applyBorder="1" applyAlignment="1">
      <alignment vertical="center"/>
    </xf>
    <xf numFmtId="0" fontId="18" fillId="6" borderId="8" xfId="2" applyFont="1" applyFill="1" applyBorder="1" applyAlignment="1">
      <alignment vertical="center"/>
    </xf>
    <xf numFmtId="0" fontId="18" fillId="6" borderId="7" xfId="2" applyFont="1" applyFill="1" applyBorder="1" applyAlignment="1">
      <alignment horizontal="left" vertical="center"/>
    </xf>
    <xf numFmtId="0" fontId="19" fillId="6" borderId="4" xfId="2" applyFont="1" applyFill="1" applyBorder="1" applyAlignment="1">
      <alignment horizontal="center" vertical="center"/>
    </xf>
    <xf numFmtId="0" fontId="20" fillId="5" borderId="1" xfId="2" applyFont="1" applyFill="1" applyBorder="1" applyAlignment="1">
      <alignment horizontal="center" vertical="center"/>
    </xf>
    <xf numFmtId="0" fontId="20" fillId="5" borderId="1" xfId="0" applyFont="1" applyFill="1" applyBorder="1"/>
    <xf numFmtId="168" fontId="20" fillId="5" borderId="1" xfId="2" applyNumberFormat="1" applyFont="1" applyFill="1" applyBorder="1" applyAlignment="1">
      <alignment horizontal="center" vertical="center"/>
    </xf>
    <xf numFmtId="169" fontId="20" fillId="5" borderId="1" xfId="2" applyNumberFormat="1" applyFont="1" applyFill="1" applyBorder="1" applyAlignment="1">
      <alignment horizontal="center" vertical="center"/>
    </xf>
    <xf numFmtId="0" fontId="20" fillId="5" borderId="1" xfId="2" applyFont="1" applyFill="1" applyBorder="1" applyAlignment="1">
      <alignment horizontal="left" vertical="center"/>
    </xf>
    <xf numFmtId="0" fontId="20" fillId="3" borderId="1" xfId="2" applyFont="1" applyFill="1" applyBorder="1" applyAlignment="1">
      <alignment horizontal="center" vertical="center"/>
    </xf>
    <xf numFmtId="0" fontId="20" fillId="3" borderId="1" xfId="0" applyFont="1" applyFill="1" applyBorder="1"/>
    <xf numFmtId="168" fontId="20" fillId="3" borderId="1" xfId="2" applyNumberFormat="1" applyFont="1" applyFill="1" applyBorder="1" applyAlignment="1">
      <alignment horizontal="center" vertical="center"/>
    </xf>
    <xf numFmtId="169" fontId="20" fillId="3" borderId="1" xfId="2" applyNumberFormat="1" applyFont="1" applyFill="1" applyBorder="1" applyAlignment="1">
      <alignment horizontal="center" vertical="center"/>
    </xf>
    <xf numFmtId="0" fontId="20" fillId="3" borderId="1" xfId="2" applyFont="1" applyFill="1" applyBorder="1" applyAlignment="1">
      <alignment horizontal="left" vertical="center"/>
    </xf>
    <xf numFmtId="0" fontId="20" fillId="3" borderId="1" xfId="2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20" fillId="5" borderId="1" xfId="2" applyNumberFormat="1" applyFont="1" applyFill="1" applyBorder="1" applyAlignment="1">
      <alignment horizontal="center" vertical="center"/>
    </xf>
    <xf numFmtId="14" fontId="20" fillId="3" borderId="1" xfId="2" applyNumberFormat="1" applyFont="1" applyFill="1" applyBorder="1" applyAlignment="1">
      <alignment horizontal="left" vertical="center"/>
    </xf>
    <xf numFmtId="0" fontId="0" fillId="3" borderId="0" xfId="0" applyFill="1"/>
    <xf numFmtId="0" fontId="19" fillId="5" borderId="1" xfId="2" applyFont="1" applyFill="1" applyBorder="1" applyAlignment="1">
      <alignment horizontal="center" vertical="center"/>
    </xf>
    <xf numFmtId="0" fontId="19" fillId="0" borderId="1" xfId="2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left" vertical="center"/>
    </xf>
    <xf numFmtId="168" fontId="23" fillId="5" borderId="1" xfId="2" applyNumberFormat="1" applyFont="1" applyFill="1" applyBorder="1" applyAlignment="1">
      <alignment horizontal="center" vertical="center"/>
    </xf>
    <xf numFmtId="169" fontId="23" fillId="5" borderId="1" xfId="2" applyNumberFormat="1" applyFont="1" applyFill="1" applyBorder="1" applyAlignment="1">
      <alignment horizontal="center" vertical="center"/>
    </xf>
    <xf numFmtId="4" fontId="23" fillId="5" borderId="1" xfId="2" applyNumberFormat="1" applyFont="1" applyFill="1" applyBorder="1" applyAlignment="1">
      <alignment horizontal="center" vertical="center"/>
    </xf>
    <xf numFmtId="0" fontId="19" fillId="5" borderId="1" xfId="2" applyFont="1" applyFill="1" applyBorder="1" applyAlignment="1">
      <alignment vertical="center"/>
    </xf>
    <xf numFmtId="0" fontId="19" fillId="5" borderId="1" xfId="2" applyFont="1" applyFill="1" applyBorder="1" applyAlignment="1">
      <alignment horizontal="left" vertical="center"/>
    </xf>
    <xf numFmtId="168" fontId="20" fillId="0" borderId="1" xfId="2" applyNumberFormat="1" applyFont="1" applyFill="1" applyBorder="1" applyAlignment="1">
      <alignment horizontal="center" vertical="center"/>
    </xf>
    <xf numFmtId="0" fontId="20" fillId="5" borderId="1" xfId="2" applyFont="1" applyFill="1" applyBorder="1" applyAlignment="1">
      <alignment horizontal="center"/>
    </xf>
    <xf numFmtId="0" fontId="20" fillId="3" borderId="1" xfId="2" applyFont="1" applyFill="1" applyBorder="1" applyAlignment="1">
      <alignment horizontal="center"/>
    </xf>
    <xf numFmtId="0" fontId="20" fillId="3" borderId="1" xfId="2" applyFont="1" applyFill="1" applyBorder="1" applyAlignment="1">
      <alignment horizontal="left"/>
    </xf>
    <xf numFmtId="0" fontId="20" fillId="3" borderId="1" xfId="2" quotePrefix="1" applyFont="1" applyFill="1" applyBorder="1" applyAlignment="1">
      <alignment horizontal="left" vertical="center"/>
    </xf>
    <xf numFmtId="0" fontId="16" fillId="0" borderId="0" xfId="0" applyFont="1"/>
    <xf numFmtId="0" fontId="20" fillId="3" borderId="1" xfId="2" quotePrefix="1" applyFont="1" applyFill="1" applyBorder="1" applyAlignment="1">
      <alignment horizontal="left"/>
    </xf>
    <xf numFmtId="0" fontId="21" fillId="3" borderId="1" xfId="2" applyFont="1" applyFill="1" applyBorder="1" applyAlignment="1">
      <alignment horizontal="left"/>
    </xf>
    <xf numFmtId="16" fontId="20" fillId="5" borderId="1" xfId="2" applyNumberFormat="1" applyFont="1" applyFill="1" applyBorder="1" applyAlignment="1">
      <alignment horizontal="left" vertical="center"/>
    </xf>
    <xf numFmtId="0" fontId="20" fillId="7" borderId="1" xfId="2" applyFont="1" applyFill="1" applyBorder="1" applyAlignment="1">
      <alignment horizontal="center" vertical="center"/>
    </xf>
    <xf numFmtId="0" fontId="20" fillId="7" borderId="1" xfId="0" applyFont="1" applyFill="1" applyBorder="1"/>
    <xf numFmtId="168" fontId="20" fillId="7" borderId="1" xfId="2" applyNumberFormat="1" applyFont="1" applyFill="1" applyBorder="1" applyAlignment="1">
      <alignment horizontal="center" vertical="center"/>
    </xf>
    <xf numFmtId="169" fontId="20" fillId="7" borderId="1" xfId="2" applyNumberFormat="1" applyFont="1" applyFill="1" applyBorder="1" applyAlignment="1">
      <alignment horizontal="center" vertical="center"/>
    </xf>
    <xf numFmtId="0" fontId="20" fillId="7" borderId="1" xfId="2" quotePrefix="1" applyFont="1" applyFill="1" applyBorder="1" applyAlignment="1">
      <alignment horizontal="left"/>
    </xf>
    <xf numFmtId="0" fontId="20" fillId="7" borderId="1" xfId="2" applyFont="1" applyFill="1" applyBorder="1" applyAlignment="1">
      <alignment horizontal="left"/>
    </xf>
    <xf numFmtId="0" fontId="20" fillId="7" borderId="1" xfId="2" quotePrefix="1" applyFont="1" applyFill="1" applyBorder="1" applyAlignment="1">
      <alignment horizontal="left" vertical="center"/>
    </xf>
    <xf numFmtId="0" fontId="20" fillId="7" borderId="1" xfId="2" applyFont="1" applyFill="1" applyBorder="1" applyAlignment="1">
      <alignment horizontal="left" vertical="center"/>
    </xf>
    <xf numFmtId="17" fontId="20" fillId="5" borderId="1" xfId="2" applyNumberFormat="1" applyFont="1" applyFill="1" applyBorder="1" applyAlignment="1">
      <alignment horizontal="left" vertical="center"/>
    </xf>
    <xf numFmtId="0" fontId="0" fillId="0" borderId="0" xfId="0" quotePrefix="1"/>
    <xf numFmtId="17" fontId="20" fillId="3" borderId="1" xfId="2" applyNumberFormat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left"/>
    </xf>
    <xf numFmtId="0" fontId="20" fillId="3" borderId="1" xfId="0" quotePrefix="1" applyFont="1" applyFill="1" applyBorder="1" applyAlignment="1">
      <alignment horizontal="left"/>
    </xf>
    <xf numFmtId="169" fontId="20" fillId="3" borderId="1" xfId="2" quotePrefix="1" applyNumberFormat="1" applyFont="1" applyFill="1" applyBorder="1" applyAlignment="1">
      <alignment horizontal="center" vertical="center"/>
    </xf>
    <xf numFmtId="0" fontId="21" fillId="7" borderId="1" xfId="2" quotePrefix="1" applyFont="1" applyFill="1" applyBorder="1" applyAlignment="1">
      <alignment horizontal="left" vertical="center"/>
    </xf>
    <xf numFmtId="0" fontId="21" fillId="3" borderId="1" xfId="2" quotePrefix="1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left"/>
    </xf>
    <xf numFmtId="0" fontId="21" fillId="7" borderId="1" xfId="2" applyFont="1" applyFill="1" applyBorder="1" applyAlignment="1">
      <alignment horizontal="left"/>
    </xf>
    <xf numFmtId="0" fontId="26" fillId="3" borderId="1" xfId="2" applyFont="1" applyFill="1" applyBorder="1" applyAlignment="1">
      <alignment horizontal="left" vertical="center"/>
    </xf>
    <xf numFmtId="0" fontId="26" fillId="3" borderId="1" xfId="2" applyFont="1" applyFill="1" applyBorder="1" applyAlignment="1">
      <alignment horizontal="center" vertical="center"/>
    </xf>
    <xf numFmtId="0" fontId="24" fillId="3" borderId="1" xfId="2" quotePrefix="1" applyFont="1" applyFill="1" applyBorder="1" applyAlignment="1">
      <alignment horizontal="left" vertical="center"/>
    </xf>
    <xf numFmtId="0" fontId="26" fillId="3" borderId="1" xfId="2" quotePrefix="1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 wrapText="1"/>
    </xf>
    <xf numFmtId="0" fontId="0" fillId="5" borderId="0" xfId="0" applyFill="1"/>
    <xf numFmtId="169" fontId="20" fillId="5" borderId="1" xfId="2" quotePrefix="1" applyNumberFormat="1" applyFont="1" applyFill="1" applyBorder="1" applyAlignment="1">
      <alignment horizontal="center" vertical="center"/>
    </xf>
    <xf numFmtId="169" fontId="0" fillId="0" borderId="0" xfId="0" applyNumberFormat="1"/>
    <xf numFmtId="16" fontId="20" fillId="3" borderId="1" xfId="2" applyNumberFormat="1" applyFont="1" applyFill="1" applyBorder="1" applyAlignment="1">
      <alignment horizontal="left" vertical="center"/>
    </xf>
    <xf numFmtId="0" fontId="21" fillId="5" borderId="1" xfId="2" applyNumberFormat="1" applyFont="1" applyFill="1" applyBorder="1" applyAlignment="1">
      <alignment horizontal="center" vertical="center"/>
    </xf>
    <xf numFmtId="0" fontId="20" fillId="7" borderId="1" xfId="2" applyNumberFormat="1" applyFont="1" applyFill="1" applyBorder="1" applyAlignment="1">
      <alignment horizontal="center" vertical="center"/>
    </xf>
    <xf numFmtId="0" fontId="20" fillId="3" borderId="1" xfId="2" quotePrefix="1" applyNumberFormat="1" applyFont="1" applyFill="1" applyBorder="1" applyAlignment="1">
      <alignment horizontal="center" vertical="center"/>
    </xf>
    <xf numFmtId="0" fontId="24" fillId="3" borderId="1" xfId="2" applyNumberFormat="1" applyFont="1" applyFill="1" applyBorder="1" applyAlignment="1">
      <alignment horizontal="center" vertical="center"/>
    </xf>
    <xf numFmtId="0" fontId="19" fillId="5" borderId="1" xfId="2" quotePrefix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" fontId="15" fillId="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8" fillId="0" borderId="0" xfId="0" applyFont="1" applyAlignment="1">
      <alignment vertic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165" fontId="13" fillId="4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9" fillId="0" borderId="5" xfId="0" applyFont="1" applyBorder="1"/>
    <xf numFmtId="0" fontId="2" fillId="0" borderId="0" xfId="0" applyFont="1"/>
    <xf numFmtId="0" fontId="21" fillId="3" borderId="1" xfId="2" quotePrefix="1" applyFont="1" applyFill="1" applyBorder="1" applyAlignment="1">
      <alignment horizontal="left"/>
    </xf>
    <xf numFmtId="14" fontId="25" fillId="3" borderId="1" xfId="2" applyNumberFormat="1" applyFont="1" applyFill="1" applyBorder="1" applyAlignment="1">
      <alignment horizontal="left" vertical="center"/>
    </xf>
    <xf numFmtId="2" fontId="0" fillId="0" borderId="0" xfId="0" applyNumberFormat="1"/>
    <xf numFmtId="168" fontId="21" fillId="3" borderId="1" xfId="2" applyNumberFormat="1" applyFont="1" applyFill="1" applyBorder="1" applyAlignment="1">
      <alignment horizontal="center" vertical="center"/>
    </xf>
    <xf numFmtId="169" fontId="21" fillId="3" borderId="1" xfId="2" quotePrefix="1" applyNumberFormat="1" applyFont="1" applyFill="1" applyBorder="1" applyAlignment="1">
      <alignment horizontal="center" vertical="center"/>
    </xf>
    <xf numFmtId="168" fontId="20" fillId="0" borderId="1" xfId="2" applyNumberFormat="1" applyFont="1" applyBorder="1" applyAlignment="1">
      <alignment horizontal="center" vertical="center"/>
    </xf>
    <xf numFmtId="169" fontId="20" fillId="7" borderId="0" xfId="2" applyNumberFormat="1" applyFont="1" applyFill="1" applyBorder="1" applyAlignment="1">
      <alignment horizontal="center" vertical="center"/>
    </xf>
    <xf numFmtId="9" fontId="0" fillId="0" borderId="0" xfId="3" applyFont="1"/>
    <xf numFmtId="0" fontId="20" fillId="8" borderId="1" xfId="2" applyFont="1" applyFill="1" applyBorder="1" applyAlignment="1">
      <alignment horizontal="center" vertical="center"/>
    </xf>
    <xf numFmtId="0" fontId="20" fillId="8" borderId="1" xfId="0" applyFont="1" applyFill="1" applyBorder="1"/>
    <xf numFmtId="168" fontId="20" fillId="8" borderId="1" xfId="2" applyNumberFormat="1" applyFont="1" applyFill="1" applyBorder="1" applyAlignment="1">
      <alignment horizontal="center" vertical="center"/>
    </xf>
    <xf numFmtId="169" fontId="20" fillId="8" borderId="1" xfId="2" applyNumberFormat="1" applyFont="1" applyFill="1" applyBorder="1" applyAlignment="1">
      <alignment horizontal="center" vertical="center"/>
    </xf>
    <xf numFmtId="0" fontId="20" fillId="8" borderId="1" xfId="2" applyNumberFormat="1" applyFont="1" applyFill="1" applyBorder="1" applyAlignment="1">
      <alignment horizontal="center" vertical="center"/>
    </xf>
    <xf numFmtId="0" fontId="20" fillId="8" borderId="1" xfId="2" quotePrefix="1" applyFont="1" applyFill="1" applyBorder="1" applyAlignment="1">
      <alignment horizontal="left" vertical="center"/>
    </xf>
    <xf numFmtId="0" fontId="20" fillId="8" borderId="1" xfId="2" applyFont="1" applyFill="1" applyBorder="1" applyAlignment="1">
      <alignment horizontal="left"/>
    </xf>
    <xf numFmtId="0" fontId="22" fillId="7" borderId="1" xfId="2" applyFont="1" applyFill="1" applyBorder="1" applyAlignment="1">
      <alignment horizontal="left" vertical="center"/>
    </xf>
    <xf numFmtId="14" fontId="21" fillId="3" borderId="1" xfId="2" quotePrefix="1" applyNumberFormat="1" applyFont="1" applyFill="1" applyBorder="1" applyAlignment="1">
      <alignment horizontal="left" vertical="center"/>
    </xf>
    <xf numFmtId="169" fontId="20" fillId="7" borderId="1" xfId="2" quotePrefix="1" applyNumberFormat="1" applyFont="1" applyFill="1" applyBorder="1" applyAlignment="1">
      <alignment horizontal="center" vertical="center"/>
    </xf>
    <xf numFmtId="0" fontId="20" fillId="8" borderId="1" xfId="2" applyFont="1" applyFill="1" applyBorder="1" applyAlignment="1">
      <alignment horizontal="left" vertical="center"/>
    </xf>
    <xf numFmtId="166" fontId="3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" fontId="1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4" fillId="5" borderId="0" xfId="0" applyFont="1" applyFill="1"/>
    <xf numFmtId="0" fontId="0" fillId="0" borderId="5" xfId="0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21" fillId="8" borderId="1" xfId="2" applyNumberFormat="1" applyFont="1" applyFill="1" applyBorder="1" applyAlignment="1">
      <alignment horizontal="center" vertical="center"/>
    </xf>
    <xf numFmtId="0" fontId="21" fillId="8" borderId="1" xfId="2" applyFont="1" applyFill="1" applyBorder="1" applyAlignment="1">
      <alignment horizontal="left"/>
    </xf>
    <xf numFmtId="0" fontId="21" fillId="8" borderId="1" xfId="2" quotePrefix="1" applyFont="1" applyFill="1" applyBorder="1" applyAlignment="1">
      <alignment horizontal="left" vertical="center"/>
    </xf>
    <xf numFmtId="0" fontId="21" fillId="5" borderId="1" xfId="2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/>
    </xf>
    <xf numFmtId="0" fontId="18" fillId="6" borderId="0" xfId="2" applyFont="1" applyFill="1" applyAlignment="1">
      <alignment vertical="center"/>
    </xf>
    <xf numFmtId="14" fontId="20" fillId="5" borderId="1" xfId="2" applyNumberFormat="1" applyFont="1" applyFill="1" applyBorder="1" applyAlignment="1">
      <alignment horizontal="left" vertical="center"/>
    </xf>
    <xf numFmtId="0" fontId="0" fillId="7" borderId="0" xfId="0" applyFill="1"/>
    <xf numFmtId="0" fontId="21" fillId="3" borderId="1" xfId="2" applyFont="1" applyFill="1" applyBorder="1" applyAlignment="1">
      <alignment horizontal="center"/>
    </xf>
    <xf numFmtId="14" fontId="0" fillId="0" borderId="0" xfId="0" applyNumberFormat="1"/>
    <xf numFmtId="14" fontId="21" fillId="5" borderId="1" xfId="2" applyNumberFormat="1" applyFont="1" applyFill="1" applyBorder="1" applyAlignment="1">
      <alignment horizontal="left"/>
    </xf>
    <xf numFmtId="4" fontId="0" fillId="0" borderId="0" xfId="0" applyNumberFormat="1"/>
    <xf numFmtId="169" fontId="20" fillId="9" borderId="1" xfId="2" applyNumberFormat="1" applyFont="1" applyFill="1" applyBorder="1" applyAlignment="1">
      <alignment horizontal="center" vertical="center"/>
    </xf>
    <xf numFmtId="168" fontId="0" fillId="0" borderId="0" xfId="0" applyNumberFormat="1"/>
    <xf numFmtId="0" fontId="27" fillId="0" borderId="0" xfId="0" applyFont="1" applyAlignment="1">
      <alignment horizontal="center" vertical="center"/>
    </xf>
    <xf numFmtId="14" fontId="0" fillId="5" borderId="0" xfId="0" applyNumberFormat="1" applyFill="1"/>
    <xf numFmtId="0" fontId="21" fillId="3" borderId="1" xfId="2" applyFont="1" applyFill="1" applyBorder="1" applyAlignment="1">
      <alignment horizontal="center" vertical="center"/>
    </xf>
    <xf numFmtId="14" fontId="21" fillId="3" borderId="1" xfId="2" applyNumberFormat="1" applyFont="1" applyFill="1" applyBorder="1" applyAlignment="1">
      <alignment horizontal="left"/>
    </xf>
    <xf numFmtId="0" fontId="21" fillId="3" borderId="1" xfId="2" applyFont="1" applyFill="1" applyBorder="1" applyAlignment="1">
      <alignment horizontal="left" vertical="center"/>
    </xf>
    <xf numFmtId="14" fontId="0" fillId="3" borderId="0" xfId="0" applyNumberFormat="1" applyFill="1"/>
    <xf numFmtId="0" fontId="24" fillId="3" borderId="1" xfId="2" applyFont="1" applyFill="1" applyBorder="1"/>
    <xf numFmtId="0" fontId="24" fillId="3" borderId="1" xfId="2" applyFont="1" applyFill="1" applyBorder="1" applyAlignment="1">
      <alignment horizontal="center"/>
    </xf>
    <xf numFmtId="0" fontId="24" fillId="3" borderId="1" xfId="2" quotePrefix="1" applyFont="1" applyFill="1" applyBorder="1" applyAlignment="1">
      <alignment horizontal="left"/>
    </xf>
    <xf numFmtId="0" fontId="24" fillId="3" borderId="1" xfId="2" applyFont="1" applyFill="1" applyBorder="1" applyAlignment="1">
      <alignment horizontal="left"/>
    </xf>
    <xf numFmtId="0" fontId="20" fillId="8" borderId="1" xfId="2" quotePrefix="1" applyNumberFormat="1" applyFont="1" applyFill="1" applyBorder="1" applyAlignment="1">
      <alignment horizontal="center" vertical="center"/>
    </xf>
    <xf numFmtId="0" fontId="21" fillId="3" borderId="1" xfId="2" applyNumberFormat="1" applyFont="1" applyFill="1" applyBorder="1" applyAlignment="1">
      <alignment horizontal="center" vertical="center"/>
    </xf>
    <xf numFmtId="0" fontId="16" fillId="3" borderId="0" xfId="0" applyFont="1" applyFill="1"/>
    <xf numFmtId="0" fontId="0" fillId="3" borderId="0" xfId="0" quotePrefix="1" applyFill="1"/>
    <xf numFmtId="1" fontId="20" fillId="7" borderId="1" xfId="2" quotePrefix="1" applyNumberFormat="1" applyFont="1" applyFill="1" applyBorder="1" applyAlignment="1">
      <alignment horizontal="left" vertical="center"/>
    </xf>
    <xf numFmtId="16" fontId="0" fillId="0" borderId="0" xfId="0" applyNumberFormat="1"/>
    <xf numFmtId="0" fontId="20" fillId="8" borderId="1" xfId="2" applyFont="1" applyFill="1" applyBorder="1" applyAlignment="1">
      <alignment horizontal="center"/>
    </xf>
    <xf numFmtId="0" fontId="20" fillId="8" borderId="1" xfId="2" quotePrefix="1" applyFont="1" applyFill="1" applyBorder="1" applyAlignment="1">
      <alignment horizontal="left"/>
    </xf>
    <xf numFmtId="14" fontId="20" fillId="8" borderId="1" xfId="2" applyNumberFormat="1" applyFont="1" applyFill="1" applyBorder="1" applyAlignment="1">
      <alignment horizontal="left" vertical="center"/>
    </xf>
    <xf numFmtId="0" fontId="0" fillId="8" borderId="0" xfId="0" applyFill="1"/>
    <xf numFmtId="0" fontId="20" fillId="3" borderId="9" xfId="0" applyFont="1" applyFill="1" applyBorder="1" applyAlignment="1">
      <alignment horizontal="left"/>
    </xf>
    <xf numFmtId="0" fontId="20" fillId="10" borderId="1" xfId="2" applyFont="1" applyFill="1" applyBorder="1" applyAlignment="1">
      <alignment horizontal="center" vertical="center"/>
    </xf>
    <xf numFmtId="0" fontId="20" fillId="10" borderId="1" xfId="0" applyFont="1" applyFill="1" applyBorder="1"/>
    <xf numFmtId="168" fontId="20" fillId="10" borderId="1" xfId="2" applyNumberFormat="1" applyFont="1" applyFill="1" applyBorder="1" applyAlignment="1">
      <alignment horizontal="center" vertical="center"/>
    </xf>
    <xf numFmtId="169" fontId="20" fillId="10" borderId="1" xfId="2" applyNumberFormat="1" applyFont="1" applyFill="1" applyBorder="1" applyAlignment="1">
      <alignment horizontal="center" vertical="center"/>
    </xf>
    <xf numFmtId="0" fontId="20" fillId="10" borderId="1" xfId="2" applyFont="1" applyFill="1" applyBorder="1" applyAlignment="1">
      <alignment horizontal="center"/>
    </xf>
    <xf numFmtId="0" fontId="20" fillId="10" borderId="1" xfId="2" applyFont="1" applyFill="1" applyBorder="1" applyAlignment="1">
      <alignment horizontal="left"/>
    </xf>
    <xf numFmtId="0" fontId="20" fillId="10" borderId="1" xfId="2" quotePrefix="1" applyFont="1" applyFill="1" applyBorder="1" applyAlignment="1">
      <alignment horizontal="left" vertical="center"/>
    </xf>
    <xf numFmtId="0" fontId="20" fillId="10" borderId="1" xfId="2" applyFont="1" applyFill="1" applyBorder="1" applyAlignment="1">
      <alignment horizontal="left" vertical="center"/>
    </xf>
    <xf numFmtId="0" fontId="20" fillId="10" borderId="1" xfId="2" applyNumberFormat="1" applyFont="1" applyFill="1" applyBorder="1" applyAlignment="1">
      <alignment horizontal="center" vertical="center"/>
    </xf>
    <xf numFmtId="0" fontId="20" fillId="10" borderId="1" xfId="2" quotePrefix="1" applyFont="1" applyFill="1" applyBorder="1" applyAlignment="1">
      <alignment horizontal="left"/>
    </xf>
    <xf numFmtId="0" fontId="24" fillId="10" borderId="1" xfId="2" applyFont="1" applyFill="1" applyBorder="1" applyAlignment="1">
      <alignment horizontal="left"/>
    </xf>
    <xf numFmtId="0" fontId="20" fillId="10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0" fontId="21" fillId="10" borderId="1" xfId="2" quotePrefix="1" applyFont="1" applyFill="1" applyBorder="1" applyAlignment="1">
      <alignment horizontal="left"/>
    </xf>
    <xf numFmtId="16" fontId="20" fillId="10" borderId="1" xfId="2" applyNumberFormat="1" applyFont="1" applyFill="1" applyBorder="1" applyAlignment="1">
      <alignment horizontal="left" vertical="center"/>
    </xf>
    <xf numFmtId="14" fontId="20" fillId="10" borderId="1" xfId="2" applyNumberFormat="1" applyFont="1" applyFill="1" applyBorder="1" applyAlignment="1">
      <alignment horizontal="left" vertical="center"/>
    </xf>
    <xf numFmtId="0" fontId="20" fillId="10" borderId="1" xfId="0" quotePrefix="1" applyFont="1" applyFill="1" applyBorder="1" applyAlignment="1">
      <alignment horizontal="left"/>
    </xf>
    <xf numFmtId="0" fontId="21" fillId="10" borderId="1" xfId="2" applyFont="1" applyFill="1" applyBorder="1" applyAlignment="1">
      <alignment horizontal="left"/>
    </xf>
    <xf numFmtId="17" fontId="20" fillId="10" borderId="1" xfId="2" applyNumberFormat="1" applyFont="1" applyFill="1" applyBorder="1" applyAlignment="1">
      <alignment horizontal="left" vertical="center"/>
    </xf>
    <xf numFmtId="0" fontId="26" fillId="10" borderId="1" xfId="2" applyFont="1" applyFill="1" applyBorder="1" applyAlignment="1">
      <alignment horizontal="left" vertical="center"/>
    </xf>
    <xf numFmtId="0" fontId="26" fillId="10" borderId="1" xfId="2" applyFont="1" applyFill="1" applyBorder="1" applyAlignment="1">
      <alignment horizontal="center" vertical="center"/>
    </xf>
    <xf numFmtId="0" fontId="24" fillId="10" borderId="1" xfId="2" quotePrefix="1" applyFont="1" applyFill="1" applyBorder="1" applyAlignment="1">
      <alignment horizontal="left"/>
    </xf>
    <xf numFmtId="0" fontId="26" fillId="10" borderId="1" xfId="2" quotePrefix="1" applyFont="1" applyFill="1" applyBorder="1" applyAlignment="1">
      <alignment horizontal="left" vertical="center"/>
    </xf>
    <xf numFmtId="0" fontId="25" fillId="10" borderId="1" xfId="2" applyFont="1" applyFill="1" applyBorder="1" applyAlignment="1">
      <alignment horizontal="center" vertical="center"/>
    </xf>
    <xf numFmtId="0" fontId="25" fillId="10" borderId="1" xfId="2" applyFont="1" applyFill="1" applyBorder="1" applyAlignment="1">
      <alignment horizontal="left" vertical="center"/>
    </xf>
    <xf numFmtId="169" fontId="20" fillId="10" borderId="1" xfId="2" quotePrefix="1" applyNumberFormat="1" applyFont="1" applyFill="1" applyBorder="1" applyAlignment="1">
      <alignment horizontal="center" vertical="center"/>
    </xf>
    <xf numFmtId="169" fontId="21" fillId="10" borderId="1" xfId="2" quotePrefix="1" applyNumberFormat="1" applyFont="1" applyFill="1" applyBorder="1" applyAlignment="1">
      <alignment horizontal="center" vertical="center"/>
    </xf>
    <xf numFmtId="0" fontId="21" fillId="10" borderId="1" xfId="2" quotePrefix="1" applyFont="1" applyFill="1" applyBorder="1" applyAlignment="1">
      <alignment horizontal="left" vertical="center"/>
    </xf>
    <xf numFmtId="0" fontId="19" fillId="10" borderId="1" xfId="2" applyFont="1" applyFill="1" applyBorder="1" applyAlignment="1">
      <alignment horizontal="left" vertical="center"/>
    </xf>
    <xf numFmtId="0" fontId="26" fillId="10" borderId="1" xfId="2" applyNumberFormat="1" applyFont="1" applyFill="1" applyBorder="1" applyAlignment="1">
      <alignment horizontal="center" vertical="center"/>
    </xf>
    <xf numFmtId="0" fontId="26" fillId="10" borderId="1" xfId="2" applyFont="1" applyFill="1" applyBorder="1" applyAlignment="1">
      <alignment horizontal="left"/>
    </xf>
    <xf numFmtId="0" fontId="21" fillId="10" borderId="1" xfId="2" applyNumberFormat="1" applyFont="1" applyFill="1" applyBorder="1" applyAlignment="1">
      <alignment horizontal="center" vertical="center"/>
    </xf>
    <xf numFmtId="0" fontId="24" fillId="10" borderId="1" xfId="2" applyNumberFormat="1" applyFont="1" applyFill="1" applyBorder="1" applyAlignment="1">
      <alignment horizontal="center" vertical="center"/>
    </xf>
    <xf numFmtId="0" fontId="24" fillId="10" borderId="1" xfId="2" quotePrefix="1" applyFont="1" applyFill="1" applyBorder="1" applyAlignment="1">
      <alignment horizontal="left" vertical="center"/>
    </xf>
    <xf numFmtId="0" fontId="20" fillId="10" borderId="1" xfId="2" quotePrefix="1" applyNumberFormat="1" applyFont="1" applyFill="1" applyBorder="1" applyAlignment="1">
      <alignment horizontal="center" vertical="center"/>
    </xf>
    <xf numFmtId="0" fontId="20" fillId="10" borderId="1" xfId="2" quotePrefix="1" applyNumberFormat="1" applyFont="1" applyFill="1" applyBorder="1" applyAlignment="1">
      <alignment horizontal="left" vertical="center"/>
    </xf>
    <xf numFmtId="0" fontId="19" fillId="10" borderId="1" xfId="2" applyFont="1" applyFill="1" applyBorder="1" applyAlignment="1">
      <alignment horizontal="center" vertical="center"/>
    </xf>
    <xf numFmtId="0" fontId="23" fillId="10" borderId="1" xfId="2" applyFont="1" applyFill="1" applyBorder="1" applyAlignment="1">
      <alignment horizontal="left" vertical="center"/>
    </xf>
    <xf numFmtId="168" fontId="23" fillId="10" borderId="1" xfId="2" applyNumberFormat="1" applyFont="1" applyFill="1" applyBorder="1" applyAlignment="1">
      <alignment horizontal="center" vertical="center"/>
    </xf>
    <xf numFmtId="169" fontId="23" fillId="10" borderId="1" xfId="2" applyNumberFormat="1" applyFont="1" applyFill="1" applyBorder="1" applyAlignment="1">
      <alignment horizontal="center" vertical="center"/>
    </xf>
    <xf numFmtId="4" fontId="23" fillId="10" borderId="1" xfId="2" applyNumberFormat="1" applyFont="1" applyFill="1" applyBorder="1" applyAlignment="1">
      <alignment horizontal="center" vertical="center"/>
    </xf>
    <xf numFmtId="0" fontId="19" fillId="10" borderId="1" xfId="2" applyFont="1" applyFill="1" applyBorder="1" applyAlignment="1">
      <alignment vertical="center"/>
    </xf>
    <xf numFmtId="0" fontId="20" fillId="5" borderId="1" xfId="2" quotePrefix="1" applyFont="1" applyFill="1" applyBorder="1" applyAlignment="1">
      <alignment horizontal="left" vertical="center"/>
    </xf>
    <xf numFmtId="0" fontId="20" fillId="5" borderId="1" xfId="2" applyFont="1" applyFill="1" applyBorder="1" applyAlignment="1">
      <alignment horizontal="left"/>
    </xf>
    <xf numFmtId="0" fontId="20" fillId="5" borderId="1" xfId="2" quotePrefix="1" applyFont="1" applyFill="1" applyBorder="1" applyAlignment="1">
      <alignment horizontal="left"/>
    </xf>
    <xf numFmtId="0" fontId="11" fillId="0" borderId="0" xfId="0" applyFont="1"/>
    <xf numFmtId="0" fontId="0" fillId="0" borderId="0" xfId="0" applyAlignment="1">
      <alignment vertical="center"/>
    </xf>
    <xf numFmtId="0" fontId="35" fillId="0" borderId="0" xfId="0" applyFont="1"/>
    <xf numFmtId="0" fontId="34" fillId="6" borderId="6" xfId="2" applyFont="1" applyFill="1" applyBorder="1" applyAlignment="1">
      <alignment horizontal="center" vertical="center" wrapText="1"/>
    </xf>
    <xf numFmtId="0" fontId="34" fillId="6" borderId="7" xfId="2" applyFont="1" applyFill="1" applyBorder="1" applyAlignment="1">
      <alignment horizontal="center" vertical="center" wrapText="1"/>
    </xf>
    <xf numFmtId="0" fontId="34" fillId="6" borderId="7" xfId="2" applyFont="1" applyFill="1" applyBorder="1" applyAlignment="1">
      <alignment horizontal="left" vertical="center" wrapText="1"/>
    </xf>
    <xf numFmtId="168" fontId="34" fillId="6" borderId="7" xfId="2" applyNumberFormat="1" applyFont="1" applyFill="1" applyBorder="1" applyAlignment="1">
      <alignment horizontal="center" vertical="center" wrapText="1"/>
    </xf>
    <xf numFmtId="0" fontId="34" fillId="6" borderId="7" xfId="2" applyFont="1" applyFill="1" applyBorder="1" applyAlignment="1">
      <alignment horizontal="center" vertical="center"/>
    </xf>
    <xf numFmtId="0" fontId="34" fillId="6" borderId="7" xfId="2" applyFont="1" applyFill="1" applyBorder="1" applyAlignment="1">
      <alignment vertical="center"/>
    </xf>
    <xf numFmtId="0" fontId="34" fillId="6" borderId="8" xfId="2" applyFont="1" applyFill="1" applyBorder="1" applyAlignment="1">
      <alignment vertical="center"/>
    </xf>
    <xf numFmtId="0" fontId="34" fillId="6" borderId="7" xfId="2" applyFont="1" applyFill="1" applyBorder="1" applyAlignment="1">
      <alignment horizontal="left" vertical="center"/>
    </xf>
    <xf numFmtId="14" fontId="36" fillId="6" borderId="4" xfId="2" applyNumberFormat="1" applyFont="1" applyFill="1" applyBorder="1" applyAlignment="1">
      <alignment horizontal="center" vertical="center"/>
    </xf>
    <xf numFmtId="0" fontId="35" fillId="5" borderId="1" xfId="2" applyFont="1" applyFill="1" applyBorder="1" applyAlignment="1">
      <alignment horizontal="center" vertical="center"/>
    </xf>
    <xf numFmtId="0" fontId="35" fillId="0" borderId="1" xfId="2" applyFont="1" applyFill="1" applyBorder="1" applyAlignment="1">
      <alignment horizontal="center" vertical="center"/>
    </xf>
    <xf numFmtId="0" fontId="35" fillId="0" borderId="1" xfId="0" applyFont="1" applyBorder="1"/>
    <xf numFmtId="168" fontId="35" fillId="0" borderId="1" xfId="2" applyNumberFormat="1" applyFont="1" applyFill="1" applyBorder="1" applyAlignment="1">
      <alignment horizontal="center" vertical="center"/>
    </xf>
    <xf numFmtId="169" fontId="35" fillId="5" borderId="1" xfId="2" applyNumberFormat="1" applyFont="1" applyFill="1" applyBorder="1" applyAlignment="1">
      <alignment horizontal="center" vertical="center"/>
    </xf>
    <xf numFmtId="0" fontId="35" fillId="0" borderId="1" xfId="2" applyFont="1" applyFill="1" applyBorder="1" applyAlignment="1">
      <alignment horizontal="center"/>
    </xf>
    <xf numFmtId="0" fontId="35" fillId="0" borderId="1" xfId="2" applyFont="1" applyFill="1" applyBorder="1" applyAlignment="1">
      <alignment horizontal="left"/>
    </xf>
    <xf numFmtId="0" fontId="35" fillId="5" borderId="1" xfId="2" quotePrefix="1" applyFont="1" applyFill="1" applyBorder="1" applyAlignment="1">
      <alignment horizontal="left" vertical="center"/>
    </xf>
    <xf numFmtId="14" fontId="35" fillId="5" borderId="1" xfId="2" applyNumberFormat="1" applyFont="1" applyFill="1" applyBorder="1" applyAlignment="1">
      <alignment horizontal="left" vertical="center"/>
    </xf>
    <xf numFmtId="0" fontId="35" fillId="5" borderId="1" xfId="2" applyFont="1" applyFill="1" applyBorder="1" applyAlignment="1">
      <alignment horizontal="left"/>
    </xf>
    <xf numFmtId="168" fontId="35" fillId="5" borderId="1" xfId="2" applyNumberFormat="1" applyFont="1" applyFill="1" applyBorder="1" applyAlignment="1">
      <alignment horizontal="center" vertical="center"/>
    </xf>
    <xf numFmtId="0" fontId="35" fillId="5" borderId="1" xfId="2" applyNumberFormat="1" applyFont="1" applyFill="1" applyBorder="1" applyAlignment="1">
      <alignment horizontal="center" vertical="center"/>
    </xf>
    <xf numFmtId="0" fontId="35" fillId="0" borderId="1" xfId="2" quotePrefix="1" applyFont="1" applyFill="1" applyBorder="1" applyAlignment="1">
      <alignment horizontal="left" vertical="center"/>
    </xf>
    <xf numFmtId="0" fontId="35" fillId="5" borderId="1" xfId="2" applyFont="1" applyFill="1" applyBorder="1" applyAlignment="1">
      <alignment horizontal="center"/>
    </xf>
    <xf numFmtId="0" fontId="35" fillId="5" borderId="1" xfId="2" quotePrefix="1" applyFont="1" applyFill="1" applyBorder="1" applyAlignment="1">
      <alignment horizontal="left"/>
    </xf>
    <xf numFmtId="0" fontId="35" fillId="5" borderId="1" xfId="2" applyFont="1" applyFill="1" applyBorder="1" applyAlignment="1">
      <alignment horizontal="left" vertical="center"/>
    </xf>
    <xf numFmtId="0" fontId="29" fillId="5" borderId="1" xfId="2" applyFont="1" applyFill="1" applyBorder="1" applyAlignment="1">
      <alignment horizontal="left"/>
    </xf>
    <xf numFmtId="0" fontId="37" fillId="5" borderId="1" xfId="2" applyFont="1" applyFill="1" applyBorder="1"/>
    <xf numFmtId="0" fontId="37" fillId="5" borderId="1" xfId="2" applyFont="1" applyFill="1" applyBorder="1" applyAlignment="1">
      <alignment horizontal="center"/>
    </xf>
    <xf numFmtId="0" fontId="37" fillId="5" borderId="1" xfId="2" quotePrefix="1" applyFont="1" applyFill="1" applyBorder="1" applyAlignment="1">
      <alignment horizontal="left"/>
    </xf>
    <xf numFmtId="0" fontId="37" fillId="5" borderId="1" xfId="2" applyFont="1" applyFill="1" applyBorder="1" applyAlignment="1">
      <alignment horizontal="left"/>
    </xf>
    <xf numFmtId="14" fontId="37" fillId="5" borderId="1" xfId="2" applyNumberFormat="1" applyFont="1" applyFill="1" applyBorder="1" applyAlignment="1">
      <alignment horizontal="left"/>
    </xf>
    <xf numFmtId="0" fontId="35" fillId="3" borderId="1" xfId="2" applyFont="1" applyFill="1" applyBorder="1" applyAlignment="1">
      <alignment horizontal="center" vertical="center"/>
    </xf>
    <xf numFmtId="0" fontId="35" fillId="3" borderId="1" xfId="0" applyFont="1" applyFill="1" applyBorder="1"/>
    <xf numFmtId="168" fontId="35" fillId="3" borderId="1" xfId="2" applyNumberFormat="1" applyFont="1" applyFill="1" applyBorder="1" applyAlignment="1">
      <alignment horizontal="center" vertical="center"/>
    </xf>
    <xf numFmtId="169" fontId="35" fillId="3" borderId="1" xfId="2" applyNumberFormat="1" applyFont="1" applyFill="1" applyBorder="1" applyAlignment="1">
      <alignment horizontal="center" vertical="center"/>
    </xf>
    <xf numFmtId="0" fontId="35" fillId="3" borderId="1" xfId="2" applyNumberFormat="1" applyFont="1" applyFill="1" applyBorder="1" applyAlignment="1">
      <alignment horizontal="center" vertical="center"/>
    </xf>
    <xf numFmtId="0" fontId="35" fillId="3" borderId="1" xfId="2" quotePrefix="1" applyFont="1" applyFill="1" applyBorder="1" applyAlignment="1">
      <alignment horizontal="left" vertical="center"/>
    </xf>
    <xf numFmtId="0" fontId="35" fillId="3" borderId="1" xfId="2" applyFont="1" applyFill="1" applyBorder="1" applyAlignment="1">
      <alignment horizontal="left"/>
    </xf>
    <xf numFmtId="14" fontId="35" fillId="3" borderId="1" xfId="2" applyNumberFormat="1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>
      <alignment horizontal="left"/>
    </xf>
    <xf numFmtId="0" fontId="29" fillId="5" borderId="1" xfId="2" quotePrefix="1" applyFont="1" applyFill="1" applyBorder="1" applyAlignment="1">
      <alignment horizontal="left"/>
    </xf>
    <xf numFmtId="0" fontId="35" fillId="3" borderId="1" xfId="2" quotePrefix="1" applyFont="1" applyFill="1" applyBorder="1" applyAlignment="1">
      <alignment horizontal="left"/>
    </xf>
    <xf numFmtId="0" fontId="35" fillId="3" borderId="1" xfId="2" applyFont="1" applyFill="1" applyBorder="1" applyAlignment="1">
      <alignment horizontal="left" vertical="center"/>
    </xf>
    <xf numFmtId="0" fontId="35" fillId="3" borderId="1" xfId="2" applyFont="1" applyFill="1" applyBorder="1" applyAlignment="1">
      <alignment horizontal="center"/>
    </xf>
    <xf numFmtId="0" fontId="29" fillId="5" borderId="1" xfId="2" quotePrefix="1" applyFont="1" applyFill="1" applyBorder="1" applyAlignment="1">
      <alignment horizontal="left" vertical="center"/>
    </xf>
    <xf numFmtId="0" fontId="29" fillId="5" borderId="1" xfId="2" applyFont="1" applyFill="1" applyBorder="1" applyAlignment="1">
      <alignment horizontal="center"/>
    </xf>
    <xf numFmtId="0" fontId="29" fillId="0" borderId="1" xfId="2" applyFont="1" applyFill="1" applyBorder="1" applyAlignment="1">
      <alignment horizontal="left"/>
    </xf>
    <xf numFmtId="0" fontId="35" fillId="0" borderId="1" xfId="0" quotePrefix="1" applyFont="1" applyBorder="1" applyAlignment="1">
      <alignment horizontal="left"/>
    </xf>
    <xf numFmtId="0" fontId="35" fillId="3" borderId="0" xfId="0" applyFont="1" applyFill="1"/>
    <xf numFmtId="0" fontId="35" fillId="5" borderId="1" xfId="0" applyFont="1" applyFill="1" applyBorder="1"/>
    <xf numFmtId="0" fontId="35" fillId="5" borderId="1" xfId="0" applyFont="1" applyFill="1" applyBorder="1" applyAlignment="1">
      <alignment horizontal="center"/>
    </xf>
    <xf numFmtId="0" fontId="35" fillId="5" borderId="1" xfId="0" quotePrefix="1" applyFont="1" applyFill="1" applyBorder="1" applyAlignment="1">
      <alignment horizontal="left"/>
    </xf>
    <xf numFmtId="0" fontId="35" fillId="5" borderId="1" xfId="0" applyFont="1" applyFill="1" applyBorder="1" applyAlignment="1">
      <alignment horizontal="left"/>
    </xf>
    <xf numFmtId="0" fontId="35" fillId="5" borderId="0" xfId="0" applyFont="1" applyFill="1"/>
    <xf numFmtId="169" fontId="35" fillId="5" borderId="1" xfId="2" quotePrefix="1" applyNumberFormat="1" applyFont="1" applyFill="1" applyBorder="1" applyAlignment="1">
      <alignment horizontal="center" vertical="center"/>
    </xf>
    <xf numFmtId="0" fontId="36" fillId="5" borderId="1" xfId="2" applyFont="1" applyFill="1" applyBorder="1" applyAlignment="1">
      <alignment horizontal="left" vertical="center"/>
    </xf>
    <xf numFmtId="0" fontId="36" fillId="5" borderId="1" xfId="2" applyFont="1" applyFill="1" applyBorder="1" applyAlignment="1">
      <alignment horizontal="center" vertical="center"/>
    </xf>
    <xf numFmtId="0" fontId="37" fillId="5" borderId="1" xfId="2" quotePrefix="1" applyFont="1" applyFill="1" applyBorder="1" applyAlignment="1">
      <alignment horizontal="left" vertical="center"/>
    </xf>
    <xf numFmtId="0" fontId="36" fillId="5" borderId="1" xfId="2" quotePrefix="1" applyFont="1" applyFill="1" applyBorder="1" applyAlignment="1">
      <alignment horizontal="left" vertical="center"/>
    </xf>
    <xf numFmtId="14" fontId="36" fillId="5" borderId="1" xfId="2" applyNumberFormat="1" applyFont="1" applyFill="1" applyBorder="1" applyAlignment="1">
      <alignment horizontal="left" vertical="center"/>
    </xf>
    <xf numFmtId="14" fontId="35" fillId="3" borderId="0" xfId="0" applyNumberFormat="1" applyFont="1" applyFill="1" applyAlignment="1">
      <alignment horizontal="left"/>
    </xf>
    <xf numFmtId="0" fontId="35" fillId="0" borderId="1" xfId="2" applyFont="1" applyFill="1" applyBorder="1" applyAlignment="1">
      <alignment horizontal="left" vertical="center"/>
    </xf>
    <xf numFmtId="0" fontId="29" fillId="0" borderId="1" xfId="2" quotePrefix="1" applyFont="1" applyFill="1" applyBorder="1" applyAlignment="1">
      <alignment horizontal="left" vertical="center"/>
    </xf>
    <xf numFmtId="0" fontId="35" fillId="7" borderId="1" xfId="2" applyFont="1" applyFill="1" applyBorder="1" applyAlignment="1">
      <alignment horizontal="center" vertical="center"/>
    </xf>
    <xf numFmtId="0" fontId="35" fillId="7" borderId="1" xfId="0" applyFont="1" applyFill="1" applyBorder="1"/>
    <xf numFmtId="168" fontId="35" fillId="7" borderId="1" xfId="2" applyNumberFormat="1" applyFont="1" applyFill="1" applyBorder="1" applyAlignment="1">
      <alignment horizontal="center" vertical="center"/>
    </xf>
    <xf numFmtId="169" fontId="35" fillId="7" borderId="1" xfId="2" applyNumberFormat="1" applyFont="1" applyFill="1" applyBorder="1" applyAlignment="1">
      <alignment horizontal="center" vertical="center"/>
    </xf>
    <xf numFmtId="169" fontId="35" fillId="7" borderId="1" xfId="2" quotePrefix="1" applyNumberFormat="1" applyFont="1" applyFill="1" applyBorder="1" applyAlignment="1">
      <alignment horizontal="center" vertical="center"/>
    </xf>
    <xf numFmtId="0" fontId="35" fillId="7" borderId="1" xfId="2" quotePrefix="1" applyFont="1" applyFill="1" applyBorder="1" applyAlignment="1">
      <alignment horizontal="left" vertical="center"/>
    </xf>
    <xf numFmtId="0" fontId="35" fillId="7" borderId="1" xfId="2" applyFont="1" applyFill="1" applyBorder="1" applyAlignment="1">
      <alignment horizontal="left" vertical="center"/>
    </xf>
    <xf numFmtId="14" fontId="35" fillId="7" borderId="1" xfId="2" applyNumberFormat="1" applyFont="1" applyFill="1" applyBorder="1" applyAlignment="1">
      <alignment horizontal="left" vertical="center"/>
    </xf>
    <xf numFmtId="0" fontId="35" fillId="7" borderId="0" xfId="0" applyFont="1" applyFill="1"/>
    <xf numFmtId="169" fontId="35" fillId="3" borderId="1" xfId="2" quotePrefix="1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35" fillId="5" borderId="1" xfId="2" quotePrefix="1" applyNumberFormat="1" applyFont="1" applyFill="1" applyBorder="1" applyAlignment="1">
      <alignment horizontal="center" vertical="center"/>
    </xf>
    <xf numFmtId="0" fontId="36" fillId="5" borderId="1" xfId="2" applyNumberFormat="1" applyFont="1" applyFill="1" applyBorder="1" applyAlignment="1">
      <alignment horizontal="center" vertical="center"/>
    </xf>
    <xf numFmtId="0" fontId="36" fillId="0" borderId="1" xfId="2" applyFont="1" applyFill="1" applyBorder="1" applyAlignment="1">
      <alignment horizontal="left"/>
    </xf>
    <xf numFmtId="0" fontId="36" fillId="0" borderId="1" xfId="2" quotePrefix="1" applyFont="1" applyFill="1" applyBorder="1" applyAlignment="1">
      <alignment horizontal="left" vertical="center"/>
    </xf>
    <xf numFmtId="0" fontId="29" fillId="5" borderId="1" xfId="2" applyNumberFormat="1" applyFont="1" applyFill="1" applyBorder="1" applyAlignment="1">
      <alignment horizontal="center" vertical="center"/>
    </xf>
    <xf numFmtId="0" fontId="35" fillId="7" borderId="1" xfId="2" applyNumberFormat="1" applyFont="1" applyFill="1" applyBorder="1" applyAlignment="1">
      <alignment horizontal="center" vertical="center"/>
    </xf>
    <xf numFmtId="0" fontId="35" fillId="7" borderId="1" xfId="2" applyFont="1" applyFill="1" applyBorder="1" applyAlignment="1">
      <alignment horizontal="left"/>
    </xf>
    <xf numFmtId="0" fontId="37" fillId="5" borderId="1" xfId="2" applyNumberFormat="1" applyFont="1" applyFill="1" applyBorder="1" applyAlignment="1">
      <alignment horizontal="center" vertical="center"/>
    </xf>
    <xf numFmtId="0" fontId="37" fillId="0" borderId="1" xfId="2" applyFont="1" applyFill="1" applyBorder="1" applyAlignment="1">
      <alignment horizontal="left"/>
    </xf>
    <xf numFmtId="0" fontId="37" fillId="0" borderId="1" xfId="2" quotePrefix="1" applyFont="1" applyFill="1" applyBorder="1" applyAlignment="1">
      <alignment horizontal="left" vertical="center"/>
    </xf>
    <xf numFmtId="0" fontId="35" fillId="13" borderId="1" xfId="2" applyFont="1" applyFill="1" applyBorder="1" applyAlignment="1">
      <alignment horizontal="center" vertical="center"/>
    </xf>
    <xf numFmtId="0" fontId="35" fillId="13" borderId="1" xfId="0" applyFont="1" applyFill="1" applyBorder="1"/>
    <xf numFmtId="168" fontId="35" fillId="13" borderId="1" xfId="2" applyNumberFormat="1" applyFont="1" applyFill="1" applyBorder="1" applyAlignment="1">
      <alignment horizontal="center" vertical="center"/>
    </xf>
    <xf numFmtId="169" fontId="35" fillId="13" borderId="1" xfId="2" applyNumberFormat="1" applyFont="1" applyFill="1" applyBorder="1" applyAlignment="1">
      <alignment horizontal="center" vertical="center"/>
    </xf>
    <xf numFmtId="0" fontId="35" fillId="13" borderId="1" xfId="2" applyNumberFormat="1" applyFont="1" applyFill="1" applyBorder="1" applyAlignment="1">
      <alignment horizontal="center" vertical="center"/>
    </xf>
    <xf numFmtId="0" fontId="35" fillId="13" borderId="1" xfId="2" quotePrefix="1" applyFont="1" applyFill="1" applyBorder="1" applyAlignment="1">
      <alignment horizontal="left" vertical="center"/>
    </xf>
    <xf numFmtId="0" fontId="35" fillId="13" borderId="1" xfId="2" applyFont="1" applyFill="1" applyBorder="1" applyAlignment="1">
      <alignment horizontal="left"/>
    </xf>
    <xf numFmtId="0" fontId="35" fillId="5" borderId="1" xfId="2" quotePrefix="1" applyNumberFormat="1" applyFont="1" applyFill="1" applyBorder="1" applyAlignment="1">
      <alignment horizontal="left" vertical="center"/>
    </xf>
    <xf numFmtId="0" fontId="36" fillId="0" borderId="1" xfId="2" applyFont="1" applyFill="1" applyBorder="1" applyAlignment="1">
      <alignment horizontal="center" vertical="center"/>
    </xf>
    <xf numFmtId="0" fontId="38" fillId="5" borderId="1" xfId="2" applyFont="1" applyFill="1" applyBorder="1" applyAlignment="1">
      <alignment horizontal="left" vertical="center"/>
    </xf>
    <xf numFmtId="168" fontId="38" fillId="5" borderId="1" xfId="2" applyNumberFormat="1" applyFont="1" applyFill="1" applyBorder="1" applyAlignment="1">
      <alignment horizontal="center" vertical="center"/>
    </xf>
    <xf numFmtId="169" fontId="38" fillId="5" borderId="1" xfId="2" applyNumberFormat="1" applyFont="1" applyFill="1" applyBorder="1" applyAlignment="1">
      <alignment horizontal="center" vertical="center"/>
    </xf>
    <xf numFmtId="4" fontId="38" fillId="5" borderId="1" xfId="2" applyNumberFormat="1" applyFont="1" applyFill="1" applyBorder="1" applyAlignment="1">
      <alignment horizontal="center" vertical="center"/>
    </xf>
    <xf numFmtId="0" fontId="36" fillId="5" borderId="1" xfId="2" applyFont="1" applyFill="1" applyBorder="1" applyAlignment="1">
      <alignment vertical="center"/>
    </xf>
    <xf numFmtId="168" fontId="35" fillId="5" borderId="9" xfId="2" applyNumberFormat="1" applyFont="1" applyFill="1" applyBorder="1" applyAlignment="1">
      <alignment horizontal="center" vertical="center"/>
    </xf>
    <xf numFmtId="168" fontId="35" fillId="0" borderId="0" xfId="0" applyNumberFormat="1" applyFont="1"/>
    <xf numFmtId="0" fontId="35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left"/>
    </xf>
    <xf numFmtId="0" fontId="29" fillId="3" borderId="1" xfId="2" applyFont="1" applyFill="1" applyBorder="1" applyAlignment="1">
      <alignment horizontal="left"/>
    </xf>
    <xf numFmtId="168" fontId="29" fillId="3" borderId="1" xfId="2" applyNumberFormat="1" applyFont="1" applyFill="1" applyBorder="1" applyAlignment="1">
      <alignment horizontal="center" vertical="center"/>
    </xf>
    <xf numFmtId="169" fontId="29" fillId="3" borderId="1" xfId="2" quotePrefix="1" applyNumberFormat="1" applyFont="1" applyFill="1" applyBorder="1" applyAlignment="1">
      <alignment horizontal="center" vertical="center"/>
    </xf>
    <xf numFmtId="0" fontId="29" fillId="3" borderId="1" xfId="2" quotePrefix="1" applyFont="1" applyFill="1" applyBorder="1" applyAlignment="1">
      <alignment horizontal="left" vertical="center"/>
    </xf>
    <xf numFmtId="0" fontId="29" fillId="3" borderId="1" xfId="2" applyNumberFormat="1" applyFont="1" applyFill="1" applyBorder="1" applyAlignment="1">
      <alignment horizontal="center" vertical="center"/>
    </xf>
    <xf numFmtId="0" fontId="36" fillId="6" borderId="4" xfId="2" applyFont="1" applyFill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29" fillId="3" borderId="1" xfId="2" applyFont="1" applyFill="1" applyBorder="1" applyAlignment="1">
      <alignment horizontal="center" vertical="center"/>
    </xf>
    <xf numFmtId="0" fontId="29" fillId="3" borderId="1" xfId="2" applyFont="1" applyFill="1" applyBorder="1" applyAlignment="1">
      <alignment horizontal="left" vertical="center"/>
    </xf>
    <xf numFmtId="14" fontId="29" fillId="3" borderId="1" xfId="2" applyNumberFormat="1" applyFont="1" applyFill="1" applyBorder="1" applyAlignment="1">
      <alignment horizontal="left"/>
    </xf>
    <xf numFmtId="0" fontId="35" fillId="7" borderId="1" xfId="2" quotePrefix="1" applyFont="1" applyFill="1" applyBorder="1" applyAlignment="1">
      <alignment horizontal="left"/>
    </xf>
    <xf numFmtId="0" fontId="37" fillId="3" borderId="1" xfId="2" applyFont="1" applyFill="1" applyBorder="1"/>
    <xf numFmtId="0" fontId="37" fillId="3" borderId="1" xfId="2" applyFont="1" applyFill="1" applyBorder="1" applyAlignment="1">
      <alignment horizontal="center"/>
    </xf>
    <xf numFmtId="0" fontId="37" fillId="3" borderId="1" xfId="2" quotePrefix="1" applyFont="1" applyFill="1" applyBorder="1" applyAlignment="1">
      <alignment horizontal="left"/>
    </xf>
    <xf numFmtId="0" fontId="37" fillId="3" borderId="1" xfId="2" applyFont="1" applyFill="1" applyBorder="1" applyAlignment="1">
      <alignment horizontal="left"/>
    </xf>
    <xf numFmtId="14" fontId="35" fillId="0" borderId="0" xfId="0" applyNumberFormat="1" applyFont="1" applyAlignment="1">
      <alignment horizontal="left"/>
    </xf>
    <xf numFmtId="0" fontId="29" fillId="7" borderId="1" xfId="2" quotePrefix="1" applyFont="1" applyFill="1" applyBorder="1" applyAlignment="1">
      <alignment horizontal="left"/>
    </xf>
    <xf numFmtId="0" fontId="29" fillId="7" borderId="1" xfId="2" quotePrefix="1" applyFont="1" applyFill="1" applyBorder="1" applyAlignment="1">
      <alignment horizontal="left" vertical="center"/>
    </xf>
    <xf numFmtId="16" fontId="35" fillId="3" borderId="1" xfId="2" applyNumberFormat="1" applyFont="1" applyFill="1" applyBorder="1" applyAlignment="1">
      <alignment horizontal="left" vertical="center"/>
    </xf>
    <xf numFmtId="0" fontId="29" fillId="3" borderId="1" xfId="2" applyFont="1" applyFill="1" applyBorder="1" applyAlignment="1">
      <alignment horizontal="center"/>
    </xf>
    <xf numFmtId="14" fontId="35" fillId="3" borderId="0" xfId="0" applyNumberFormat="1" applyFont="1" applyFill="1"/>
    <xf numFmtId="0" fontId="29" fillId="3" borderId="1" xfId="2" quotePrefix="1" applyFont="1" applyFill="1" applyBorder="1" applyAlignment="1">
      <alignment horizontal="left"/>
    </xf>
    <xf numFmtId="0" fontId="35" fillId="7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left"/>
    </xf>
    <xf numFmtId="0" fontId="29" fillId="7" borderId="1" xfId="2" applyFont="1" applyFill="1" applyBorder="1" applyAlignment="1">
      <alignment horizontal="left"/>
    </xf>
    <xf numFmtId="0" fontId="35" fillId="5" borderId="0" xfId="0" applyFont="1" applyFill="1" applyAlignment="1">
      <alignment horizontal="left"/>
    </xf>
    <xf numFmtId="0" fontId="35" fillId="3" borderId="1" xfId="0" quotePrefix="1" applyFont="1" applyFill="1" applyBorder="1" applyAlignment="1">
      <alignment horizontal="left"/>
    </xf>
    <xf numFmtId="17" fontId="35" fillId="5" borderId="1" xfId="2" applyNumberFormat="1" applyFont="1" applyFill="1" applyBorder="1" applyAlignment="1">
      <alignment horizontal="left" vertical="center"/>
    </xf>
    <xf numFmtId="0" fontId="35" fillId="3" borderId="0" xfId="0" applyFont="1" applyFill="1" applyAlignment="1">
      <alignment horizontal="left"/>
    </xf>
    <xf numFmtId="0" fontId="36" fillId="3" borderId="1" xfId="2" applyFont="1" applyFill="1" applyBorder="1" applyAlignment="1">
      <alignment horizontal="left" vertical="center"/>
    </xf>
    <xf numFmtId="0" fontId="36" fillId="3" borderId="1" xfId="2" applyFont="1" applyFill="1" applyBorder="1" applyAlignment="1">
      <alignment horizontal="center" vertical="center"/>
    </xf>
    <xf numFmtId="0" fontId="37" fillId="3" borderId="1" xfId="2" quotePrefix="1" applyFont="1" applyFill="1" applyBorder="1" applyAlignment="1">
      <alignment horizontal="left" vertical="center"/>
    </xf>
    <xf numFmtId="0" fontId="36" fillId="3" borderId="1" xfId="2" quotePrefix="1" applyFont="1" applyFill="1" applyBorder="1" applyAlignment="1">
      <alignment horizontal="left" vertical="center"/>
    </xf>
    <xf numFmtId="14" fontId="36" fillId="3" borderId="1" xfId="2" applyNumberFormat="1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center" vertical="center" wrapText="1"/>
    </xf>
    <xf numFmtId="17" fontId="35" fillId="3" borderId="1" xfId="2" applyNumberFormat="1" applyFont="1" applyFill="1" applyBorder="1" applyAlignment="1">
      <alignment horizontal="left" vertical="center"/>
    </xf>
    <xf numFmtId="1" fontId="35" fillId="7" borderId="1" xfId="2" quotePrefix="1" applyNumberFormat="1" applyFont="1" applyFill="1" applyBorder="1" applyAlignment="1">
      <alignment horizontal="left" vertical="center"/>
    </xf>
    <xf numFmtId="0" fontId="35" fillId="8" borderId="1" xfId="2" applyFont="1" applyFill="1" applyBorder="1" applyAlignment="1">
      <alignment horizontal="center" vertical="center"/>
    </xf>
    <xf numFmtId="0" fontId="35" fillId="8" borderId="1" xfId="0" applyFont="1" applyFill="1" applyBorder="1"/>
    <xf numFmtId="168" fontId="35" fillId="8" borderId="1" xfId="2" applyNumberFormat="1" applyFont="1" applyFill="1" applyBorder="1" applyAlignment="1">
      <alignment horizontal="center" vertical="center"/>
    </xf>
    <xf numFmtId="169" fontId="35" fillId="8" borderId="1" xfId="2" applyNumberFormat="1" applyFont="1" applyFill="1" applyBorder="1" applyAlignment="1">
      <alignment horizontal="center" vertical="center"/>
    </xf>
    <xf numFmtId="0" fontId="35" fillId="8" borderId="1" xfId="2" applyNumberFormat="1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left"/>
    </xf>
    <xf numFmtId="0" fontId="35" fillId="8" borderId="1" xfId="2" applyFont="1" applyFill="1" applyBorder="1" applyAlignment="1">
      <alignment horizontal="left"/>
    </xf>
    <xf numFmtId="0" fontId="35" fillId="8" borderId="1" xfId="2" quotePrefix="1" applyFont="1" applyFill="1" applyBorder="1" applyAlignment="1">
      <alignment horizontal="left" vertical="center"/>
    </xf>
    <xf numFmtId="0" fontId="35" fillId="8" borderId="0" xfId="0" applyFont="1" applyFill="1"/>
    <xf numFmtId="0" fontId="35" fillId="8" borderId="1" xfId="2" applyFont="1" applyFill="1" applyBorder="1" applyAlignment="1">
      <alignment horizontal="left" vertical="center"/>
    </xf>
    <xf numFmtId="0" fontId="29" fillId="8" borderId="1" xfId="2" quotePrefix="1" applyFont="1" applyFill="1" applyBorder="1" applyAlignment="1">
      <alignment horizontal="left" vertical="center"/>
    </xf>
    <xf numFmtId="0" fontId="35" fillId="7" borderId="1" xfId="2" quotePrefix="1" applyNumberFormat="1" applyFont="1" applyFill="1" applyBorder="1" applyAlignment="1">
      <alignment horizontal="center" vertical="center"/>
    </xf>
    <xf numFmtId="16" fontId="35" fillId="5" borderId="1" xfId="2" applyNumberFormat="1" applyFont="1" applyFill="1" applyBorder="1" applyAlignment="1">
      <alignment horizontal="left" vertical="center"/>
    </xf>
    <xf numFmtId="0" fontId="35" fillId="3" borderId="1" xfId="2" quotePrefix="1" applyNumberFormat="1" applyFont="1" applyFill="1" applyBorder="1" applyAlignment="1">
      <alignment horizontal="center" vertical="center"/>
    </xf>
    <xf numFmtId="0" fontId="35" fillId="12" borderId="1" xfId="2" applyFont="1" applyFill="1" applyBorder="1" applyAlignment="1">
      <alignment horizontal="center" vertical="center"/>
    </xf>
    <xf numFmtId="0" fontId="35" fillId="12" borderId="1" xfId="0" applyFont="1" applyFill="1" applyBorder="1"/>
    <xf numFmtId="168" fontId="35" fillId="12" borderId="1" xfId="2" applyNumberFormat="1" applyFont="1" applyFill="1" applyBorder="1" applyAlignment="1">
      <alignment horizontal="center" vertical="center"/>
    </xf>
    <xf numFmtId="169" fontId="35" fillId="12" borderId="1" xfId="2" applyNumberFormat="1" applyFont="1" applyFill="1" applyBorder="1" applyAlignment="1">
      <alignment horizontal="center" vertical="center"/>
    </xf>
    <xf numFmtId="0" fontId="35" fillId="12" borderId="1" xfId="2" applyNumberFormat="1" applyFont="1" applyFill="1" applyBorder="1" applyAlignment="1">
      <alignment horizontal="center" vertical="center"/>
    </xf>
    <xf numFmtId="0" fontId="35" fillId="12" borderId="1" xfId="2" quotePrefix="1" applyFont="1" applyFill="1" applyBorder="1" applyAlignment="1">
      <alignment horizontal="left" vertical="center"/>
    </xf>
    <xf numFmtId="0" fontId="35" fillId="12" borderId="1" xfId="2" applyFont="1" applyFill="1" applyBorder="1" applyAlignment="1">
      <alignment horizontal="left" vertical="center"/>
    </xf>
    <xf numFmtId="14" fontId="35" fillId="12" borderId="1" xfId="2" applyNumberFormat="1" applyFont="1" applyFill="1" applyBorder="1" applyAlignment="1">
      <alignment horizontal="left" vertical="center"/>
    </xf>
    <xf numFmtId="0" fontId="37" fillId="3" borderId="1" xfId="2" applyNumberFormat="1" applyFont="1" applyFill="1" applyBorder="1" applyAlignment="1">
      <alignment horizontal="center" vertical="center"/>
    </xf>
    <xf numFmtId="0" fontId="35" fillId="7" borderId="0" xfId="0" applyFont="1" applyFill="1" applyAlignment="1">
      <alignment horizontal="left"/>
    </xf>
    <xf numFmtId="0" fontId="35" fillId="3" borderId="1" xfId="2" quotePrefix="1" applyFont="1" applyFill="1" applyBorder="1" applyAlignment="1">
      <alignment vertical="center"/>
    </xf>
    <xf numFmtId="0" fontId="35" fillId="3" borderId="1" xfId="2" applyFont="1" applyFill="1" applyBorder="1" applyAlignment="1"/>
    <xf numFmtId="9" fontId="35" fillId="0" borderId="0" xfId="3" applyFont="1"/>
    <xf numFmtId="14" fontId="37" fillId="3" borderId="1" xfId="2" applyNumberFormat="1" applyFont="1" applyFill="1" applyBorder="1" applyAlignment="1">
      <alignment horizontal="left"/>
    </xf>
    <xf numFmtId="0" fontId="35" fillId="5" borderId="2" xfId="2" applyFont="1" applyFill="1" applyBorder="1" applyAlignment="1">
      <alignment horizontal="center" vertical="center"/>
    </xf>
    <xf numFmtId="0" fontId="35" fillId="5" borderId="0" xfId="2" applyFont="1" applyFill="1" applyBorder="1" applyAlignment="1">
      <alignment horizontal="left" vertical="center"/>
    </xf>
    <xf numFmtId="0" fontId="29" fillId="5" borderId="0" xfId="2" quotePrefix="1" applyFont="1" applyFill="1" applyBorder="1" applyAlignment="1">
      <alignment horizontal="left" vertical="center"/>
    </xf>
    <xf numFmtId="0" fontId="35" fillId="5" borderId="0" xfId="2" applyFont="1" applyFill="1" applyBorder="1" applyAlignment="1">
      <alignment horizontal="center" vertical="center"/>
    </xf>
    <xf numFmtId="0" fontId="35" fillId="11" borderId="1" xfId="2" applyFont="1" applyFill="1" applyBorder="1" applyAlignment="1">
      <alignment horizontal="center" vertical="center"/>
    </xf>
    <xf numFmtId="0" fontId="35" fillId="11" borderId="1" xfId="0" applyFont="1" applyFill="1" applyBorder="1"/>
    <xf numFmtId="168" fontId="35" fillId="11" borderId="1" xfId="2" applyNumberFormat="1" applyFont="1" applyFill="1" applyBorder="1" applyAlignment="1">
      <alignment horizontal="center" vertical="center"/>
    </xf>
    <xf numFmtId="169" fontId="35" fillId="11" borderId="1" xfId="2" applyNumberFormat="1" applyFont="1" applyFill="1" applyBorder="1" applyAlignment="1">
      <alignment horizontal="center" vertical="center"/>
    </xf>
    <xf numFmtId="0" fontId="35" fillId="11" borderId="1" xfId="2" applyNumberFormat="1" applyFont="1" applyFill="1" applyBorder="1" applyAlignment="1">
      <alignment horizontal="center" vertical="center"/>
    </xf>
    <xf numFmtId="0" fontId="35" fillId="11" borderId="1" xfId="2" applyFont="1" applyFill="1" applyBorder="1" applyAlignment="1">
      <alignment horizontal="left" vertical="center"/>
    </xf>
    <xf numFmtId="0" fontId="35" fillId="11" borderId="0" xfId="0" applyFont="1" applyFill="1"/>
    <xf numFmtId="2" fontId="35" fillId="0" borderId="0" xfId="0" applyNumberFormat="1" applyFont="1"/>
    <xf numFmtId="0" fontId="35" fillId="8" borderId="1" xfId="2" applyFont="1" applyFill="1" applyBorder="1" applyAlignment="1">
      <alignment horizontal="center"/>
    </xf>
    <xf numFmtId="14" fontId="35" fillId="8" borderId="1" xfId="2" applyNumberFormat="1" applyFont="1" applyFill="1" applyBorder="1" applyAlignment="1">
      <alignment horizontal="left" vertical="center"/>
    </xf>
    <xf numFmtId="169" fontId="35" fillId="0" borderId="0" xfId="0" applyNumberFormat="1" applyFont="1"/>
    <xf numFmtId="0" fontId="35" fillId="11" borderId="1" xfId="2" quotePrefix="1" applyNumberFormat="1" applyFont="1" applyFill="1" applyBorder="1" applyAlignment="1">
      <alignment horizontal="center" vertical="center"/>
    </xf>
    <xf numFmtId="14" fontId="35" fillId="11" borderId="1" xfId="2" applyNumberFormat="1" applyFont="1" applyFill="1" applyBorder="1" applyAlignment="1">
      <alignment horizontal="left" vertical="center"/>
    </xf>
    <xf numFmtId="169" fontId="35" fillId="3" borderId="0" xfId="0" applyNumberFormat="1" applyFont="1" applyFill="1"/>
    <xf numFmtId="4" fontId="35" fillId="0" borderId="0" xfId="0" applyNumberFormat="1" applyFont="1"/>
    <xf numFmtId="0" fontId="35" fillId="11" borderId="1" xfId="2" quotePrefix="1" applyFont="1" applyFill="1" applyBorder="1" applyAlignment="1">
      <alignment horizontal="left"/>
    </xf>
    <xf numFmtId="0" fontId="29" fillId="11" borderId="1" xfId="2" quotePrefix="1" applyFont="1" applyFill="1" applyBorder="1" applyAlignment="1">
      <alignment horizontal="left" vertical="center"/>
    </xf>
    <xf numFmtId="0" fontId="35" fillId="11" borderId="0" xfId="0" applyFont="1" applyFill="1" applyAlignment="1">
      <alignment horizontal="left"/>
    </xf>
    <xf numFmtId="0" fontId="35" fillId="11" borderId="1" xfId="0" applyFont="1" applyFill="1" applyBorder="1" applyAlignment="1">
      <alignment horizontal="left"/>
    </xf>
    <xf numFmtId="0" fontId="35" fillId="11" borderId="1" xfId="2" applyFont="1" applyFill="1" applyBorder="1" applyAlignment="1">
      <alignment horizontal="left"/>
    </xf>
    <xf numFmtId="0" fontId="35" fillId="11" borderId="1" xfId="2" quotePrefix="1" applyFont="1" applyFill="1" applyBorder="1" applyAlignment="1">
      <alignment horizontal="left" vertical="center"/>
    </xf>
    <xf numFmtId="0" fontId="35" fillId="8" borderId="0" xfId="0" applyFont="1" applyFill="1" applyAlignment="1">
      <alignment horizontal="left"/>
    </xf>
    <xf numFmtId="0" fontId="35" fillId="3" borderId="2" xfId="2" applyFon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/>
    </xf>
    <xf numFmtId="0" fontId="35" fillId="14" borderId="1" xfId="2" applyFont="1" applyFill="1" applyBorder="1" applyAlignment="1">
      <alignment horizontal="center" vertical="center"/>
    </xf>
    <xf numFmtId="0" fontId="35" fillId="14" borderId="1" xfId="0" applyFont="1" applyFill="1" applyBorder="1"/>
    <xf numFmtId="168" fontId="35" fillId="14" borderId="1" xfId="2" applyNumberFormat="1" applyFont="1" applyFill="1" applyBorder="1" applyAlignment="1">
      <alignment horizontal="center" vertical="center"/>
    </xf>
    <xf numFmtId="169" fontId="35" fillId="14" borderId="1" xfId="2" applyNumberFormat="1" applyFont="1" applyFill="1" applyBorder="1" applyAlignment="1">
      <alignment horizontal="center" vertical="center"/>
    </xf>
    <xf numFmtId="0" fontId="35" fillId="14" borderId="1" xfId="2" applyNumberFormat="1" applyFont="1" applyFill="1" applyBorder="1" applyAlignment="1">
      <alignment horizontal="center" vertical="center"/>
    </xf>
    <xf numFmtId="0" fontId="35" fillId="14" borderId="1" xfId="2" quotePrefix="1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left" vertical="center"/>
    </xf>
    <xf numFmtId="14" fontId="35" fillId="7" borderId="0" xfId="0" applyNumberFormat="1" applyFont="1" applyFill="1" applyAlignment="1">
      <alignment horizontal="left"/>
    </xf>
    <xf numFmtId="168" fontId="39" fillId="3" borderId="1" xfId="4" applyNumberFormat="1" applyFont="1" applyFill="1" applyBorder="1" applyAlignment="1">
      <alignment horizontal="center" vertical="center"/>
    </xf>
    <xf numFmtId="14" fontId="35" fillId="5" borderId="0" xfId="0" applyNumberFormat="1" applyFont="1" applyFill="1"/>
    <xf numFmtId="14" fontId="35" fillId="5" borderId="0" xfId="0" applyNumberFormat="1" applyFont="1" applyFill="1" applyAlignment="1">
      <alignment horizontal="left"/>
    </xf>
    <xf numFmtId="14" fontId="40" fillId="0" borderId="0" xfId="0" applyNumberFormat="1" applyFont="1"/>
    <xf numFmtId="0" fontId="40" fillId="0" borderId="0" xfId="0" applyFont="1"/>
    <xf numFmtId="0" fontId="40" fillId="3" borderId="0" xfId="0" applyFont="1" applyFill="1"/>
    <xf numFmtId="14" fontId="40" fillId="3" borderId="0" xfId="0" applyNumberFormat="1" applyFont="1" applyFill="1"/>
    <xf numFmtId="0" fontId="40" fillId="5" borderId="0" xfId="0" applyFont="1" applyFill="1"/>
    <xf numFmtId="0" fontId="40" fillId="8" borderId="0" xfId="0" applyFont="1" applyFill="1"/>
    <xf numFmtId="0" fontId="40" fillId="7" borderId="0" xfId="0" applyFont="1" applyFill="1"/>
    <xf numFmtId="0" fontId="40" fillId="11" borderId="0" xfId="0" applyFont="1" applyFill="1"/>
    <xf numFmtId="0" fontId="2" fillId="0" borderId="0" xfId="0" applyFont="1" applyAlignment="1">
      <alignment horizontal="left"/>
    </xf>
    <xf numFmtId="14" fontId="34" fillId="6" borderId="4" xfId="2" applyNumberFormat="1" applyFont="1" applyFill="1" applyBorder="1" applyAlignment="1">
      <alignment horizontal="center" vertical="center"/>
    </xf>
    <xf numFmtId="14" fontId="40" fillId="5" borderId="1" xfId="2" applyNumberFormat="1" applyFont="1" applyFill="1" applyBorder="1" applyAlignment="1">
      <alignment horizontal="left" vertical="center"/>
    </xf>
    <xf numFmtId="14" fontId="40" fillId="3" borderId="1" xfId="2" applyNumberFormat="1" applyFont="1" applyFill="1" applyBorder="1" applyAlignment="1">
      <alignment horizontal="left" vertical="center"/>
    </xf>
    <xf numFmtId="14" fontId="41" fillId="3" borderId="1" xfId="2" applyNumberFormat="1" applyFont="1" applyFill="1" applyBorder="1" applyAlignment="1">
      <alignment horizontal="left"/>
    </xf>
    <xf numFmtId="14" fontId="40" fillId="7" borderId="1" xfId="2" applyNumberFormat="1" applyFont="1" applyFill="1" applyBorder="1" applyAlignment="1">
      <alignment horizontal="left" vertical="center"/>
    </xf>
    <xf numFmtId="14" fontId="42" fillId="5" borderId="1" xfId="2" applyNumberFormat="1" applyFont="1" applyFill="1" applyBorder="1" applyAlignment="1">
      <alignment horizontal="left"/>
    </xf>
    <xf numFmtId="14" fontId="41" fillId="8" borderId="1" xfId="2" quotePrefix="1" applyNumberFormat="1" applyFont="1" applyFill="1" applyBorder="1" applyAlignment="1">
      <alignment horizontal="left" vertical="center"/>
    </xf>
    <xf numFmtId="166" fontId="2" fillId="7" borderId="2" xfId="0" applyNumberFormat="1" applyFont="1" applyFill="1" applyBorder="1" applyAlignment="1">
      <alignment horizontal="center"/>
    </xf>
    <xf numFmtId="14" fontId="34" fillId="3" borderId="1" xfId="2" applyNumberFormat="1" applyFont="1" applyFill="1" applyBorder="1" applyAlignment="1">
      <alignment horizontal="left" vertical="center"/>
    </xf>
    <xf numFmtId="14" fontId="34" fillId="5" borderId="1" xfId="2" applyNumberFormat="1" applyFont="1" applyFill="1" applyBorder="1" applyAlignment="1">
      <alignment horizontal="left" vertical="center"/>
    </xf>
    <xf numFmtId="14" fontId="40" fillId="3" borderId="0" xfId="0" applyNumberFormat="1" applyFont="1" applyFill="1" applyAlignment="1">
      <alignment horizontal="left"/>
    </xf>
    <xf numFmtId="14" fontId="40" fillId="11" borderId="1" xfId="2" applyNumberFormat="1" applyFont="1" applyFill="1" applyBorder="1" applyAlignment="1">
      <alignment horizontal="left" vertical="center"/>
    </xf>
    <xf numFmtId="14" fontId="40" fillId="0" borderId="1" xfId="2" applyNumberFormat="1" applyFont="1" applyFill="1" applyBorder="1" applyAlignment="1">
      <alignment horizontal="left" vertical="center"/>
    </xf>
    <xf numFmtId="14" fontId="40" fillId="8" borderId="1" xfId="2" applyNumberFormat="1" applyFont="1" applyFill="1" applyBorder="1" applyAlignment="1">
      <alignment horizontal="left" vertical="center"/>
    </xf>
    <xf numFmtId="14" fontId="40" fillId="13" borderId="1" xfId="2" applyNumberFormat="1" applyFont="1" applyFill="1" applyBorder="1" applyAlignment="1">
      <alignment horizontal="left" vertical="center"/>
    </xf>
    <xf numFmtId="166" fontId="43" fillId="7" borderId="2" xfId="0" applyNumberFormat="1" applyFont="1" applyFill="1" applyBorder="1" applyAlignment="1">
      <alignment horizontal="center"/>
    </xf>
    <xf numFmtId="14" fontId="40" fillId="7" borderId="0" xfId="0" applyNumberFormat="1" applyFont="1" applyFill="1" applyAlignment="1">
      <alignment horizontal="left"/>
    </xf>
    <xf numFmtId="14" fontId="40" fillId="7" borderId="0" xfId="0" applyNumberFormat="1" applyFont="1" applyFill="1"/>
    <xf numFmtId="0" fontId="18" fillId="6" borderId="1" xfId="2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left" vertical="center" wrapText="1"/>
    </xf>
    <xf numFmtId="168" fontId="18" fillId="6" borderId="1" xfId="2" applyNumberFormat="1" applyFont="1" applyFill="1" applyBorder="1" applyAlignment="1">
      <alignment horizontal="center" vertical="center" wrapText="1"/>
    </xf>
    <xf numFmtId="0" fontId="20" fillId="0" borderId="1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/>
    </xf>
    <xf numFmtId="0" fontId="21" fillId="0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left"/>
    </xf>
    <xf numFmtId="14" fontId="20" fillId="7" borderId="1" xfId="2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1" fillId="5" borderId="1" xfId="2" applyFont="1" applyFill="1" applyBorder="1" applyAlignment="1">
      <alignment horizontal="center"/>
    </xf>
    <xf numFmtId="0" fontId="26" fillId="5" borderId="1" xfId="2" applyFont="1" applyFill="1" applyBorder="1" applyAlignment="1">
      <alignment horizontal="left" vertical="center"/>
    </xf>
    <xf numFmtId="0" fontId="26" fillId="5" borderId="1" xfId="2" applyFont="1" applyFill="1" applyBorder="1" applyAlignment="1">
      <alignment horizontal="center" vertical="center"/>
    </xf>
    <xf numFmtId="0" fontId="25" fillId="5" borderId="1" xfId="2" applyFont="1" applyFill="1" applyBorder="1" applyAlignment="1">
      <alignment horizontal="left" vertical="center"/>
    </xf>
    <xf numFmtId="169" fontId="21" fillId="5" borderId="1" xfId="2" quotePrefix="1" applyNumberFormat="1" applyFont="1" applyFill="1" applyBorder="1" applyAlignment="1">
      <alignment horizontal="center" vertical="center"/>
    </xf>
    <xf numFmtId="0" fontId="20" fillId="7" borderId="1" xfId="2" quotePrefix="1" applyNumberFormat="1" applyFont="1" applyFill="1" applyBorder="1" applyAlignment="1">
      <alignment horizontal="center" vertical="center"/>
    </xf>
    <xf numFmtId="0" fontId="26" fillId="5" borderId="1" xfId="2" applyNumberFormat="1" applyFont="1" applyFill="1" applyBorder="1" applyAlignment="1">
      <alignment horizontal="center" vertical="center"/>
    </xf>
    <xf numFmtId="0" fontId="20" fillId="5" borderId="1" xfId="2" quotePrefix="1" applyNumberFormat="1" applyFont="1" applyFill="1" applyBorder="1" applyAlignment="1">
      <alignment horizontal="center" vertical="center"/>
    </xf>
    <xf numFmtId="0" fontId="24" fillId="5" borderId="1" xfId="2" applyNumberFormat="1" applyFont="1" applyFill="1" applyBorder="1" applyAlignment="1">
      <alignment horizontal="center" vertical="center"/>
    </xf>
    <xf numFmtId="168" fontId="20" fillId="5" borderId="9" xfId="2" applyNumberFormat="1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left"/>
    </xf>
    <xf numFmtId="0" fontId="20" fillId="0" borderId="1" xfId="2" quotePrefix="1" applyFont="1" applyFill="1" applyBorder="1" applyAlignment="1">
      <alignment horizontal="left" vertical="center"/>
    </xf>
    <xf numFmtId="0" fontId="24" fillId="5" borderId="1" xfId="2" quotePrefix="1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1" fillId="5" borderId="1" xfId="2" quotePrefix="1" applyFont="1" applyFill="1" applyBorder="1" applyAlignment="1">
      <alignment horizontal="left"/>
    </xf>
    <xf numFmtId="0" fontId="21" fillId="0" borderId="1" xfId="2" applyFont="1" applyFill="1" applyBorder="1" applyAlignment="1">
      <alignment horizontal="left"/>
    </xf>
    <xf numFmtId="0" fontId="20" fillId="5" borderId="1" xfId="0" quotePrefix="1" applyFont="1" applyFill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26" fillId="5" borderId="1" xfId="2" quotePrefix="1" applyFont="1" applyFill="1" applyBorder="1" applyAlignment="1">
      <alignment horizontal="left" vertical="center"/>
    </xf>
    <xf numFmtId="0" fontId="25" fillId="5" borderId="1" xfId="2" applyFont="1" applyFill="1" applyBorder="1" applyAlignment="1">
      <alignment horizontal="center" vertical="center"/>
    </xf>
    <xf numFmtId="0" fontId="21" fillId="0" borderId="1" xfId="2" quotePrefix="1" applyFont="1" applyFill="1" applyBorder="1" applyAlignment="1">
      <alignment horizontal="left" vertical="center"/>
    </xf>
    <xf numFmtId="0" fontId="26" fillId="0" borderId="1" xfId="2" applyFont="1" applyFill="1" applyBorder="1" applyAlignment="1">
      <alignment horizontal="left"/>
    </xf>
    <xf numFmtId="0" fontId="24" fillId="0" borderId="1" xfId="2" applyFont="1" applyFill="1" applyBorder="1" applyAlignment="1">
      <alignment horizontal="left"/>
    </xf>
    <xf numFmtId="0" fontId="24" fillId="0" borderId="1" xfId="2" quotePrefix="1" applyFont="1" applyFill="1" applyBorder="1" applyAlignment="1">
      <alignment horizontal="left" vertical="center"/>
    </xf>
    <xf numFmtId="0" fontId="20" fillId="5" borderId="1" xfId="2" quotePrefix="1" applyNumberFormat="1" applyFont="1" applyFill="1" applyBorder="1" applyAlignment="1">
      <alignment horizontal="left" vertical="center"/>
    </xf>
    <xf numFmtId="0" fontId="21" fillId="7" borderId="1" xfId="2" quotePrefix="1" applyFont="1" applyFill="1" applyBorder="1" applyAlignment="1">
      <alignment horizontal="left"/>
    </xf>
    <xf numFmtId="0" fontId="0" fillId="11" borderId="0" xfId="0" applyFill="1"/>
    <xf numFmtId="0" fontId="20" fillId="11" borderId="1" xfId="2" applyFont="1" applyFill="1" applyBorder="1" applyAlignment="1">
      <alignment horizontal="center" vertical="center"/>
    </xf>
    <xf numFmtId="0" fontId="20" fillId="11" borderId="1" xfId="2" quotePrefix="1" applyFont="1" applyFill="1" applyBorder="1" applyAlignment="1">
      <alignment horizontal="left" vertical="center"/>
    </xf>
    <xf numFmtId="0" fontId="20" fillId="11" borderId="1" xfId="2" applyNumberFormat="1" applyFont="1" applyFill="1" applyBorder="1" applyAlignment="1">
      <alignment horizontal="center" vertical="center"/>
    </xf>
    <xf numFmtId="169" fontId="20" fillId="11" borderId="1" xfId="2" applyNumberFormat="1" applyFont="1" applyFill="1" applyBorder="1" applyAlignment="1">
      <alignment horizontal="center" vertical="center"/>
    </xf>
    <xf numFmtId="168" fontId="20" fillId="11" borderId="1" xfId="2" applyNumberFormat="1" applyFont="1" applyFill="1" applyBorder="1" applyAlignment="1">
      <alignment horizontal="center" vertical="center"/>
    </xf>
    <xf numFmtId="0" fontId="20" fillId="11" borderId="1" xfId="0" applyFont="1" applyFill="1" applyBorder="1"/>
    <xf numFmtId="0" fontId="27" fillId="0" borderId="0" xfId="0" applyFont="1"/>
    <xf numFmtId="168" fontId="21" fillId="13" borderId="1" xfId="2" applyNumberFormat="1" applyFont="1" applyFill="1" applyBorder="1" applyAlignment="1">
      <alignment horizontal="center" vertical="center"/>
    </xf>
    <xf numFmtId="169" fontId="20" fillId="13" borderId="1" xfId="2" applyNumberFormat="1" applyFont="1" applyFill="1" applyBorder="1" applyAlignment="1">
      <alignment horizontal="center" vertical="center"/>
    </xf>
    <xf numFmtId="0" fontId="24" fillId="7" borderId="1" xfId="2" applyFont="1" applyFill="1" applyBorder="1"/>
    <xf numFmtId="0" fontId="24" fillId="7" borderId="1" xfId="2" applyFont="1" applyFill="1" applyBorder="1" applyAlignment="1">
      <alignment horizontal="center"/>
    </xf>
    <xf numFmtId="0" fontId="24" fillId="7" borderId="1" xfId="2" quotePrefix="1" applyFont="1" applyFill="1" applyBorder="1" applyAlignment="1">
      <alignment horizontal="left"/>
    </xf>
    <xf numFmtId="0" fontId="24" fillId="7" borderId="1" xfId="2" applyFont="1" applyFill="1" applyBorder="1" applyAlignment="1">
      <alignment horizontal="left"/>
    </xf>
    <xf numFmtId="14" fontId="0" fillId="7" borderId="0" xfId="0" applyNumberFormat="1" applyFill="1"/>
    <xf numFmtId="0" fontId="20" fillId="11" borderId="1" xfId="2" applyFont="1" applyFill="1" applyBorder="1" applyAlignment="1">
      <alignment horizontal="left" vertical="center"/>
    </xf>
    <xf numFmtId="0" fontId="20" fillId="11" borderId="1" xfId="2" quotePrefix="1" applyFont="1" applyFill="1" applyBorder="1" applyAlignment="1">
      <alignment horizontal="left"/>
    </xf>
    <xf numFmtId="169" fontId="21" fillId="7" borderId="1" xfId="2" quotePrefix="1" applyNumberFormat="1" applyFont="1" applyFill="1" applyBorder="1" applyAlignment="1">
      <alignment horizontal="center" vertical="center"/>
    </xf>
    <xf numFmtId="0" fontId="21" fillId="5" borderId="1" xfId="2" quotePrefix="1" applyFont="1" applyFill="1" applyBorder="1" applyAlignment="1">
      <alignment horizontal="left" vertical="center"/>
    </xf>
    <xf numFmtId="168" fontId="21" fillId="5" borderId="1" xfId="2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left"/>
    </xf>
    <xf numFmtId="1" fontId="20" fillId="5" borderId="1" xfId="2" quotePrefix="1" applyNumberFormat="1" applyFont="1" applyFill="1" applyBorder="1" applyAlignment="1">
      <alignment horizontal="left" vertical="center"/>
    </xf>
    <xf numFmtId="0" fontId="26" fillId="0" borderId="1" xfId="2" quotePrefix="1" applyFont="1" applyFill="1" applyBorder="1" applyAlignment="1">
      <alignment horizontal="left" vertical="center"/>
    </xf>
    <xf numFmtId="0" fontId="20" fillId="7" borderId="1" xfId="2" quotePrefix="1" applyFont="1" applyFill="1" applyBorder="1" applyAlignment="1">
      <alignment vertical="center"/>
    </xf>
    <xf numFmtId="0" fontId="20" fillId="7" borderId="1" xfId="2" applyFont="1" applyFill="1" applyBorder="1" applyAlignment="1"/>
    <xf numFmtId="0" fontId="20" fillId="7" borderId="1" xfId="0" quotePrefix="1" applyFont="1" applyFill="1" applyBorder="1" applyAlignment="1">
      <alignment horizontal="left"/>
    </xf>
    <xf numFmtId="0" fontId="21" fillId="7" borderId="1" xfId="2" applyFont="1" applyFill="1" applyBorder="1" applyAlignment="1">
      <alignment horizontal="center" vertical="center"/>
    </xf>
    <xf numFmtId="0" fontId="21" fillId="7" borderId="1" xfId="2" applyFont="1" applyFill="1" applyBorder="1" applyAlignment="1">
      <alignment horizontal="left" vertical="center"/>
    </xf>
    <xf numFmtId="0" fontId="24" fillId="5" borderId="1" xfId="2" applyFont="1" applyFill="1" applyBorder="1" applyAlignment="1">
      <alignment horizontal="left"/>
    </xf>
    <xf numFmtId="0" fontId="24" fillId="5" borderId="1" xfId="2" applyFont="1" applyFill="1" applyBorder="1" applyAlignment="1">
      <alignment horizontal="center"/>
    </xf>
    <xf numFmtId="0" fontId="24" fillId="5" borderId="1" xfId="2" applyFont="1" applyFill="1" applyBorder="1"/>
    <xf numFmtId="0" fontId="20" fillId="7" borderId="1" xfId="2" applyFont="1" applyFill="1" applyBorder="1" applyAlignment="1">
      <alignment horizontal="center"/>
    </xf>
    <xf numFmtId="0" fontId="26" fillId="7" borderId="1" xfId="2" applyFont="1" applyFill="1" applyBorder="1" applyAlignment="1">
      <alignment horizontal="left" vertical="center"/>
    </xf>
    <xf numFmtId="0" fontId="26" fillId="7" borderId="1" xfId="2" applyFont="1" applyFill="1" applyBorder="1" applyAlignment="1">
      <alignment horizontal="center" vertical="center"/>
    </xf>
    <xf numFmtId="0" fontId="26" fillId="7" borderId="1" xfId="2" quotePrefix="1" applyFont="1" applyFill="1" applyBorder="1" applyAlignment="1">
      <alignment horizontal="left" vertical="center"/>
    </xf>
    <xf numFmtId="0" fontId="25" fillId="7" borderId="1" xfId="2" applyFont="1" applyFill="1" applyBorder="1" applyAlignment="1">
      <alignment horizontal="center" vertical="center"/>
    </xf>
    <xf numFmtId="0" fontId="24" fillId="7" borderId="1" xfId="2" quotePrefix="1" applyFont="1" applyFill="1" applyBorder="1" applyAlignment="1">
      <alignment horizontal="left" vertical="center"/>
    </xf>
    <xf numFmtId="0" fontId="21" fillId="7" borderId="1" xfId="0" applyFont="1" applyFill="1" applyBorder="1"/>
    <xf numFmtId="168" fontId="21" fillId="7" borderId="1" xfId="2" applyNumberFormat="1" applyFont="1" applyFill="1" applyBorder="1" applyAlignment="1">
      <alignment horizontal="center" vertical="center"/>
    </xf>
    <xf numFmtId="169" fontId="21" fillId="7" borderId="1" xfId="2" applyNumberFormat="1" applyFont="1" applyFill="1" applyBorder="1" applyAlignment="1">
      <alignment horizontal="center" vertical="center"/>
    </xf>
    <xf numFmtId="0" fontId="44" fillId="7" borderId="0" xfId="0" applyFont="1" applyFill="1"/>
    <xf numFmtId="0" fontId="16" fillId="7" borderId="0" xfId="0" applyFont="1" applyFill="1"/>
    <xf numFmtId="0" fontId="24" fillId="7" borderId="1" xfId="2" applyNumberFormat="1" applyFont="1" applyFill="1" applyBorder="1" applyAlignment="1">
      <alignment horizontal="center" vertical="center"/>
    </xf>
    <xf numFmtId="0" fontId="21" fillId="5" borderId="1" xfId="0" applyFont="1" applyFill="1" applyBorder="1"/>
    <xf numFmtId="169" fontId="21" fillId="5" borderId="1" xfId="2" applyNumberFormat="1" applyFont="1" applyFill="1" applyBorder="1" applyAlignment="1">
      <alignment horizontal="center" vertical="center"/>
    </xf>
    <xf numFmtId="0" fontId="20" fillId="5" borderId="1" xfId="2" quotePrefix="1" applyFont="1" applyFill="1" applyBorder="1" applyAlignment="1">
      <alignment vertical="center"/>
    </xf>
    <xf numFmtId="0" fontId="20" fillId="5" borderId="1" xfId="2" applyFont="1" applyFill="1" applyBorder="1" applyAlignment="1"/>
    <xf numFmtId="0" fontId="24" fillId="5" borderId="1" xfId="2" quotePrefix="1" applyFont="1" applyFill="1" applyBorder="1" applyAlignment="1">
      <alignment horizontal="left" vertical="center"/>
    </xf>
    <xf numFmtId="0" fontId="44" fillId="5" borderId="0" xfId="0" applyFont="1" applyFill="1"/>
    <xf numFmtId="0" fontId="21" fillId="5" borderId="1" xfId="2" applyFont="1" applyFill="1" applyBorder="1" applyAlignment="1">
      <alignment horizontal="left" vertical="center"/>
    </xf>
    <xf numFmtId="0" fontId="21" fillId="7" borderId="1" xfId="2" applyNumberFormat="1" applyFont="1" applyFill="1" applyBorder="1" applyAlignment="1">
      <alignment horizontal="center" vertical="center"/>
    </xf>
    <xf numFmtId="0" fontId="46" fillId="5" borderId="1" xfId="2" applyFont="1" applyFill="1" applyBorder="1" applyAlignment="1">
      <alignment horizontal="left"/>
    </xf>
    <xf numFmtId="16" fontId="20" fillId="7" borderId="1" xfId="2" applyNumberFormat="1" applyFont="1" applyFill="1" applyBorder="1" applyAlignment="1">
      <alignment horizontal="left" vertical="center"/>
    </xf>
    <xf numFmtId="0" fontId="20" fillId="12" borderId="1" xfId="2" applyFont="1" applyFill="1" applyBorder="1" applyAlignment="1">
      <alignment horizontal="center" vertical="center"/>
    </xf>
    <xf numFmtId="0" fontId="20" fillId="12" borderId="1" xfId="0" applyFont="1" applyFill="1" applyBorder="1"/>
    <xf numFmtId="168" fontId="20" fillId="12" borderId="1" xfId="2" applyNumberFormat="1" applyFont="1" applyFill="1" applyBorder="1" applyAlignment="1">
      <alignment horizontal="center" vertical="center"/>
    </xf>
    <xf numFmtId="169" fontId="20" fillId="12" borderId="1" xfId="2" applyNumberFormat="1" applyFont="1" applyFill="1" applyBorder="1" applyAlignment="1">
      <alignment horizontal="center" vertical="center"/>
    </xf>
    <xf numFmtId="0" fontId="20" fillId="12" borderId="1" xfId="2" applyNumberFormat="1" applyFont="1" applyFill="1" applyBorder="1" applyAlignment="1">
      <alignment horizontal="center" vertical="center"/>
    </xf>
    <xf numFmtId="0" fontId="20" fillId="12" borderId="1" xfId="2" quotePrefix="1" applyFont="1" applyFill="1" applyBorder="1" applyAlignment="1">
      <alignment horizontal="left" vertical="center"/>
    </xf>
    <xf numFmtId="0" fontId="20" fillId="12" borderId="1" xfId="2" applyFont="1" applyFill="1" applyBorder="1" applyAlignment="1">
      <alignment horizontal="left"/>
    </xf>
    <xf numFmtId="0" fontId="0" fillId="12" borderId="0" xfId="0" applyFill="1"/>
    <xf numFmtId="0" fontId="20" fillId="13" borderId="1" xfId="2" applyFont="1" applyFill="1" applyBorder="1" applyAlignment="1">
      <alignment horizontal="center" vertical="center"/>
    </xf>
    <xf numFmtId="0" fontId="20" fillId="13" borderId="1" xfId="0" applyFont="1" applyFill="1" applyBorder="1"/>
    <xf numFmtId="168" fontId="20" fillId="13" borderId="1" xfId="2" applyNumberFormat="1" applyFont="1" applyFill="1" applyBorder="1" applyAlignment="1">
      <alignment horizontal="center" vertical="center"/>
    </xf>
    <xf numFmtId="0" fontId="20" fillId="13" borderId="1" xfId="2" applyNumberFormat="1" applyFont="1" applyFill="1" applyBorder="1" applyAlignment="1">
      <alignment horizontal="center" vertical="center"/>
    </xf>
    <xf numFmtId="0" fontId="20" fillId="13" borderId="1" xfId="2" quotePrefix="1" applyFont="1" applyFill="1" applyBorder="1" applyAlignment="1">
      <alignment horizontal="left" vertical="center"/>
    </xf>
    <xf numFmtId="0" fontId="20" fillId="13" borderId="1" xfId="2" applyFont="1" applyFill="1" applyBorder="1" applyAlignment="1">
      <alignment horizontal="left" vertical="center"/>
    </xf>
    <xf numFmtId="0" fontId="0" fillId="13" borderId="0" xfId="0" applyFill="1"/>
    <xf numFmtId="0" fontId="20" fillId="7" borderId="0" xfId="2" applyFont="1" applyFill="1" applyBorder="1" applyAlignment="1">
      <alignment horizontal="left" vertical="center"/>
    </xf>
    <xf numFmtId="14" fontId="20" fillId="7" borderId="0" xfId="2" applyNumberFormat="1" applyFont="1" applyFill="1" applyBorder="1" applyAlignment="1">
      <alignment horizontal="left" vertical="center"/>
    </xf>
    <xf numFmtId="0" fontId="16" fillId="5" borderId="0" xfId="0" applyFont="1" applyFill="1"/>
    <xf numFmtId="0" fontId="0" fillId="5" borderId="0" xfId="0" quotePrefix="1" applyFill="1"/>
    <xf numFmtId="168" fontId="21" fillId="0" borderId="1" xfId="2" applyNumberFormat="1" applyFont="1" applyFill="1" applyBorder="1" applyAlignment="1">
      <alignment horizontal="center" vertical="center"/>
    </xf>
    <xf numFmtId="0" fontId="26" fillId="5" borderId="1" xfId="2" applyFont="1" applyFill="1" applyBorder="1" applyAlignment="1">
      <alignment horizontal="left"/>
    </xf>
    <xf numFmtId="0" fontId="25" fillId="7" borderId="1" xfId="2" applyFont="1" applyFill="1" applyBorder="1" applyAlignment="1">
      <alignment horizontal="left" vertical="center"/>
    </xf>
    <xf numFmtId="0" fontId="19" fillId="7" borderId="1" xfId="2" quotePrefix="1" applyFont="1" applyFill="1" applyBorder="1" applyAlignment="1">
      <alignment vertical="center"/>
    </xf>
    <xf numFmtId="0" fontId="19" fillId="7" borderId="1" xfId="2" applyFont="1" applyFill="1" applyBorder="1" applyAlignment="1">
      <alignment horizontal="center" vertical="center"/>
    </xf>
    <xf numFmtId="0" fontId="0" fillId="7" borderId="0" xfId="0" quotePrefix="1" applyFill="1"/>
    <xf numFmtId="0" fontId="20" fillId="7" borderId="1" xfId="2" quotePrefix="1" applyNumberFormat="1" applyFont="1" applyFill="1" applyBorder="1" applyAlignment="1">
      <alignment horizontal="left" vertical="center"/>
    </xf>
    <xf numFmtId="0" fontId="16" fillId="8" borderId="0" xfId="0" applyFont="1" applyFill="1"/>
    <xf numFmtId="169" fontId="20" fillId="8" borderId="1" xfId="2" quotePrefix="1" applyNumberFormat="1" applyFont="1" applyFill="1" applyBorder="1" applyAlignment="1">
      <alignment horizontal="center" vertical="center"/>
    </xf>
    <xf numFmtId="0" fontId="20" fillId="15" borderId="1" xfId="2" applyFont="1" applyFill="1" applyBorder="1" applyAlignment="1">
      <alignment horizontal="center" vertical="center"/>
    </xf>
    <xf numFmtId="0" fontId="20" fillId="15" borderId="1" xfId="0" applyFont="1" applyFill="1" applyBorder="1"/>
    <xf numFmtId="168" fontId="20" fillId="15" borderId="1" xfId="2" applyNumberFormat="1" applyFont="1" applyFill="1" applyBorder="1" applyAlignment="1">
      <alignment horizontal="center" vertical="center"/>
    </xf>
    <xf numFmtId="169" fontId="20" fillId="15" borderId="1" xfId="2" applyNumberFormat="1" applyFont="1" applyFill="1" applyBorder="1" applyAlignment="1">
      <alignment horizontal="center" vertical="center"/>
    </xf>
    <xf numFmtId="169" fontId="21" fillId="15" borderId="1" xfId="2" quotePrefix="1" applyNumberFormat="1" applyFont="1" applyFill="1" applyBorder="1" applyAlignment="1">
      <alignment horizontal="center" vertical="center"/>
    </xf>
    <xf numFmtId="0" fontId="20" fillId="15" borderId="1" xfId="2" quotePrefix="1" applyFont="1" applyFill="1" applyBorder="1" applyAlignment="1">
      <alignment horizontal="left" vertical="center"/>
    </xf>
    <xf numFmtId="0" fontId="21" fillId="15" borderId="1" xfId="2" quotePrefix="1" applyFont="1" applyFill="1" applyBorder="1" applyAlignment="1">
      <alignment horizontal="left"/>
    </xf>
    <xf numFmtId="0" fontId="20" fillId="15" borderId="1" xfId="2" applyFont="1" applyFill="1" applyBorder="1" applyAlignment="1">
      <alignment horizontal="left" vertical="center"/>
    </xf>
    <xf numFmtId="0" fontId="0" fillId="15" borderId="0" xfId="0" applyFill="1"/>
    <xf numFmtId="0" fontId="20" fillId="12" borderId="0" xfId="2" applyFont="1" applyFill="1" applyBorder="1" applyAlignment="1">
      <alignment horizontal="left" vertical="center"/>
    </xf>
    <xf numFmtId="0" fontId="20" fillId="12" borderId="1" xfId="2" quotePrefix="1" applyFont="1" applyFill="1" applyBorder="1" applyAlignment="1">
      <alignment horizontal="left"/>
    </xf>
    <xf numFmtId="0" fontId="20" fillId="12" borderId="1" xfId="2" applyFont="1" applyFill="1" applyBorder="1" applyAlignment="1">
      <alignment horizontal="left" vertical="center"/>
    </xf>
    <xf numFmtId="0" fontId="21" fillId="12" borderId="1" xfId="2" quotePrefix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/>
    </xf>
    <xf numFmtId="0" fontId="16" fillId="12" borderId="0" xfId="0" applyFont="1" applyFill="1"/>
    <xf numFmtId="0" fontId="19" fillId="7" borderId="0" xfId="2" applyFont="1" applyFill="1" applyBorder="1" applyAlignment="1">
      <alignment vertical="center"/>
    </xf>
    <xf numFmtId="0" fontId="20" fillId="5" borderId="1" xfId="0" applyFont="1" applyFill="1" applyBorder="1" applyAlignment="1">
      <alignment horizontal="center" vertical="center" wrapText="1"/>
    </xf>
    <xf numFmtId="167" fontId="45" fillId="7" borderId="10" xfId="5" applyNumberFormat="1" applyFont="1" applyFill="1" applyBorder="1" applyAlignment="1">
      <alignment horizontal="center"/>
    </xf>
    <xf numFmtId="169" fontId="20" fillId="13" borderId="1" xfId="2" quotePrefix="1" applyNumberFormat="1" applyFont="1" applyFill="1" applyBorder="1" applyAlignment="1">
      <alignment horizontal="center" vertical="center"/>
    </xf>
    <xf numFmtId="0" fontId="26" fillId="13" borderId="1" xfId="2" applyFont="1" applyFill="1" applyBorder="1" applyAlignment="1">
      <alignment horizontal="left" vertical="center"/>
    </xf>
    <xf numFmtId="0" fontId="26" fillId="13" borderId="1" xfId="2" applyNumberFormat="1" applyFont="1" applyFill="1" applyBorder="1" applyAlignment="1">
      <alignment horizontal="center" vertical="center"/>
    </xf>
    <xf numFmtId="0" fontId="26" fillId="13" borderId="1" xfId="2" quotePrefix="1" applyFont="1" applyFill="1" applyBorder="1" applyAlignment="1">
      <alignment horizontal="left" vertical="center"/>
    </xf>
    <xf numFmtId="0" fontId="26" fillId="13" borderId="1" xfId="2" applyFont="1" applyFill="1" applyBorder="1" applyAlignment="1">
      <alignment horizontal="left"/>
    </xf>
    <xf numFmtId="0" fontId="20" fillId="13" borderId="1" xfId="2" applyFont="1" applyFill="1" applyBorder="1" applyAlignment="1">
      <alignment horizontal="left"/>
    </xf>
    <xf numFmtId="0" fontId="20" fillId="13" borderId="1" xfId="2" quotePrefix="1" applyFont="1" applyFill="1" applyBorder="1" applyAlignment="1">
      <alignment horizontal="left"/>
    </xf>
    <xf numFmtId="0" fontId="21" fillId="13" borderId="1" xfId="2" applyFont="1" applyFill="1" applyBorder="1" applyAlignment="1">
      <alignment horizontal="center"/>
    </xf>
    <xf numFmtId="0" fontId="21" fillId="13" borderId="1" xfId="2" applyFont="1" applyFill="1" applyBorder="1" applyAlignment="1">
      <alignment horizontal="left"/>
    </xf>
    <xf numFmtId="17" fontId="20" fillId="13" borderId="1" xfId="2" applyNumberFormat="1" applyFont="1" applyFill="1" applyBorder="1" applyAlignment="1">
      <alignment horizontal="left" vertical="center"/>
    </xf>
    <xf numFmtId="0" fontId="20" fillId="13" borderId="1" xfId="2" applyFont="1" applyFill="1" applyBorder="1" applyAlignment="1">
      <alignment horizontal="center"/>
    </xf>
    <xf numFmtId="0" fontId="20" fillId="13" borderId="1" xfId="0" applyFont="1" applyFill="1" applyBorder="1" applyAlignment="1">
      <alignment horizontal="left"/>
    </xf>
    <xf numFmtId="16" fontId="20" fillId="13" borderId="1" xfId="2" applyNumberFormat="1" applyFont="1" applyFill="1" applyBorder="1" applyAlignment="1">
      <alignment horizontal="left" vertical="center"/>
    </xf>
    <xf numFmtId="0" fontId="18" fillId="6" borderId="0" xfId="2" applyFont="1" applyFill="1" applyAlignment="1">
      <alignment horizontal="center" vertical="center"/>
    </xf>
    <xf numFmtId="0" fontId="34" fillId="6" borderId="0" xfId="2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wrapText="1" readingOrder="2"/>
    </xf>
    <xf numFmtId="0" fontId="3" fillId="3" borderId="1" xfId="0" applyFont="1" applyFill="1" applyBorder="1" applyAlignment="1">
      <alignment horizontal="center"/>
    </xf>
  </cellXfs>
  <cellStyles count="6">
    <cellStyle name="Comma" xfId="1" builtinId="3"/>
    <cellStyle name="Comma 2" xfId="5" xr:uid="{6DBD3F4F-DF32-487A-8719-8598934E5ADF}"/>
    <cellStyle name="Explanatory Text" xfId="2" builtinId="53"/>
    <cellStyle name="Hyperlink" xfId="4" builtinId="8"/>
    <cellStyle name="Normal" xfId="0" builtinId="0"/>
    <cellStyle name="Percent" xfId="3" builtinId="5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D050"/>
      <color rgb="FFFF99FF"/>
      <color rgb="FFC7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30</xdr:row>
      <xdr:rowOff>0</xdr:rowOff>
    </xdr:from>
    <xdr:to>
      <xdr:col>13</xdr:col>
      <xdr:colOff>317125</xdr:colOff>
      <xdr:row>31</xdr:row>
      <xdr:rowOff>47265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A4B0A-6FA9-4FD1-842D-34EF15243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40725" y="11401425"/>
          <a:ext cx="1536325" cy="237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123826</xdr:rowOff>
    </xdr:from>
    <xdr:to>
      <xdr:col>0</xdr:col>
      <xdr:colOff>883047</xdr:colOff>
      <xdr:row>7</xdr:row>
      <xdr:rowOff>195787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AA021-F37C-964E-5BAC-B92AC493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5326"/>
          <a:ext cx="883047" cy="929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85725</xdr:rowOff>
    </xdr:from>
    <xdr:ext cx="1163459" cy="1035367"/>
    <xdr:pic>
      <xdr:nvPicPr>
        <xdr:cNvPr id="2" name="Picture 1">
          <a:extLst>
            <a:ext uri="{FF2B5EF4-FFF2-40B4-BE49-F238E27FC236}">
              <a16:creationId xmlns:a16="http://schemas.microsoft.com/office/drawing/2014/main" id="{0DC3AE82-1BB9-4A28-AA45-C9A26756B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5725"/>
          <a:ext cx="1163459" cy="103536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013A-1F8B-4EAC-9FC0-7FD49D01C246}">
  <sheetPr codeName="Sheet1"/>
  <dimension ref="A1:K20"/>
  <sheetViews>
    <sheetView view="pageBreakPreview" zoomScaleNormal="100" zoomScaleSheetLayoutView="100" workbookViewId="0">
      <pane xSplit="2" topLeftCell="C1" activePane="topRight" state="frozen"/>
      <selection activeCell="N149" sqref="N149"/>
      <selection pane="topRight" activeCell="N149" sqref="N149"/>
    </sheetView>
  </sheetViews>
  <sheetFormatPr defaultRowHeight="15" x14ac:dyDescent="0.25"/>
  <cols>
    <col min="1" max="2" width="9.28515625" bestFit="1" customWidth="1"/>
    <col min="3" max="3" width="36.5703125" customWidth="1"/>
    <col min="4" max="4" width="12.28515625" customWidth="1"/>
    <col min="5" max="5" width="9.28515625" bestFit="1" customWidth="1"/>
    <col min="6" max="8" width="13.5703125" customWidth="1"/>
    <col min="9" max="9" width="13" bestFit="1" customWidth="1"/>
    <col min="10" max="10" width="28.42578125" bestFit="1" customWidth="1"/>
    <col min="11" max="11" width="10.42578125" bestFit="1" customWidth="1"/>
  </cols>
  <sheetData>
    <row r="1" spans="1:11" x14ac:dyDescent="0.25">
      <c r="A1" s="601" t="s">
        <v>0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ht="15.75" thickBot="1" x14ac:dyDescent="0.3">
      <c r="A2" s="601"/>
      <c r="B2" s="601"/>
      <c r="C2" s="601"/>
      <c r="D2" s="601"/>
      <c r="E2" s="601"/>
      <c r="F2" s="601"/>
      <c r="G2" s="601"/>
      <c r="H2" s="601"/>
      <c r="I2" s="601"/>
      <c r="J2" s="601"/>
    </row>
    <row r="3" spans="1:11" ht="27" x14ac:dyDescent="0.25">
      <c r="A3" s="13" t="s">
        <v>1</v>
      </c>
      <c r="B3" s="14" t="s">
        <v>2</v>
      </c>
      <c r="C3" s="15" t="s">
        <v>3</v>
      </c>
      <c r="D3" s="16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7" t="s">
        <v>9</v>
      </c>
      <c r="J3" s="21" t="s">
        <v>14</v>
      </c>
    </row>
    <row r="4" spans="1:11" x14ac:dyDescent="0.25">
      <c r="A4" s="22">
        <v>1</v>
      </c>
      <c r="B4" s="22">
        <v>1474</v>
      </c>
      <c r="C4" s="23" t="s">
        <v>15</v>
      </c>
      <c r="D4" s="24">
        <v>1158.9000000000001</v>
      </c>
      <c r="E4" s="25">
        <v>0.4</v>
      </c>
      <c r="F4" s="30">
        <f t="shared" ref="F4:F10" si="0">E4*D4</f>
        <v>463.56000000000006</v>
      </c>
      <c r="G4" s="30">
        <f>460.75+2.81</f>
        <v>463.56</v>
      </c>
      <c r="H4" s="30">
        <f t="shared" ref="H4:H10" si="1">F4-G4</f>
        <v>0</v>
      </c>
      <c r="I4" s="27">
        <v>4603773</v>
      </c>
      <c r="J4" s="26" t="s">
        <v>19</v>
      </c>
    </row>
    <row r="5" spans="1:11" x14ac:dyDescent="0.25">
      <c r="A5" s="22">
        <v>2</v>
      </c>
      <c r="B5" s="22">
        <v>3136</v>
      </c>
      <c r="C5" s="23" t="s">
        <v>20</v>
      </c>
      <c r="D5" s="24">
        <v>930.6</v>
      </c>
      <c r="E5" s="25">
        <v>0.4</v>
      </c>
      <c r="F5" s="30">
        <f t="shared" si="0"/>
        <v>372.24</v>
      </c>
      <c r="G5" s="30">
        <f>370.15+2.09</f>
        <v>372.23999999999995</v>
      </c>
      <c r="H5" s="30">
        <f t="shared" si="1"/>
        <v>0</v>
      </c>
      <c r="I5" s="22">
        <v>183498</v>
      </c>
      <c r="J5" s="26" t="s">
        <v>22</v>
      </c>
    </row>
    <row r="6" spans="1:11" x14ac:dyDescent="0.25">
      <c r="A6" s="22">
        <v>4</v>
      </c>
      <c r="B6" s="22">
        <v>3700</v>
      </c>
      <c r="C6" s="33" t="s">
        <v>27</v>
      </c>
      <c r="D6" s="24">
        <v>1352.4</v>
      </c>
      <c r="E6" s="25">
        <v>0.4</v>
      </c>
      <c r="F6" s="30">
        <v>498.96000000000004</v>
      </c>
      <c r="G6" s="30">
        <v>498.96000000000004</v>
      </c>
      <c r="H6" s="30">
        <f t="shared" si="1"/>
        <v>0</v>
      </c>
      <c r="I6" s="22">
        <v>19729836</v>
      </c>
      <c r="J6" s="26"/>
    </row>
    <row r="7" spans="1:11" x14ac:dyDescent="0.25">
      <c r="A7" s="22">
        <v>6</v>
      </c>
      <c r="B7" s="22">
        <v>3765</v>
      </c>
      <c r="C7" s="23" t="s">
        <v>31</v>
      </c>
      <c r="D7" s="24">
        <v>1216</v>
      </c>
      <c r="E7" s="25">
        <v>0.4</v>
      </c>
      <c r="F7" s="30">
        <f t="shared" si="0"/>
        <v>486.40000000000003</v>
      </c>
      <c r="G7" s="30">
        <f>485.75+0.65</f>
        <v>486.4</v>
      </c>
      <c r="H7" s="30">
        <f t="shared" si="1"/>
        <v>0</v>
      </c>
      <c r="I7" s="34">
        <v>19752023</v>
      </c>
      <c r="J7" s="26" t="s">
        <v>19</v>
      </c>
      <c r="K7" s="146">
        <v>45663</v>
      </c>
    </row>
    <row r="8" spans="1:11" x14ac:dyDescent="0.25">
      <c r="A8" s="22">
        <v>7</v>
      </c>
      <c r="B8" s="22">
        <v>3770</v>
      </c>
      <c r="C8" s="23" t="s">
        <v>33</v>
      </c>
      <c r="D8" s="24">
        <v>340.2</v>
      </c>
      <c r="E8" s="25">
        <v>0.4</v>
      </c>
      <c r="F8" s="149">
        <f t="shared" si="0"/>
        <v>136.08000000000001</v>
      </c>
      <c r="G8" s="149">
        <v>135.80000000000001</v>
      </c>
      <c r="H8" s="149">
        <f t="shared" si="1"/>
        <v>0.28000000000000114</v>
      </c>
      <c r="I8" s="34">
        <v>7198036</v>
      </c>
      <c r="J8" s="26" t="s">
        <v>35</v>
      </c>
    </row>
    <row r="9" spans="1:11" x14ac:dyDescent="0.25">
      <c r="A9" s="22">
        <v>9</v>
      </c>
      <c r="B9" s="22">
        <v>3871</v>
      </c>
      <c r="C9" s="23" t="s">
        <v>38</v>
      </c>
      <c r="D9" s="24">
        <v>1231.3</v>
      </c>
      <c r="E9" s="25">
        <v>0.4</v>
      </c>
      <c r="F9" s="149">
        <f t="shared" si="0"/>
        <v>492.52</v>
      </c>
      <c r="G9" s="149">
        <f>488.9+3.62</f>
        <v>492.52</v>
      </c>
      <c r="H9" s="149">
        <f t="shared" si="1"/>
        <v>0</v>
      </c>
      <c r="I9" s="34">
        <v>6920684</v>
      </c>
      <c r="J9" s="26" t="s">
        <v>40</v>
      </c>
    </row>
    <row r="10" spans="1:11" x14ac:dyDescent="0.25">
      <c r="A10" s="22">
        <v>10</v>
      </c>
      <c r="B10" s="22">
        <v>3877</v>
      </c>
      <c r="C10" s="23" t="s">
        <v>41</v>
      </c>
      <c r="D10" s="24">
        <v>475.7</v>
      </c>
      <c r="E10" s="25">
        <v>0.4</v>
      </c>
      <c r="F10" s="57">
        <f t="shared" si="0"/>
        <v>190.28</v>
      </c>
      <c r="G10" s="57">
        <f>187.85+2.43</f>
        <v>190.28</v>
      </c>
      <c r="H10" s="57">
        <f t="shared" si="1"/>
        <v>0</v>
      </c>
      <c r="I10" s="34">
        <v>14897254</v>
      </c>
      <c r="J10" s="26" t="s">
        <v>35</v>
      </c>
      <c r="K10" t="s">
        <v>854</v>
      </c>
    </row>
    <row r="11" spans="1:11" x14ac:dyDescent="0.25">
      <c r="A11" s="37"/>
      <c r="B11" s="38"/>
      <c r="C11" s="39" t="s">
        <v>45</v>
      </c>
      <c r="D11" s="40">
        <f>SUM(D4:D10)</f>
        <v>6705.0999999999995</v>
      </c>
      <c r="E11" s="41"/>
      <c r="F11" s="42">
        <f>SUM(F4:F10)</f>
        <v>2640.0400000000004</v>
      </c>
      <c r="G11" s="41">
        <f>SUM(G4:G10)</f>
        <v>2639.7599999999998</v>
      </c>
      <c r="H11" s="42">
        <f>SUM(H4:H10)</f>
        <v>0.28000000000000114</v>
      </c>
      <c r="I11" s="37"/>
      <c r="J11" s="44"/>
    </row>
    <row r="13" spans="1:11" x14ac:dyDescent="0.25">
      <c r="G13" t="s">
        <v>832</v>
      </c>
      <c r="H13" s="148">
        <f>H11</f>
        <v>0.28000000000000114</v>
      </c>
    </row>
    <row r="14" spans="1:11" x14ac:dyDescent="0.25">
      <c r="G14" t="s">
        <v>700</v>
      </c>
      <c r="H14" s="148">
        <f>'center-May'!H32</f>
        <v>0</v>
      </c>
    </row>
    <row r="15" spans="1:11" x14ac:dyDescent="0.25">
      <c r="A15" t="s">
        <v>46</v>
      </c>
      <c r="E15" t="s">
        <v>47</v>
      </c>
      <c r="G15" t="s">
        <v>701</v>
      </c>
      <c r="H15" s="148">
        <f>'06'!H57</f>
        <v>4.1500000000000057</v>
      </c>
    </row>
    <row r="16" spans="1:11" x14ac:dyDescent="0.25">
      <c r="G16" t="s">
        <v>833</v>
      </c>
      <c r="H16" s="148">
        <f>'center-July'!H312</f>
        <v>0</v>
      </c>
    </row>
    <row r="17" spans="7:8" x14ac:dyDescent="0.25">
      <c r="G17" t="s">
        <v>834</v>
      </c>
      <c r="H17" s="148">
        <f>'center-Aug'!H309</f>
        <v>14.050000000000011</v>
      </c>
    </row>
    <row r="18" spans="7:8" x14ac:dyDescent="0.25">
      <c r="G18" t="s">
        <v>835</v>
      </c>
      <c r="H18" s="148">
        <f>'Center-Sept'!H312</f>
        <v>14434.089999999998</v>
      </c>
    </row>
    <row r="19" spans="7:8" x14ac:dyDescent="0.25">
      <c r="G19" t="s">
        <v>836</v>
      </c>
      <c r="H19" s="148">
        <v>58708.52</v>
      </c>
    </row>
    <row r="20" spans="7:8" x14ac:dyDescent="0.25">
      <c r="G20" t="s">
        <v>837</v>
      </c>
      <c r="H20">
        <v>49811.8</v>
      </c>
    </row>
  </sheetData>
  <autoFilter ref="A3:J11" xr:uid="{00000000-0009-0000-0000-000000000000}"/>
  <mergeCells count="1">
    <mergeCell ref="A1:J2"/>
  </mergeCells>
  <pageMargins left="0.7" right="0.7" top="0.75" bottom="0.75" header="0.3" footer="0.3"/>
  <pageSetup paperSize="8"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FBC8-C7CC-4959-AA74-21E4B0368FA0}">
  <sheetPr codeName="Sheet2" filterMode="1">
    <pageSetUpPr fitToPage="1"/>
  </sheetPr>
  <dimension ref="A1:K35"/>
  <sheetViews>
    <sheetView view="pageBreakPreview" zoomScaleNormal="100" zoomScaleSheetLayoutView="100" workbookViewId="0">
      <pane xSplit="2" topLeftCell="C1" activePane="topRight" state="frozen"/>
      <selection activeCell="N149" sqref="N149"/>
      <selection pane="topRight" activeCell="N149" sqref="N149"/>
    </sheetView>
  </sheetViews>
  <sheetFormatPr defaultRowHeight="15" x14ac:dyDescent="0.25"/>
  <cols>
    <col min="1" max="2" width="9.28515625" bestFit="1" customWidth="1"/>
    <col min="3" max="3" width="36.5703125" customWidth="1"/>
    <col min="4" max="4" width="12.28515625" customWidth="1"/>
    <col min="5" max="5" width="9.28515625" bestFit="1" customWidth="1"/>
    <col min="6" max="8" width="13.5703125" customWidth="1"/>
    <col min="9" max="9" width="13" bestFit="1" customWidth="1"/>
    <col min="10" max="10" width="17.28515625" bestFit="1" customWidth="1"/>
    <col min="11" max="11" width="10.42578125" bestFit="1" customWidth="1"/>
  </cols>
  <sheetData>
    <row r="1" spans="1:11" x14ac:dyDescent="0.25">
      <c r="A1" s="142" t="s">
        <v>48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1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</row>
    <row r="3" spans="1:11" ht="27" x14ac:dyDescent="0.25">
      <c r="A3" s="13" t="s">
        <v>1</v>
      </c>
      <c r="B3" s="14" t="s">
        <v>2</v>
      </c>
      <c r="C3" s="15" t="s">
        <v>3</v>
      </c>
      <c r="D3" s="16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7" t="s">
        <v>9</v>
      </c>
      <c r="J3" s="21" t="s">
        <v>14</v>
      </c>
    </row>
    <row r="4" spans="1:11" hidden="1" x14ac:dyDescent="0.25">
      <c r="A4" s="22">
        <v>1</v>
      </c>
      <c r="B4" s="22">
        <v>1431</v>
      </c>
      <c r="C4" s="23" t="s">
        <v>62</v>
      </c>
      <c r="D4" s="24">
        <v>440</v>
      </c>
      <c r="E4" s="25">
        <v>0.4</v>
      </c>
      <c r="F4" s="30">
        <f t="shared" ref="F4:F9" si="0">E4*D4</f>
        <v>176</v>
      </c>
      <c r="G4" s="30">
        <f>174.6+1.4</f>
        <v>176</v>
      </c>
      <c r="H4" s="30">
        <f t="shared" ref="H4:H9" si="1">F4-G4</f>
        <v>0</v>
      </c>
      <c r="I4" s="46">
        <v>721445</v>
      </c>
      <c r="J4" s="26" t="s">
        <v>64</v>
      </c>
      <c r="K4" s="146">
        <v>45607</v>
      </c>
    </row>
    <row r="5" spans="1:11" hidden="1" x14ac:dyDescent="0.25">
      <c r="A5" s="22">
        <v>2</v>
      </c>
      <c r="B5" s="22">
        <v>1483</v>
      </c>
      <c r="C5" s="23" t="s">
        <v>79</v>
      </c>
      <c r="D5" s="24">
        <v>1140</v>
      </c>
      <c r="E5" s="25">
        <v>0.4</v>
      </c>
      <c r="F5" s="30">
        <f t="shared" si="0"/>
        <v>456</v>
      </c>
      <c r="G5" s="30">
        <f>452.94+3.06</f>
        <v>456</v>
      </c>
      <c r="H5" s="30">
        <f t="shared" si="1"/>
        <v>0</v>
      </c>
      <c r="I5" s="22">
        <v>1567826</v>
      </c>
      <c r="J5" s="26" t="s">
        <v>81</v>
      </c>
      <c r="K5" s="146">
        <v>45602</v>
      </c>
    </row>
    <row r="6" spans="1:11" x14ac:dyDescent="0.25">
      <c r="A6" s="22">
        <v>3</v>
      </c>
      <c r="B6" s="22">
        <v>3009</v>
      </c>
      <c r="C6" s="23" t="s">
        <v>87</v>
      </c>
      <c r="D6" s="24">
        <v>465.6</v>
      </c>
      <c r="E6" s="25">
        <v>0.4</v>
      </c>
      <c r="F6" s="149">
        <f t="shared" si="0"/>
        <v>186.24</v>
      </c>
      <c r="G6" s="149">
        <f>183.02+3.22</f>
        <v>186.24</v>
      </c>
      <c r="H6" s="149">
        <f t="shared" si="1"/>
        <v>0</v>
      </c>
      <c r="I6" s="22">
        <v>1448391</v>
      </c>
      <c r="J6" s="26" t="s">
        <v>89</v>
      </c>
    </row>
    <row r="7" spans="1:11" hidden="1" x14ac:dyDescent="0.25">
      <c r="A7" s="22">
        <v>4</v>
      </c>
      <c r="B7" s="22">
        <v>3077</v>
      </c>
      <c r="C7" s="23" t="s">
        <v>123</v>
      </c>
      <c r="D7" s="24">
        <v>917.4</v>
      </c>
      <c r="E7" s="25">
        <v>0.4</v>
      </c>
      <c r="F7" s="30">
        <f t="shared" si="0"/>
        <v>366.96000000000004</v>
      </c>
      <c r="G7" s="30">
        <f>365.42+1.54</f>
        <v>366.96000000000004</v>
      </c>
      <c r="H7" s="30">
        <f t="shared" si="1"/>
        <v>0</v>
      </c>
      <c r="I7" s="22">
        <v>21978752</v>
      </c>
      <c r="J7" s="26" t="s">
        <v>125</v>
      </c>
      <c r="K7" s="146">
        <v>45635</v>
      </c>
    </row>
    <row r="8" spans="1:11" hidden="1" x14ac:dyDescent="0.25">
      <c r="A8" s="22">
        <v>5</v>
      </c>
      <c r="B8" s="22">
        <v>3136</v>
      </c>
      <c r="C8" s="23" t="s">
        <v>20</v>
      </c>
      <c r="D8" s="24">
        <v>892</v>
      </c>
      <c r="E8" s="25">
        <v>0.4</v>
      </c>
      <c r="F8" s="30">
        <f t="shared" si="0"/>
        <v>356.8</v>
      </c>
      <c r="G8" s="30">
        <f>354.05+2.75</f>
        <v>356.8</v>
      </c>
      <c r="H8" s="30">
        <f t="shared" si="1"/>
        <v>0</v>
      </c>
      <c r="I8" s="22">
        <v>183498</v>
      </c>
      <c r="J8" s="143">
        <v>45547</v>
      </c>
      <c r="K8" s="146">
        <v>45615</v>
      </c>
    </row>
    <row r="9" spans="1:11" hidden="1" x14ac:dyDescent="0.25">
      <c r="A9" s="22">
        <v>6</v>
      </c>
      <c r="B9" s="22">
        <v>3215</v>
      </c>
      <c r="C9" s="23" t="s">
        <v>181</v>
      </c>
      <c r="D9" s="24">
        <v>1017.9</v>
      </c>
      <c r="E9" s="25">
        <v>0.4</v>
      </c>
      <c r="F9" s="30">
        <f t="shared" si="0"/>
        <v>407.16</v>
      </c>
      <c r="G9" s="30">
        <f>404.79+2.37</f>
        <v>407.16</v>
      </c>
      <c r="H9" s="30">
        <f t="shared" si="1"/>
        <v>0</v>
      </c>
      <c r="I9" s="34">
        <v>11684091</v>
      </c>
      <c r="J9" s="62" t="s">
        <v>35</v>
      </c>
      <c r="K9" s="146">
        <v>45607</v>
      </c>
    </row>
    <row r="10" spans="1:11" hidden="1" x14ac:dyDescent="0.25">
      <c r="A10" s="22">
        <v>7</v>
      </c>
      <c r="B10" s="22">
        <v>3273</v>
      </c>
      <c r="C10" s="23" t="s">
        <v>281</v>
      </c>
      <c r="D10" s="24">
        <v>896</v>
      </c>
      <c r="E10" s="25">
        <v>0.4</v>
      </c>
      <c r="F10" s="30">
        <f t="shared" ref="F10:F11" si="2">E10*D10</f>
        <v>358.40000000000003</v>
      </c>
      <c r="G10" s="30">
        <f>356+2.4</f>
        <v>358.4</v>
      </c>
      <c r="H10" s="30">
        <f t="shared" ref="H10:H11" si="3">F10-G10</f>
        <v>0</v>
      </c>
      <c r="I10" s="22">
        <v>7047221</v>
      </c>
      <c r="J10" s="26" t="s">
        <v>35</v>
      </c>
      <c r="K10" s="146">
        <v>45609</v>
      </c>
    </row>
    <row r="11" spans="1:11" hidden="1" x14ac:dyDescent="0.25">
      <c r="A11" s="22">
        <v>8</v>
      </c>
      <c r="B11" s="22">
        <v>3287</v>
      </c>
      <c r="C11" s="23" t="s">
        <v>297</v>
      </c>
      <c r="D11" s="24">
        <v>800.2</v>
      </c>
      <c r="E11" s="25">
        <v>0.4</v>
      </c>
      <c r="F11" s="30">
        <f t="shared" si="2"/>
        <v>320.08000000000004</v>
      </c>
      <c r="G11" s="30">
        <f>319.19+0.89</f>
        <v>320.08</v>
      </c>
      <c r="H11" s="30">
        <f t="shared" si="3"/>
        <v>0</v>
      </c>
      <c r="I11" s="22">
        <v>6504554</v>
      </c>
      <c r="J11" s="26" t="s">
        <v>299</v>
      </c>
      <c r="K11" s="146">
        <v>45629</v>
      </c>
    </row>
    <row r="12" spans="1:11" x14ac:dyDescent="0.25">
      <c r="A12" s="22">
        <v>9</v>
      </c>
      <c r="B12" s="22">
        <v>3329</v>
      </c>
      <c r="C12" s="23" t="s">
        <v>348</v>
      </c>
      <c r="D12" s="24">
        <v>460</v>
      </c>
      <c r="E12" s="25">
        <v>0.4</v>
      </c>
      <c r="F12" s="30">
        <f t="shared" ref="F12:F19" si="4">E12*D12</f>
        <v>184</v>
      </c>
      <c r="G12" s="30">
        <f>182.55+1.45</f>
        <v>184</v>
      </c>
      <c r="H12" s="30">
        <f t="shared" ref="H12:H19" si="5">F12-G12</f>
        <v>0</v>
      </c>
      <c r="I12" s="22">
        <v>9086292</v>
      </c>
      <c r="J12" s="26" t="s">
        <v>19</v>
      </c>
      <c r="K12" t="s">
        <v>844</v>
      </c>
    </row>
    <row r="13" spans="1:11" x14ac:dyDescent="0.25">
      <c r="A13" s="22">
        <v>10</v>
      </c>
      <c r="B13" s="22">
        <v>3334</v>
      </c>
      <c r="C13" s="23" t="s">
        <v>353</v>
      </c>
      <c r="D13" s="24">
        <v>687.5</v>
      </c>
      <c r="E13" s="25">
        <v>0.4</v>
      </c>
      <c r="F13" s="30">
        <f t="shared" si="4"/>
        <v>275</v>
      </c>
      <c r="G13" s="30">
        <f>273.5+1.5</f>
        <v>275</v>
      </c>
      <c r="H13" s="30">
        <f t="shared" si="5"/>
        <v>0</v>
      </c>
      <c r="I13" s="22">
        <v>1176211</v>
      </c>
      <c r="J13" s="26" t="s">
        <v>64</v>
      </c>
      <c r="K13" s="146">
        <v>45691</v>
      </c>
    </row>
    <row r="14" spans="1:11" x14ac:dyDescent="0.25">
      <c r="A14" s="22">
        <v>11</v>
      </c>
      <c r="B14" s="22">
        <v>3340</v>
      </c>
      <c r="C14" s="23" t="s">
        <v>363</v>
      </c>
      <c r="D14" s="24">
        <v>456.6</v>
      </c>
      <c r="E14" s="25">
        <v>0.4</v>
      </c>
      <c r="F14" s="149">
        <f t="shared" si="4"/>
        <v>182.64000000000001</v>
      </c>
      <c r="G14" s="149">
        <f>179.45+3.19</f>
        <v>182.64</v>
      </c>
      <c r="H14" s="149">
        <f t="shared" si="5"/>
        <v>0</v>
      </c>
      <c r="I14" s="22">
        <v>906355</v>
      </c>
      <c r="J14" s="26" t="s">
        <v>365</v>
      </c>
    </row>
    <row r="15" spans="1:11" x14ac:dyDescent="0.25">
      <c r="A15" s="22">
        <v>12</v>
      </c>
      <c r="B15" s="22">
        <v>3709</v>
      </c>
      <c r="C15" s="23" t="s">
        <v>384</v>
      </c>
      <c r="D15" s="24">
        <v>823.6</v>
      </c>
      <c r="E15" s="25">
        <v>0.4</v>
      </c>
      <c r="F15" s="149">
        <f t="shared" si="4"/>
        <v>329.44000000000005</v>
      </c>
      <c r="G15" s="149">
        <f>329.09+0.35</f>
        <v>329.44</v>
      </c>
      <c r="H15" s="149">
        <f t="shared" si="5"/>
        <v>0</v>
      </c>
      <c r="I15" s="80" t="s">
        <v>385</v>
      </c>
      <c r="J15" s="26" t="s">
        <v>125</v>
      </c>
    </row>
    <row r="16" spans="1:11" hidden="1" x14ac:dyDescent="0.25">
      <c r="A16" s="22">
        <v>13</v>
      </c>
      <c r="B16" s="22">
        <v>3717</v>
      </c>
      <c r="C16" s="23" t="s">
        <v>399</v>
      </c>
      <c r="D16" s="24">
        <v>917.2</v>
      </c>
      <c r="E16" s="25">
        <v>0.4</v>
      </c>
      <c r="F16" s="149">
        <f t="shared" si="4"/>
        <v>366.88000000000005</v>
      </c>
      <c r="G16" s="149">
        <f>363.37+3.51</f>
        <v>366.88</v>
      </c>
      <c r="H16" s="149">
        <f t="shared" si="5"/>
        <v>0</v>
      </c>
      <c r="I16" s="34" t="s">
        <v>400</v>
      </c>
      <c r="J16" s="26" t="s">
        <v>402</v>
      </c>
    </row>
    <row r="17" spans="1:11" x14ac:dyDescent="0.25">
      <c r="A17" s="22">
        <v>14</v>
      </c>
      <c r="B17" s="22">
        <v>3719</v>
      </c>
      <c r="C17" s="23" t="s">
        <v>406</v>
      </c>
      <c r="D17" s="24">
        <v>433</v>
      </c>
      <c r="E17" s="25">
        <v>0.4</v>
      </c>
      <c r="F17" s="149">
        <f t="shared" si="4"/>
        <v>173.20000000000002</v>
      </c>
      <c r="G17" s="149">
        <f>169.75+3.45</f>
        <v>173.2</v>
      </c>
      <c r="H17" s="149">
        <f t="shared" si="5"/>
        <v>0</v>
      </c>
      <c r="I17" s="80" t="s">
        <v>407</v>
      </c>
      <c r="J17" s="143">
        <v>45544</v>
      </c>
    </row>
    <row r="18" spans="1:11" x14ac:dyDescent="0.25">
      <c r="A18" s="22">
        <v>15</v>
      </c>
      <c r="B18" s="22">
        <v>3723</v>
      </c>
      <c r="C18" s="23" t="s">
        <v>415</v>
      </c>
      <c r="D18" s="24">
        <v>454.8</v>
      </c>
      <c r="E18" s="25">
        <v>0.4</v>
      </c>
      <c r="F18" s="149">
        <f t="shared" si="4"/>
        <v>181.92000000000002</v>
      </c>
      <c r="G18" s="149">
        <f>179.9+2.02</f>
        <v>181.92000000000002</v>
      </c>
      <c r="H18" s="149">
        <f t="shared" si="5"/>
        <v>0</v>
      </c>
      <c r="I18" s="22">
        <v>993752</v>
      </c>
      <c r="J18" s="26" t="s">
        <v>294</v>
      </c>
    </row>
    <row r="19" spans="1:11" hidden="1" x14ac:dyDescent="0.25">
      <c r="A19" s="22">
        <v>16</v>
      </c>
      <c r="B19" s="22">
        <v>3725</v>
      </c>
      <c r="C19" s="23" t="s">
        <v>297</v>
      </c>
      <c r="D19" s="24">
        <v>671.8</v>
      </c>
      <c r="E19" s="25">
        <v>0.4</v>
      </c>
      <c r="F19" s="30">
        <f t="shared" si="4"/>
        <v>268.71999999999997</v>
      </c>
      <c r="G19" s="30">
        <f>267.53+1.19</f>
        <v>268.71999999999997</v>
      </c>
      <c r="H19" s="30">
        <f t="shared" si="5"/>
        <v>0</v>
      </c>
      <c r="I19" s="141">
        <v>1648248</v>
      </c>
      <c r="J19" s="53" t="s">
        <v>332</v>
      </c>
      <c r="K19" s="146">
        <v>45602</v>
      </c>
    </row>
    <row r="20" spans="1:11" x14ac:dyDescent="0.25">
      <c r="A20" s="22">
        <v>17</v>
      </c>
      <c r="B20" s="22">
        <v>3764</v>
      </c>
      <c r="C20" s="23" t="s">
        <v>474</v>
      </c>
      <c r="D20" s="24">
        <v>1205.5</v>
      </c>
      <c r="E20" s="25">
        <v>0.4</v>
      </c>
      <c r="F20" s="149">
        <f t="shared" ref="F20:F24" si="6">E20*D20</f>
        <v>482.20000000000005</v>
      </c>
      <c r="G20" s="149">
        <f>480.15+2.05</f>
        <v>482.2</v>
      </c>
      <c r="H20" s="149">
        <f t="shared" ref="H20:H23" si="7">F20-G20</f>
        <v>0</v>
      </c>
      <c r="I20" s="34">
        <v>1996843</v>
      </c>
      <c r="J20" s="26" t="s">
        <v>332</v>
      </c>
      <c r="K20" t="s">
        <v>891</v>
      </c>
    </row>
    <row r="21" spans="1:11" hidden="1" x14ac:dyDescent="0.25">
      <c r="A21" s="22">
        <v>18</v>
      </c>
      <c r="B21" s="22">
        <v>3787</v>
      </c>
      <c r="C21" s="23" t="s">
        <v>513</v>
      </c>
      <c r="D21" s="24">
        <v>899.9</v>
      </c>
      <c r="E21" s="25">
        <v>0.4</v>
      </c>
      <c r="F21" s="149">
        <f t="shared" si="6"/>
        <v>359.96000000000004</v>
      </c>
      <c r="G21" s="149">
        <f>357.32+2.64</f>
        <v>359.96</v>
      </c>
      <c r="H21" s="149">
        <f t="shared" si="7"/>
        <v>0</v>
      </c>
      <c r="I21" s="34">
        <v>813786</v>
      </c>
      <c r="J21" s="26" t="s">
        <v>402</v>
      </c>
      <c r="K21" s="146">
        <v>45652</v>
      </c>
    </row>
    <row r="22" spans="1:11" hidden="1" x14ac:dyDescent="0.25">
      <c r="A22" s="22">
        <v>19</v>
      </c>
      <c r="B22" s="22">
        <v>3799</v>
      </c>
      <c r="C22" s="23" t="s">
        <v>531</v>
      </c>
      <c r="D22" s="24">
        <v>1111.7</v>
      </c>
      <c r="E22" s="25">
        <v>0.4</v>
      </c>
      <c r="F22" s="30">
        <f t="shared" si="6"/>
        <v>444.68000000000006</v>
      </c>
      <c r="G22" s="30">
        <f>444.55+0.13</f>
        <v>444.68</v>
      </c>
      <c r="H22" s="30">
        <f t="shared" si="7"/>
        <v>0</v>
      </c>
      <c r="I22" s="34">
        <v>12494672</v>
      </c>
      <c r="J22" s="26" t="s">
        <v>533</v>
      </c>
      <c r="K22" s="146">
        <v>45607</v>
      </c>
    </row>
    <row r="23" spans="1:11" hidden="1" x14ac:dyDescent="0.25">
      <c r="A23" s="22">
        <v>20</v>
      </c>
      <c r="B23" s="22">
        <v>3823</v>
      </c>
      <c r="C23" s="23" t="s">
        <v>579</v>
      </c>
      <c r="D23" s="24">
        <v>457</v>
      </c>
      <c r="E23" s="25">
        <v>0.4</v>
      </c>
      <c r="F23" s="30">
        <f t="shared" si="6"/>
        <v>182.8</v>
      </c>
      <c r="G23" s="30">
        <f>179.45+3.35</f>
        <v>182.79999999999998</v>
      </c>
      <c r="H23" s="30">
        <f t="shared" si="7"/>
        <v>0</v>
      </c>
      <c r="I23" s="34">
        <v>865789</v>
      </c>
      <c r="J23" s="26" t="s">
        <v>64</v>
      </c>
      <c r="K23" s="146">
        <v>45602</v>
      </c>
    </row>
    <row r="24" spans="1:11" x14ac:dyDescent="0.25">
      <c r="A24" s="22">
        <v>21</v>
      </c>
      <c r="B24" s="22">
        <v>3829</v>
      </c>
      <c r="C24" s="23" t="s">
        <v>587</v>
      </c>
      <c r="D24" s="24">
        <v>422.7</v>
      </c>
      <c r="E24" s="25">
        <v>0.4</v>
      </c>
      <c r="F24" s="30">
        <f t="shared" si="6"/>
        <v>169.08</v>
      </c>
      <c r="G24" s="30">
        <f>164.9+4.18</f>
        <v>169.08</v>
      </c>
      <c r="H24" s="30">
        <f t="shared" ref="H24:H31" si="8">F24-G24</f>
        <v>0</v>
      </c>
      <c r="I24" s="34">
        <v>897384</v>
      </c>
      <c r="J24" s="26" t="s">
        <v>382</v>
      </c>
      <c r="K24" s="146">
        <v>45670</v>
      </c>
    </row>
    <row r="25" spans="1:11" hidden="1" x14ac:dyDescent="0.25">
      <c r="A25" s="22">
        <v>22</v>
      </c>
      <c r="B25" s="22">
        <v>3834</v>
      </c>
      <c r="C25" s="23" t="s">
        <v>595</v>
      </c>
      <c r="D25" s="24">
        <v>920</v>
      </c>
      <c r="E25" s="25">
        <v>0.4</v>
      </c>
      <c r="F25" s="57">
        <f t="shared" ref="F25:F31" si="9">E25*D25</f>
        <v>368</v>
      </c>
      <c r="G25" s="57">
        <f>364.35+3.65</f>
        <v>368</v>
      </c>
      <c r="H25" s="57">
        <f t="shared" si="8"/>
        <v>0</v>
      </c>
      <c r="I25" s="34">
        <v>5544756</v>
      </c>
      <c r="J25" s="26" t="s">
        <v>597</v>
      </c>
      <c r="K25" s="146">
        <v>45607</v>
      </c>
    </row>
    <row r="26" spans="1:11" hidden="1" x14ac:dyDescent="0.25">
      <c r="A26" s="22">
        <v>23</v>
      </c>
      <c r="B26" s="22">
        <v>3836</v>
      </c>
      <c r="C26" s="23" t="s">
        <v>600</v>
      </c>
      <c r="D26" s="24">
        <v>867</v>
      </c>
      <c r="E26" s="25">
        <v>0.4</v>
      </c>
      <c r="F26" s="30">
        <f t="shared" si="9"/>
        <v>346.8</v>
      </c>
      <c r="G26" s="30">
        <f>345.92+0.88</f>
        <v>346.8</v>
      </c>
      <c r="H26" s="30">
        <f t="shared" si="8"/>
        <v>0</v>
      </c>
      <c r="I26" s="34">
        <v>20264434</v>
      </c>
      <c r="J26" s="26" t="s">
        <v>19</v>
      </c>
      <c r="K26" s="146">
        <v>45602</v>
      </c>
    </row>
    <row r="27" spans="1:11" hidden="1" x14ac:dyDescent="0.25">
      <c r="A27" s="22">
        <v>24</v>
      </c>
      <c r="B27" s="22">
        <v>3850</v>
      </c>
      <c r="C27" s="23" t="s">
        <v>626</v>
      </c>
      <c r="D27" s="24">
        <v>1114.7</v>
      </c>
      <c r="E27" s="25">
        <v>0.4</v>
      </c>
      <c r="F27" s="30">
        <f t="shared" si="9"/>
        <v>445.88000000000005</v>
      </c>
      <c r="G27" s="30">
        <f>444.22+1.66</f>
        <v>445.88000000000005</v>
      </c>
      <c r="H27" s="30">
        <f t="shared" si="8"/>
        <v>0</v>
      </c>
      <c r="I27" s="34">
        <v>5742985</v>
      </c>
      <c r="J27" s="26" t="s">
        <v>628</v>
      </c>
      <c r="K27" s="146">
        <v>45650</v>
      </c>
    </row>
    <row r="28" spans="1:11" hidden="1" x14ac:dyDescent="0.25">
      <c r="A28" s="22">
        <v>25</v>
      </c>
      <c r="B28" s="22">
        <v>3862</v>
      </c>
      <c r="C28" s="23" t="s">
        <v>648</v>
      </c>
      <c r="D28" s="24">
        <v>876.5</v>
      </c>
      <c r="E28" s="25">
        <v>0.4</v>
      </c>
      <c r="F28" s="149">
        <f t="shared" si="9"/>
        <v>350.6</v>
      </c>
      <c r="G28" s="57">
        <f>349.2+1.4</f>
        <v>350.59999999999997</v>
      </c>
      <c r="H28" s="57">
        <f t="shared" si="8"/>
        <v>0</v>
      </c>
      <c r="I28" s="84">
        <v>5892019</v>
      </c>
      <c r="J28" s="26" t="s">
        <v>104</v>
      </c>
    </row>
    <row r="29" spans="1:11" hidden="1" x14ac:dyDescent="0.25">
      <c r="A29" s="22">
        <v>26</v>
      </c>
      <c r="B29" s="22">
        <v>3876</v>
      </c>
      <c r="C29" s="23" t="s">
        <v>674</v>
      </c>
      <c r="D29" s="24">
        <v>682.1</v>
      </c>
      <c r="E29" s="25">
        <v>0.4</v>
      </c>
      <c r="F29" s="30">
        <f t="shared" si="9"/>
        <v>272.84000000000003</v>
      </c>
      <c r="G29" s="30">
        <f>270.24+2.6</f>
        <v>272.84000000000003</v>
      </c>
      <c r="H29" s="30">
        <f t="shared" si="8"/>
        <v>0</v>
      </c>
      <c r="I29" s="34">
        <v>4767948</v>
      </c>
      <c r="J29" s="26" t="s">
        <v>299</v>
      </c>
      <c r="K29" s="146">
        <v>45635</v>
      </c>
    </row>
    <row r="30" spans="1:11" x14ac:dyDescent="0.25">
      <c r="A30" s="22">
        <v>27</v>
      </c>
      <c r="B30" s="22">
        <v>3878</v>
      </c>
      <c r="C30" s="23" t="s">
        <v>676</v>
      </c>
      <c r="D30" s="24">
        <v>460</v>
      </c>
      <c r="E30" s="25">
        <v>0.4</v>
      </c>
      <c r="F30" s="149">
        <f t="shared" si="9"/>
        <v>184</v>
      </c>
      <c r="G30" s="149">
        <f>181.69+2.31</f>
        <v>184</v>
      </c>
      <c r="H30" s="149">
        <f t="shared" si="8"/>
        <v>0</v>
      </c>
      <c r="I30" s="34">
        <v>22687078</v>
      </c>
      <c r="J30" s="26" t="s">
        <v>35</v>
      </c>
    </row>
    <row r="31" spans="1:11" hidden="1" x14ac:dyDescent="0.25">
      <c r="A31" s="22">
        <v>28</v>
      </c>
      <c r="B31" s="22">
        <v>3884</v>
      </c>
      <c r="C31" s="23" t="s">
        <v>688</v>
      </c>
      <c r="D31" s="24">
        <v>409.4</v>
      </c>
      <c r="E31" s="25">
        <v>0.4</v>
      </c>
      <c r="F31" s="30">
        <f t="shared" si="9"/>
        <v>163.76</v>
      </c>
      <c r="G31" s="30">
        <f>161.31+2.45</f>
        <v>163.76</v>
      </c>
      <c r="H31" s="30">
        <f t="shared" si="8"/>
        <v>0</v>
      </c>
      <c r="I31" s="32">
        <v>22716378</v>
      </c>
      <c r="J31" s="26" t="s">
        <v>552</v>
      </c>
      <c r="K31" s="146">
        <v>45630</v>
      </c>
    </row>
    <row r="32" spans="1:11" x14ac:dyDescent="0.25">
      <c r="A32" s="37"/>
      <c r="B32" s="38"/>
      <c r="C32" s="39" t="s">
        <v>45</v>
      </c>
      <c r="D32" s="40">
        <f>SUM(D4:D31)</f>
        <v>20900.100000000002</v>
      </c>
      <c r="E32" s="41"/>
      <c r="F32" s="42">
        <f>SUM(F4:F31)</f>
        <v>8360.0400000000027</v>
      </c>
      <c r="G32" s="42">
        <f>SUM(G4:G31)</f>
        <v>8360.0400000000027</v>
      </c>
      <c r="H32" s="42">
        <f>SUM(H4:H31)</f>
        <v>0</v>
      </c>
      <c r="I32" s="37"/>
      <c r="J32" s="44"/>
    </row>
    <row r="34" spans="6:7" x14ac:dyDescent="0.25">
      <c r="G34" s="113">
        <f>SUBTOTAL(9,G9:G32)</f>
        <v>10521.520000000002</v>
      </c>
    </row>
    <row r="35" spans="6:7" x14ac:dyDescent="0.25">
      <c r="F35" s="109">
        <f>G32/F32%</f>
        <v>100</v>
      </c>
    </row>
  </sheetData>
  <autoFilter ref="A3:J32" xr:uid="{00000000-0001-0000-0000-000000000000}">
    <filterColumn colId="7">
      <filters>
        <filter val="0.350"/>
        <filter val="1.450"/>
        <filter val="1.500"/>
        <filter val="2.020"/>
        <filter val="2.050"/>
        <filter val="2.310"/>
        <filter val="23.72"/>
        <filter val="3.190"/>
        <filter val="3.220"/>
        <filter val="3.450"/>
        <filter val="4.180"/>
      </filters>
    </filterColumn>
  </autoFilter>
  <pageMargins left="0.7" right="0.7" top="0.75" bottom="0.75" header="0.3" footer="0.3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905C-B926-4D43-8D71-CFEAC2806C4D}">
  <sheetPr codeName="Sheet3"/>
  <dimension ref="A6:AJ8"/>
  <sheetViews>
    <sheetView workbookViewId="0">
      <selection activeCell="B1" sqref="B1"/>
    </sheetView>
  </sheetViews>
  <sheetFormatPr defaultRowHeight="15" x14ac:dyDescent="0.25"/>
  <cols>
    <col min="3" max="3" width="21.42578125" customWidth="1"/>
    <col min="8" max="8" width="7.5703125" bestFit="1" customWidth="1"/>
  </cols>
  <sheetData>
    <row r="6" spans="1:36" x14ac:dyDescent="0.25">
      <c r="A6" t="s">
        <v>700</v>
      </c>
      <c r="B6" s="22">
        <v>3243</v>
      </c>
      <c r="C6" s="33" t="s">
        <v>229</v>
      </c>
      <c r="D6" s="112">
        <v>453.8</v>
      </c>
      <c r="E6" s="25">
        <v>0.4</v>
      </c>
      <c r="F6" s="25">
        <f>E6*D6</f>
        <v>181.52</v>
      </c>
      <c r="G6" s="25"/>
      <c r="H6" s="25">
        <f>F6-G6</f>
        <v>181.52</v>
      </c>
      <c r="AD6" s="27">
        <v>3708</v>
      </c>
      <c r="AE6" s="28" t="s">
        <v>381</v>
      </c>
      <c r="AF6" s="29">
        <v>925.2</v>
      </c>
      <c r="AG6" s="30">
        <v>0.4</v>
      </c>
      <c r="AH6" s="30">
        <f>AG6*AF6</f>
        <v>370.08000000000004</v>
      </c>
      <c r="AI6" s="30">
        <v>194</v>
      </c>
      <c r="AJ6" s="30">
        <f>AH6-AI6</f>
        <v>176.08000000000004</v>
      </c>
    </row>
    <row r="7" spans="1:36" x14ac:dyDescent="0.25">
      <c r="A7" t="s">
        <v>701</v>
      </c>
      <c r="B7" s="22">
        <v>3243</v>
      </c>
      <c r="C7" s="33" t="s">
        <v>229</v>
      </c>
      <c r="D7" s="112">
        <v>327.10000000000002</v>
      </c>
      <c r="E7" s="25">
        <v>0.4</v>
      </c>
      <c r="F7" s="25">
        <f>E7*D7</f>
        <v>130.84</v>
      </c>
      <c r="G7" s="25"/>
      <c r="H7" s="25">
        <f>F7-G7</f>
        <v>130.84</v>
      </c>
    </row>
    <row r="8" spans="1:36" x14ac:dyDescent="0.25">
      <c r="H8" s="81">
        <f>SUM(H6:H7)</f>
        <v>312.36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DD4-33AA-4FE7-84FB-3030380CDA18}">
  <sheetPr codeName="Sheet4" filterMode="1"/>
  <dimension ref="A1:L61"/>
  <sheetViews>
    <sheetView view="pageBreakPreview" zoomScaleNormal="100" zoomScaleSheetLayoutView="100" workbookViewId="0">
      <pane xSplit="2" topLeftCell="C1" activePane="topRight" state="frozen"/>
      <selection activeCell="N149" sqref="N149"/>
      <selection pane="topRight" activeCell="C69" sqref="C69"/>
    </sheetView>
  </sheetViews>
  <sheetFormatPr defaultRowHeight="15" x14ac:dyDescent="0.25"/>
  <cols>
    <col min="1" max="1" width="9.28515625" bestFit="1" customWidth="1"/>
    <col min="2" max="2" width="9.28515625" customWidth="1"/>
    <col min="3" max="3" width="36.5703125" customWidth="1"/>
    <col min="4" max="4" width="12.28515625" customWidth="1"/>
    <col min="5" max="5" width="9.28515625" bestFit="1" customWidth="1"/>
    <col min="6" max="8" width="13.5703125" customWidth="1"/>
    <col min="9" max="9" width="13" bestFit="1" customWidth="1"/>
    <col min="10" max="10" width="19.7109375" customWidth="1"/>
    <col min="11" max="11" width="15.28515625" customWidth="1"/>
  </cols>
  <sheetData>
    <row r="1" spans="1:11" x14ac:dyDescent="0.25">
      <c r="A1" s="142" t="s">
        <v>702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1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</row>
    <row r="3" spans="1:11" ht="27" x14ac:dyDescent="0.25">
      <c r="A3" s="13" t="s">
        <v>1</v>
      </c>
      <c r="B3" s="14" t="s">
        <v>2</v>
      </c>
      <c r="C3" s="15" t="s">
        <v>3</v>
      </c>
      <c r="D3" s="16" t="s">
        <v>4</v>
      </c>
      <c r="E3" s="14" t="s">
        <v>5</v>
      </c>
      <c r="F3" s="14" t="s">
        <v>6</v>
      </c>
      <c r="G3" s="14" t="s">
        <v>703</v>
      </c>
      <c r="H3" s="14" t="s">
        <v>704</v>
      </c>
      <c r="I3" s="17" t="s">
        <v>9</v>
      </c>
      <c r="J3" s="21" t="s">
        <v>14</v>
      </c>
    </row>
    <row r="4" spans="1:11" s="79" customFormat="1" x14ac:dyDescent="0.25">
      <c r="A4" s="22">
        <v>1</v>
      </c>
      <c r="B4" s="22">
        <v>1443</v>
      </c>
      <c r="C4" s="23" t="s">
        <v>65</v>
      </c>
      <c r="D4" s="24">
        <v>1271.7</v>
      </c>
      <c r="E4" s="25">
        <v>0.4</v>
      </c>
      <c r="F4" s="149">
        <f t="shared" ref="F4:F15" si="0">E4*D4</f>
        <v>508.68000000000006</v>
      </c>
      <c r="G4" s="149">
        <f>F4</f>
        <v>508.68000000000006</v>
      </c>
      <c r="H4" s="149">
        <f t="shared" ref="H4:H15" si="1">F4-G4</f>
        <v>0</v>
      </c>
      <c r="I4" s="46">
        <v>6026992</v>
      </c>
      <c r="J4" s="143">
        <v>45567</v>
      </c>
    </row>
    <row r="5" spans="1:11" s="79" customFormat="1" hidden="1" x14ac:dyDescent="0.25">
      <c r="A5" s="22">
        <v>2</v>
      </c>
      <c r="B5" s="22">
        <v>1452</v>
      </c>
      <c r="C5" s="23" t="s">
        <v>67</v>
      </c>
      <c r="D5" s="24">
        <v>412.9</v>
      </c>
      <c r="E5" s="25">
        <v>0.4</v>
      </c>
      <c r="F5" s="30">
        <f t="shared" si="0"/>
        <v>165.16</v>
      </c>
      <c r="G5" s="30">
        <f>162.1+3.06</f>
        <v>165.16</v>
      </c>
      <c r="H5" s="30">
        <f t="shared" si="1"/>
        <v>0</v>
      </c>
      <c r="I5" s="140">
        <v>20917176</v>
      </c>
      <c r="J5" s="147">
        <v>45538</v>
      </c>
      <c r="K5" s="152">
        <v>45602</v>
      </c>
    </row>
    <row r="6" spans="1:11" s="79" customFormat="1" x14ac:dyDescent="0.25">
      <c r="A6" s="22">
        <v>3</v>
      </c>
      <c r="B6" s="22">
        <v>1461</v>
      </c>
      <c r="C6" s="23" t="s">
        <v>71</v>
      </c>
      <c r="D6" s="24">
        <v>326.7</v>
      </c>
      <c r="E6" s="25">
        <v>0.4</v>
      </c>
      <c r="F6" s="149">
        <f t="shared" si="0"/>
        <v>130.68</v>
      </c>
      <c r="G6" s="149">
        <f>F6</f>
        <v>130.68</v>
      </c>
      <c r="H6" s="149">
        <f t="shared" si="1"/>
        <v>0</v>
      </c>
      <c r="I6" s="46">
        <v>6828806</v>
      </c>
      <c r="J6" s="143">
        <v>45580</v>
      </c>
    </row>
    <row r="7" spans="1:11" s="79" customFormat="1" hidden="1" x14ac:dyDescent="0.25">
      <c r="A7" s="22">
        <v>4</v>
      </c>
      <c r="B7" s="22">
        <v>3022</v>
      </c>
      <c r="C7" s="23" t="s">
        <v>100</v>
      </c>
      <c r="D7" s="24">
        <v>1080.0999999999999</v>
      </c>
      <c r="E7" s="25">
        <v>0.4</v>
      </c>
      <c r="F7" s="30">
        <f t="shared" si="0"/>
        <v>432.03999999999996</v>
      </c>
      <c r="G7" s="30">
        <f>430.39+1.65</f>
        <v>432.03999999999996</v>
      </c>
      <c r="H7" s="30">
        <f t="shared" si="1"/>
        <v>0</v>
      </c>
      <c r="I7" s="22">
        <v>5360253</v>
      </c>
      <c r="J7" s="26" t="s">
        <v>706</v>
      </c>
      <c r="K7" s="152">
        <v>45609</v>
      </c>
    </row>
    <row r="8" spans="1:11" s="79" customFormat="1" x14ac:dyDescent="0.25">
      <c r="A8" s="22">
        <v>5</v>
      </c>
      <c r="B8" s="22">
        <v>3025</v>
      </c>
      <c r="C8" s="23" t="s">
        <v>102</v>
      </c>
      <c r="D8" s="24">
        <v>588.6</v>
      </c>
      <c r="E8" s="25">
        <v>0.4</v>
      </c>
      <c r="F8" s="149">
        <f t="shared" si="0"/>
        <v>235.44000000000003</v>
      </c>
      <c r="G8" s="149">
        <f>F8</f>
        <v>235.44000000000003</v>
      </c>
      <c r="H8" s="149">
        <f t="shared" si="1"/>
        <v>0</v>
      </c>
      <c r="I8" s="22">
        <v>7542172</v>
      </c>
      <c r="J8" s="26" t="s">
        <v>231</v>
      </c>
    </row>
    <row r="9" spans="1:11" s="79" customFormat="1" hidden="1" x14ac:dyDescent="0.25">
      <c r="A9" s="22">
        <v>6</v>
      </c>
      <c r="B9" s="22">
        <v>3030</v>
      </c>
      <c r="C9" s="23" t="s">
        <v>109</v>
      </c>
      <c r="D9" s="24">
        <v>330</v>
      </c>
      <c r="E9" s="25">
        <v>0.4</v>
      </c>
      <c r="F9" s="30">
        <f t="shared" si="0"/>
        <v>132</v>
      </c>
      <c r="G9" s="30">
        <f>130.65+1.35</f>
        <v>132</v>
      </c>
      <c r="H9" s="30">
        <f t="shared" si="1"/>
        <v>0</v>
      </c>
      <c r="I9" s="22">
        <v>6021175</v>
      </c>
      <c r="J9" s="143">
        <v>45580</v>
      </c>
      <c r="K9" s="152">
        <v>45650</v>
      </c>
    </row>
    <row r="10" spans="1:11" s="79" customFormat="1" hidden="1" x14ac:dyDescent="0.25">
      <c r="A10" s="22">
        <v>7</v>
      </c>
      <c r="B10" s="22">
        <v>3043</v>
      </c>
      <c r="C10" s="23" t="s">
        <v>113</v>
      </c>
      <c r="D10" s="24">
        <v>285.60000000000002</v>
      </c>
      <c r="E10" s="25">
        <v>0.4</v>
      </c>
      <c r="F10" s="30">
        <f t="shared" si="0"/>
        <v>114.24000000000001</v>
      </c>
      <c r="G10" s="30">
        <f>113.9+0.34</f>
        <v>114.24000000000001</v>
      </c>
      <c r="H10" s="30">
        <f t="shared" si="1"/>
        <v>0</v>
      </c>
      <c r="I10" s="22">
        <v>396336</v>
      </c>
      <c r="J10" s="26" t="s">
        <v>226</v>
      </c>
      <c r="K10" s="152">
        <v>45642</v>
      </c>
    </row>
    <row r="11" spans="1:11" s="79" customFormat="1" x14ac:dyDescent="0.25">
      <c r="A11" s="22">
        <v>8</v>
      </c>
      <c r="B11" s="22">
        <v>3072</v>
      </c>
      <c r="C11" s="23" t="s">
        <v>119</v>
      </c>
      <c r="D11" s="24">
        <v>293</v>
      </c>
      <c r="E11" s="25">
        <v>0.4</v>
      </c>
      <c r="F11" s="30">
        <f t="shared" si="0"/>
        <v>117.2</v>
      </c>
      <c r="G11" s="149">
        <f>F11</f>
        <v>117.2</v>
      </c>
      <c r="H11" s="30">
        <f t="shared" si="1"/>
        <v>0</v>
      </c>
      <c r="I11" s="22">
        <v>993077</v>
      </c>
      <c r="J11" s="26" t="s">
        <v>707</v>
      </c>
      <c r="K11" s="152">
        <v>45665</v>
      </c>
    </row>
    <row r="12" spans="1:11" s="79" customFormat="1" hidden="1" x14ac:dyDescent="0.25">
      <c r="A12" s="22">
        <v>9</v>
      </c>
      <c r="B12" s="22">
        <v>3199</v>
      </c>
      <c r="C12" s="23" t="s">
        <v>149</v>
      </c>
      <c r="D12" s="24">
        <v>308.60000000000002</v>
      </c>
      <c r="E12" s="25">
        <v>0.4</v>
      </c>
      <c r="F12" s="30">
        <f t="shared" si="0"/>
        <v>123.44000000000001</v>
      </c>
      <c r="G12" s="30">
        <f>122.96+0.48</f>
        <v>123.44</v>
      </c>
      <c r="H12" s="30">
        <f t="shared" si="1"/>
        <v>0</v>
      </c>
      <c r="I12" s="22">
        <v>5168327</v>
      </c>
      <c r="J12" s="143">
        <v>45547</v>
      </c>
      <c r="K12" s="152">
        <v>45630</v>
      </c>
    </row>
    <row r="13" spans="1:11" s="79" customFormat="1" hidden="1" x14ac:dyDescent="0.25">
      <c r="A13" s="22">
        <v>10</v>
      </c>
      <c r="B13" s="22">
        <v>3200</v>
      </c>
      <c r="C13" s="23" t="s">
        <v>151</v>
      </c>
      <c r="D13" s="24">
        <v>291.3</v>
      </c>
      <c r="E13" s="25">
        <v>0.4</v>
      </c>
      <c r="F13" s="30">
        <f t="shared" si="0"/>
        <v>116.52000000000001</v>
      </c>
      <c r="G13" s="30">
        <f>113.65+2.87</f>
        <v>116.52000000000001</v>
      </c>
      <c r="H13" s="30">
        <f t="shared" si="1"/>
        <v>0</v>
      </c>
      <c r="I13" s="34">
        <v>21947578</v>
      </c>
      <c r="J13" s="26" t="s">
        <v>705</v>
      </c>
      <c r="K13" s="152">
        <v>45628</v>
      </c>
    </row>
    <row r="14" spans="1:11" s="79" customFormat="1" hidden="1" x14ac:dyDescent="0.25">
      <c r="A14" s="22">
        <v>11</v>
      </c>
      <c r="B14" s="22">
        <v>3209</v>
      </c>
      <c r="C14" s="23" t="s">
        <v>169</v>
      </c>
      <c r="D14" s="24">
        <v>328.5</v>
      </c>
      <c r="E14" s="25">
        <v>0.4</v>
      </c>
      <c r="F14" s="30">
        <f t="shared" si="0"/>
        <v>131.4</v>
      </c>
      <c r="G14" s="30">
        <f>130.08+1.32</f>
        <v>131.4</v>
      </c>
      <c r="H14" s="30">
        <f t="shared" si="1"/>
        <v>0</v>
      </c>
      <c r="I14" s="22">
        <v>5634328</v>
      </c>
      <c r="J14" s="26" t="s">
        <v>231</v>
      </c>
      <c r="K14" s="152">
        <v>45607</v>
      </c>
    </row>
    <row r="15" spans="1:11" s="79" customFormat="1" hidden="1" x14ac:dyDescent="0.25">
      <c r="A15" s="22">
        <v>12</v>
      </c>
      <c r="B15" s="22">
        <v>3215</v>
      </c>
      <c r="C15" s="23" t="s">
        <v>181</v>
      </c>
      <c r="D15" s="24">
        <v>726.2</v>
      </c>
      <c r="E15" s="25">
        <v>0.4</v>
      </c>
      <c r="F15" s="30">
        <f t="shared" si="0"/>
        <v>290.48</v>
      </c>
      <c r="G15" s="30">
        <f>286.15+4.33</f>
        <v>290.47999999999996</v>
      </c>
      <c r="H15" s="30">
        <f t="shared" si="1"/>
        <v>0</v>
      </c>
      <c r="I15" s="34">
        <v>11684091</v>
      </c>
      <c r="J15" s="62">
        <v>45580</v>
      </c>
      <c r="K15" s="152">
        <v>45607</v>
      </c>
    </row>
    <row r="16" spans="1:11" s="79" customFormat="1" hidden="1" x14ac:dyDescent="0.25">
      <c r="A16" s="22">
        <v>13</v>
      </c>
      <c r="B16" s="22">
        <v>3221</v>
      </c>
      <c r="C16" s="23" t="s">
        <v>189</v>
      </c>
      <c r="D16" s="24">
        <v>294.10000000000002</v>
      </c>
      <c r="E16" s="25">
        <v>0.4</v>
      </c>
      <c r="F16" s="30">
        <f t="shared" ref="F16:F34" si="2">E16*D16</f>
        <v>117.64000000000001</v>
      </c>
      <c r="G16" s="30">
        <f>117.18+0.46</f>
        <v>117.64</v>
      </c>
      <c r="H16" s="30">
        <f t="shared" ref="H16:H31" si="3">F16-G16</f>
        <v>0</v>
      </c>
      <c r="I16" s="27">
        <v>13362673</v>
      </c>
      <c r="J16" s="26" t="s">
        <v>708</v>
      </c>
      <c r="K16" s="152">
        <v>45630</v>
      </c>
    </row>
    <row r="17" spans="1:11" s="79" customFormat="1" hidden="1" x14ac:dyDescent="0.25">
      <c r="A17" s="22">
        <v>14</v>
      </c>
      <c r="B17" s="22">
        <v>3222</v>
      </c>
      <c r="C17" s="23" t="s">
        <v>191</v>
      </c>
      <c r="D17" s="24">
        <v>555.29999999999995</v>
      </c>
      <c r="E17" s="25">
        <v>0.4</v>
      </c>
      <c r="F17" s="30">
        <f t="shared" si="2"/>
        <v>222.12</v>
      </c>
      <c r="G17" s="30">
        <f>218.1+4.02</f>
        <v>222.12</v>
      </c>
      <c r="H17" s="30">
        <f t="shared" si="3"/>
        <v>0</v>
      </c>
      <c r="I17" s="22">
        <v>18091329</v>
      </c>
      <c r="J17" s="143">
        <v>45544</v>
      </c>
      <c r="K17" s="152">
        <v>45602</v>
      </c>
    </row>
    <row r="18" spans="1:11" s="79" customFormat="1" hidden="1" x14ac:dyDescent="0.25">
      <c r="A18" s="22">
        <v>15</v>
      </c>
      <c r="B18" s="22">
        <v>3231</v>
      </c>
      <c r="C18" s="23" t="s">
        <v>206</v>
      </c>
      <c r="D18" s="24">
        <v>610.29999999999995</v>
      </c>
      <c r="E18" s="25">
        <v>0.4</v>
      </c>
      <c r="F18" s="30">
        <f t="shared" si="2"/>
        <v>244.12</v>
      </c>
      <c r="G18" s="30">
        <f>56+72.75+111.55+3.82</f>
        <v>244.12</v>
      </c>
      <c r="H18" s="30">
        <f t="shared" si="3"/>
        <v>0</v>
      </c>
      <c r="I18" s="22">
        <v>6203903</v>
      </c>
      <c r="J18" s="26" t="s">
        <v>709</v>
      </c>
    </row>
    <row r="19" spans="1:11" s="79" customFormat="1" hidden="1" x14ac:dyDescent="0.25">
      <c r="A19" s="22">
        <v>16</v>
      </c>
      <c r="B19" s="22">
        <v>3239</v>
      </c>
      <c r="C19" s="23" t="s">
        <v>222</v>
      </c>
      <c r="D19" s="24">
        <v>584</v>
      </c>
      <c r="E19" s="25">
        <v>0.4</v>
      </c>
      <c r="F19" s="30">
        <f t="shared" si="2"/>
        <v>233.60000000000002</v>
      </c>
      <c r="G19" s="30">
        <f>229.88+3.72</f>
        <v>233.6</v>
      </c>
      <c r="H19" s="30">
        <f t="shared" si="3"/>
        <v>0</v>
      </c>
      <c r="I19" s="22">
        <v>14379226</v>
      </c>
      <c r="J19" s="26" t="s">
        <v>706</v>
      </c>
      <c r="K19" s="152">
        <v>45609</v>
      </c>
    </row>
    <row r="20" spans="1:11" s="79" customFormat="1" hidden="1" x14ac:dyDescent="0.25">
      <c r="A20" s="22">
        <v>17</v>
      </c>
      <c r="B20" s="22">
        <v>3240</v>
      </c>
      <c r="C20" s="23" t="s">
        <v>224</v>
      </c>
      <c r="D20" s="24">
        <v>601.9</v>
      </c>
      <c r="E20" s="25">
        <v>0.4</v>
      </c>
      <c r="F20" s="30">
        <f t="shared" si="2"/>
        <v>240.76</v>
      </c>
      <c r="G20" s="30">
        <f>239.49+1.27</f>
        <v>240.76000000000002</v>
      </c>
      <c r="H20" s="30">
        <f t="shared" si="3"/>
        <v>0</v>
      </c>
      <c r="I20" s="22">
        <v>5622856</v>
      </c>
      <c r="J20" s="26" t="s">
        <v>226</v>
      </c>
      <c r="K20" s="152">
        <v>45642</v>
      </c>
    </row>
    <row r="21" spans="1:11" s="79" customFormat="1" hidden="1" x14ac:dyDescent="0.25">
      <c r="A21" s="22">
        <v>18</v>
      </c>
      <c r="B21" s="22">
        <v>3243</v>
      </c>
      <c r="C21" s="23" t="s">
        <v>229</v>
      </c>
      <c r="D21" s="24">
        <v>327.10000000000002</v>
      </c>
      <c r="E21" s="25">
        <v>0.4</v>
      </c>
      <c r="F21" s="30">
        <f t="shared" si="2"/>
        <v>130.84</v>
      </c>
      <c r="G21" s="30">
        <f>128.88+1.96</f>
        <v>130.84</v>
      </c>
      <c r="H21" s="30">
        <f t="shared" si="3"/>
        <v>0</v>
      </c>
      <c r="I21" s="27">
        <v>25887256</v>
      </c>
      <c r="J21" s="26" t="s">
        <v>231</v>
      </c>
      <c r="K21" s="152">
        <v>45615</v>
      </c>
    </row>
    <row r="22" spans="1:11" s="79" customFormat="1" x14ac:dyDescent="0.25">
      <c r="A22" s="22">
        <v>19</v>
      </c>
      <c r="B22" s="22">
        <v>3244</v>
      </c>
      <c r="C22" s="23" t="s">
        <v>232</v>
      </c>
      <c r="D22" s="24">
        <v>253.4</v>
      </c>
      <c r="E22" s="25">
        <v>0.4</v>
      </c>
      <c r="F22" s="149">
        <f t="shared" si="2"/>
        <v>101.36000000000001</v>
      </c>
      <c r="G22" s="149">
        <f>F22</f>
        <v>101.36000000000001</v>
      </c>
      <c r="H22" s="149">
        <f t="shared" si="3"/>
        <v>0</v>
      </c>
      <c r="I22" s="22">
        <v>19340943</v>
      </c>
      <c r="J22" s="26" t="s">
        <v>226</v>
      </c>
    </row>
    <row r="23" spans="1:11" s="79" customFormat="1" hidden="1" x14ac:dyDescent="0.25">
      <c r="A23" s="22">
        <v>20</v>
      </c>
      <c r="B23" s="22">
        <v>3252</v>
      </c>
      <c r="C23" s="23" t="s">
        <v>247</v>
      </c>
      <c r="D23" s="24">
        <v>233.8</v>
      </c>
      <c r="E23" s="25">
        <v>0.4</v>
      </c>
      <c r="F23" s="30">
        <f t="shared" si="2"/>
        <v>93.52000000000001</v>
      </c>
      <c r="G23" s="30">
        <f>92.96+0.56</f>
        <v>93.52</v>
      </c>
      <c r="H23" s="30">
        <f t="shared" si="3"/>
        <v>0</v>
      </c>
      <c r="I23" s="22">
        <v>460074</v>
      </c>
      <c r="J23" s="26" t="s">
        <v>706</v>
      </c>
      <c r="K23" s="152">
        <v>45621</v>
      </c>
    </row>
    <row r="24" spans="1:11" s="79" customFormat="1" hidden="1" x14ac:dyDescent="0.25">
      <c r="A24" s="22">
        <v>21</v>
      </c>
      <c r="B24" s="22">
        <v>3254</v>
      </c>
      <c r="C24" s="23" t="s">
        <v>251</v>
      </c>
      <c r="D24" s="24">
        <v>552</v>
      </c>
      <c r="E24" s="25">
        <v>0.4</v>
      </c>
      <c r="F24" s="30">
        <f t="shared" si="2"/>
        <v>220.8</v>
      </c>
      <c r="G24" s="30">
        <f>220.47+0.33</f>
        <v>220.8</v>
      </c>
      <c r="H24" s="30">
        <f t="shared" si="3"/>
        <v>0</v>
      </c>
      <c r="I24" s="22">
        <v>6668983</v>
      </c>
      <c r="J24" s="143">
        <v>45547</v>
      </c>
      <c r="K24" s="152">
        <v>45602</v>
      </c>
    </row>
    <row r="25" spans="1:11" s="79" customFormat="1" hidden="1" x14ac:dyDescent="0.25">
      <c r="A25" s="22">
        <v>22</v>
      </c>
      <c r="B25" s="22">
        <v>3258</v>
      </c>
      <c r="C25" s="23" t="s">
        <v>259</v>
      </c>
      <c r="D25" s="24">
        <v>806.7</v>
      </c>
      <c r="E25" s="25">
        <v>0.4</v>
      </c>
      <c r="F25" s="57">
        <f t="shared" si="2"/>
        <v>322.68000000000006</v>
      </c>
      <c r="G25" s="57">
        <f>320.1+2.58</f>
        <v>322.68</v>
      </c>
      <c r="H25" s="57">
        <f t="shared" si="3"/>
        <v>0</v>
      </c>
      <c r="I25" s="22">
        <v>15335306</v>
      </c>
      <c r="J25" s="143">
        <v>45538</v>
      </c>
    </row>
    <row r="26" spans="1:11" s="79" customFormat="1" hidden="1" x14ac:dyDescent="0.25">
      <c r="A26" s="22">
        <v>23</v>
      </c>
      <c r="B26" s="22">
        <v>3286</v>
      </c>
      <c r="C26" s="23" t="s">
        <v>295</v>
      </c>
      <c r="D26" s="24">
        <v>392</v>
      </c>
      <c r="E26" s="25">
        <v>0.4</v>
      </c>
      <c r="F26" s="30">
        <f t="shared" si="2"/>
        <v>156.80000000000001</v>
      </c>
      <c r="G26" s="30">
        <f>153.47+3.33</f>
        <v>156.80000000000001</v>
      </c>
      <c r="H26" s="30">
        <f t="shared" si="3"/>
        <v>0</v>
      </c>
      <c r="I26" s="22">
        <v>23232841</v>
      </c>
      <c r="J26" s="26" t="s">
        <v>55</v>
      </c>
      <c r="K26" s="152">
        <v>45624</v>
      </c>
    </row>
    <row r="27" spans="1:11" s="79" customFormat="1" x14ac:dyDescent="0.25">
      <c r="A27" s="22">
        <v>24</v>
      </c>
      <c r="B27" s="22">
        <v>3294</v>
      </c>
      <c r="C27" s="23" t="s">
        <v>309</v>
      </c>
      <c r="D27" s="24">
        <v>582</v>
      </c>
      <c r="E27" s="25">
        <v>0.4</v>
      </c>
      <c r="F27" s="30">
        <f t="shared" si="2"/>
        <v>232.8</v>
      </c>
      <c r="G27" s="149">
        <f t="shared" ref="G27:G28" si="4">F27</f>
        <v>232.8</v>
      </c>
      <c r="H27" s="30">
        <f t="shared" si="3"/>
        <v>0</v>
      </c>
      <c r="I27" s="22">
        <v>19263029</v>
      </c>
      <c r="J27" s="26" t="s">
        <v>711</v>
      </c>
      <c r="K27" s="152">
        <v>45658</v>
      </c>
    </row>
    <row r="28" spans="1:11" s="79" customFormat="1" x14ac:dyDescent="0.25">
      <c r="A28" s="22">
        <v>25</v>
      </c>
      <c r="B28" s="22">
        <v>3295</v>
      </c>
      <c r="C28" s="23" t="s">
        <v>311</v>
      </c>
      <c r="D28" s="24">
        <v>303.3</v>
      </c>
      <c r="E28" s="25">
        <v>0.4</v>
      </c>
      <c r="F28" s="149">
        <f t="shared" si="2"/>
        <v>121.32000000000001</v>
      </c>
      <c r="G28" s="149">
        <f t="shared" si="4"/>
        <v>121.32000000000001</v>
      </c>
      <c r="H28" s="149">
        <f t="shared" si="3"/>
        <v>0</v>
      </c>
      <c r="I28" s="22">
        <v>20378353</v>
      </c>
      <c r="J28" s="143">
        <v>45332</v>
      </c>
    </row>
    <row r="29" spans="1:11" s="79" customFormat="1" hidden="1" x14ac:dyDescent="0.25">
      <c r="A29" s="22">
        <v>26</v>
      </c>
      <c r="B29" s="22">
        <v>3302</v>
      </c>
      <c r="C29" s="23" t="s">
        <v>317</v>
      </c>
      <c r="D29" s="24">
        <v>553.4</v>
      </c>
      <c r="E29" s="25">
        <v>0.4</v>
      </c>
      <c r="F29" s="57">
        <f t="shared" si="2"/>
        <v>221.36</v>
      </c>
      <c r="G29" s="57">
        <f>218.25+3.11</f>
        <v>221.36</v>
      </c>
      <c r="H29" s="57">
        <f t="shared" si="3"/>
        <v>0</v>
      </c>
      <c r="I29" s="22">
        <v>71004483</v>
      </c>
      <c r="J29" s="26" t="s">
        <v>226</v>
      </c>
      <c r="K29" s="79" t="s">
        <v>785</v>
      </c>
    </row>
    <row r="30" spans="1:11" s="79" customFormat="1" hidden="1" x14ac:dyDescent="0.25">
      <c r="A30" s="22">
        <v>27</v>
      </c>
      <c r="B30" s="22">
        <v>3309</v>
      </c>
      <c r="C30" s="23" t="s">
        <v>321</v>
      </c>
      <c r="D30" s="24">
        <v>243.1</v>
      </c>
      <c r="E30" s="25">
        <v>0.4</v>
      </c>
      <c r="F30" s="30">
        <f t="shared" si="2"/>
        <v>97.240000000000009</v>
      </c>
      <c r="G30" s="30">
        <f>92.58+4.66</f>
        <v>97.24</v>
      </c>
      <c r="H30" s="30">
        <f t="shared" si="3"/>
        <v>0</v>
      </c>
      <c r="I30" s="34">
        <v>21453611</v>
      </c>
      <c r="J30" s="26" t="s">
        <v>706</v>
      </c>
      <c r="K30" s="152">
        <v>45621</v>
      </c>
    </row>
    <row r="31" spans="1:11" s="79" customFormat="1" hidden="1" x14ac:dyDescent="0.25">
      <c r="A31" s="22">
        <v>28</v>
      </c>
      <c r="B31" s="22">
        <v>3312</v>
      </c>
      <c r="C31" s="23" t="s">
        <v>328</v>
      </c>
      <c r="D31" s="24">
        <v>612</v>
      </c>
      <c r="E31" s="25">
        <v>0.4</v>
      </c>
      <c r="F31" s="30">
        <f t="shared" si="2"/>
        <v>244.8</v>
      </c>
      <c r="G31" s="30">
        <f>242.99+1.81</f>
        <v>244.8</v>
      </c>
      <c r="H31" s="30">
        <f t="shared" si="3"/>
        <v>0</v>
      </c>
      <c r="I31" s="27">
        <v>881326</v>
      </c>
      <c r="J31" s="143">
        <v>45582</v>
      </c>
      <c r="K31" s="152">
        <v>45602</v>
      </c>
    </row>
    <row r="32" spans="1:11" s="79" customFormat="1" hidden="1" x14ac:dyDescent="0.25">
      <c r="A32" s="22">
        <v>29</v>
      </c>
      <c r="B32" s="22">
        <v>3314</v>
      </c>
      <c r="C32" s="23" t="s">
        <v>330</v>
      </c>
      <c r="D32" s="24">
        <v>582.4</v>
      </c>
      <c r="E32" s="25">
        <v>0.4</v>
      </c>
      <c r="F32" s="30">
        <f t="shared" si="2"/>
        <v>232.96</v>
      </c>
      <c r="G32" s="30">
        <f>230.9+2.06</f>
        <v>232.96</v>
      </c>
      <c r="H32" s="30">
        <f t="shared" ref="H32:H43" si="5">F32-G32</f>
        <v>0</v>
      </c>
      <c r="I32" s="22">
        <v>766893</v>
      </c>
      <c r="J32" s="26" t="s">
        <v>226</v>
      </c>
      <c r="K32" s="152">
        <v>45609</v>
      </c>
    </row>
    <row r="33" spans="1:11" s="79" customFormat="1" hidden="1" x14ac:dyDescent="0.25">
      <c r="A33" s="22">
        <v>30</v>
      </c>
      <c r="B33" s="22">
        <v>3315</v>
      </c>
      <c r="C33" s="23" t="s">
        <v>333</v>
      </c>
      <c r="D33" s="24">
        <v>240.8</v>
      </c>
      <c r="E33" s="25">
        <v>0.4</v>
      </c>
      <c r="F33" s="30">
        <f t="shared" si="2"/>
        <v>96.320000000000007</v>
      </c>
      <c r="G33" s="30">
        <f>92.44+3.88</f>
        <v>96.32</v>
      </c>
      <c r="H33" s="30">
        <f t="shared" si="5"/>
        <v>0</v>
      </c>
      <c r="I33" s="22">
        <v>23957422</v>
      </c>
      <c r="J33" s="26" t="s">
        <v>706</v>
      </c>
      <c r="K33" s="152">
        <v>45621</v>
      </c>
    </row>
    <row r="34" spans="1:11" s="79" customFormat="1" hidden="1" x14ac:dyDescent="0.25">
      <c r="A34" s="22">
        <v>31</v>
      </c>
      <c r="B34" s="22">
        <v>3316</v>
      </c>
      <c r="C34" s="23" t="s">
        <v>335</v>
      </c>
      <c r="D34" s="24">
        <v>234.1</v>
      </c>
      <c r="E34" s="25">
        <v>0.4</v>
      </c>
      <c r="F34" s="30">
        <f t="shared" si="2"/>
        <v>93.64</v>
      </c>
      <c r="G34" s="30">
        <f>91.93+1.71</f>
        <v>93.64</v>
      </c>
      <c r="H34" s="30">
        <f t="shared" si="5"/>
        <v>0</v>
      </c>
      <c r="I34" s="22">
        <v>26159748</v>
      </c>
      <c r="J34" s="26" t="s">
        <v>706</v>
      </c>
      <c r="K34" s="152">
        <v>45621</v>
      </c>
    </row>
    <row r="35" spans="1:11" s="79" customFormat="1" hidden="1" x14ac:dyDescent="0.25">
      <c r="A35" s="22">
        <v>32</v>
      </c>
      <c r="B35" s="22">
        <v>3325</v>
      </c>
      <c r="C35" s="23" t="s">
        <v>153</v>
      </c>
      <c r="D35" s="24">
        <v>142.6</v>
      </c>
      <c r="E35" s="25">
        <v>0.4</v>
      </c>
      <c r="F35" s="30">
        <f t="shared" ref="F35:F44" si="6">E35*D35</f>
        <v>57.04</v>
      </c>
      <c r="G35" s="30">
        <f>54.8+2.24</f>
        <v>57.04</v>
      </c>
      <c r="H35" s="30">
        <f t="shared" si="5"/>
        <v>0</v>
      </c>
      <c r="I35" s="22">
        <v>21849398</v>
      </c>
      <c r="J35" s="143">
        <v>45544</v>
      </c>
      <c r="K35" s="152">
        <v>45637</v>
      </c>
    </row>
    <row r="36" spans="1:11" s="79" customFormat="1" hidden="1" x14ac:dyDescent="0.25">
      <c r="A36" s="22">
        <v>33</v>
      </c>
      <c r="B36" s="22">
        <v>3328</v>
      </c>
      <c r="C36" s="23" t="s">
        <v>346</v>
      </c>
      <c r="D36" s="24">
        <v>592.1</v>
      </c>
      <c r="E36" s="25">
        <v>0.4</v>
      </c>
      <c r="F36" s="30">
        <f t="shared" si="6"/>
        <v>236.84000000000003</v>
      </c>
      <c r="G36" s="30">
        <f>230.78+6.06</f>
        <v>236.84</v>
      </c>
      <c r="H36" s="30">
        <f t="shared" si="5"/>
        <v>0</v>
      </c>
      <c r="I36" s="22">
        <v>1934204</v>
      </c>
      <c r="J36" s="143">
        <v>45538</v>
      </c>
      <c r="K36" s="152">
        <v>45602</v>
      </c>
    </row>
    <row r="37" spans="1:11" s="79" customFormat="1" hidden="1" x14ac:dyDescent="0.25">
      <c r="A37" s="22">
        <v>34</v>
      </c>
      <c r="B37" s="22">
        <v>3720</v>
      </c>
      <c r="C37" s="23" t="s">
        <v>409</v>
      </c>
      <c r="D37" s="24">
        <v>402.7</v>
      </c>
      <c r="E37" s="25">
        <v>0.4</v>
      </c>
      <c r="F37" s="149">
        <f t="shared" si="6"/>
        <v>161.08000000000001</v>
      </c>
      <c r="G37" s="149">
        <f>158.93+2.15</f>
        <v>161.08000000000001</v>
      </c>
      <c r="H37" s="149">
        <f t="shared" si="5"/>
        <v>0</v>
      </c>
      <c r="I37" s="80" t="s">
        <v>410</v>
      </c>
      <c r="J37" s="26" t="s">
        <v>706</v>
      </c>
      <c r="K37" s="144" t="s">
        <v>777</v>
      </c>
    </row>
    <row r="38" spans="1:11" s="79" customFormat="1" hidden="1" x14ac:dyDescent="0.25">
      <c r="A38" s="22">
        <v>35</v>
      </c>
      <c r="B38" s="22">
        <v>3733</v>
      </c>
      <c r="C38" s="23" t="s">
        <v>432</v>
      </c>
      <c r="D38" s="24">
        <v>159</v>
      </c>
      <c r="E38" s="25">
        <v>0.4</v>
      </c>
      <c r="F38" s="30">
        <f t="shared" si="6"/>
        <v>63.6</v>
      </c>
      <c r="G38" s="30">
        <f>62+1.6</f>
        <v>63.6</v>
      </c>
      <c r="H38" s="30">
        <f t="shared" si="5"/>
        <v>0</v>
      </c>
      <c r="I38" s="83">
        <v>23270163</v>
      </c>
      <c r="J38" s="143">
        <v>45544</v>
      </c>
      <c r="K38" s="152">
        <v>45607</v>
      </c>
    </row>
    <row r="39" spans="1:11" s="79" customFormat="1" x14ac:dyDescent="0.25">
      <c r="A39" s="22">
        <v>36</v>
      </c>
      <c r="B39" s="22">
        <v>3742</v>
      </c>
      <c r="C39" s="23" t="s">
        <v>442</v>
      </c>
      <c r="D39" s="24">
        <v>22.3</v>
      </c>
      <c r="E39" s="25">
        <v>0.4</v>
      </c>
      <c r="F39" s="30">
        <f t="shared" si="6"/>
        <v>8.92</v>
      </c>
      <c r="G39" s="30">
        <f>F39</f>
        <v>8.92</v>
      </c>
      <c r="H39" s="30">
        <f t="shared" si="5"/>
        <v>0</v>
      </c>
      <c r="I39" s="83">
        <v>1930281</v>
      </c>
      <c r="J39" s="31" t="s">
        <v>872</v>
      </c>
    </row>
    <row r="40" spans="1:11" s="79" customFormat="1" hidden="1" x14ac:dyDescent="0.25">
      <c r="A40" s="22">
        <v>37</v>
      </c>
      <c r="B40" s="22">
        <v>3746</v>
      </c>
      <c r="C40" s="23" t="s">
        <v>448</v>
      </c>
      <c r="D40" s="24">
        <v>369.5</v>
      </c>
      <c r="E40" s="25">
        <v>0.4</v>
      </c>
      <c r="F40" s="30">
        <f t="shared" si="6"/>
        <v>147.80000000000001</v>
      </c>
      <c r="G40" s="30">
        <f>143.96+3.84</f>
        <v>147.80000000000001</v>
      </c>
      <c r="H40" s="30">
        <f t="shared" si="5"/>
        <v>0</v>
      </c>
      <c r="I40" s="34">
        <v>21973713</v>
      </c>
      <c r="J40" s="143">
        <v>45567</v>
      </c>
      <c r="K40" s="152">
        <v>45624</v>
      </c>
    </row>
    <row r="41" spans="1:11" s="79" customFormat="1" hidden="1" x14ac:dyDescent="0.25">
      <c r="A41" s="22">
        <v>38</v>
      </c>
      <c r="B41" s="22">
        <v>3755</v>
      </c>
      <c r="C41" s="23" t="s">
        <v>462</v>
      </c>
      <c r="D41" s="24">
        <v>608.29999999999995</v>
      </c>
      <c r="E41" s="25">
        <v>0.4</v>
      </c>
      <c r="F41" s="30">
        <f t="shared" si="6"/>
        <v>243.32</v>
      </c>
      <c r="G41" s="30">
        <f>242.5+0.82</f>
        <v>243.32</v>
      </c>
      <c r="H41" s="30">
        <f t="shared" si="5"/>
        <v>0</v>
      </c>
      <c r="I41" s="34">
        <v>15536654</v>
      </c>
      <c r="J41" s="143">
        <v>45582</v>
      </c>
      <c r="K41" s="152">
        <v>45624</v>
      </c>
    </row>
    <row r="42" spans="1:11" s="79" customFormat="1" hidden="1" x14ac:dyDescent="0.25">
      <c r="A42" s="22">
        <v>39</v>
      </c>
      <c r="B42" s="22">
        <v>3759</v>
      </c>
      <c r="C42" s="23" t="s">
        <v>29</v>
      </c>
      <c r="D42" s="24">
        <v>330</v>
      </c>
      <c r="E42" s="25">
        <v>0.4</v>
      </c>
      <c r="F42" s="30">
        <f t="shared" si="6"/>
        <v>132</v>
      </c>
      <c r="G42" s="30">
        <f>131.53+0.47</f>
        <v>132</v>
      </c>
      <c r="H42" s="30">
        <f t="shared" si="5"/>
        <v>0</v>
      </c>
      <c r="I42" s="34">
        <v>5634282</v>
      </c>
      <c r="J42" s="26" t="s">
        <v>705</v>
      </c>
      <c r="K42" s="152">
        <v>45630</v>
      </c>
    </row>
    <row r="43" spans="1:11" s="79" customFormat="1" hidden="1" x14ac:dyDescent="0.25">
      <c r="A43" s="22">
        <v>40</v>
      </c>
      <c r="B43" s="22">
        <v>3760</v>
      </c>
      <c r="C43" s="23" t="s">
        <v>470</v>
      </c>
      <c r="D43" s="29">
        <v>307.10000000000002</v>
      </c>
      <c r="E43" s="30">
        <v>0.4</v>
      </c>
      <c r="F43" s="30">
        <f t="shared" si="6"/>
        <v>122.84000000000002</v>
      </c>
      <c r="G43" s="30">
        <f>119.63+3.21</f>
        <v>122.83999999999999</v>
      </c>
      <c r="H43" s="30">
        <f t="shared" si="5"/>
        <v>0</v>
      </c>
      <c r="I43" s="34">
        <v>19531566</v>
      </c>
      <c r="J43" s="26" t="s">
        <v>705</v>
      </c>
      <c r="K43" s="152">
        <v>45607</v>
      </c>
    </row>
    <row r="44" spans="1:11" s="79" customFormat="1" x14ac:dyDescent="0.25">
      <c r="A44" s="22">
        <v>41</v>
      </c>
      <c r="B44" s="27">
        <v>3764</v>
      </c>
      <c r="C44" s="23" t="s">
        <v>474</v>
      </c>
      <c r="D44" s="24">
        <v>747.7</v>
      </c>
      <c r="E44" s="25">
        <v>0.4</v>
      </c>
      <c r="F44" s="57">
        <f t="shared" si="6"/>
        <v>299.08000000000004</v>
      </c>
      <c r="G44" s="57">
        <f>295.85+3.23</f>
        <v>299.08000000000004</v>
      </c>
      <c r="H44" s="57">
        <f t="shared" ref="H44:H52" si="7">F44-G44</f>
        <v>0</v>
      </c>
      <c r="I44" s="34">
        <v>1996843</v>
      </c>
      <c r="J44" s="143">
        <v>45586</v>
      </c>
      <c r="K44" s="79" t="s">
        <v>891</v>
      </c>
    </row>
    <row r="45" spans="1:11" s="79" customFormat="1" x14ac:dyDescent="0.25">
      <c r="A45" s="22">
        <v>42</v>
      </c>
      <c r="B45" s="27">
        <v>3770</v>
      </c>
      <c r="C45" s="23" t="s">
        <v>33</v>
      </c>
      <c r="D45" s="24">
        <v>216.5</v>
      </c>
      <c r="E45" s="25">
        <v>0.4</v>
      </c>
      <c r="F45" s="149">
        <f t="shared" ref="F45:F52" si="8">E45*D45</f>
        <v>86.600000000000009</v>
      </c>
      <c r="G45" s="149">
        <v>82.45</v>
      </c>
      <c r="H45" s="149">
        <f t="shared" si="7"/>
        <v>4.1500000000000057</v>
      </c>
      <c r="I45" s="34">
        <v>7198036</v>
      </c>
      <c r="J45" s="143">
        <v>45547</v>
      </c>
    </row>
    <row r="46" spans="1:11" s="79" customFormat="1" hidden="1" x14ac:dyDescent="0.25">
      <c r="A46" s="22">
        <v>43</v>
      </c>
      <c r="B46" s="22">
        <v>3775</v>
      </c>
      <c r="C46" s="23" t="s">
        <v>492</v>
      </c>
      <c r="D46" s="24">
        <v>204.7</v>
      </c>
      <c r="E46" s="25">
        <v>0.4</v>
      </c>
      <c r="F46" s="30">
        <f t="shared" si="8"/>
        <v>81.88</v>
      </c>
      <c r="G46" s="30">
        <f>78.32+3.56</f>
        <v>81.88</v>
      </c>
      <c r="H46" s="30">
        <f t="shared" si="7"/>
        <v>0</v>
      </c>
      <c r="I46" s="32">
        <v>7198074</v>
      </c>
      <c r="J46" s="143">
        <v>45547</v>
      </c>
      <c r="K46" s="152">
        <v>45635</v>
      </c>
    </row>
    <row r="47" spans="1:11" s="79" customFormat="1" x14ac:dyDescent="0.25">
      <c r="A47" s="22">
        <v>44</v>
      </c>
      <c r="B47" s="22">
        <v>3793</v>
      </c>
      <c r="C47" s="23" t="s">
        <v>521</v>
      </c>
      <c r="D47" s="24">
        <v>812.3</v>
      </c>
      <c r="E47" s="25">
        <v>0.4</v>
      </c>
      <c r="F47" s="149">
        <f t="shared" si="8"/>
        <v>324.92</v>
      </c>
      <c r="G47" s="149">
        <f>322.57+2.35</f>
        <v>324.92</v>
      </c>
      <c r="H47" s="149">
        <f t="shared" si="7"/>
        <v>0</v>
      </c>
      <c r="I47" s="34">
        <v>1283875</v>
      </c>
      <c r="J47" s="26" t="s">
        <v>332</v>
      </c>
      <c r="K47" s="170" t="s">
        <v>881</v>
      </c>
    </row>
    <row r="48" spans="1:11" s="79" customFormat="1" hidden="1" x14ac:dyDescent="0.25">
      <c r="A48" s="22">
        <v>45</v>
      </c>
      <c r="B48" s="22">
        <v>3799</v>
      </c>
      <c r="C48" s="23" t="s">
        <v>531</v>
      </c>
      <c r="D48" s="24">
        <v>769.5</v>
      </c>
      <c r="E48" s="25">
        <v>0.4</v>
      </c>
      <c r="F48" s="30">
        <f t="shared" si="8"/>
        <v>307.8</v>
      </c>
      <c r="G48" s="30">
        <f>305.55+2.25</f>
        <v>307.8</v>
      </c>
      <c r="H48" s="30">
        <f t="shared" si="7"/>
        <v>0</v>
      </c>
      <c r="I48" s="34">
        <v>12494672</v>
      </c>
      <c r="J48" s="143">
        <v>45580</v>
      </c>
      <c r="K48" s="152">
        <v>45607</v>
      </c>
    </row>
    <row r="49" spans="1:12" s="79" customFormat="1" hidden="1" x14ac:dyDescent="0.25">
      <c r="A49" s="22">
        <v>46</v>
      </c>
      <c r="B49" s="22">
        <v>3812</v>
      </c>
      <c r="C49" s="23" t="s">
        <v>557</v>
      </c>
      <c r="D49" s="24">
        <v>338</v>
      </c>
      <c r="E49" s="25">
        <v>0.4</v>
      </c>
      <c r="F49" s="149">
        <f t="shared" si="8"/>
        <v>135.20000000000002</v>
      </c>
      <c r="G49" s="149">
        <f>130.95+4.25</f>
        <v>135.19999999999999</v>
      </c>
      <c r="H49" s="149">
        <f t="shared" si="7"/>
        <v>0</v>
      </c>
      <c r="I49" s="34">
        <v>2441718</v>
      </c>
      <c r="J49" s="26" t="s">
        <v>705</v>
      </c>
      <c r="K49" s="79" t="s">
        <v>778</v>
      </c>
    </row>
    <row r="50" spans="1:12" s="79" customFormat="1" x14ac:dyDescent="0.25">
      <c r="A50" s="22">
        <v>47</v>
      </c>
      <c r="B50" s="22">
        <v>3813</v>
      </c>
      <c r="C50" s="23" t="s">
        <v>559</v>
      </c>
      <c r="D50" s="24">
        <v>193.1</v>
      </c>
      <c r="E50" s="25">
        <v>0.4</v>
      </c>
      <c r="F50" s="149">
        <f t="shared" si="8"/>
        <v>77.240000000000009</v>
      </c>
      <c r="G50" s="149">
        <f>F50</f>
        <v>77.240000000000009</v>
      </c>
      <c r="H50" s="149">
        <f t="shared" si="7"/>
        <v>0</v>
      </c>
      <c r="I50" s="34">
        <v>18842378</v>
      </c>
      <c r="J50" s="26" t="s">
        <v>332</v>
      </c>
    </row>
    <row r="51" spans="1:12" s="79" customFormat="1" x14ac:dyDescent="0.25">
      <c r="A51" s="22">
        <v>48</v>
      </c>
      <c r="B51" s="22">
        <v>3817</v>
      </c>
      <c r="C51" s="23" t="s">
        <v>567</v>
      </c>
      <c r="D51" s="24">
        <v>472.9</v>
      </c>
      <c r="E51" s="25">
        <v>0.4</v>
      </c>
      <c r="F51" s="57">
        <f t="shared" si="8"/>
        <v>189.16</v>
      </c>
      <c r="G51" s="57">
        <f>186.8+2.36</f>
        <v>189.16000000000003</v>
      </c>
      <c r="H51" s="57">
        <f t="shared" si="7"/>
        <v>0</v>
      </c>
      <c r="I51" s="34">
        <v>7851322</v>
      </c>
      <c r="J51" s="26" t="s">
        <v>712</v>
      </c>
      <c r="K51" s="152">
        <v>45662</v>
      </c>
    </row>
    <row r="52" spans="1:12" s="79" customFormat="1" hidden="1" x14ac:dyDescent="0.25">
      <c r="A52" s="22">
        <v>49</v>
      </c>
      <c r="B52" s="22">
        <v>3827</v>
      </c>
      <c r="C52" s="23" t="s">
        <v>583</v>
      </c>
      <c r="D52" s="24">
        <v>792</v>
      </c>
      <c r="E52" s="25">
        <v>0.4</v>
      </c>
      <c r="F52" s="30">
        <f t="shared" si="8"/>
        <v>316.8</v>
      </c>
      <c r="G52" s="30">
        <f>312.22+4.58</f>
        <v>316.8</v>
      </c>
      <c r="H52" s="30">
        <f t="shared" si="7"/>
        <v>0</v>
      </c>
      <c r="I52" s="34">
        <v>19049113</v>
      </c>
      <c r="J52" s="26" t="s">
        <v>231</v>
      </c>
      <c r="K52" s="152">
        <v>45609</v>
      </c>
    </row>
    <row r="53" spans="1:12" s="79" customFormat="1" hidden="1" x14ac:dyDescent="0.25">
      <c r="A53" s="22">
        <v>50</v>
      </c>
      <c r="B53" s="22">
        <v>3851</v>
      </c>
      <c r="C53" s="23" t="s">
        <v>629</v>
      </c>
      <c r="D53" s="24">
        <v>242.2</v>
      </c>
      <c r="E53" s="25">
        <v>0.4</v>
      </c>
      <c r="F53" s="30">
        <f t="shared" ref="F53:F56" si="9">E53*D53</f>
        <v>96.88</v>
      </c>
      <c r="G53" s="30">
        <f>94.71+2.17</f>
        <v>96.88</v>
      </c>
      <c r="H53" s="30">
        <f t="shared" ref="H53:H56" si="10">F53-G53</f>
        <v>0</v>
      </c>
      <c r="I53" s="34">
        <v>22766611</v>
      </c>
      <c r="J53" s="26" t="s">
        <v>226</v>
      </c>
      <c r="K53" s="152">
        <v>45635</v>
      </c>
    </row>
    <row r="54" spans="1:12" s="79" customFormat="1" hidden="1" x14ac:dyDescent="0.25">
      <c r="A54" s="22">
        <v>51</v>
      </c>
      <c r="B54" s="22">
        <v>3857</v>
      </c>
      <c r="C54" s="23" t="s">
        <v>36</v>
      </c>
      <c r="D54" s="24">
        <v>779.7</v>
      </c>
      <c r="E54" s="25">
        <v>0.4</v>
      </c>
      <c r="F54" s="57">
        <f t="shared" si="9"/>
        <v>311.88000000000005</v>
      </c>
      <c r="G54" s="57">
        <f>307.82+4.06</f>
        <v>311.88</v>
      </c>
      <c r="H54" s="57">
        <f t="shared" si="10"/>
        <v>0</v>
      </c>
      <c r="I54" s="34">
        <v>28903474</v>
      </c>
      <c r="J54" s="143">
        <v>45578</v>
      </c>
      <c r="K54" s="152">
        <v>45638</v>
      </c>
      <c r="L54" s="79" t="s">
        <v>810</v>
      </c>
    </row>
    <row r="55" spans="1:12" s="79" customFormat="1" hidden="1" x14ac:dyDescent="0.25">
      <c r="A55" s="22">
        <v>52</v>
      </c>
      <c r="B55" s="22">
        <v>3876</v>
      </c>
      <c r="C55" s="23" t="s">
        <v>674</v>
      </c>
      <c r="D55" s="24">
        <v>366</v>
      </c>
      <c r="E55" s="25">
        <v>0.4</v>
      </c>
      <c r="F55" s="30">
        <f t="shared" si="9"/>
        <v>146.4</v>
      </c>
      <c r="G55" s="30">
        <f>145.5+0.9</f>
        <v>146.4</v>
      </c>
      <c r="H55" s="30">
        <f t="shared" si="10"/>
        <v>0</v>
      </c>
      <c r="I55" s="32">
        <v>4767948</v>
      </c>
      <c r="J55" s="143">
        <v>45587</v>
      </c>
      <c r="K55" s="152">
        <v>45635</v>
      </c>
    </row>
    <row r="56" spans="1:12" s="79" customFormat="1" hidden="1" x14ac:dyDescent="0.25">
      <c r="A56" s="22">
        <v>53</v>
      </c>
      <c r="B56" s="22">
        <v>3888</v>
      </c>
      <c r="C56" s="23" t="s">
        <v>696</v>
      </c>
      <c r="D56" s="24">
        <v>417</v>
      </c>
      <c r="E56" s="25">
        <v>0.4</v>
      </c>
      <c r="F56" s="30">
        <f t="shared" si="9"/>
        <v>166.8</v>
      </c>
      <c r="G56" s="30">
        <f>164.19+2.61</f>
        <v>166.8</v>
      </c>
      <c r="H56" s="30">
        <f t="shared" si="10"/>
        <v>0</v>
      </c>
      <c r="I56" s="34">
        <v>1808869</v>
      </c>
      <c r="J56" s="143">
        <v>45602</v>
      </c>
    </row>
    <row r="57" spans="1:12" x14ac:dyDescent="0.25">
      <c r="A57" s="37"/>
      <c r="B57" s="38"/>
      <c r="C57" s="39" t="s">
        <v>45</v>
      </c>
      <c r="D57" s="40">
        <f>SUM(D4:D56)</f>
        <v>24090.1</v>
      </c>
      <c r="E57" s="41"/>
      <c r="F57" s="42">
        <f>SUM(F4:F56)</f>
        <v>9636.0399999999972</v>
      </c>
      <c r="G57" s="42">
        <f>SUM(G4:G56)</f>
        <v>9631.8899999999976</v>
      </c>
      <c r="H57" s="42">
        <f>SUM(H4:H56)</f>
        <v>4.1500000000000057</v>
      </c>
      <c r="I57" s="37"/>
      <c r="J57" s="44"/>
    </row>
    <row r="58" spans="1:12" x14ac:dyDescent="0.25">
      <c r="G58">
        <f>SUBTOTAL(9,G23:G57)</f>
        <v>10967.779999999999</v>
      </c>
    </row>
    <row r="59" spans="1:12" x14ac:dyDescent="0.25">
      <c r="F59" s="30"/>
      <c r="G59" s="30"/>
      <c r="H59" s="30"/>
    </row>
    <row r="61" spans="1:12" x14ac:dyDescent="0.25">
      <c r="G61" s="114">
        <f>G57/F57</f>
        <v>0.99956932515846764</v>
      </c>
      <c r="H61" s="148">
        <f>H57-142.37</f>
        <v>-138.22</v>
      </c>
    </row>
  </sheetData>
  <autoFilter ref="A3:J57" xr:uid="{4E979DD4-33AA-4FE7-84FB-3030380CDA18}">
    <filterColumn colId="7">
      <filters>
        <filter val="0.180"/>
        <filter val="0.550"/>
        <filter val="1.690"/>
        <filter val="1.970"/>
        <filter val="2.350"/>
        <filter val="2.360"/>
        <filter val="3.230"/>
        <filter val="3.830"/>
        <filter val="4.150"/>
        <filter val="4.280"/>
        <filter val="4.580"/>
        <filter val="4.830"/>
        <filter val="42.92"/>
        <filter val="8.920"/>
      </filters>
    </filterColumn>
  </autoFilter>
  <phoneticPr fontId="29" type="noConversion"/>
  <pageMargins left="0.7" right="0.7" top="0.75" bottom="0.75" header="0.3" footer="0.3"/>
  <pageSetup paperSize="9" scale="10" fitToWidth="0" orientation="landscape" r:id="rId1"/>
  <rowBreaks count="1" manualBreakCount="1">
    <brk id="61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E9D7-D4D0-457F-BE3D-A91A685DFF07}">
  <sheetPr codeName="Sheet5" filterMode="1"/>
  <dimension ref="A1:Z321"/>
  <sheetViews>
    <sheetView view="pageBreakPreview" zoomScaleNormal="100" zoomScaleSheetLayoutView="100" workbookViewId="0">
      <pane xSplit="3" ySplit="3" topLeftCell="D81" activePane="bottomRight" state="frozen"/>
      <selection activeCell="N149" sqref="N149"/>
      <selection pane="topRight" activeCell="N149" sqref="N149"/>
      <selection pane="bottomLeft" activeCell="N149" sqref="N149"/>
      <selection pane="bottomRight" activeCell="N149" sqref="N149"/>
    </sheetView>
  </sheetViews>
  <sheetFormatPr defaultRowHeight="15" x14ac:dyDescent="0.25"/>
  <cols>
    <col min="1" max="2" width="9.28515625" bestFit="1" customWidth="1"/>
    <col min="3" max="3" width="36.5703125" customWidth="1"/>
    <col min="4" max="4" width="12.28515625" customWidth="1"/>
    <col min="5" max="5" width="9.28515625" bestFit="1" customWidth="1"/>
    <col min="6" max="8" width="13.5703125" customWidth="1"/>
    <col min="9" max="9" width="13" bestFit="1" customWidth="1"/>
    <col min="10" max="10" width="19" customWidth="1"/>
    <col min="11" max="11" width="18.28515625" customWidth="1"/>
    <col min="12" max="12" width="13.42578125" customWidth="1"/>
    <col min="13" max="13" width="13" customWidth="1"/>
    <col min="14" max="14" width="30.7109375" customWidth="1"/>
    <col min="15" max="15" width="14.7109375" customWidth="1"/>
    <col min="16" max="16" width="10.42578125" customWidth="1"/>
    <col min="17" max="17" width="12.42578125" bestFit="1" customWidth="1"/>
    <col min="18" max="18" width="12.42578125" customWidth="1"/>
    <col min="19" max="19" width="37.28515625" customWidth="1"/>
    <col min="20" max="20" width="14.7109375" customWidth="1"/>
    <col min="21" max="21" width="9.5703125" bestFit="1" customWidth="1"/>
    <col min="22" max="22" width="9.5703125" customWidth="1"/>
    <col min="23" max="23" width="18.42578125" bestFit="1" customWidth="1"/>
    <col min="24" max="24" width="21.7109375" bestFit="1" customWidth="1"/>
    <col min="25" max="25" width="15.28515625" bestFit="1" customWidth="1"/>
  </cols>
  <sheetData>
    <row r="1" spans="1:26" x14ac:dyDescent="0.25">
      <c r="A1" s="601" t="s">
        <v>713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</row>
    <row r="2" spans="1:26" ht="15.75" thickBot="1" x14ac:dyDescent="0.3">
      <c r="A2" s="601"/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</row>
    <row r="3" spans="1:26" ht="27" x14ac:dyDescent="0.25">
      <c r="A3" s="13" t="s">
        <v>1</v>
      </c>
      <c r="B3" s="14" t="s">
        <v>2</v>
      </c>
      <c r="C3" s="15" t="s">
        <v>3</v>
      </c>
      <c r="D3" s="16" t="s">
        <v>4</v>
      </c>
      <c r="E3" s="14" t="s">
        <v>5</v>
      </c>
      <c r="F3" s="14" t="s">
        <v>6</v>
      </c>
      <c r="G3" s="14" t="s">
        <v>703</v>
      </c>
      <c r="H3" s="14" t="s">
        <v>704</v>
      </c>
      <c r="I3" s="17" t="s">
        <v>9</v>
      </c>
      <c r="J3" s="18" t="s">
        <v>10</v>
      </c>
      <c r="K3" s="18" t="s">
        <v>11</v>
      </c>
      <c r="L3" s="19" t="s">
        <v>12</v>
      </c>
      <c r="M3" s="20" t="s">
        <v>13</v>
      </c>
      <c r="N3" s="21" t="s">
        <v>14</v>
      </c>
      <c r="Q3" t="s">
        <v>2</v>
      </c>
      <c r="S3" t="s">
        <v>3</v>
      </c>
      <c r="U3" t="s">
        <v>9</v>
      </c>
      <c r="W3" t="s">
        <v>10</v>
      </c>
      <c r="Y3" t="s">
        <v>12</v>
      </c>
    </row>
    <row r="4" spans="1:26" hidden="1" x14ac:dyDescent="0.25">
      <c r="A4" s="172">
        <v>1</v>
      </c>
      <c r="B4" s="172">
        <v>1108</v>
      </c>
      <c r="C4" s="173" t="s">
        <v>49</v>
      </c>
      <c r="D4" s="174">
        <v>1162.0999999999999</v>
      </c>
      <c r="E4" s="175">
        <v>0.4</v>
      </c>
      <c r="F4" s="175">
        <f>E4*D4</f>
        <v>464.84</v>
      </c>
      <c r="G4" s="175">
        <f>F4</f>
        <v>464.84</v>
      </c>
      <c r="H4" s="175">
        <f>F4-G4</f>
        <v>0</v>
      </c>
      <c r="I4" s="176">
        <v>15218386</v>
      </c>
      <c r="J4" s="177" t="s">
        <v>50</v>
      </c>
      <c r="K4" s="177" t="s">
        <v>25</v>
      </c>
      <c r="L4" s="178" t="s">
        <v>26</v>
      </c>
      <c r="M4" s="176">
        <v>92776884</v>
      </c>
      <c r="N4" s="179"/>
      <c r="Q4">
        <v>1108</v>
      </c>
      <c r="R4" t="b">
        <f>Q4=B4</f>
        <v>1</v>
      </c>
      <c r="S4" t="s">
        <v>49</v>
      </c>
      <c r="T4" t="b">
        <f>S4=C4</f>
        <v>1</v>
      </c>
      <c r="U4">
        <v>15218386</v>
      </c>
      <c r="V4" t="b">
        <f>U4=I4</f>
        <v>1</v>
      </c>
      <c r="W4" t="s">
        <v>50</v>
      </c>
      <c r="X4" t="b">
        <f>W4=J4</f>
        <v>1</v>
      </c>
      <c r="Y4" t="s">
        <v>26</v>
      </c>
      <c r="Z4" t="b">
        <f>Y4=L4</f>
        <v>1</v>
      </c>
    </row>
    <row r="5" spans="1:26" hidden="1" x14ac:dyDescent="0.25">
      <c r="A5" s="27">
        <v>2</v>
      </c>
      <c r="B5" s="27">
        <v>1390</v>
      </c>
      <c r="C5" s="28" t="s">
        <v>51</v>
      </c>
      <c r="D5" s="29">
        <v>400</v>
      </c>
      <c r="E5" s="30">
        <v>0.4</v>
      </c>
      <c r="F5" s="30">
        <f t="shared" ref="F5:F68" si="0">E5*D5</f>
        <v>160</v>
      </c>
      <c r="G5" s="30">
        <f>155.15+4.85</f>
        <v>160</v>
      </c>
      <c r="H5" s="30">
        <f t="shared" ref="H5:H68" si="1">F5-G5</f>
        <v>0</v>
      </c>
      <c r="I5" s="27">
        <v>12181822</v>
      </c>
      <c r="J5" s="48" t="s">
        <v>52</v>
      </c>
      <c r="K5" s="48" t="s">
        <v>25</v>
      </c>
      <c r="L5" s="49" t="s">
        <v>26</v>
      </c>
      <c r="M5" s="27">
        <v>92442060</v>
      </c>
      <c r="N5" s="35">
        <v>45596</v>
      </c>
      <c r="O5" s="146">
        <v>45609</v>
      </c>
      <c r="Q5">
        <v>1390</v>
      </c>
      <c r="R5" t="b">
        <f t="shared" ref="R5:R68" si="2">Q5=B5</f>
        <v>1</v>
      </c>
      <c r="S5" t="s">
        <v>51</v>
      </c>
      <c r="T5" t="b">
        <f t="shared" ref="T5:T68" si="3">S5=C5</f>
        <v>1</v>
      </c>
      <c r="U5">
        <v>12181822</v>
      </c>
      <c r="V5" t="b">
        <f t="shared" ref="V5:V68" si="4">U5=I5</f>
        <v>1</v>
      </c>
      <c r="W5" t="s">
        <v>52</v>
      </c>
      <c r="X5" t="b">
        <f t="shared" ref="X5:X68" si="5">W5=J5</f>
        <v>1</v>
      </c>
      <c r="Y5" t="s">
        <v>26</v>
      </c>
      <c r="Z5" t="b">
        <f t="shared" ref="Z5:Z68" si="6">Y5=L5</f>
        <v>1</v>
      </c>
    </row>
    <row r="6" spans="1:26" hidden="1" x14ac:dyDescent="0.25">
      <c r="A6" s="27">
        <v>3</v>
      </c>
      <c r="B6" s="27">
        <v>1399</v>
      </c>
      <c r="C6" s="28" t="s">
        <v>53</v>
      </c>
      <c r="D6" s="29">
        <v>304.3</v>
      </c>
      <c r="E6" s="30">
        <v>0.4</v>
      </c>
      <c r="F6" s="30">
        <f t="shared" si="0"/>
        <v>121.72000000000001</v>
      </c>
      <c r="G6" s="30">
        <f>118.07+3.65</f>
        <v>121.72</v>
      </c>
      <c r="H6" s="30">
        <f t="shared" si="1"/>
        <v>0</v>
      </c>
      <c r="I6" s="32">
        <v>10065546</v>
      </c>
      <c r="J6" s="49" t="s">
        <v>54</v>
      </c>
      <c r="K6" s="48" t="s">
        <v>43</v>
      </c>
      <c r="L6" s="49" t="s">
        <v>44</v>
      </c>
      <c r="M6" s="27"/>
      <c r="N6" s="35">
        <v>45596</v>
      </c>
      <c r="O6" s="146">
        <v>45615</v>
      </c>
      <c r="Q6">
        <v>1399</v>
      </c>
      <c r="R6" t="b">
        <f t="shared" si="2"/>
        <v>1</v>
      </c>
      <c r="S6" t="s">
        <v>53</v>
      </c>
      <c r="T6" t="b">
        <f t="shared" si="3"/>
        <v>1</v>
      </c>
      <c r="U6">
        <v>10065546</v>
      </c>
      <c r="V6" t="b">
        <f t="shared" si="4"/>
        <v>1</v>
      </c>
      <c r="W6" t="s">
        <v>54</v>
      </c>
      <c r="X6" t="b">
        <f t="shared" si="5"/>
        <v>1</v>
      </c>
      <c r="Y6" t="s">
        <v>44</v>
      </c>
      <c r="Z6" t="b">
        <f t="shared" si="6"/>
        <v>1</v>
      </c>
    </row>
    <row r="7" spans="1:26" hidden="1" x14ac:dyDescent="0.25">
      <c r="A7" s="27">
        <v>4</v>
      </c>
      <c r="B7" s="27">
        <v>1422</v>
      </c>
      <c r="C7" s="28" t="s">
        <v>56</v>
      </c>
      <c r="D7" s="29">
        <v>310.5</v>
      </c>
      <c r="E7" s="30">
        <v>0.4</v>
      </c>
      <c r="F7" s="30">
        <f t="shared" si="0"/>
        <v>124.2</v>
      </c>
      <c r="G7" s="30">
        <f>119+5.2</f>
        <v>124.2</v>
      </c>
      <c r="H7" s="30">
        <f t="shared" si="1"/>
        <v>0</v>
      </c>
      <c r="I7" s="47">
        <v>3280016</v>
      </c>
      <c r="J7" s="48" t="s">
        <v>57</v>
      </c>
      <c r="K7" s="48" t="s">
        <v>25</v>
      </c>
      <c r="L7" s="49" t="s">
        <v>26</v>
      </c>
      <c r="M7" s="47"/>
      <c r="N7" s="35">
        <v>45567</v>
      </c>
      <c r="O7" s="146">
        <v>45602</v>
      </c>
      <c r="P7" s="146"/>
      <c r="Q7" s="50">
        <v>1422</v>
      </c>
      <c r="R7" t="b">
        <f t="shared" si="2"/>
        <v>1</v>
      </c>
      <c r="S7" t="s">
        <v>56</v>
      </c>
      <c r="T7" t="b">
        <f t="shared" si="3"/>
        <v>1</v>
      </c>
      <c r="U7">
        <v>3280016</v>
      </c>
      <c r="V7" t="b">
        <f t="shared" si="4"/>
        <v>1</v>
      </c>
      <c r="W7" t="s">
        <v>57</v>
      </c>
      <c r="X7" t="b">
        <f t="shared" si="5"/>
        <v>1</v>
      </c>
      <c r="Y7" t="s">
        <v>26</v>
      </c>
      <c r="Z7" t="b">
        <f t="shared" si="6"/>
        <v>1</v>
      </c>
    </row>
    <row r="8" spans="1:26" hidden="1" x14ac:dyDescent="0.25">
      <c r="A8" s="27">
        <v>5</v>
      </c>
      <c r="B8" s="27">
        <v>1424</v>
      </c>
      <c r="C8" s="28" t="s">
        <v>58</v>
      </c>
      <c r="D8" s="29">
        <v>457</v>
      </c>
      <c r="E8" s="30">
        <v>0.4</v>
      </c>
      <c r="F8" s="30">
        <f t="shared" si="0"/>
        <v>182.8</v>
      </c>
      <c r="G8" s="30">
        <f>128.35+54.45</f>
        <v>182.8</v>
      </c>
      <c r="H8" s="30">
        <f t="shared" si="1"/>
        <v>0</v>
      </c>
      <c r="I8" s="47">
        <v>748395</v>
      </c>
      <c r="J8" s="51" t="s">
        <v>59</v>
      </c>
      <c r="K8" s="31" t="s">
        <v>17</v>
      </c>
      <c r="L8" s="31" t="s">
        <v>18</v>
      </c>
      <c r="M8" s="47">
        <v>93011211</v>
      </c>
      <c r="N8" s="35">
        <v>45567</v>
      </c>
      <c r="O8" s="146">
        <v>45609</v>
      </c>
      <c r="Q8">
        <v>1424</v>
      </c>
      <c r="R8" t="b">
        <f t="shared" si="2"/>
        <v>1</v>
      </c>
      <c r="S8" t="s">
        <v>58</v>
      </c>
      <c r="T8" t="b">
        <f t="shared" si="3"/>
        <v>1</v>
      </c>
      <c r="U8">
        <v>748395</v>
      </c>
      <c r="V8" t="b">
        <f t="shared" si="4"/>
        <v>1</v>
      </c>
      <c r="W8" t="s">
        <v>59</v>
      </c>
      <c r="X8" t="b">
        <f t="shared" si="5"/>
        <v>1</v>
      </c>
      <c r="Y8" t="s">
        <v>18</v>
      </c>
      <c r="Z8" t="b">
        <f t="shared" si="6"/>
        <v>1</v>
      </c>
    </row>
    <row r="9" spans="1:26" hidden="1" x14ac:dyDescent="0.25">
      <c r="A9" s="172">
        <v>6</v>
      </c>
      <c r="B9" s="172">
        <v>1429</v>
      </c>
      <c r="C9" s="173" t="s">
        <v>60</v>
      </c>
      <c r="D9" s="174">
        <v>540</v>
      </c>
      <c r="E9" s="175">
        <v>0.4</v>
      </c>
      <c r="F9" s="175">
        <f t="shared" si="0"/>
        <v>216</v>
      </c>
      <c r="G9" s="175">
        <f>F9</f>
        <v>216</v>
      </c>
      <c r="H9" s="175">
        <f t="shared" si="1"/>
        <v>0</v>
      </c>
      <c r="I9" s="180">
        <v>339725</v>
      </c>
      <c r="J9" s="178" t="s">
        <v>61</v>
      </c>
      <c r="K9" s="177" t="s">
        <v>25</v>
      </c>
      <c r="L9" s="178" t="s">
        <v>26</v>
      </c>
      <c r="M9" s="172"/>
      <c r="N9" s="179"/>
      <c r="Q9">
        <v>1429</v>
      </c>
      <c r="R9" t="b">
        <f t="shared" si="2"/>
        <v>1</v>
      </c>
      <c r="S9" t="s">
        <v>60</v>
      </c>
      <c r="T9" t="b">
        <f t="shared" si="3"/>
        <v>1</v>
      </c>
      <c r="U9">
        <v>339725</v>
      </c>
      <c r="V9" t="b">
        <f t="shared" si="4"/>
        <v>1</v>
      </c>
      <c r="W9" t="s">
        <v>61</v>
      </c>
      <c r="X9" t="b">
        <f t="shared" si="5"/>
        <v>1</v>
      </c>
      <c r="Y9" t="s">
        <v>26</v>
      </c>
      <c r="Z9" t="b">
        <f t="shared" si="6"/>
        <v>1</v>
      </c>
    </row>
    <row r="10" spans="1:26" hidden="1" x14ac:dyDescent="0.25">
      <c r="A10" s="27">
        <v>7</v>
      </c>
      <c r="B10" s="27">
        <v>1431</v>
      </c>
      <c r="C10" s="28" t="s">
        <v>62</v>
      </c>
      <c r="D10" s="29">
        <v>400.9</v>
      </c>
      <c r="E10" s="30">
        <v>0.4</v>
      </c>
      <c r="F10" s="30">
        <f t="shared" si="0"/>
        <v>160.36000000000001</v>
      </c>
      <c r="G10" s="30">
        <f>158.65+1.71</f>
        <v>160.36000000000001</v>
      </c>
      <c r="H10" s="30">
        <f t="shared" si="1"/>
        <v>0</v>
      </c>
      <c r="I10" s="47">
        <v>721445</v>
      </c>
      <c r="J10" s="48" t="s">
        <v>63</v>
      </c>
      <c r="K10" s="31" t="s">
        <v>17</v>
      </c>
      <c r="L10" s="31" t="s">
        <v>18</v>
      </c>
      <c r="M10" s="47">
        <v>99291700</v>
      </c>
      <c r="N10" s="35">
        <v>45607</v>
      </c>
      <c r="O10" s="146">
        <v>45628</v>
      </c>
      <c r="Q10">
        <v>1431</v>
      </c>
      <c r="R10" t="b">
        <f t="shared" si="2"/>
        <v>1</v>
      </c>
      <c r="S10" t="s">
        <v>62</v>
      </c>
      <c r="T10" t="b">
        <f t="shared" si="3"/>
        <v>1</v>
      </c>
      <c r="U10">
        <v>721445</v>
      </c>
      <c r="V10" t="b">
        <f t="shared" si="4"/>
        <v>1</v>
      </c>
      <c r="W10" t="s">
        <v>63</v>
      </c>
      <c r="X10" t="b">
        <f t="shared" si="5"/>
        <v>1</v>
      </c>
      <c r="Y10" t="s">
        <v>18</v>
      </c>
      <c r="Z10" t="b">
        <f t="shared" si="6"/>
        <v>1</v>
      </c>
    </row>
    <row r="11" spans="1:26" hidden="1" x14ac:dyDescent="0.25">
      <c r="A11" s="172">
        <v>8</v>
      </c>
      <c r="B11" s="172">
        <v>1443</v>
      </c>
      <c r="C11" s="173" t="s">
        <v>65</v>
      </c>
      <c r="D11" s="174">
        <v>1528.9</v>
      </c>
      <c r="E11" s="175">
        <v>0.4</v>
      </c>
      <c r="F11" s="175">
        <f t="shared" si="0"/>
        <v>611.56000000000006</v>
      </c>
      <c r="G11" s="175">
        <f>F11</f>
        <v>611.56000000000006</v>
      </c>
      <c r="H11" s="175">
        <f t="shared" si="1"/>
        <v>0</v>
      </c>
      <c r="I11" s="176">
        <v>6026992</v>
      </c>
      <c r="J11" s="177" t="s">
        <v>66</v>
      </c>
      <c r="K11" s="177" t="s">
        <v>25</v>
      </c>
      <c r="L11" s="178" t="s">
        <v>26</v>
      </c>
      <c r="M11" s="176">
        <v>95863774</v>
      </c>
      <c r="N11" s="179"/>
      <c r="Q11">
        <v>1443</v>
      </c>
      <c r="R11" t="b">
        <f t="shared" si="2"/>
        <v>1</v>
      </c>
      <c r="S11" t="s">
        <v>65</v>
      </c>
      <c r="T11" t="b">
        <f t="shared" si="3"/>
        <v>1</v>
      </c>
      <c r="U11">
        <v>6026992</v>
      </c>
      <c r="V11" t="b">
        <f t="shared" si="4"/>
        <v>1</v>
      </c>
      <c r="W11" t="s">
        <v>66</v>
      </c>
      <c r="X11" t="b">
        <f t="shared" si="5"/>
        <v>1</v>
      </c>
      <c r="Y11" t="s">
        <v>26</v>
      </c>
      <c r="Z11" t="b">
        <f t="shared" si="6"/>
        <v>1</v>
      </c>
    </row>
    <row r="12" spans="1:26" hidden="1" x14ac:dyDescent="0.25">
      <c r="A12" s="27">
        <v>9</v>
      </c>
      <c r="B12" s="27">
        <v>1452</v>
      </c>
      <c r="C12" s="28" t="s">
        <v>67</v>
      </c>
      <c r="D12" s="29">
        <v>220.6</v>
      </c>
      <c r="E12" s="30">
        <v>0.4</v>
      </c>
      <c r="F12" s="30">
        <f t="shared" si="0"/>
        <v>88.240000000000009</v>
      </c>
      <c r="G12" s="30">
        <f>88.24</f>
        <v>88.24</v>
      </c>
      <c r="H12" s="30">
        <f t="shared" si="1"/>
        <v>0</v>
      </c>
      <c r="I12" s="153">
        <v>20917176</v>
      </c>
      <c r="J12" s="155" t="s">
        <v>68</v>
      </c>
      <c r="K12" s="52" t="s">
        <v>25</v>
      </c>
      <c r="L12" s="155" t="s">
        <v>26</v>
      </c>
      <c r="M12" s="153">
        <v>95863774</v>
      </c>
      <c r="N12" s="154">
        <v>45602</v>
      </c>
      <c r="Q12" s="50">
        <v>1452</v>
      </c>
      <c r="R12" t="b">
        <f t="shared" si="2"/>
        <v>1</v>
      </c>
      <c r="S12" t="s">
        <v>67</v>
      </c>
      <c r="T12" t="b">
        <f t="shared" si="3"/>
        <v>1</v>
      </c>
      <c r="U12">
        <v>20917176</v>
      </c>
      <c r="V12" t="b">
        <f t="shared" si="4"/>
        <v>1</v>
      </c>
      <c r="W12" t="s">
        <v>68</v>
      </c>
      <c r="X12" t="b">
        <f t="shared" si="5"/>
        <v>1</v>
      </c>
      <c r="Y12" t="s">
        <v>26</v>
      </c>
      <c r="Z12" t="b">
        <f t="shared" si="6"/>
        <v>1</v>
      </c>
    </row>
    <row r="13" spans="1:26" hidden="1" x14ac:dyDescent="0.25">
      <c r="A13" s="172">
        <v>10</v>
      </c>
      <c r="B13" s="172">
        <v>1458</v>
      </c>
      <c r="C13" s="173" t="s">
        <v>69</v>
      </c>
      <c r="D13" s="174">
        <v>369.5</v>
      </c>
      <c r="E13" s="175">
        <v>0.4</v>
      </c>
      <c r="F13" s="175">
        <f t="shared" si="0"/>
        <v>147.80000000000001</v>
      </c>
      <c r="G13" s="175">
        <f t="shared" ref="G13:G14" si="7">F13</f>
        <v>147.80000000000001</v>
      </c>
      <c r="H13" s="175">
        <f t="shared" si="1"/>
        <v>0</v>
      </c>
      <c r="I13" s="176">
        <v>77628</v>
      </c>
      <c r="J13" s="177" t="s">
        <v>70</v>
      </c>
      <c r="K13" s="179" t="s">
        <v>17</v>
      </c>
      <c r="L13" s="179" t="s">
        <v>18</v>
      </c>
      <c r="M13" s="176">
        <v>99275608</v>
      </c>
      <c r="N13" s="179"/>
      <c r="Q13">
        <v>1458</v>
      </c>
      <c r="R13" t="b">
        <f t="shared" si="2"/>
        <v>1</v>
      </c>
      <c r="S13" t="s">
        <v>69</v>
      </c>
      <c r="T13" t="b">
        <f t="shared" si="3"/>
        <v>1</v>
      </c>
      <c r="U13">
        <v>77628</v>
      </c>
      <c r="V13" t="b">
        <f t="shared" si="4"/>
        <v>1</v>
      </c>
      <c r="W13" t="s">
        <v>70</v>
      </c>
      <c r="X13" t="b">
        <f t="shared" si="5"/>
        <v>1</v>
      </c>
      <c r="Y13" t="s">
        <v>18</v>
      </c>
      <c r="Z13" t="b">
        <f t="shared" si="6"/>
        <v>1</v>
      </c>
    </row>
    <row r="14" spans="1:26" hidden="1" x14ac:dyDescent="0.25">
      <c r="A14" s="172">
        <v>11</v>
      </c>
      <c r="B14" s="172">
        <v>1461</v>
      </c>
      <c r="C14" s="173" t="s">
        <v>71</v>
      </c>
      <c r="D14" s="174">
        <v>342.9</v>
      </c>
      <c r="E14" s="175">
        <v>0.4</v>
      </c>
      <c r="F14" s="175">
        <f t="shared" si="0"/>
        <v>137.16</v>
      </c>
      <c r="G14" s="175">
        <f t="shared" si="7"/>
        <v>137.16</v>
      </c>
      <c r="H14" s="175">
        <f t="shared" si="1"/>
        <v>0</v>
      </c>
      <c r="I14" s="176">
        <v>6828806</v>
      </c>
      <c r="J14" s="177" t="s">
        <v>72</v>
      </c>
      <c r="K14" s="177" t="s">
        <v>25</v>
      </c>
      <c r="L14" s="178" t="s">
        <v>26</v>
      </c>
      <c r="M14" s="176">
        <v>92330321</v>
      </c>
      <c r="N14" s="179"/>
      <c r="Q14">
        <v>1461</v>
      </c>
      <c r="R14" t="b">
        <f t="shared" si="2"/>
        <v>1</v>
      </c>
      <c r="S14" t="s">
        <v>71</v>
      </c>
      <c r="T14" t="b">
        <f t="shared" si="3"/>
        <v>1</v>
      </c>
      <c r="U14">
        <v>6828806</v>
      </c>
      <c r="V14" t="b">
        <f t="shared" si="4"/>
        <v>1</v>
      </c>
      <c r="W14" t="s">
        <v>72</v>
      </c>
      <c r="X14" t="b">
        <f t="shared" si="5"/>
        <v>1</v>
      </c>
      <c r="Y14" t="s">
        <v>26</v>
      </c>
      <c r="Z14" t="b">
        <f t="shared" si="6"/>
        <v>1</v>
      </c>
    </row>
    <row r="15" spans="1:26" hidden="1" x14ac:dyDescent="0.25">
      <c r="A15" s="54">
        <v>12</v>
      </c>
      <c r="B15" s="54">
        <v>1465</v>
      </c>
      <c r="C15" s="55" t="s">
        <v>73</v>
      </c>
      <c r="D15" s="56">
        <v>354.1</v>
      </c>
      <c r="E15" s="57">
        <v>0.4</v>
      </c>
      <c r="F15" s="57">
        <f t="shared" si="0"/>
        <v>141.64000000000001</v>
      </c>
      <c r="G15" s="57">
        <f>F15</f>
        <v>141.64000000000001</v>
      </c>
      <c r="H15" s="57">
        <f t="shared" si="1"/>
        <v>0</v>
      </c>
      <c r="I15" s="54">
        <v>757601</v>
      </c>
      <c r="J15" s="60" t="s">
        <v>74</v>
      </c>
      <c r="K15" s="58" t="s">
        <v>75</v>
      </c>
      <c r="L15" s="61" t="s">
        <v>76</v>
      </c>
      <c r="M15" s="54">
        <v>99892131</v>
      </c>
      <c r="N15" s="61"/>
      <c r="Q15">
        <v>1465</v>
      </c>
      <c r="R15" t="b">
        <f t="shared" si="2"/>
        <v>1</v>
      </c>
      <c r="S15" t="s">
        <v>73</v>
      </c>
      <c r="T15" t="b">
        <f t="shared" si="3"/>
        <v>1</v>
      </c>
      <c r="U15">
        <v>757601</v>
      </c>
      <c r="V15" t="b">
        <f t="shared" si="4"/>
        <v>1</v>
      </c>
      <c r="W15" t="s">
        <v>74</v>
      </c>
      <c r="X15" t="b">
        <f t="shared" si="5"/>
        <v>1</v>
      </c>
      <c r="Y15" t="s">
        <v>76</v>
      </c>
      <c r="Z15" t="b">
        <f t="shared" si="6"/>
        <v>1</v>
      </c>
    </row>
    <row r="16" spans="1:26" hidden="1" x14ac:dyDescent="0.25">
      <c r="A16" s="22">
        <v>13</v>
      </c>
      <c r="B16" s="22">
        <v>1474</v>
      </c>
      <c r="C16" s="23" t="s">
        <v>15</v>
      </c>
      <c r="D16" s="24">
        <v>915.7</v>
      </c>
      <c r="E16" s="25">
        <v>0.4</v>
      </c>
      <c r="F16" s="30">
        <f t="shared" si="0"/>
        <v>366.28000000000003</v>
      </c>
      <c r="G16" s="30">
        <f>360.94+5.34</f>
        <v>366.28</v>
      </c>
      <c r="H16" s="30">
        <f t="shared" si="1"/>
        <v>0</v>
      </c>
      <c r="I16" s="22">
        <v>4603773</v>
      </c>
      <c r="J16" s="26" t="s">
        <v>16</v>
      </c>
      <c r="K16" s="26" t="s">
        <v>17</v>
      </c>
      <c r="L16" s="26" t="s">
        <v>18</v>
      </c>
      <c r="M16" s="22">
        <v>98820843</v>
      </c>
      <c r="N16" s="143">
        <v>45637</v>
      </c>
      <c r="O16" s="146">
        <v>45658</v>
      </c>
      <c r="Q16">
        <v>1474</v>
      </c>
      <c r="R16" t="b">
        <f t="shared" si="2"/>
        <v>1</v>
      </c>
      <c r="S16" t="s">
        <v>15</v>
      </c>
      <c r="T16" t="b">
        <f t="shared" si="3"/>
        <v>1</v>
      </c>
      <c r="U16">
        <v>4603773</v>
      </c>
      <c r="V16" t="b">
        <f t="shared" si="4"/>
        <v>1</v>
      </c>
      <c r="W16" t="s">
        <v>16</v>
      </c>
      <c r="X16" t="b">
        <f t="shared" si="5"/>
        <v>1</v>
      </c>
      <c r="Y16" t="s">
        <v>18</v>
      </c>
      <c r="Z16" t="b">
        <f t="shared" si="6"/>
        <v>1</v>
      </c>
    </row>
    <row r="17" spans="1:26" hidden="1" x14ac:dyDescent="0.25">
      <c r="A17" s="27">
        <v>14</v>
      </c>
      <c r="B17" s="27">
        <v>1479</v>
      </c>
      <c r="C17" s="157" t="s">
        <v>77</v>
      </c>
      <c r="D17" s="29">
        <v>383.7</v>
      </c>
      <c r="E17" s="30">
        <v>0.4</v>
      </c>
      <c r="F17" s="30">
        <f t="shared" si="0"/>
        <v>153.48000000000002</v>
      </c>
      <c r="G17" s="30">
        <f>F17</f>
        <v>153.48000000000002</v>
      </c>
      <c r="H17" s="30">
        <f t="shared" si="1"/>
        <v>0</v>
      </c>
      <c r="I17" s="158">
        <v>5217726</v>
      </c>
      <c r="J17" s="159" t="s">
        <v>78</v>
      </c>
      <c r="K17" s="160" t="s">
        <v>25</v>
      </c>
      <c r="L17" s="160" t="s">
        <v>26</v>
      </c>
      <c r="M17" s="158">
        <v>92610234</v>
      </c>
      <c r="N17" s="35">
        <v>45602</v>
      </c>
    </row>
    <row r="18" spans="1:26" hidden="1" x14ac:dyDescent="0.25">
      <c r="A18" s="27">
        <v>15</v>
      </c>
      <c r="B18" s="27">
        <v>1483</v>
      </c>
      <c r="C18" s="28" t="s">
        <v>79</v>
      </c>
      <c r="D18" s="29">
        <v>912</v>
      </c>
      <c r="E18" s="30">
        <v>0.4</v>
      </c>
      <c r="F18" s="30">
        <f t="shared" si="0"/>
        <v>364.8</v>
      </c>
      <c r="G18" s="30">
        <f>360.69+4.11</f>
        <v>364.8</v>
      </c>
      <c r="H18" s="30">
        <f t="shared" si="1"/>
        <v>0</v>
      </c>
      <c r="I18" s="27">
        <v>1567826</v>
      </c>
      <c r="J18" s="51" t="s">
        <v>80</v>
      </c>
      <c r="K18" s="31" t="s">
        <v>75</v>
      </c>
      <c r="L18" s="49" t="s">
        <v>76</v>
      </c>
      <c r="M18" s="27">
        <v>98532884</v>
      </c>
      <c r="N18" s="35">
        <v>45602</v>
      </c>
      <c r="O18" s="146">
        <v>45607</v>
      </c>
      <c r="Q18">
        <v>1483</v>
      </c>
      <c r="R18" t="b">
        <f t="shared" si="2"/>
        <v>1</v>
      </c>
      <c r="S18" t="s">
        <v>79</v>
      </c>
      <c r="T18" t="b">
        <f t="shared" si="3"/>
        <v>1</v>
      </c>
      <c r="U18">
        <v>1567826</v>
      </c>
      <c r="V18" t="b">
        <f t="shared" si="4"/>
        <v>1</v>
      </c>
      <c r="W18" t="s">
        <v>80</v>
      </c>
      <c r="X18" t="b">
        <f t="shared" si="5"/>
        <v>1</v>
      </c>
      <c r="Y18" t="s">
        <v>76</v>
      </c>
      <c r="Z18" t="b">
        <f t="shared" si="6"/>
        <v>1</v>
      </c>
    </row>
    <row r="19" spans="1:26" hidden="1" x14ac:dyDescent="0.25">
      <c r="A19" s="172">
        <v>16</v>
      </c>
      <c r="B19" s="172">
        <v>1486</v>
      </c>
      <c r="C19" s="173" t="s">
        <v>714</v>
      </c>
      <c r="D19" s="174">
        <v>428.9</v>
      </c>
      <c r="E19" s="175">
        <v>0.4</v>
      </c>
      <c r="F19" s="175">
        <f t="shared" si="0"/>
        <v>171.56</v>
      </c>
      <c r="G19" s="175">
        <f>F19</f>
        <v>171.56</v>
      </c>
      <c r="H19" s="175">
        <f t="shared" si="1"/>
        <v>0</v>
      </c>
      <c r="I19" s="172">
        <v>22792564</v>
      </c>
      <c r="J19" s="181" t="s">
        <v>715</v>
      </c>
      <c r="K19" s="182" t="s">
        <v>25</v>
      </c>
      <c r="L19" s="182" t="s">
        <v>26</v>
      </c>
      <c r="M19" s="172"/>
      <c r="N19" s="179"/>
    </row>
    <row r="20" spans="1:26" hidden="1" x14ac:dyDescent="0.25">
      <c r="A20" s="54">
        <v>17</v>
      </c>
      <c r="B20" s="54">
        <v>1762</v>
      </c>
      <c r="C20" s="55" t="s">
        <v>82</v>
      </c>
      <c r="D20" s="56">
        <v>1345</v>
      </c>
      <c r="E20" s="57">
        <v>0.4</v>
      </c>
      <c r="F20" s="57">
        <f t="shared" si="0"/>
        <v>538</v>
      </c>
      <c r="G20" s="57">
        <f>F20</f>
        <v>538</v>
      </c>
      <c r="H20" s="57">
        <f t="shared" si="1"/>
        <v>0</v>
      </c>
      <c r="I20" s="84">
        <v>1409527</v>
      </c>
      <c r="J20" s="60" t="s">
        <v>83</v>
      </c>
      <c r="K20" s="59" t="s">
        <v>84</v>
      </c>
      <c r="L20" s="60" t="s">
        <v>26</v>
      </c>
      <c r="M20" s="54"/>
      <c r="N20" s="61" t="s">
        <v>716</v>
      </c>
      <c r="Q20">
        <v>1762</v>
      </c>
      <c r="R20" t="b">
        <f t="shared" si="2"/>
        <v>1</v>
      </c>
      <c r="S20" t="s">
        <v>82</v>
      </c>
      <c r="T20" t="b">
        <f t="shared" si="3"/>
        <v>1</v>
      </c>
      <c r="U20">
        <v>1409527</v>
      </c>
      <c r="V20" t="b">
        <f t="shared" si="4"/>
        <v>1</v>
      </c>
      <c r="W20" t="s">
        <v>83</v>
      </c>
      <c r="X20" t="b">
        <f t="shared" si="5"/>
        <v>1</v>
      </c>
      <c r="Y20" t="s">
        <v>26</v>
      </c>
      <c r="Z20" t="b">
        <f t="shared" si="6"/>
        <v>1</v>
      </c>
    </row>
    <row r="21" spans="1:26" hidden="1" x14ac:dyDescent="0.25">
      <c r="A21" s="172">
        <v>18</v>
      </c>
      <c r="B21" s="172">
        <v>1792</v>
      </c>
      <c r="C21" s="173" t="s">
        <v>85</v>
      </c>
      <c r="D21" s="174">
        <v>394.1</v>
      </c>
      <c r="E21" s="175">
        <v>0.4</v>
      </c>
      <c r="F21" s="175">
        <f t="shared" si="0"/>
        <v>157.64000000000001</v>
      </c>
      <c r="G21" s="175">
        <f t="shared" ref="G21:G22" si="8">F21</f>
        <v>157.64000000000001</v>
      </c>
      <c r="H21" s="175">
        <f t="shared" si="1"/>
        <v>0</v>
      </c>
      <c r="I21" s="183">
        <v>9545556</v>
      </c>
      <c r="J21" s="184" t="s">
        <v>86</v>
      </c>
      <c r="K21" s="179" t="s">
        <v>17</v>
      </c>
      <c r="L21" s="184" t="s">
        <v>18</v>
      </c>
      <c r="M21" s="172"/>
      <c r="N21" s="179"/>
      <c r="Q21">
        <v>1792</v>
      </c>
      <c r="R21" t="b">
        <f t="shared" si="2"/>
        <v>1</v>
      </c>
      <c r="S21" t="s">
        <v>85</v>
      </c>
      <c r="T21" t="b">
        <f t="shared" si="3"/>
        <v>1</v>
      </c>
      <c r="U21">
        <v>9545556</v>
      </c>
      <c r="V21" t="b">
        <f t="shared" si="4"/>
        <v>1</v>
      </c>
      <c r="W21" t="s">
        <v>86</v>
      </c>
      <c r="X21" t="b">
        <f t="shared" si="5"/>
        <v>1</v>
      </c>
      <c r="Y21" t="s">
        <v>18</v>
      </c>
      <c r="Z21" t="b">
        <f t="shared" si="6"/>
        <v>1</v>
      </c>
    </row>
    <row r="22" spans="1:26" hidden="1" x14ac:dyDescent="0.25">
      <c r="A22" s="172">
        <v>19</v>
      </c>
      <c r="B22" s="172">
        <v>3009</v>
      </c>
      <c r="C22" s="173" t="s">
        <v>87</v>
      </c>
      <c r="D22" s="174">
        <v>352</v>
      </c>
      <c r="E22" s="175">
        <v>0.4</v>
      </c>
      <c r="F22" s="175">
        <f t="shared" si="0"/>
        <v>140.80000000000001</v>
      </c>
      <c r="G22" s="175">
        <f t="shared" si="8"/>
        <v>140.80000000000001</v>
      </c>
      <c r="H22" s="175">
        <f t="shared" si="1"/>
        <v>0</v>
      </c>
      <c r="I22" s="172">
        <v>1448391</v>
      </c>
      <c r="J22" s="185" t="s">
        <v>88</v>
      </c>
      <c r="K22" s="179" t="s">
        <v>43</v>
      </c>
      <c r="L22" s="179" t="s">
        <v>44</v>
      </c>
      <c r="M22" s="172">
        <v>99100144</v>
      </c>
      <c r="N22" s="179"/>
      <c r="Q22">
        <v>3009</v>
      </c>
      <c r="R22" t="b">
        <f t="shared" si="2"/>
        <v>1</v>
      </c>
      <c r="S22" t="s">
        <v>87</v>
      </c>
      <c r="T22" t="b">
        <f t="shared" si="3"/>
        <v>1</v>
      </c>
      <c r="U22">
        <v>1448391</v>
      </c>
      <c r="V22" t="b">
        <f t="shared" si="4"/>
        <v>1</v>
      </c>
      <c r="W22" t="s">
        <v>88</v>
      </c>
      <c r="X22" t="b">
        <f t="shared" si="5"/>
        <v>1</v>
      </c>
      <c r="Y22" t="s">
        <v>44</v>
      </c>
      <c r="Z22" t="b">
        <f t="shared" si="6"/>
        <v>1</v>
      </c>
    </row>
    <row r="23" spans="1:26" hidden="1" x14ac:dyDescent="0.25">
      <c r="A23" s="27">
        <v>20</v>
      </c>
      <c r="B23" s="27">
        <v>3012</v>
      </c>
      <c r="C23" s="28" t="s">
        <v>90</v>
      </c>
      <c r="D23" s="29">
        <v>364</v>
      </c>
      <c r="E23" s="30">
        <v>0.4</v>
      </c>
      <c r="F23" s="30">
        <f t="shared" si="0"/>
        <v>145.6</v>
      </c>
      <c r="G23" s="30">
        <f>142.67+2.93</f>
        <v>145.6</v>
      </c>
      <c r="H23" s="30">
        <f t="shared" si="1"/>
        <v>0</v>
      </c>
      <c r="I23" s="27">
        <v>5634422</v>
      </c>
      <c r="J23" s="51" t="s">
        <v>91</v>
      </c>
      <c r="K23" s="48" t="s">
        <v>25</v>
      </c>
      <c r="L23" s="49" t="s">
        <v>26</v>
      </c>
      <c r="M23" s="27">
        <v>96922118</v>
      </c>
      <c r="N23" s="35">
        <v>45586</v>
      </c>
      <c r="O23" s="146">
        <v>45624</v>
      </c>
      <c r="Q23">
        <v>3012</v>
      </c>
      <c r="R23" t="b">
        <f t="shared" si="2"/>
        <v>1</v>
      </c>
      <c r="S23" t="s">
        <v>90</v>
      </c>
      <c r="T23" t="b">
        <f t="shared" si="3"/>
        <v>1</v>
      </c>
      <c r="U23">
        <v>5634422</v>
      </c>
      <c r="V23" t="b">
        <f t="shared" si="4"/>
        <v>1</v>
      </c>
      <c r="W23" t="s">
        <v>91</v>
      </c>
      <c r="X23" t="b">
        <f t="shared" si="5"/>
        <v>1</v>
      </c>
      <c r="Y23" t="s">
        <v>26</v>
      </c>
      <c r="Z23" t="b">
        <f t="shared" si="6"/>
        <v>1</v>
      </c>
    </row>
    <row r="24" spans="1:26" hidden="1" x14ac:dyDescent="0.25">
      <c r="A24" s="27">
        <v>21</v>
      </c>
      <c r="B24" s="27">
        <v>3014</v>
      </c>
      <c r="C24" s="28" t="s">
        <v>92</v>
      </c>
      <c r="D24" s="29">
        <v>315.10000000000002</v>
      </c>
      <c r="E24" s="30">
        <v>0.4</v>
      </c>
      <c r="F24" s="30">
        <f t="shared" si="0"/>
        <v>126.04000000000002</v>
      </c>
      <c r="G24" s="30">
        <f>123.35+2.69</f>
        <v>126.03999999999999</v>
      </c>
      <c r="H24" s="30">
        <f t="shared" si="1"/>
        <v>0</v>
      </c>
      <c r="I24" s="27">
        <v>648421</v>
      </c>
      <c r="J24" s="51" t="s">
        <v>93</v>
      </c>
      <c r="K24" s="31" t="s">
        <v>43</v>
      </c>
      <c r="L24" s="31" t="s">
        <v>44</v>
      </c>
      <c r="M24" s="27">
        <v>98815665</v>
      </c>
      <c r="N24" s="35">
        <v>45567</v>
      </c>
      <c r="O24" s="146">
        <v>45602</v>
      </c>
      <c r="P24" s="146"/>
      <c r="Q24">
        <v>3014</v>
      </c>
      <c r="R24" t="b">
        <f t="shared" si="2"/>
        <v>1</v>
      </c>
      <c r="S24" t="s">
        <v>92</v>
      </c>
      <c r="T24" t="b">
        <f t="shared" si="3"/>
        <v>1</v>
      </c>
      <c r="U24">
        <v>648421</v>
      </c>
      <c r="V24" t="b">
        <f t="shared" si="4"/>
        <v>1</v>
      </c>
      <c r="W24" t="s">
        <v>93</v>
      </c>
      <c r="X24" t="b">
        <f t="shared" si="5"/>
        <v>1</v>
      </c>
      <c r="Y24" t="s">
        <v>44</v>
      </c>
      <c r="Z24" t="b">
        <f t="shared" si="6"/>
        <v>1</v>
      </c>
    </row>
    <row r="25" spans="1:26" hidden="1" x14ac:dyDescent="0.25">
      <c r="A25" s="172">
        <v>22</v>
      </c>
      <c r="B25" s="172">
        <v>3015</v>
      </c>
      <c r="C25" s="173" t="s">
        <v>94</v>
      </c>
      <c r="D25" s="174">
        <v>372.4</v>
      </c>
      <c r="E25" s="175">
        <v>0.4</v>
      </c>
      <c r="F25" s="175">
        <f t="shared" si="0"/>
        <v>148.96</v>
      </c>
      <c r="G25" s="175">
        <f>F25</f>
        <v>148.96</v>
      </c>
      <c r="H25" s="175">
        <f t="shared" si="1"/>
        <v>0</v>
      </c>
      <c r="I25" s="172">
        <v>5753033</v>
      </c>
      <c r="J25" s="181" t="s">
        <v>95</v>
      </c>
      <c r="K25" s="177" t="s">
        <v>25</v>
      </c>
      <c r="L25" s="178" t="s">
        <v>26</v>
      </c>
      <c r="M25" s="172">
        <v>92838405</v>
      </c>
      <c r="N25" s="179"/>
      <c r="Q25">
        <v>3015</v>
      </c>
      <c r="R25" t="b">
        <f t="shared" si="2"/>
        <v>1</v>
      </c>
      <c r="S25" t="s">
        <v>94</v>
      </c>
      <c r="T25" t="b">
        <f t="shared" si="3"/>
        <v>1</v>
      </c>
      <c r="U25">
        <v>5753033</v>
      </c>
      <c r="V25" t="b">
        <f t="shared" si="4"/>
        <v>1</v>
      </c>
      <c r="W25" t="s">
        <v>95</v>
      </c>
      <c r="X25" t="b">
        <f t="shared" si="5"/>
        <v>1</v>
      </c>
      <c r="Y25" t="s">
        <v>26</v>
      </c>
      <c r="Z25" t="b">
        <f t="shared" si="6"/>
        <v>1</v>
      </c>
    </row>
    <row r="26" spans="1:26" s="36" customFormat="1" hidden="1" x14ac:dyDescent="0.25">
      <c r="A26" s="27">
        <v>23</v>
      </c>
      <c r="B26" s="27">
        <v>3018</v>
      </c>
      <c r="C26" s="28" t="s">
        <v>96</v>
      </c>
      <c r="D26" s="29">
        <v>297.2</v>
      </c>
      <c r="E26" s="30">
        <v>0.4</v>
      </c>
      <c r="F26" s="30">
        <f t="shared" si="0"/>
        <v>118.88</v>
      </c>
      <c r="G26" s="30">
        <f>117.88+1</f>
        <v>118.88</v>
      </c>
      <c r="H26" s="30">
        <f t="shared" si="1"/>
        <v>0</v>
      </c>
      <c r="I26" s="32">
        <v>1528087</v>
      </c>
      <c r="J26" s="66" t="s">
        <v>97</v>
      </c>
      <c r="K26" s="48" t="s">
        <v>25</v>
      </c>
      <c r="L26" s="49" t="s">
        <v>26</v>
      </c>
      <c r="M26" s="27"/>
      <c r="N26" s="82">
        <v>45588</v>
      </c>
      <c r="O26" s="156">
        <v>45602</v>
      </c>
      <c r="P26" s="156"/>
      <c r="Q26" s="36">
        <v>3018</v>
      </c>
      <c r="R26" s="36" t="b">
        <f t="shared" si="2"/>
        <v>1</v>
      </c>
      <c r="S26" s="36" t="s">
        <v>96</v>
      </c>
      <c r="T26" s="36" t="b">
        <f t="shared" si="3"/>
        <v>1</v>
      </c>
      <c r="U26" s="36">
        <v>1528087</v>
      </c>
      <c r="V26" s="36" t="b">
        <f t="shared" si="4"/>
        <v>1</v>
      </c>
      <c r="W26" s="36" t="s">
        <v>97</v>
      </c>
      <c r="X26" s="36" t="b">
        <f t="shared" si="5"/>
        <v>1</v>
      </c>
      <c r="Y26" s="36" t="s">
        <v>26</v>
      </c>
      <c r="Z26" s="36" t="b">
        <f t="shared" si="6"/>
        <v>1</v>
      </c>
    </row>
    <row r="27" spans="1:26" hidden="1" x14ac:dyDescent="0.25">
      <c r="A27" s="27">
        <v>24</v>
      </c>
      <c r="B27" s="27">
        <v>3020</v>
      </c>
      <c r="C27" s="28" t="s">
        <v>98</v>
      </c>
      <c r="D27" s="29">
        <v>672.4</v>
      </c>
      <c r="E27" s="30">
        <v>0.4</v>
      </c>
      <c r="F27" s="30">
        <f t="shared" si="0"/>
        <v>268.95999999999998</v>
      </c>
      <c r="G27" s="30">
        <f>268.09+0.87</f>
        <v>268.95999999999998</v>
      </c>
      <c r="H27" s="30">
        <f t="shared" si="1"/>
        <v>0</v>
      </c>
      <c r="I27" s="27">
        <v>5418422</v>
      </c>
      <c r="J27" s="51" t="s">
        <v>99</v>
      </c>
      <c r="K27" s="48" t="s">
        <v>25</v>
      </c>
      <c r="L27" s="49" t="s">
        <v>26</v>
      </c>
      <c r="M27" s="27">
        <v>99495434</v>
      </c>
      <c r="N27" s="35">
        <v>45567</v>
      </c>
      <c r="O27" s="156">
        <v>45602</v>
      </c>
      <c r="P27" s="156"/>
      <c r="Q27">
        <v>3020</v>
      </c>
      <c r="R27" t="b">
        <f t="shared" si="2"/>
        <v>1</v>
      </c>
      <c r="S27" t="s">
        <v>98</v>
      </c>
      <c r="T27" t="b">
        <f t="shared" si="3"/>
        <v>1</v>
      </c>
      <c r="U27">
        <v>5418422</v>
      </c>
      <c r="V27" t="b">
        <f t="shared" si="4"/>
        <v>1</v>
      </c>
      <c r="W27" t="s">
        <v>99</v>
      </c>
      <c r="X27" t="b">
        <f t="shared" si="5"/>
        <v>1</v>
      </c>
      <c r="Y27" t="s">
        <v>26</v>
      </c>
      <c r="Z27" t="b">
        <f t="shared" si="6"/>
        <v>1</v>
      </c>
    </row>
    <row r="28" spans="1:26" hidden="1" x14ac:dyDescent="0.25">
      <c r="A28" s="27">
        <v>25</v>
      </c>
      <c r="B28" s="27">
        <v>3022</v>
      </c>
      <c r="C28" s="28" t="s">
        <v>100</v>
      </c>
      <c r="D28" s="29">
        <v>1246.9000000000001</v>
      </c>
      <c r="E28" s="30">
        <v>0.4</v>
      </c>
      <c r="F28" s="30">
        <f t="shared" si="0"/>
        <v>498.76000000000005</v>
      </c>
      <c r="G28" s="30">
        <f>497.9+0.86</f>
        <v>498.76</v>
      </c>
      <c r="H28" s="30">
        <f t="shared" si="1"/>
        <v>0</v>
      </c>
      <c r="I28" s="27">
        <v>5360253</v>
      </c>
      <c r="J28" s="51" t="s">
        <v>101</v>
      </c>
      <c r="K28" s="31" t="s">
        <v>75</v>
      </c>
      <c r="L28" s="49" t="s">
        <v>76</v>
      </c>
      <c r="M28" s="27">
        <v>99257989</v>
      </c>
      <c r="N28" s="35">
        <v>45609</v>
      </c>
      <c r="O28" s="146">
        <v>45637</v>
      </c>
      <c r="Q28">
        <v>3022</v>
      </c>
      <c r="R28" t="b">
        <f t="shared" si="2"/>
        <v>1</v>
      </c>
      <c r="S28" t="s">
        <v>100</v>
      </c>
      <c r="T28" t="b">
        <f t="shared" si="3"/>
        <v>1</v>
      </c>
      <c r="U28">
        <v>5360253</v>
      </c>
      <c r="V28" t="b">
        <f t="shared" si="4"/>
        <v>1</v>
      </c>
      <c r="W28" t="s">
        <v>101</v>
      </c>
      <c r="X28" t="b">
        <f t="shared" si="5"/>
        <v>1</v>
      </c>
      <c r="Y28" t="s">
        <v>76</v>
      </c>
      <c r="Z28" t="b">
        <f t="shared" si="6"/>
        <v>1</v>
      </c>
    </row>
    <row r="29" spans="1:26" hidden="1" x14ac:dyDescent="0.25">
      <c r="A29" s="172">
        <v>26</v>
      </c>
      <c r="B29" s="172">
        <v>3025</v>
      </c>
      <c r="C29" s="173" t="s">
        <v>102</v>
      </c>
      <c r="D29" s="174">
        <v>711.8</v>
      </c>
      <c r="E29" s="175">
        <v>0.4</v>
      </c>
      <c r="F29" s="175">
        <f t="shared" si="0"/>
        <v>284.71999999999997</v>
      </c>
      <c r="G29" s="175">
        <f t="shared" ref="G29:G30" si="9">F29</f>
        <v>284.71999999999997</v>
      </c>
      <c r="H29" s="175">
        <f t="shared" si="1"/>
        <v>0</v>
      </c>
      <c r="I29" s="172">
        <v>7542172</v>
      </c>
      <c r="J29" s="181" t="s">
        <v>103</v>
      </c>
      <c r="K29" s="177" t="s">
        <v>25</v>
      </c>
      <c r="L29" s="178" t="s">
        <v>26</v>
      </c>
      <c r="M29" s="172"/>
      <c r="N29" s="179"/>
      <c r="Q29">
        <v>3025</v>
      </c>
      <c r="R29" t="b">
        <f t="shared" si="2"/>
        <v>1</v>
      </c>
      <c r="S29" t="s">
        <v>102</v>
      </c>
      <c r="T29" t="b">
        <f t="shared" si="3"/>
        <v>1</v>
      </c>
      <c r="U29">
        <v>7542172</v>
      </c>
      <c r="V29" t="b">
        <f t="shared" si="4"/>
        <v>1</v>
      </c>
      <c r="W29" t="s">
        <v>103</v>
      </c>
      <c r="X29" t="b">
        <f t="shared" si="5"/>
        <v>1</v>
      </c>
      <c r="Y29" t="s">
        <v>26</v>
      </c>
      <c r="Z29" t="b">
        <f t="shared" si="6"/>
        <v>1</v>
      </c>
    </row>
    <row r="30" spans="1:26" hidden="1" x14ac:dyDescent="0.25">
      <c r="A30" s="172">
        <v>27</v>
      </c>
      <c r="B30" s="172">
        <v>3026</v>
      </c>
      <c r="C30" s="173" t="s">
        <v>105</v>
      </c>
      <c r="D30" s="174">
        <v>374.6</v>
      </c>
      <c r="E30" s="175">
        <v>0.4</v>
      </c>
      <c r="F30" s="175">
        <f t="shared" si="0"/>
        <v>149.84</v>
      </c>
      <c r="G30" s="175">
        <f t="shared" si="9"/>
        <v>149.84</v>
      </c>
      <c r="H30" s="175">
        <f t="shared" si="1"/>
        <v>0</v>
      </c>
      <c r="I30" s="172">
        <v>7033819</v>
      </c>
      <c r="J30" s="181" t="s">
        <v>106</v>
      </c>
      <c r="K30" s="177" t="s">
        <v>25</v>
      </c>
      <c r="L30" s="178" t="s">
        <v>26</v>
      </c>
      <c r="M30" s="172">
        <v>92256918</v>
      </c>
      <c r="N30" s="179"/>
      <c r="Q30">
        <v>3026</v>
      </c>
      <c r="R30" t="b">
        <f t="shared" si="2"/>
        <v>1</v>
      </c>
      <c r="S30" t="s">
        <v>105</v>
      </c>
      <c r="T30" t="b">
        <f t="shared" si="3"/>
        <v>1</v>
      </c>
      <c r="U30">
        <v>7033819</v>
      </c>
      <c r="V30" t="b">
        <f t="shared" si="4"/>
        <v>1</v>
      </c>
      <c r="W30" t="s">
        <v>106</v>
      </c>
      <c r="X30" t="b">
        <f t="shared" si="5"/>
        <v>1</v>
      </c>
      <c r="Y30" t="s">
        <v>26</v>
      </c>
      <c r="Z30" t="b">
        <f t="shared" si="6"/>
        <v>1</v>
      </c>
    </row>
    <row r="31" spans="1:26" hidden="1" x14ac:dyDescent="0.25">
      <c r="A31" s="22">
        <v>28</v>
      </c>
      <c r="B31" s="22">
        <v>3027</v>
      </c>
      <c r="C31" s="23" t="s">
        <v>107</v>
      </c>
      <c r="D31" s="24">
        <v>732.8</v>
      </c>
      <c r="E31" s="25">
        <v>0.4</v>
      </c>
      <c r="F31" s="30">
        <f t="shared" si="0"/>
        <v>293.12</v>
      </c>
      <c r="G31" s="30">
        <f>292.65+0.47</f>
        <v>293.12</v>
      </c>
      <c r="H31" s="30">
        <f t="shared" si="1"/>
        <v>0</v>
      </c>
      <c r="I31" s="22">
        <v>6420643</v>
      </c>
      <c r="J31" s="216" t="s">
        <v>108</v>
      </c>
      <c r="K31" s="215" t="s">
        <v>17</v>
      </c>
      <c r="L31" s="214" t="s">
        <v>18</v>
      </c>
      <c r="M31" s="22">
        <v>92288434</v>
      </c>
      <c r="N31" s="143">
        <v>45576</v>
      </c>
      <c r="O31" s="146">
        <v>45685</v>
      </c>
      <c r="Q31">
        <v>3027</v>
      </c>
      <c r="R31" t="b">
        <f t="shared" si="2"/>
        <v>1</v>
      </c>
      <c r="S31" t="s">
        <v>107</v>
      </c>
      <c r="T31" t="b">
        <f t="shared" si="3"/>
        <v>1</v>
      </c>
      <c r="U31">
        <v>6420643</v>
      </c>
      <c r="V31" t="b">
        <f t="shared" si="4"/>
        <v>1</v>
      </c>
      <c r="W31" t="s">
        <v>108</v>
      </c>
      <c r="X31" t="b">
        <f t="shared" si="5"/>
        <v>1</v>
      </c>
      <c r="Y31" t="s">
        <v>18</v>
      </c>
      <c r="Z31" t="b">
        <f t="shared" si="6"/>
        <v>1</v>
      </c>
    </row>
    <row r="32" spans="1:26" hidden="1" x14ac:dyDescent="0.25">
      <c r="A32" s="172">
        <v>29</v>
      </c>
      <c r="B32" s="172">
        <v>3030</v>
      </c>
      <c r="C32" s="173" t="s">
        <v>109</v>
      </c>
      <c r="D32" s="174">
        <v>405</v>
      </c>
      <c r="E32" s="175">
        <v>0.4</v>
      </c>
      <c r="F32" s="175">
        <f t="shared" si="0"/>
        <v>162</v>
      </c>
      <c r="G32" s="175">
        <f>F32</f>
        <v>162</v>
      </c>
      <c r="H32" s="175">
        <f t="shared" si="1"/>
        <v>0</v>
      </c>
      <c r="I32" s="172">
        <v>6021175</v>
      </c>
      <c r="J32" s="181" t="s">
        <v>110</v>
      </c>
      <c r="K32" s="177" t="s">
        <v>25</v>
      </c>
      <c r="L32" s="178" t="s">
        <v>26</v>
      </c>
      <c r="M32" s="172">
        <v>91716888</v>
      </c>
      <c r="N32" s="179"/>
      <c r="Q32" s="50">
        <v>3030</v>
      </c>
      <c r="R32" t="b">
        <f t="shared" si="2"/>
        <v>1</v>
      </c>
      <c r="S32" t="s">
        <v>109</v>
      </c>
      <c r="T32" t="b">
        <f t="shared" si="3"/>
        <v>1</v>
      </c>
      <c r="U32">
        <v>6021175</v>
      </c>
      <c r="V32" t="b">
        <f t="shared" si="4"/>
        <v>1</v>
      </c>
      <c r="W32" t="s">
        <v>110</v>
      </c>
      <c r="X32" t="b">
        <f t="shared" si="5"/>
        <v>1</v>
      </c>
      <c r="Y32" t="s">
        <v>26</v>
      </c>
      <c r="Z32" t="b">
        <f t="shared" si="6"/>
        <v>1</v>
      </c>
    </row>
    <row r="33" spans="1:26" hidden="1" x14ac:dyDescent="0.25">
      <c r="A33" s="27">
        <v>30</v>
      </c>
      <c r="B33" s="27">
        <v>3038</v>
      </c>
      <c r="C33" s="28" t="s">
        <v>111</v>
      </c>
      <c r="D33" s="29">
        <v>783</v>
      </c>
      <c r="E33" s="30">
        <v>0.4</v>
      </c>
      <c r="F33" s="30">
        <f t="shared" si="0"/>
        <v>313.20000000000005</v>
      </c>
      <c r="G33" s="30">
        <f>308.25+4.95</f>
        <v>313.2</v>
      </c>
      <c r="H33" s="30">
        <f t="shared" si="1"/>
        <v>0</v>
      </c>
      <c r="I33" s="27">
        <v>7976</v>
      </c>
      <c r="J33" s="51" t="s">
        <v>112</v>
      </c>
      <c r="K33" s="31" t="s">
        <v>43</v>
      </c>
      <c r="L33" s="31" t="s">
        <v>44</v>
      </c>
      <c r="M33" s="27">
        <v>98920007</v>
      </c>
      <c r="N33" s="35">
        <v>45602</v>
      </c>
      <c r="O33" s="146">
        <v>45621</v>
      </c>
      <c r="Q33">
        <v>3038</v>
      </c>
      <c r="R33" t="b">
        <f t="shared" si="2"/>
        <v>1</v>
      </c>
      <c r="S33" t="s">
        <v>111</v>
      </c>
      <c r="T33" t="b">
        <f t="shared" si="3"/>
        <v>1</v>
      </c>
      <c r="U33">
        <v>7976</v>
      </c>
      <c r="V33" t="b">
        <f t="shared" si="4"/>
        <v>1</v>
      </c>
      <c r="W33" t="s">
        <v>112</v>
      </c>
      <c r="X33" t="b">
        <f t="shared" si="5"/>
        <v>1</v>
      </c>
      <c r="Y33" t="s">
        <v>44</v>
      </c>
      <c r="Z33" t="b">
        <f t="shared" si="6"/>
        <v>1</v>
      </c>
    </row>
    <row r="34" spans="1:26" hidden="1" x14ac:dyDescent="0.25">
      <c r="A34" s="27">
        <v>31</v>
      </c>
      <c r="B34" s="27">
        <v>3043</v>
      </c>
      <c r="C34" s="28" t="s">
        <v>113</v>
      </c>
      <c r="D34" s="29">
        <v>338.5</v>
      </c>
      <c r="E34" s="30">
        <v>0.4</v>
      </c>
      <c r="F34" s="30">
        <f t="shared" si="0"/>
        <v>135.4</v>
      </c>
      <c r="G34" s="30">
        <f>F34</f>
        <v>135.4</v>
      </c>
      <c r="H34" s="30">
        <f t="shared" si="1"/>
        <v>0</v>
      </c>
      <c r="I34" s="27">
        <v>396336</v>
      </c>
      <c r="J34" s="51" t="s">
        <v>114</v>
      </c>
      <c r="K34" s="48" t="s">
        <v>25</v>
      </c>
      <c r="L34" s="49" t="s">
        <v>26</v>
      </c>
      <c r="M34" s="27">
        <v>99498844</v>
      </c>
      <c r="N34" s="31"/>
      <c r="Q34">
        <v>3043</v>
      </c>
      <c r="R34" t="b">
        <f t="shared" si="2"/>
        <v>1</v>
      </c>
      <c r="S34" t="s">
        <v>113</v>
      </c>
      <c r="T34" t="b">
        <f t="shared" si="3"/>
        <v>1</v>
      </c>
      <c r="U34">
        <v>396336</v>
      </c>
      <c r="V34" t="b">
        <f t="shared" si="4"/>
        <v>1</v>
      </c>
      <c r="W34" t="s">
        <v>114</v>
      </c>
      <c r="X34" t="b">
        <f t="shared" si="5"/>
        <v>1</v>
      </c>
      <c r="Y34" t="s">
        <v>26</v>
      </c>
      <c r="Z34" t="b">
        <f t="shared" si="6"/>
        <v>1</v>
      </c>
    </row>
    <row r="35" spans="1:26" hidden="1" x14ac:dyDescent="0.25">
      <c r="A35" s="172">
        <v>32</v>
      </c>
      <c r="B35" s="172">
        <v>3058</v>
      </c>
      <c r="C35" s="173" t="s">
        <v>115</v>
      </c>
      <c r="D35" s="174">
        <v>1298.5999999999999</v>
      </c>
      <c r="E35" s="175">
        <v>0.4</v>
      </c>
      <c r="F35" s="175">
        <f t="shared" si="0"/>
        <v>519.43999999999994</v>
      </c>
      <c r="G35" s="175">
        <f>F35</f>
        <v>519.43999999999994</v>
      </c>
      <c r="H35" s="175">
        <f t="shared" si="1"/>
        <v>0</v>
      </c>
      <c r="I35" s="172">
        <v>965148</v>
      </c>
      <c r="J35" s="181" t="s">
        <v>116</v>
      </c>
      <c r="K35" s="179" t="s">
        <v>43</v>
      </c>
      <c r="L35" s="179" t="s">
        <v>44</v>
      </c>
      <c r="M35" s="172">
        <v>90980121</v>
      </c>
      <c r="N35" s="179"/>
      <c r="Q35">
        <v>3058</v>
      </c>
      <c r="R35" t="b">
        <f t="shared" si="2"/>
        <v>1</v>
      </c>
      <c r="S35" t="s">
        <v>115</v>
      </c>
      <c r="T35" t="b">
        <f t="shared" si="3"/>
        <v>1</v>
      </c>
      <c r="U35">
        <v>965148</v>
      </c>
      <c r="V35" t="b">
        <f t="shared" si="4"/>
        <v>1</v>
      </c>
      <c r="W35" t="s">
        <v>116</v>
      </c>
      <c r="X35" t="b">
        <f t="shared" si="5"/>
        <v>1</v>
      </c>
      <c r="Y35" t="s">
        <v>44</v>
      </c>
      <c r="Z35" t="b">
        <f t="shared" si="6"/>
        <v>1</v>
      </c>
    </row>
    <row r="36" spans="1:26" hidden="1" x14ac:dyDescent="0.25">
      <c r="A36" s="115">
        <v>33</v>
      </c>
      <c r="B36" s="115">
        <v>3070</v>
      </c>
      <c r="C36" s="116" t="s">
        <v>117</v>
      </c>
      <c r="D36" s="117">
        <v>1168.7</v>
      </c>
      <c r="E36" s="118">
        <v>0.4</v>
      </c>
      <c r="F36" s="118">
        <f t="shared" si="0"/>
        <v>467.48</v>
      </c>
      <c r="G36" s="118">
        <f>F36</f>
        <v>467.48</v>
      </c>
      <c r="H36" s="118">
        <f t="shared" si="1"/>
        <v>0</v>
      </c>
      <c r="I36" s="167">
        <v>1918001</v>
      </c>
      <c r="J36" s="168" t="s">
        <v>118</v>
      </c>
      <c r="K36" s="121" t="s">
        <v>25</v>
      </c>
      <c r="L36" s="120" t="s">
        <v>26</v>
      </c>
      <c r="M36" s="167">
        <v>92863640</v>
      </c>
      <c r="N36" s="169">
        <v>45627</v>
      </c>
      <c r="Q36">
        <v>3070</v>
      </c>
      <c r="R36" t="b">
        <f t="shared" si="2"/>
        <v>1</v>
      </c>
      <c r="S36" t="s">
        <v>117</v>
      </c>
      <c r="T36" t="b">
        <f t="shared" si="3"/>
        <v>1</v>
      </c>
      <c r="U36">
        <v>1918001</v>
      </c>
      <c r="V36" t="b">
        <f t="shared" si="4"/>
        <v>1</v>
      </c>
      <c r="W36" t="s">
        <v>118</v>
      </c>
      <c r="X36" t="b">
        <f t="shared" si="5"/>
        <v>1</v>
      </c>
      <c r="Y36" t="s">
        <v>26</v>
      </c>
      <c r="Z36" t="b">
        <f t="shared" si="6"/>
        <v>1</v>
      </c>
    </row>
    <row r="37" spans="1:26" hidden="1" x14ac:dyDescent="0.25">
      <c r="A37" s="22">
        <v>34</v>
      </c>
      <c r="B37" s="22">
        <v>3072</v>
      </c>
      <c r="C37" s="23" t="s">
        <v>119</v>
      </c>
      <c r="D37" s="24">
        <v>379</v>
      </c>
      <c r="E37" s="25">
        <v>0.4</v>
      </c>
      <c r="F37" s="30">
        <f t="shared" si="0"/>
        <v>151.6</v>
      </c>
      <c r="G37" s="30">
        <f>149.8+1.8</f>
        <v>151.60000000000002</v>
      </c>
      <c r="H37" s="30">
        <f t="shared" si="1"/>
        <v>0</v>
      </c>
      <c r="I37" s="22">
        <v>993077</v>
      </c>
      <c r="J37" s="216" t="s">
        <v>120</v>
      </c>
      <c r="K37" s="26" t="s">
        <v>121</v>
      </c>
      <c r="L37" s="26" t="s">
        <v>122</v>
      </c>
      <c r="M37" s="22">
        <v>92252981</v>
      </c>
      <c r="N37" s="143">
        <v>45630</v>
      </c>
      <c r="O37" s="146">
        <v>45665</v>
      </c>
      <c r="Q37">
        <v>3072</v>
      </c>
      <c r="R37" t="b">
        <f t="shared" si="2"/>
        <v>1</v>
      </c>
      <c r="S37" t="s">
        <v>119</v>
      </c>
      <c r="T37" t="b">
        <f t="shared" si="3"/>
        <v>1</v>
      </c>
      <c r="U37">
        <v>993077</v>
      </c>
      <c r="V37" t="b">
        <f t="shared" si="4"/>
        <v>1</v>
      </c>
      <c r="W37" t="s">
        <v>120</v>
      </c>
      <c r="X37" t="b">
        <f t="shared" si="5"/>
        <v>1</v>
      </c>
      <c r="Y37" t="s">
        <v>122</v>
      </c>
      <c r="Z37" t="b">
        <f t="shared" si="6"/>
        <v>1</v>
      </c>
    </row>
    <row r="38" spans="1:26" hidden="1" x14ac:dyDescent="0.25">
      <c r="A38" s="27">
        <v>35</v>
      </c>
      <c r="B38" s="27">
        <v>3077</v>
      </c>
      <c r="C38" s="28" t="s">
        <v>123</v>
      </c>
      <c r="D38" s="29">
        <v>759.2</v>
      </c>
      <c r="E38" s="30">
        <v>0.4</v>
      </c>
      <c r="F38" s="30">
        <f t="shared" si="0"/>
        <v>303.68</v>
      </c>
      <c r="G38" s="30">
        <f>F38</f>
        <v>303.68</v>
      </c>
      <c r="H38" s="30">
        <f t="shared" si="1"/>
        <v>0</v>
      </c>
      <c r="I38" s="27">
        <v>21978752</v>
      </c>
      <c r="J38" s="51" t="s">
        <v>124</v>
      </c>
      <c r="K38" s="48" t="s">
        <v>25</v>
      </c>
      <c r="L38" s="49" t="s">
        <v>26</v>
      </c>
      <c r="M38" s="27">
        <v>90833336</v>
      </c>
      <c r="N38" s="35">
        <v>45635</v>
      </c>
      <c r="Q38">
        <v>3077</v>
      </c>
      <c r="R38" t="b">
        <f t="shared" si="2"/>
        <v>1</v>
      </c>
      <c r="S38" t="s">
        <v>123</v>
      </c>
      <c r="T38" t="b">
        <f t="shared" si="3"/>
        <v>1</v>
      </c>
      <c r="U38">
        <v>21978752</v>
      </c>
      <c r="V38" t="b">
        <f t="shared" si="4"/>
        <v>1</v>
      </c>
      <c r="W38" t="s">
        <v>124</v>
      </c>
      <c r="X38" t="b">
        <f t="shared" si="5"/>
        <v>1</v>
      </c>
      <c r="Y38" t="s">
        <v>26</v>
      </c>
      <c r="Z38" t="b">
        <f t="shared" si="6"/>
        <v>1</v>
      </c>
    </row>
    <row r="39" spans="1:26" hidden="1" x14ac:dyDescent="0.25">
      <c r="A39" s="27">
        <v>36</v>
      </c>
      <c r="B39" s="27">
        <v>3081</v>
      </c>
      <c r="C39" s="28" t="s">
        <v>126</v>
      </c>
      <c r="D39" s="29">
        <v>519</v>
      </c>
      <c r="E39" s="30">
        <v>0.4</v>
      </c>
      <c r="F39" s="30">
        <f t="shared" si="0"/>
        <v>207.60000000000002</v>
      </c>
      <c r="G39" s="30">
        <f>207.15+0.45</f>
        <v>207.6</v>
      </c>
      <c r="H39" s="30">
        <f t="shared" si="1"/>
        <v>0</v>
      </c>
      <c r="I39" s="27">
        <v>21219868</v>
      </c>
      <c r="J39" s="107" t="s">
        <v>127</v>
      </c>
      <c r="K39" s="31" t="s">
        <v>128</v>
      </c>
      <c r="L39" s="70" t="s">
        <v>129</v>
      </c>
      <c r="M39" s="27">
        <v>93288777</v>
      </c>
      <c r="N39" s="35">
        <v>45580</v>
      </c>
      <c r="O39" s="146">
        <v>45635</v>
      </c>
      <c r="Q39">
        <v>3081</v>
      </c>
      <c r="R39" t="b">
        <f t="shared" si="2"/>
        <v>1</v>
      </c>
      <c r="S39" t="s">
        <v>126</v>
      </c>
      <c r="T39" t="b">
        <f t="shared" si="3"/>
        <v>1</v>
      </c>
      <c r="U39">
        <v>21219868</v>
      </c>
      <c r="V39" t="b">
        <f t="shared" si="4"/>
        <v>1</v>
      </c>
      <c r="W39" t="s">
        <v>127</v>
      </c>
      <c r="X39" t="b">
        <f t="shared" si="5"/>
        <v>1</v>
      </c>
      <c r="Y39" t="s">
        <v>129</v>
      </c>
      <c r="Z39" t="b">
        <f t="shared" si="6"/>
        <v>1</v>
      </c>
    </row>
    <row r="40" spans="1:26" hidden="1" x14ac:dyDescent="0.25">
      <c r="A40" s="172">
        <v>37</v>
      </c>
      <c r="B40" s="172">
        <v>3089</v>
      </c>
      <c r="C40" s="173" t="s">
        <v>130</v>
      </c>
      <c r="D40" s="174">
        <v>380.7</v>
      </c>
      <c r="E40" s="175">
        <v>0.4</v>
      </c>
      <c r="F40" s="175">
        <f t="shared" si="0"/>
        <v>152.28</v>
      </c>
      <c r="G40" s="175">
        <f t="shared" ref="G40:G44" si="10">F40</f>
        <v>152.28</v>
      </c>
      <c r="H40" s="175">
        <f t="shared" si="1"/>
        <v>0</v>
      </c>
      <c r="I40" s="172">
        <v>18790484</v>
      </c>
      <c r="J40" s="181" t="s">
        <v>131</v>
      </c>
      <c r="K40" s="177" t="s">
        <v>25</v>
      </c>
      <c r="L40" s="178" t="s">
        <v>26</v>
      </c>
      <c r="M40" s="172"/>
      <c r="N40" s="186"/>
      <c r="Q40">
        <v>3089</v>
      </c>
      <c r="R40" t="b">
        <f t="shared" si="2"/>
        <v>1</v>
      </c>
      <c r="S40" t="s">
        <v>130</v>
      </c>
      <c r="T40" t="b">
        <f t="shared" si="3"/>
        <v>1</v>
      </c>
      <c r="U40">
        <v>18790484</v>
      </c>
      <c r="V40" t="b">
        <f t="shared" si="4"/>
        <v>1</v>
      </c>
      <c r="W40" t="s">
        <v>131</v>
      </c>
      <c r="X40" t="b">
        <f t="shared" si="5"/>
        <v>1</v>
      </c>
      <c r="Y40" t="s">
        <v>26</v>
      </c>
      <c r="Z40" t="b">
        <f t="shared" si="6"/>
        <v>1</v>
      </c>
    </row>
    <row r="41" spans="1:26" hidden="1" x14ac:dyDescent="0.25">
      <c r="A41" s="172">
        <v>38</v>
      </c>
      <c r="B41" s="172">
        <v>3093</v>
      </c>
      <c r="C41" s="173" t="s">
        <v>132</v>
      </c>
      <c r="D41" s="174">
        <v>615.4</v>
      </c>
      <c r="E41" s="175">
        <v>0.4</v>
      </c>
      <c r="F41" s="175">
        <f t="shared" si="0"/>
        <v>246.16</v>
      </c>
      <c r="G41" s="175">
        <f t="shared" si="10"/>
        <v>246.16</v>
      </c>
      <c r="H41" s="175">
        <f t="shared" si="1"/>
        <v>0</v>
      </c>
      <c r="I41" s="172">
        <v>6361035</v>
      </c>
      <c r="J41" s="181" t="s">
        <v>133</v>
      </c>
      <c r="K41" s="179" t="s">
        <v>134</v>
      </c>
      <c r="L41" s="178" t="s">
        <v>135</v>
      </c>
      <c r="M41" s="172">
        <v>99497919</v>
      </c>
      <c r="N41" s="179"/>
      <c r="Q41">
        <v>3093</v>
      </c>
      <c r="R41" t="b">
        <f t="shared" si="2"/>
        <v>1</v>
      </c>
      <c r="S41" t="s">
        <v>132</v>
      </c>
      <c r="T41" t="b">
        <f t="shared" si="3"/>
        <v>1</v>
      </c>
      <c r="U41">
        <v>6361035</v>
      </c>
      <c r="V41" t="b">
        <f t="shared" si="4"/>
        <v>1</v>
      </c>
      <c r="W41" t="s">
        <v>133</v>
      </c>
      <c r="X41" t="b">
        <f t="shared" si="5"/>
        <v>1</v>
      </c>
      <c r="Y41" t="s">
        <v>135</v>
      </c>
      <c r="Z41" t="b">
        <f t="shared" si="6"/>
        <v>1</v>
      </c>
    </row>
    <row r="42" spans="1:26" hidden="1" x14ac:dyDescent="0.25">
      <c r="A42" s="172">
        <v>39</v>
      </c>
      <c r="B42" s="172">
        <v>3094</v>
      </c>
      <c r="C42" s="173" t="s">
        <v>136</v>
      </c>
      <c r="D42" s="174">
        <v>1156.7</v>
      </c>
      <c r="E42" s="175">
        <v>0.4</v>
      </c>
      <c r="F42" s="175">
        <f t="shared" si="0"/>
        <v>462.68000000000006</v>
      </c>
      <c r="G42" s="175">
        <f t="shared" si="10"/>
        <v>462.68000000000006</v>
      </c>
      <c r="H42" s="175">
        <f t="shared" si="1"/>
        <v>0</v>
      </c>
      <c r="I42" s="172">
        <v>26343985</v>
      </c>
      <c r="J42" s="181" t="s">
        <v>137</v>
      </c>
      <c r="K42" s="177" t="s">
        <v>25</v>
      </c>
      <c r="L42" s="178" t="s">
        <v>26</v>
      </c>
      <c r="M42" s="172">
        <v>93327740</v>
      </c>
      <c r="N42" s="179"/>
      <c r="Q42">
        <v>3094</v>
      </c>
      <c r="R42" t="b">
        <f t="shared" si="2"/>
        <v>1</v>
      </c>
      <c r="S42" t="s">
        <v>136</v>
      </c>
      <c r="T42" t="b">
        <f t="shared" si="3"/>
        <v>1</v>
      </c>
      <c r="U42">
        <v>26343985</v>
      </c>
      <c r="V42" t="b">
        <f t="shared" si="4"/>
        <v>1</v>
      </c>
      <c r="W42" t="s">
        <v>137</v>
      </c>
      <c r="X42" t="b">
        <f t="shared" si="5"/>
        <v>1</v>
      </c>
      <c r="Y42" t="s">
        <v>26</v>
      </c>
      <c r="Z42" t="b">
        <f t="shared" si="6"/>
        <v>1</v>
      </c>
    </row>
    <row r="43" spans="1:26" hidden="1" x14ac:dyDescent="0.25">
      <c r="A43" s="172">
        <v>40</v>
      </c>
      <c r="B43" s="172">
        <v>3100</v>
      </c>
      <c r="C43" s="173" t="s">
        <v>138</v>
      </c>
      <c r="D43" s="174">
        <v>1620</v>
      </c>
      <c r="E43" s="175">
        <v>0.4</v>
      </c>
      <c r="F43" s="175">
        <f t="shared" si="0"/>
        <v>648</v>
      </c>
      <c r="G43" s="175">
        <f t="shared" si="10"/>
        <v>648</v>
      </c>
      <c r="H43" s="175">
        <f t="shared" si="1"/>
        <v>0</v>
      </c>
      <c r="I43" s="172">
        <v>1278615</v>
      </c>
      <c r="J43" s="181" t="s">
        <v>139</v>
      </c>
      <c r="K43" s="179" t="s">
        <v>75</v>
      </c>
      <c r="L43" s="178" t="s">
        <v>26</v>
      </c>
      <c r="M43" s="172">
        <v>99806386</v>
      </c>
      <c r="N43" s="179"/>
      <c r="Q43">
        <v>3100</v>
      </c>
      <c r="R43" t="b">
        <f t="shared" si="2"/>
        <v>1</v>
      </c>
      <c r="S43" t="s">
        <v>138</v>
      </c>
      <c r="T43" t="b">
        <f t="shared" si="3"/>
        <v>1</v>
      </c>
      <c r="U43">
        <v>1278615</v>
      </c>
      <c r="V43" t="b">
        <f t="shared" si="4"/>
        <v>1</v>
      </c>
      <c r="W43" t="s">
        <v>139</v>
      </c>
      <c r="X43" t="b">
        <f t="shared" si="5"/>
        <v>1</v>
      </c>
      <c r="Y43" t="s">
        <v>26</v>
      </c>
      <c r="Z43" t="b">
        <f t="shared" si="6"/>
        <v>1</v>
      </c>
    </row>
    <row r="44" spans="1:26" hidden="1" x14ac:dyDescent="0.25">
      <c r="A44" s="172">
        <v>41</v>
      </c>
      <c r="B44" s="172">
        <v>3101</v>
      </c>
      <c r="C44" s="173" t="s">
        <v>140</v>
      </c>
      <c r="D44" s="174">
        <v>339.9</v>
      </c>
      <c r="E44" s="175">
        <v>0.4</v>
      </c>
      <c r="F44" s="175">
        <f t="shared" si="0"/>
        <v>135.96</v>
      </c>
      <c r="G44" s="175">
        <f t="shared" si="10"/>
        <v>135.96</v>
      </c>
      <c r="H44" s="175">
        <f t="shared" si="1"/>
        <v>0</v>
      </c>
      <c r="I44" s="172">
        <v>6767598</v>
      </c>
      <c r="J44" s="181" t="s">
        <v>141</v>
      </c>
      <c r="K44" s="177" t="s">
        <v>25</v>
      </c>
      <c r="L44" s="178" t="s">
        <v>26</v>
      </c>
      <c r="M44" s="172">
        <v>99100344</v>
      </c>
      <c r="N44" s="179"/>
      <c r="Q44">
        <v>3101</v>
      </c>
      <c r="R44" t="b">
        <f t="shared" si="2"/>
        <v>1</v>
      </c>
      <c r="S44" t="s">
        <v>140</v>
      </c>
      <c r="T44" t="b">
        <f t="shared" si="3"/>
        <v>1</v>
      </c>
      <c r="U44">
        <v>6767598</v>
      </c>
      <c r="V44" t="b">
        <f t="shared" si="4"/>
        <v>1</v>
      </c>
      <c r="W44" t="s">
        <v>141</v>
      </c>
      <c r="X44" t="b">
        <f t="shared" si="5"/>
        <v>1</v>
      </c>
      <c r="Y44" t="s">
        <v>26</v>
      </c>
      <c r="Z44" t="b">
        <f t="shared" si="6"/>
        <v>1</v>
      </c>
    </row>
    <row r="45" spans="1:26" hidden="1" x14ac:dyDescent="0.25">
      <c r="A45" s="27">
        <v>42</v>
      </c>
      <c r="B45" s="27">
        <v>3102</v>
      </c>
      <c r="C45" s="28" t="s">
        <v>142</v>
      </c>
      <c r="D45" s="29">
        <v>700.9</v>
      </c>
      <c r="E45" s="30">
        <v>0.4</v>
      </c>
      <c r="F45" s="30">
        <f t="shared" si="0"/>
        <v>280.36</v>
      </c>
      <c r="G45" s="30">
        <f>276.19+4.17</f>
        <v>280.36</v>
      </c>
      <c r="H45" s="30">
        <f t="shared" si="1"/>
        <v>0</v>
      </c>
      <c r="I45" s="27">
        <v>5916838</v>
      </c>
      <c r="J45" s="49" t="s">
        <v>143</v>
      </c>
      <c r="K45" s="48" t="s">
        <v>25</v>
      </c>
      <c r="L45" s="49" t="s">
        <v>26</v>
      </c>
      <c r="M45" s="27">
        <v>91917520</v>
      </c>
      <c r="N45" s="35">
        <v>45580</v>
      </c>
      <c r="O45" s="146">
        <v>45602</v>
      </c>
      <c r="P45" s="146"/>
      <c r="Q45">
        <v>3102</v>
      </c>
      <c r="R45" t="b">
        <f t="shared" si="2"/>
        <v>1</v>
      </c>
      <c r="S45" t="s">
        <v>142</v>
      </c>
      <c r="T45" t="b">
        <f t="shared" si="3"/>
        <v>1</v>
      </c>
      <c r="U45">
        <v>5916838</v>
      </c>
      <c r="V45" t="b">
        <f t="shared" si="4"/>
        <v>1</v>
      </c>
      <c r="W45" t="s">
        <v>143</v>
      </c>
      <c r="X45" t="b">
        <f t="shared" si="5"/>
        <v>1</v>
      </c>
      <c r="Y45" t="s">
        <v>26</v>
      </c>
      <c r="Z45" t="b">
        <f t="shared" si="6"/>
        <v>1</v>
      </c>
    </row>
    <row r="46" spans="1:26" hidden="1" x14ac:dyDescent="0.25">
      <c r="A46" s="27">
        <v>43</v>
      </c>
      <c r="B46" s="27">
        <v>3119</v>
      </c>
      <c r="C46" s="28" t="s">
        <v>144</v>
      </c>
      <c r="D46" s="29">
        <v>1131.2</v>
      </c>
      <c r="E46" s="30">
        <v>0.4</v>
      </c>
      <c r="F46" s="30">
        <f t="shared" si="0"/>
        <v>452.48</v>
      </c>
      <c r="G46" s="30">
        <f>F46</f>
        <v>452.48</v>
      </c>
      <c r="H46" s="30">
        <f t="shared" si="1"/>
        <v>0</v>
      </c>
      <c r="I46" s="27">
        <v>5903061</v>
      </c>
      <c r="J46" s="51" t="s">
        <v>145</v>
      </c>
      <c r="K46" s="48" t="s">
        <v>25</v>
      </c>
      <c r="L46" s="49" t="s">
        <v>26</v>
      </c>
      <c r="M46" s="27">
        <v>91904279</v>
      </c>
      <c r="N46" s="35">
        <v>45602</v>
      </c>
      <c r="Q46">
        <v>3119</v>
      </c>
      <c r="R46" t="b">
        <f t="shared" si="2"/>
        <v>1</v>
      </c>
      <c r="S46" t="s">
        <v>144</v>
      </c>
      <c r="T46" t="b">
        <f t="shared" si="3"/>
        <v>1</v>
      </c>
      <c r="U46">
        <v>5903061</v>
      </c>
      <c r="V46" t="b">
        <f t="shared" si="4"/>
        <v>1</v>
      </c>
      <c r="W46" t="s">
        <v>145</v>
      </c>
      <c r="X46" t="b">
        <f t="shared" si="5"/>
        <v>1</v>
      </c>
      <c r="Y46" t="s">
        <v>26</v>
      </c>
      <c r="Z46" t="b">
        <f t="shared" si="6"/>
        <v>1</v>
      </c>
    </row>
    <row r="47" spans="1:26" hidden="1" x14ac:dyDescent="0.25">
      <c r="A47" s="27">
        <v>44</v>
      </c>
      <c r="B47" s="27">
        <v>3122</v>
      </c>
      <c r="C47" s="28" t="s">
        <v>146</v>
      </c>
      <c r="D47" s="29">
        <v>405</v>
      </c>
      <c r="E47" s="30">
        <v>0.4</v>
      </c>
      <c r="F47" s="30">
        <f t="shared" si="0"/>
        <v>162</v>
      </c>
      <c r="G47" s="30">
        <f>130.5+29.1+2.4</f>
        <v>162</v>
      </c>
      <c r="H47" s="30">
        <f t="shared" si="1"/>
        <v>0</v>
      </c>
      <c r="I47" s="27">
        <v>12415718</v>
      </c>
      <c r="J47" s="51" t="s">
        <v>110</v>
      </c>
      <c r="K47" s="48" t="s">
        <v>25</v>
      </c>
      <c r="L47" s="49" t="s">
        <v>26</v>
      </c>
      <c r="M47" s="27">
        <v>99481799</v>
      </c>
      <c r="N47" s="35">
        <v>45596</v>
      </c>
      <c r="O47" s="146">
        <v>45602</v>
      </c>
      <c r="P47" s="146">
        <v>45615</v>
      </c>
      <c r="Q47">
        <v>3122</v>
      </c>
      <c r="R47" t="b">
        <f t="shared" si="2"/>
        <v>1</v>
      </c>
      <c r="S47" t="s">
        <v>146</v>
      </c>
      <c r="T47" t="b">
        <f t="shared" si="3"/>
        <v>1</v>
      </c>
      <c r="U47">
        <v>12415718</v>
      </c>
      <c r="V47" t="b">
        <f t="shared" si="4"/>
        <v>1</v>
      </c>
      <c r="W47" t="s">
        <v>110</v>
      </c>
      <c r="X47" t="b">
        <f t="shared" si="5"/>
        <v>1</v>
      </c>
      <c r="Y47" t="s">
        <v>26</v>
      </c>
      <c r="Z47" t="b">
        <f t="shared" si="6"/>
        <v>1</v>
      </c>
    </row>
    <row r="48" spans="1:26" hidden="1" x14ac:dyDescent="0.25">
      <c r="A48" s="27">
        <v>45</v>
      </c>
      <c r="B48" s="27">
        <v>3136</v>
      </c>
      <c r="C48" s="28" t="s">
        <v>20</v>
      </c>
      <c r="D48" s="29">
        <v>718</v>
      </c>
      <c r="E48" s="30">
        <v>0.4</v>
      </c>
      <c r="F48" s="30">
        <f t="shared" si="0"/>
        <v>287.2</v>
      </c>
      <c r="G48" s="30">
        <f>284.06+3.14</f>
        <v>287.2</v>
      </c>
      <c r="H48" s="30">
        <f t="shared" si="1"/>
        <v>0</v>
      </c>
      <c r="I48" s="27">
        <v>183498</v>
      </c>
      <c r="J48" s="51" t="s">
        <v>21</v>
      </c>
      <c r="K48" s="48" t="s">
        <v>17</v>
      </c>
      <c r="L48" s="49" t="s">
        <v>18</v>
      </c>
      <c r="M48" s="27">
        <v>99481314</v>
      </c>
      <c r="N48" s="35">
        <v>45615</v>
      </c>
      <c r="O48" s="146">
        <v>45624</v>
      </c>
      <c r="Q48">
        <v>3136</v>
      </c>
      <c r="R48" t="b">
        <f t="shared" si="2"/>
        <v>1</v>
      </c>
      <c r="S48" t="s">
        <v>20</v>
      </c>
      <c r="T48" t="b">
        <f t="shared" si="3"/>
        <v>1</v>
      </c>
      <c r="U48">
        <v>183498</v>
      </c>
      <c r="V48" t="b">
        <f t="shared" si="4"/>
        <v>1</v>
      </c>
      <c r="W48" t="s">
        <v>21</v>
      </c>
      <c r="X48" t="b">
        <f t="shared" si="5"/>
        <v>1</v>
      </c>
      <c r="Y48" t="s">
        <v>18</v>
      </c>
      <c r="Z48" t="b">
        <f t="shared" si="6"/>
        <v>1</v>
      </c>
    </row>
    <row r="49" spans="1:26" hidden="1" x14ac:dyDescent="0.25">
      <c r="A49" s="172">
        <v>46</v>
      </c>
      <c r="B49" s="172">
        <v>3178</v>
      </c>
      <c r="C49" s="173" t="s">
        <v>147</v>
      </c>
      <c r="D49" s="174">
        <v>2700</v>
      </c>
      <c r="E49" s="175">
        <v>0.4</v>
      </c>
      <c r="F49" s="175">
        <f t="shared" si="0"/>
        <v>1080</v>
      </c>
      <c r="G49" s="175">
        <f>F49</f>
        <v>1080</v>
      </c>
      <c r="H49" s="175">
        <f t="shared" si="1"/>
        <v>0</v>
      </c>
      <c r="I49" s="172">
        <v>1511754</v>
      </c>
      <c r="J49" s="181" t="s">
        <v>148</v>
      </c>
      <c r="K49" s="179" t="s">
        <v>43</v>
      </c>
      <c r="L49" s="179" t="s">
        <v>44</v>
      </c>
      <c r="M49" s="172">
        <v>99495933</v>
      </c>
      <c r="N49" s="179"/>
      <c r="Q49">
        <v>3178</v>
      </c>
      <c r="R49" t="b">
        <f t="shared" si="2"/>
        <v>1</v>
      </c>
      <c r="S49" t="s">
        <v>147</v>
      </c>
      <c r="T49" t="b">
        <f t="shared" si="3"/>
        <v>1</v>
      </c>
      <c r="U49">
        <v>1511754</v>
      </c>
      <c r="V49" t="b">
        <f t="shared" si="4"/>
        <v>1</v>
      </c>
      <c r="W49" t="s">
        <v>148</v>
      </c>
      <c r="X49" t="b">
        <f t="shared" si="5"/>
        <v>1</v>
      </c>
      <c r="Y49" t="s">
        <v>44</v>
      </c>
      <c r="Z49" t="b">
        <f t="shared" si="6"/>
        <v>1</v>
      </c>
    </row>
    <row r="50" spans="1:26" hidden="1" x14ac:dyDescent="0.25">
      <c r="A50" s="27">
        <v>47</v>
      </c>
      <c r="B50" s="27">
        <v>3199</v>
      </c>
      <c r="C50" s="28" t="s">
        <v>149</v>
      </c>
      <c r="D50" s="29">
        <v>378</v>
      </c>
      <c r="E50" s="30">
        <v>0.4</v>
      </c>
      <c r="F50" s="30">
        <f t="shared" si="0"/>
        <v>151.20000000000002</v>
      </c>
      <c r="G50" s="30">
        <f>F50</f>
        <v>151.20000000000002</v>
      </c>
      <c r="H50" s="30">
        <f t="shared" si="1"/>
        <v>0</v>
      </c>
      <c r="I50" s="27">
        <v>5168327</v>
      </c>
      <c r="J50" s="51" t="s">
        <v>150</v>
      </c>
      <c r="K50" s="48" t="s">
        <v>25</v>
      </c>
      <c r="L50" s="49" t="s">
        <v>26</v>
      </c>
      <c r="M50" s="27">
        <v>98066833</v>
      </c>
      <c r="N50" s="35">
        <v>45637</v>
      </c>
      <c r="Q50">
        <v>3199</v>
      </c>
      <c r="R50" t="b">
        <f t="shared" si="2"/>
        <v>1</v>
      </c>
      <c r="S50" t="s">
        <v>149</v>
      </c>
      <c r="T50" t="b">
        <f t="shared" si="3"/>
        <v>1</v>
      </c>
      <c r="U50">
        <v>5168327</v>
      </c>
      <c r="V50" t="b">
        <f t="shared" si="4"/>
        <v>1</v>
      </c>
      <c r="W50" t="s">
        <v>150</v>
      </c>
      <c r="X50" t="b">
        <f t="shared" si="5"/>
        <v>1</v>
      </c>
      <c r="Y50" t="s">
        <v>26</v>
      </c>
      <c r="Z50" t="b">
        <f t="shared" si="6"/>
        <v>1</v>
      </c>
    </row>
    <row r="51" spans="1:26" hidden="1" x14ac:dyDescent="0.25">
      <c r="A51" s="27">
        <v>48</v>
      </c>
      <c r="B51" s="27">
        <v>3200</v>
      </c>
      <c r="C51" s="28" t="s">
        <v>151</v>
      </c>
      <c r="D51" s="29">
        <v>368.2</v>
      </c>
      <c r="E51" s="30">
        <v>0.4</v>
      </c>
      <c r="F51" s="30">
        <f t="shared" si="0"/>
        <v>147.28</v>
      </c>
      <c r="G51" s="30">
        <f>142.63+4.65</f>
        <v>147.28</v>
      </c>
      <c r="H51" s="30">
        <f t="shared" si="1"/>
        <v>0</v>
      </c>
      <c r="I51" s="32">
        <v>21947578</v>
      </c>
      <c r="J51" s="49" t="s">
        <v>152</v>
      </c>
      <c r="K51" s="48" t="s">
        <v>25</v>
      </c>
      <c r="L51" s="49" t="s">
        <v>26</v>
      </c>
      <c r="M51" s="27"/>
      <c r="N51" s="35">
        <v>45628</v>
      </c>
      <c r="O51" s="146">
        <v>45656</v>
      </c>
      <c r="Q51">
        <v>3200</v>
      </c>
      <c r="R51" t="b">
        <f t="shared" si="2"/>
        <v>1</v>
      </c>
      <c r="S51" t="s">
        <v>151</v>
      </c>
      <c r="T51" t="b">
        <f t="shared" si="3"/>
        <v>1</v>
      </c>
      <c r="U51">
        <v>21947578</v>
      </c>
      <c r="V51" t="b">
        <f t="shared" si="4"/>
        <v>1</v>
      </c>
      <c r="W51" t="s">
        <v>152</v>
      </c>
      <c r="X51" t="b">
        <f t="shared" si="5"/>
        <v>1</v>
      </c>
      <c r="Y51" t="s">
        <v>26</v>
      </c>
      <c r="Z51" t="b">
        <f t="shared" si="6"/>
        <v>1</v>
      </c>
    </row>
    <row r="52" spans="1:26" hidden="1" x14ac:dyDescent="0.25">
      <c r="A52" s="172">
        <v>49</v>
      </c>
      <c r="B52" s="172">
        <v>3201</v>
      </c>
      <c r="C52" s="173" t="s">
        <v>153</v>
      </c>
      <c r="D52" s="174">
        <v>303.60000000000002</v>
      </c>
      <c r="E52" s="175">
        <v>0.4</v>
      </c>
      <c r="F52" s="175">
        <f t="shared" si="0"/>
        <v>121.44000000000001</v>
      </c>
      <c r="G52" s="175">
        <f t="shared" ref="G52:G53" si="11">F52</f>
        <v>121.44000000000001</v>
      </c>
      <c r="H52" s="175">
        <f t="shared" si="1"/>
        <v>0</v>
      </c>
      <c r="I52" s="172">
        <v>7048401</v>
      </c>
      <c r="J52" s="181" t="s">
        <v>154</v>
      </c>
      <c r="K52" s="179" t="s">
        <v>17</v>
      </c>
      <c r="L52" s="179" t="s">
        <v>18</v>
      </c>
      <c r="M52" s="172"/>
      <c r="N52" s="179"/>
      <c r="Q52">
        <v>3201</v>
      </c>
      <c r="R52" t="b">
        <f t="shared" si="2"/>
        <v>1</v>
      </c>
      <c r="S52" t="s">
        <v>153</v>
      </c>
      <c r="T52" t="b">
        <f t="shared" si="3"/>
        <v>1</v>
      </c>
      <c r="U52">
        <v>7048401</v>
      </c>
      <c r="V52" t="b">
        <f t="shared" si="4"/>
        <v>1</v>
      </c>
      <c r="W52" t="s">
        <v>154</v>
      </c>
      <c r="X52" t="b">
        <f t="shared" si="5"/>
        <v>1</v>
      </c>
      <c r="Y52" t="s">
        <v>18</v>
      </c>
      <c r="Z52" t="b">
        <f t="shared" si="6"/>
        <v>1</v>
      </c>
    </row>
    <row r="53" spans="1:26" hidden="1" x14ac:dyDescent="0.25">
      <c r="A53" s="172">
        <v>50</v>
      </c>
      <c r="B53" s="172">
        <v>3202</v>
      </c>
      <c r="C53" s="173" t="s">
        <v>155</v>
      </c>
      <c r="D53" s="174">
        <v>389.8</v>
      </c>
      <c r="E53" s="175">
        <v>0.4</v>
      </c>
      <c r="F53" s="175">
        <f t="shared" si="0"/>
        <v>155.92000000000002</v>
      </c>
      <c r="G53" s="175">
        <f t="shared" si="11"/>
        <v>155.92000000000002</v>
      </c>
      <c r="H53" s="175">
        <f t="shared" si="1"/>
        <v>0</v>
      </c>
      <c r="I53" s="172">
        <v>5197371</v>
      </c>
      <c r="J53" s="181" t="s">
        <v>156</v>
      </c>
      <c r="K53" s="177" t="s">
        <v>25</v>
      </c>
      <c r="L53" s="178" t="s">
        <v>26</v>
      </c>
      <c r="M53" s="172">
        <v>93889732</v>
      </c>
      <c r="N53" s="179"/>
      <c r="Q53">
        <v>3202</v>
      </c>
      <c r="R53" t="b">
        <f t="shared" si="2"/>
        <v>1</v>
      </c>
      <c r="S53" t="s">
        <v>155</v>
      </c>
      <c r="T53" t="b">
        <f t="shared" si="3"/>
        <v>1</v>
      </c>
      <c r="U53">
        <v>5197371</v>
      </c>
      <c r="V53" t="b">
        <f t="shared" si="4"/>
        <v>1</v>
      </c>
      <c r="W53" t="s">
        <v>156</v>
      </c>
      <c r="X53" t="b">
        <f t="shared" si="5"/>
        <v>1</v>
      </c>
      <c r="Y53" t="s">
        <v>26</v>
      </c>
      <c r="Z53" t="b">
        <f t="shared" si="6"/>
        <v>1</v>
      </c>
    </row>
    <row r="54" spans="1:26" hidden="1" x14ac:dyDescent="0.25">
      <c r="A54" s="27">
        <v>51</v>
      </c>
      <c r="B54" s="27">
        <v>3203</v>
      </c>
      <c r="C54" s="28" t="s">
        <v>157</v>
      </c>
      <c r="D54" s="29">
        <v>483.1</v>
      </c>
      <c r="E54" s="30">
        <v>0.4</v>
      </c>
      <c r="F54" s="30">
        <f t="shared" si="0"/>
        <v>193.24</v>
      </c>
      <c r="G54" s="30">
        <f>F54</f>
        <v>193.24</v>
      </c>
      <c r="H54" s="30">
        <f t="shared" si="1"/>
        <v>0</v>
      </c>
      <c r="I54" s="27">
        <v>23215097</v>
      </c>
      <c r="J54" s="51" t="s">
        <v>158</v>
      </c>
      <c r="K54" s="48" t="s">
        <v>25</v>
      </c>
      <c r="L54" s="49" t="s">
        <v>26</v>
      </c>
      <c r="M54" s="27"/>
      <c r="N54" s="35">
        <v>45607</v>
      </c>
      <c r="Q54">
        <v>3203</v>
      </c>
      <c r="R54" t="b">
        <f t="shared" si="2"/>
        <v>1</v>
      </c>
      <c r="S54" t="s">
        <v>157</v>
      </c>
      <c r="T54" t="b">
        <f t="shared" si="3"/>
        <v>1</v>
      </c>
      <c r="U54">
        <v>23215097</v>
      </c>
      <c r="V54" t="b">
        <f t="shared" si="4"/>
        <v>1</v>
      </c>
      <c r="W54" t="s">
        <v>158</v>
      </c>
      <c r="X54" t="b">
        <f t="shared" si="5"/>
        <v>1</v>
      </c>
      <c r="Y54" t="s">
        <v>26</v>
      </c>
      <c r="Z54" t="b">
        <f t="shared" si="6"/>
        <v>1</v>
      </c>
    </row>
    <row r="55" spans="1:26" hidden="1" x14ac:dyDescent="0.25">
      <c r="A55" s="54">
        <v>52</v>
      </c>
      <c r="B55" s="54">
        <v>3204</v>
      </c>
      <c r="C55" s="55" t="s">
        <v>159</v>
      </c>
      <c r="D55" s="56">
        <v>484.2</v>
      </c>
      <c r="E55" s="57">
        <v>0.4</v>
      </c>
      <c r="F55" s="57">
        <f t="shared" si="0"/>
        <v>193.68</v>
      </c>
      <c r="G55" s="57">
        <f>F55</f>
        <v>193.68</v>
      </c>
      <c r="H55" s="57">
        <f t="shared" si="1"/>
        <v>0</v>
      </c>
      <c r="I55" s="54">
        <v>24958926</v>
      </c>
      <c r="J55" s="58" t="s">
        <v>160</v>
      </c>
      <c r="K55" s="59" t="s">
        <v>25</v>
      </c>
      <c r="L55" s="60" t="s">
        <v>26</v>
      </c>
      <c r="M55" s="54">
        <v>99312225</v>
      </c>
      <c r="N55" s="122" t="s">
        <v>161</v>
      </c>
      <c r="Q55">
        <v>3204</v>
      </c>
      <c r="R55" t="b">
        <f t="shared" si="2"/>
        <v>1</v>
      </c>
      <c r="S55" t="s">
        <v>159</v>
      </c>
      <c r="T55" t="b">
        <f t="shared" si="3"/>
        <v>1</v>
      </c>
      <c r="U55">
        <v>24958926</v>
      </c>
      <c r="V55" t="b">
        <f t="shared" si="4"/>
        <v>1</v>
      </c>
      <c r="W55" t="s">
        <v>160</v>
      </c>
      <c r="X55" t="b">
        <f t="shared" si="5"/>
        <v>1</v>
      </c>
      <c r="Y55" t="s">
        <v>26</v>
      </c>
      <c r="Z55" t="b">
        <f t="shared" si="6"/>
        <v>1</v>
      </c>
    </row>
    <row r="56" spans="1:26" hidden="1" x14ac:dyDescent="0.25">
      <c r="A56" s="172">
        <v>53</v>
      </c>
      <c r="B56" s="172">
        <v>3207</v>
      </c>
      <c r="C56" s="173" t="s">
        <v>162</v>
      </c>
      <c r="D56" s="174">
        <v>816.3</v>
      </c>
      <c r="E56" s="175">
        <v>0.4</v>
      </c>
      <c r="F56" s="175">
        <f t="shared" si="0"/>
        <v>326.52</v>
      </c>
      <c r="G56" s="175">
        <f>F56</f>
        <v>326.52</v>
      </c>
      <c r="H56" s="175">
        <f t="shared" si="1"/>
        <v>0</v>
      </c>
      <c r="I56" s="172">
        <v>11940175</v>
      </c>
      <c r="J56" s="181" t="s">
        <v>163</v>
      </c>
      <c r="K56" s="177" t="s">
        <v>25</v>
      </c>
      <c r="L56" s="178" t="s">
        <v>26</v>
      </c>
      <c r="M56" s="172">
        <v>98138748</v>
      </c>
      <c r="N56" s="179"/>
      <c r="Q56">
        <v>3207</v>
      </c>
      <c r="R56" t="b">
        <f t="shared" si="2"/>
        <v>1</v>
      </c>
      <c r="S56" t="s">
        <v>162</v>
      </c>
      <c r="T56" t="b">
        <f t="shared" si="3"/>
        <v>1</v>
      </c>
      <c r="U56">
        <v>11940175</v>
      </c>
      <c r="V56" t="b">
        <f t="shared" si="4"/>
        <v>1</v>
      </c>
      <c r="W56" t="s">
        <v>163</v>
      </c>
      <c r="X56" t="b">
        <f t="shared" si="5"/>
        <v>1</v>
      </c>
      <c r="Y56" t="s">
        <v>26</v>
      </c>
      <c r="Z56" t="b">
        <f t="shared" si="6"/>
        <v>1</v>
      </c>
    </row>
    <row r="57" spans="1:26" hidden="1" x14ac:dyDescent="0.25">
      <c r="A57" s="27">
        <v>54</v>
      </c>
      <c r="B57" s="27">
        <v>3208</v>
      </c>
      <c r="C57" s="28" t="s">
        <v>164</v>
      </c>
      <c r="D57" s="29">
        <v>733.6</v>
      </c>
      <c r="E57" s="30">
        <v>0.4</v>
      </c>
      <c r="F57" s="30">
        <f t="shared" si="0"/>
        <v>293.44</v>
      </c>
      <c r="G57" s="30">
        <f>289.88+3.56</f>
        <v>293.44</v>
      </c>
      <c r="H57" s="30">
        <f t="shared" si="1"/>
        <v>0</v>
      </c>
      <c r="I57" s="27">
        <v>1742664</v>
      </c>
      <c r="J57" s="51" t="s">
        <v>165</v>
      </c>
      <c r="K57" s="31" t="s">
        <v>166</v>
      </c>
      <c r="L57" s="31" t="s">
        <v>129</v>
      </c>
      <c r="M57" s="27">
        <v>99482598</v>
      </c>
      <c r="N57" s="35">
        <v>45596</v>
      </c>
      <c r="O57" s="146">
        <v>45629</v>
      </c>
      <c r="Q57">
        <v>3208</v>
      </c>
      <c r="R57" t="b">
        <f t="shared" si="2"/>
        <v>1</v>
      </c>
      <c r="S57" t="s">
        <v>167</v>
      </c>
      <c r="T57" t="b">
        <f t="shared" si="3"/>
        <v>0</v>
      </c>
      <c r="U57">
        <v>20320848</v>
      </c>
      <c r="V57" t="b">
        <f t="shared" si="4"/>
        <v>0</v>
      </c>
      <c r="W57" t="s">
        <v>168</v>
      </c>
      <c r="X57" t="b">
        <f t="shared" si="5"/>
        <v>0</v>
      </c>
      <c r="Y57" t="s">
        <v>18</v>
      </c>
      <c r="Z57" t="b">
        <f t="shared" si="6"/>
        <v>0</v>
      </c>
    </row>
    <row r="58" spans="1:26" s="36" customFormat="1" hidden="1" x14ac:dyDescent="0.25">
      <c r="A58" s="27">
        <v>55</v>
      </c>
      <c r="B58" s="27">
        <v>3209</v>
      </c>
      <c r="C58" s="28" t="s">
        <v>169</v>
      </c>
      <c r="D58" s="29">
        <v>405</v>
      </c>
      <c r="E58" s="30">
        <v>0.4</v>
      </c>
      <c r="F58" s="30">
        <f t="shared" si="0"/>
        <v>162</v>
      </c>
      <c r="G58" s="30">
        <f>161.18+0.82</f>
        <v>162</v>
      </c>
      <c r="H58" s="30">
        <f t="shared" si="1"/>
        <v>0</v>
      </c>
      <c r="I58" s="27">
        <v>5634328</v>
      </c>
      <c r="J58" s="51" t="s">
        <v>170</v>
      </c>
      <c r="K58" s="48" t="s">
        <v>25</v>
      </c>
      <c r="L58" s="49" t="s">
        <v>26</v>
      </c>
      <c r="M58" s="27">
        <v>92283227</v>
      </c>
      <c r="N58" s="31"/>
      <c r="O58" s="156">
        <v>45607</v>
      </c>
      <c r="P58" s="156">
        <v>45637</v>
      </c>
      <c r="Q58" s="36">
        <v>3209</v>
      </c>
      <c r="R58" s="36" t="b">
        <f t="shared" si="2"/>
        <v>1</v>
      </c>
      <c r="S58" s="36" t="s">
        <v>169</v>
      </c>
      <c r="T58" s="36" t="b">
        <f t="shared" si="3"/>
        <v>1</v>
      </c>
      <c r="U58" s="36">
        <v>5634328</v>
      </c>
      <c r="V58" s="36" t="b">
        <f t="shared" si="4"/>
        <v>1</v>
      </c>
      <c r="W58" s="36" t="s">
        <v>170</v>
      </c>
      <c r="X58" s="36" t="b">
        <f t="shared" si="5"/>
        <v>1</v>
      </c>
      <c r="Y58" s="36" t="s">
        <v>26</v>
      </c>
      <c r="Z58" s="36" t="b">
        <f t="shared" si="6"/>
        <v>1</v>
      </c>
    </row>
    <row r="59" spans="1:26" hidden="1" x14ac:dyDescent="0.25">
      <c r="A59" s="27">
        <v>56</v>
      </c>
      <c r="B59" s="27">
        <v>3210</v>
      </c>
      <c r="C59" s="28" t="s">
        <v>171</v>
      </c>
      <c r="D59" s="29">
        <v>757</v>
      </c>
      <c r="E59" s="30">
        <v>0.4</v>
      </c>
      <c r="F59" s="30">
        <f t="shared" si="0"/>
        <v>302.8</v>
      </c>
      <c r="G59" s="30">
        <f>143.75+155.2+3.85</f>
        <v>302.8</v>
      </c>
      <c r="H59" s="30">
        <f t="shared" si="1"/>
        <v>0</v>
      </c>
      <c r="I59" s="27">
        <v>45419</v>
      </c>
      <c r="J59" s="51" t="s">
        <v>172</v>
      </c>
      <c r="K59" s="48" t="s">
        <v>25</v>
      </c>
      <c r="L59" s="49" t="s">
        <v>26</v>
      </c>
      <c r="M59" s="27">
        <v>90101070</v>
      </c>
      <c r="N59" s="35" t="s">
        <v>717</v>
      </c>
      <c r="O59" s="146">
        <v>45602</v>
      </c>
      <c r="P59" s="146"/>
      <c r="Q59">
        <v>3210</v>
      </c>
      <c r="R59" t="b">
        <f t="shared" si="2"/>
        <v>1</v>
      </c>
      <c r="S59" t="s">
        <v>171</v>
      </c>
      <c r="T59" t="b">
        <f t="shared" si="3"/>
        <v>1</v>
      </c>
      <c r="U59">
        <v>45419</v>
      </c>
      <c r="V59" t="b">
        <f t="shared" si="4"/>
        <v>1</v>
      </c>
      <c r="W59" t="s">
        <v>172</v>
      </c>
      <c r="X59" t="b">
        <f t="shared" si="5"/>
        <v>1</v>
      </c>
      <c r="Y59" t="s">
        <v>26</v>
      </c>
      <c r="Z59" t="b">
        <f t="shared" si="6"/>
        <v>1</v>
      </c>
    </row>
    <row r="60" spans="1:26" hidden="1" x14ac:dyDescent="0.25">
      <c r="A60" s="27">
        <v>57</v>
      </c>
      <c r="B60" s="27">
        <v>3211</v>
      </c>
      <c r="C60" s="28" t="s">
        <v>173</v>
      </c>
      <c r="D60" s="29">
        <v>345</v>
      </c>
      <c r="E60" s="30">
        <v>0.4</v>
      </c>
      <c r="F60" s="30">
        <f t="shared" si="0"/>
        <v>138</v>
      </c>
      <c r="G60" s="30">
        <f>136.7+1.3</f>
        <v>138</v>
      </c>
      <c r="H60" s="30">
        <f t="shared" si="1"/>
        <v>0</v>
      </c>
      <c r="I60" s="145">
        <v>9927207</v>
      </c>
      <c r="J60" s="52" t="s">
        <v>174</v>
      </c>
      <c r="K60" s="52" t="s">
        <v>17</v>
      </c>
      <c r="L60" s="52" t="s">
        <v>18</v>
      </c>
      <c r="M60" s="145"/>
      <c r="N60" s="64">
        <v>45574</v>
      </c>
      <c r="O60" s="146">
        <v>45602</v>
      </c>
      <c r="P60" s="146"/>
      <c r="Q60" s="50">
        <v>3211</v>
      </c>
      <c r="R60" t="b">
        <f t="shared" si="2"/>
        <v>1</v>
      </c>
      <c r="S60" t="s">
        <v>173</v>
      </c>
      <c r="T60" t="b">
        <f t="shared" si="3"/>
        <v>1</v>
      </c>
      <c r="U60">
        <v>9927207</v>
      </c>
      <c r="V60" t="b">
        <f t="shared" si="4"/>
        <v>1</v>
      </c>
      <c r="W60" s="63" t="s">
        <v>174</v>
      </c>
      <c r="X60" t="b">
        <f t="shared" si="5"/>
        <v>1</v>
      </c>
      <c r="Y60" t="s">
        <v>18</v>
      </c>
      <c r="Z60" t="b">
        <f t="shared" si="6"/>
        <v>1</v>
      </c>
    </row>
    <row r="61" spans="1:26" hidden="1" x14ac:dyDescent="0.25">
      <c r="A61" s="172">
        <v>58</v>
      </c>
      <c r="B61" s="172">
        <v>3212</v>
      </c>
      <c r="C61" s="173" t="s">
        <v>175</v>
      </c>
      <c r="D61" s="174">
        <v>1071.3</v>
      </c>
      <c r="E61" s="175">
        <v>0.4</v>
      </c>
      <c r="F61" s="175">
        <f t="shared" si="0"/>
        <v>428.52</v>
      </c>
      <c r="G61" s="175">
        <f t="shared" ref="G61:G63" si="12">F61</f>
        <v>428.52</v>
      </c>
      <c r="H61" s="175">
        <f t="shared" si="1"/>
        <v>0</v>
      </c>
      <c r="I61" s="172">
        <v>804443</v>
      </c>
      <c r="J61" s="181" t="s">
        <v>176</v>
      </c>
      <c r="K61" s="179" t="s">
        <v>121</v>
      </c>
      <c r="L61" s="179" t="s">
        <v>122</v>
      </c>
      <c r="M61" s="172">
        <v>99483202</v>
      </c>
      <c r="N61" s="179"/>
      <c r="Q61">
        <v>3212</v>
      </c>
      <c r="R61" t="b">
        <f t="shared" si="2"/>
        <v>1</v>
      </c>
      <c r="S61" t="s">
        <v>175</v>
      </c>
      <c r="T61" t="b">
        <f t="shared" si="3"/>
        <v>1</v>
      </c>
      <c r="U61">
        <v>804443</v>
      </c>
      <c r="V61" t="b">
        <f t="shared" si="4"/>
        <v>1</v>
      </c>
      <c r="W61" t="s">
        <v>176</v>
      </c>
      <c r="X61" t="b">
        <f t="shared" si="5"/>
        <v>1</v>
      </c>
      <c r="Y61" t="s">
        <v>122</v>
      </c>
      <c r="Z61" t="b">
        <f t="shared" si="6"/>
        <v>1</v>
      </c>
    </row>
    <row r="62" spans="1:26" hidden="1" x14ac:dyDescent="0.25">
      <c r="A62" s="172">
        <v>59</v>
      </c>
      <c r="B62" s="172">
        <v>3213</v>
      </c>
      <c r="C62" s="173" t="s">
        <v>177</v>
      </c>
      <c r="D62" s="174">
        <v>912.1</v>
      </c>
      <c r="E62" s="175">
        <v>0.4</v>
      </c>
      <c r="F62" s="175">
        <f t="shared" si="0"/>
        <v>364.84000000000003</v>
      </c>
      <c r="G62" s="175">
        <f t="shared" si="12"/>
        <v>364.84000000000003</v>
      </c>
      <c r="H62" s="175">
        <f t="shared" si="1"/>
        <v>0</v>
      </c>
      <c r="I62" s="172">
        <v>2594336</v>
      </c>
      <c r="J62" s="181" t="s">
        <v>178</v>
      </c>
      <c r="K62" s="177" t="s">
        <v>25</v>
      </c>
      <c r="L62" s="178" t="s">
        <v>26</v>
      </c>
      <c r="M62" s="172">
        <v>71773005</v>
      </c>
      <c r="N62" s="179"/>
      <c r="Q62">
        <v>3213</v>
      </c>
      <c r="R62" t="b">
        <f t="shared" si="2"/>
        <v>1</v>
      </c>
      <c r="S62" t="s">
        <v>177</v>
      </c>
      <c r="T62" t="b">
        <f t="shared" si="3"/>
        <v>1</v>
      </c>
      <c r="U62">
        <v>2594336</v>
      </c>
      <c r="V62" t="b">
        <f t="shared" si="4"/>
        <v>1</v>
      </c>
      <c r="W62" t="s">
        <v>178</v>
      </c>
      <c r="X62" t="b">
        <f t="shared" si="5"/>
        <v>1</v>
      </c>
      <c r="Y62" t="s">
        <v>26</v>
      </c>
      <c r="Z62" t="b">
        <f t="shared" si="6"/>
        <v>1</v>
      </c>
    </row>
    <row r="63" spans="1:26" hidden="1" x14ac:dyDescent="0.25">
      <c r="A63" s="172">
        <v>60</v>
      </c>
      <c r="B63" s="172">
        <v>3214</v>
      </c>
      <c r="C63" s="173" t="s">
        <v>179</v>
      </c>
      <c r="D63" s="174">
        <v>1013.2</v>
      </c>
      <c r="E63" s="175">
        <v>0.4</v>
      </c>
      <c r="F63" s="175">
        <f t="shared" si="0"/>
        <v>405.28000000000003</v>
      </c>
      <c r="G63" s="175">
        <f t="shared" si="12"/>
        <v>405.28000000000003</v>
      </c>
      <c r="H63" s="175">
        <f t="shared" si="1"/>
        <v>0</v>
      </c>
      <c r="I63" s="172">
        <v>5168262</v>
      </c>
      <c r="J63" s="181" t="s">
        <v>180</v>
      </c>
      <c r="K63" s="179" t="s">
        <v>17</v>
      </c>
      <c r="L63" s="179" t="s">
        <v>18</v>
      </c>
      <c r="M63" s="172">
        <v>99895383</v>
      </c>
      <c r="N63" s="179"/>
      <c r="Q63">
        <v>3214</v>
      </c>
      <c r="R63" t="b">
        <f t="shared" si="2"/>
        <v>1</v>
      </c>
      <c r="S63" t="s">
        <v>179</v>
      </c>
      <c r="T63" t="b">
        <f t="shared" si="3"/>
        <v>1</v>
      </c>
      <c r="U63">
        <v>5168262</v>
      </c>
      <c r="V63" t="b">
        <f t="shared" si="4"/>
        <v>1</v>
      </c>
      <c r="W63" t="s">
        <v>180</v>
      </c>
      <c r="X63" t="b">
        <f t="shared" si="5"/>
        <v>1</v>
      </c>
      <c r="Y63" t="s">
        <v>18</v>
      </c>
      <c r="Z63" t="b">
        <f t="shared" si="6"/>
        <v>1</v>
      </c>
    </row>
    <row r="64" spans="1:26" s="36" customFormat="1" hidden="1" x14ac:dyDescent="0.25">
      <c r="A64" s="27">
        <v>61</v>
      </c>
      <c r="B64" s="27">
        <v>3215</v>
      </c>
      <c r="C64" s="28" t="s">
        <v>181</v>
      </c>
      <c r="D64" s="29">
        <v>875.6</v>
      </c>
      <c r="E64" s="30">
        <v>0.4</v>
      </c>
      <c r="F64" s="30">
        <f t="shared" si="0"/>
        <v>350.24</v>
      </c>
      <c r="G64" s="30">
        <f>347.35+2.89</f>
        <v>350.24</v>
      </c>
      <c r="H64" s="30">
        <f t="shared" si="1"/>
        <v>0</v>
      </c>
      <c r="I64" s="32">
        <v>11684091</v>
      </c>
      <c r="J64" s="49" t="s">
        <v>182</v>
      </c>
      <c r="K64" s="31" t="s">
        <v>17</v>
      </c>
      <c r="L64" s="31" t="s">
        <v>18</v>
      </c>
      <c r="M64" s="27"/>
      <c r="N64" s="64">
        <v>45607</v>
      </c>
      <c r="Q64" s="36">
        <v>3215</v>
      </c>
      <c r="R64" s="36" t="b">
        <f t="shared" si="2"/>
        <v>1</v>
      </c>
      <c r="S64" s="36" t="s">
        <v>181</v>
      </c>
      <c r="T64" s="36" t="b">
        <f t="shared" si="3"/>
        <v>1</v>
      </c>
      <c r="U64" s="36">
        <v>11684091</v>
      </c>
      <c r="V64" s="36" t="b">
        <f t="shared" si="4"/>
        <v>1</v>
      </c>
      <c r="W64" s="36" t="s">
        <v>182</v>
      </c>
      <c r="X64" s="36" t="b">
        <f t="shared" si="5"/>
        <v>1</v>
      </c>
      <c r="Y64" s="36" t="s">
        <v>18</v>
      </c>
      <c r="Z64" s="36" t="b">
        <f t="shared" si="6"/>
        <v>1</v>
      </c>
    </row>
    <row r="65" spans="1:26" s="36" customFormat="1" hidden="1" x14ac:dyDescent="0.25">
      <c r="A65" s="27">
        <v>62</v>
      </c>
      <c r="B65" s="27">
        <v>3216</v>
      </c>
      <c r="C65" s="28" t="s">
        <v>23</v>
      </c>
      <c r="D65" s="29">
        <v>1036.7</v>
      </c>
      <c r="E65" s="30">
        <v>0.4</v>
      </c>
      <c r="F65" s="30">
        <f t="shared" si="0"/>
        <v>414.68000000000006</v>
      </c>
      <c r="G65" s="30">
        <f>413.99+0.69</f>
        <v>414.68</v>
      </c>
      <c r="H65" s="30">
        <f t="shared" si="1"/>
        <v>0</v>
      </c>
      <c r="I65" s="65">
        <v>18715567</v>
      </c>
      <c r="J65" s="66" t="s">
        <v>24</v>
      </c>
      <c r="K65" s="52" t="s">
        <v>25</v>
      </c>
      <c r="L65" s="66" t="s">
        <v>26</v>
      </c>
      <c r="M65" s="27">
        <v>77279900</v>
      </c>
      <c r="N65" s="64">
        <v>45582</v>
      </c>
      <c r="O65" s="156">
        <v>45602</v>
      </c>
      <c r="P65" s="156"/>
      <c r="Q65" s="36">
        <v>3216</v>
      </c>
      <c r="R65" s="36" t="b">
        <f t="shared" si="2"/>
        <v>1</v>
      </c>
      <c r="S65" s="36" t="s">
        <v>23</v>
      </c>
      <c r="T65" s="36" t="b">
        <f t="shared" si="3"/>
        <v>1</v>
      </c>
      <c r="U65" s="36">
        <v>18715567</v>
      </c>
      <c r="V65" s="36" t="b">
        <f t="shared" si="4"/>
        <v>1</v>
      </c>
      <c r="W65" s="36" t="s">
        <v>24</v>
      </c>
      <c r="X65" s="36" t="b">
        <f t="shared" si="5"/>
        <v>1</v>
      </c>
      <c r="Y65" s="36" t="s">
        <v>26</v>
      </c>
      <c r="Z65" s="36" t="b">
        <f t="shared" si="6"/>
        <v>1</v>
      </c>
    </row>
    <row r="66" spans="1:26" hidden="1" x14ac:dyDescent="0.25">
      <c r="A66" s="172">
        <v>63</v>
      </c>
      <c r="B66" s="172">
        <v>3217</v>
      </c>
      <c r="C66" s="173" t="s">
        <v>183</v>
      </c>
      <c r="D66" s="174">
        <v>371.8</v>
      </c>
      <c r="E66" s="175">
        <v>0.4</v>
      </c>
      <c r="F66" s="175">
        <f t="shared" si="0"/>
        <v>148.72</v>
      </c>
      <c r="G66" s="175">
        <f>F66</f>
        <v>148.72</v>
      </c>
      <c r="H66" s="175">
        <f t="shared" si="1"/>
        <v>0</v>
      </c>
      <c r="I66" s="172">
        <v>1568196</v>
      </c>
      <c r="J66" s="181" t="s">
        <v>184</v>
      </c>
      <c r="K66" s="179" t="s">
        <v>134</v>
      </c>
      <c r="L66" s="178" t="s">
        <v>135</v>
      </c>
      <c r="M66" s="172">
        <v>99494635</v>
      </c>
      <c r="N66" s="179"/>
      <c r="Q66">
        <v>3217</v>
      </c>
      <c r="R66" t="b">
        <f t="shared" si="2"/>
        <v>1</v>
      </c>
      <c r="S66" t="s">
        <v>183</v>
      </c>
      <c r="T66" t="b">
        <f t="shared" si="3"/>
        <v>1</v>
      </c>
      <c r="U66">
        <v>1568196</v>
      </c>
      <c r="V66" t="b">
        <f t="shared" si="4"/>
        <v>1</v>
      </c>
      <c r="W66" t="s">
        <v>184</v>
      </c>
      <c r="X66" t="b">
        <f t="shared" si="5"/>
        <v>1</v>
      </c>
      <c r="Y66" t="s">
        <v>135</v>
      </c>
      <c r="Z66" t="b">
        <f t="shared" si="6"/>
        <v>1</v>
      </c>
    </row>
    <row r="67" spans="1:26" s="36" customFormat="1" hidden="1" x14ac:dyDescent="0.25">
      <c r="A67" s="27">
        <v>64</v>
      </c>
      <c r="B67" s="27">
        <v>3219</v>
      </c>
      <c r="C67" s="28" t="s">
        <v>185</v>
      </c>
      <c r="D67" s="29">
        <v>1206.2</v>
      </c>
      <c r="E67" s="30">
        <v>0.4</v>
      </c>
      <c r="F67" s="30">
        <f t="shared" si="0"/>
        <v>482.48</v>
      </c>
      <c r="G67" s="30">
        <f>146.17+145.5+189.6+1.21</f>
        <v>482.47999999999996</v>
      </c>
      <c r="H67" s="30">
        <f t="shared" si="1"/>
        <v>0</v>
      </c>
      <c r="I67" s="65">
        <v>12398617</v>
      </c>
      <c r="J67" s="66" t="s">
        <v>186</v>
      </c>
      <c r="K67" s="52" t="s">
        <v>25</v>
      </c>
      <c r="L67" s="66" t="s">
        <v>26</v>
      </c>
      <c r="M67" s="27"/>
      <c r="N67" s="143" t="s">
        <v>718</v>
      </c>
      <c r="O67" s="156">
        <v>45602</v>
      </c>
      <c r="P67" s="156">
        <v>45607</v>
      </c>
      <c r="Q67" s="156">
        <v>3219</v>
      </c>
      <c r="R67" s="36" t="b">
        <f t="shared" si="2"/>
        <v>1</v>
      </c>
      <c r="S67" s="36" t="s">
        <v>185</v>
      </c>
      <c r="T67" s="36" t="b">
        <f t="shared" si="3"/>
        <v>1</v>
      </c>
      <c r="U67" s="36">
        <v>12398617</v>
      </c>
      <c r="V67" s="36" t="b">
        <f t="shared" si="4"/>
        <v>1</v>
      </c>
      <c r="W67" s="36" t="s">
        <v>186</v>
      </c>
      <c r="X67" s="36" t="b">
        <f t="shared" si="5"/>
        <v>1</v>
      </c>
      <c r="Y67" s="36" t="s">
        <v>26</v>
      </c>
      <c r="Z67" s="36" t="b">
        <f t="shared" si="6"/>
        <v>1</v>
      </c>
    </row>
    <row r="68" spans="1:26" hidden="1" x14ac:dyDescent="0.25">
      <c r="A68" s="172">
        <v>65</v>
      </c>
      <c r="B68" s="172">
        <v>3220</v>
      </c>
      <c r="C68" s="173" t="s">
        <v>187</v>
      </c>
      <c r="D68" s="174">
        <v>783</v>
      </c>
      <c r="E68" s="175">
        <v>0.4</v>
      </c>
      <c r="F68" s="175">
        <f t="shared" si="0"/>
        <v>313.20000000000005</v>
      </c>
      <c r="G68" s="175">
        <f>F68</f>
        <v>313.20000000000005</v>
      </c>
      <c r="H68" s="175">
        <f t="shared" si="1"/>
        <v>0</v>
      </c>
      <c r="I68" s="172">
        <v>5348311</v>
      </c>
      <c r="J68" s="181" t="s">
        <v>188</v>
      </c>
      <c r="K68" s="179" t="s">
        <v>17</v>
      </c>
      <c r="L68" s="179" t="s">
        <v>18</v>
      </c>
      <c r="M68" s="172">
        <v>96313636</v>
      </c>
      <c r="N68" s="187" t="s">
        <v>719</v>
      </c>
      <c r="Q68">
        <v>3220</v>
      </c>
      <c r="R68" t="b">
        <f t="shared" si="2"/>
        <v>1</v>
      </c>
      <c r="S68" t="s">
        <v>187</v>
      </c>
      <c r="T68" t="b">
        <f t="shared" si="3"/>
        <v>1</v>
      </c>
      <c r="U68">
        <v>5348311</v>
      </c>
      <c r="V68" t="b">
        <f t="shared" si="4"/>
        <v>1</v>
      </c>
      <c r="W68" t="s">
        <v>188</v>
      </c>
      <c r="X68" t="b">
        <f t="shared" si="5"/>
        <v>1</v>
      </c>
      <c r="Y68" t="s">
        <v>18</v>
      </c>
      <c r="Z68" t="b">
        <f t="shared" si="6"/>
        <v>1</v>
      </c>
    </row>
    <row r="69" spans="1:26" hidden="1" x14ac:dyDescent="0.25">
      <c r="A69" s="22">
        <v>66</v>
      </c>
      <c r="B69" s="22">
        <v>3221</v>
      </c>
      <c r="C69" s="23" t="s">
        <v>189</v>
      </c>
      <c r="D69" s="24">
        <v>378</v>
      </c>
      <c r="E69" s="25">
        <v>0.4</v>
      </c>
      <c r="F69" s="30">
        <f t="shared" ref="F69:F135" si="13">E69*D69</f>
        <v>151.20000000000002</v>
      </c>
      <c r="G69" s="30">
        <f>149.89+1.31</f>
        <v>151.19999999999999</v>
      </c>
      <c r="H69" s="30">
        <f t="shared" ref="H69:H132" si="14">F69-G69</f>
        <v>0</v>
      </c>
      <c r="I69" s="22">
        <v>13362673</v>
      </c>
      <c r="J69" s="216" t="s">
        <v>190</v>
      </c>
      <c r="K69" s="215" t="s">
        <v>25</v>
      </c>
      <c r="L69" s="214" t="s">
        <v>26</v>
      </c>
      <c r="M69" s="22">
        <v>92665337</v>
      </c>
      <c r="N69" s="143">
        <v>45630</v>
      </c>
      <c r="O69" s="146">
        <v>45665</v>
      </c>
      <c r="Q69">
        <v>3221</v>
      </c>
      <c r="R69" t="b">
        <f t="shared" ref="R69:R138" si="15">Q69=B69</f>
        <v>1</v>
      </c>
      <c r="S69" t="s">
        <v>189</v>
      </c>
      <c r="T69" t="b">
        <f t="shared" ref="T69:T133" si="16">S69=C69</f>
        <v>1</v>
      </c>
      <c r="U69">
        <v>13362673</v>
      </c>
      <c r="V69" t="b">
        <f t="shared" ref="V69:V133" si="17">U69=I69</f>
        <v>1</v>
      </c>
      <c r="W69" t="s">
        <v>190</v>
      </c>
      <c r="X69" t="b">
        <f t="shared" ref="X69:X133" si="18">W69=J69</f>
        <v>1</v>
      </c>
      <c r="Y69" t="s">
        <v>26</v>
      </c>
      <c r="Z69" t="b">
        <f t="shared" ref="Z69:Z133" si="19">Y69=L69</f>
        <v>1</v>
      </c>
    </row>
    <row r="70" spans="1:26" hidden="1" x14ac:dyDescent="0.25">
      <c r="A70" s="27">
        <v>67</v>
      </c>
      <c r="B70" s="27">
        <v>3222</v>
      </c>
      <c r="C70" s="28" t="s">
        <v>191</v>
      </c>
      <c r="D70" s="29">
        <v>577.5</v>
      </c>
      <c r="E70" s="30">
        <v>0.4</v>
      </c>
      <c r="F70" s="30">
        <f t="shared" si="13"/>
        <v>231</v>
      </c>
      <c r="G70" s="30">
        <f>F70</f>
        <v>231</v>
      </c>
      <c r="H70" s="30">
        <f t="shared" si="14"/>
        <v>0</v>
      </c>
      <c r="I70" s="27">
        <v>18091329</v>
      </c>
      <c r="J70" s="51" t="s">
        <v>192</v>
      </c>
      <c r="K70" s="31" t="s">
        <v>17</v>
      </c>
      <c r="L70" s="31" t="s">
        <v>18</v>
      </c>
      <c r="M70" s="27">
        <v>92197820</v>
      </c>
      <c r="N70" s="35">
        <v>45602</v>
      </c>
      <c r="Q70">
        <v>3222</v>
      </c>
      <c r="R70" t="b">
        <f t="shared" si="15"/>
        <v>1</v>
      </c>
      <c r="S70" t="s">
        <v>191</v>
      </c>
      <c r="T70" t="b">
        <f t="shared" si="16"/>
        <v>1</v>
      </c>
      <c r="U70">
        <v>18091329</v>
      </c>
      <c r="V70" t="b">
        <f t="shared" si="17"/>
        <v>1</v>
      </c>
      <c r="W70" t="s">
        <v>192</v>
      </c>
      <c r="X70" t="b">
        <f t="shared" si="18"/>
        <v>1</v>
      </c>
      <c r="Y70" t="s">
        <v>18</v>
      </c>
      <c r="Z70" t="b">
        <f t="shared" si="19"/>
        <v>1</v>
      </c>
    </row>
    <row r="71" spans="1:26" hidden="1" x14ac:dyDescent="0.25">
      <c r="A71" s="172">
        <v>68</v>
      </c>
      <c r="B71" s="172">
        <v>3223</v>
      </c>
      <c r="C71" s="173" t="s">
        <v>193</v>
      </c>
      <c r="D71" s="174">
        <v>367.3</v>
      </c>
      <c r="E71" s="175">
        <v>0.4</v>
      </c>
      <c r="F71" s="175">
        <f t="shared" si="13"/>
        <v>146.92000000000002</v>
      </c>
      <c r="G71" s="175">
        <f>F71</f>
        <v>146.92000000000002</v>
      </c>
      <c r="H71" s="175">
        <f t="shared" si="14"/>
        <v>0</v>
      </c>
      <c r="I71" s="172">
        <v>5334914</v>
      </c>
      <c r="J71" s="181" t="s">
        <v>194</v>
      </c>
      <c r="K71" s="179" t="s">
        <v>134</v>
      </c>
      <c r="L71" s="178" t="s">
        <v>135</v>
      </c>
      <c r="M71" s="172">
        <v>98800996</v>
      </c>
      <c r="N71" s="179"/>
      <c r="Q71">
        <v>3223</v>
      </c>
      <c r="R71" t="b">
        <f t="shared" si="15"/>
        <v>1</v>
      </c>
      <c r="S71" t="s">
        <v>193</v>
      </c>
      <c r="T71" t="b">
        <f t="shared" si="16"/>
        <v>1</v>
      </c>
      <c r="U71">
        <v>5334914</v>
      </c>
      <c r="V71" t="b">
        <f t="shared" si="17"/>
        <v>1</v>
      </c>
      <c r="W71" t="s">
        <v>194</v>
      </c>
      <c r="X71" t="b">
        <f t="shared" si="18"/>
        <v>1</v>
      </c>
      <c r="Y71" t="s">
        <v>135</v>
      </c>
      <c r="Z71" t="b">
        <f t="shared" si="19"/>
        <v>1</v>
      </c>
    </row>
    <row r="72" spans="1:26" hidden="1" x14ac:dyDescent="0.25">
      <c r="A72" s="27">
        <v>69</v>
      </c>
      <c r="B72" s="27">
        <v>3224</v>
      </c>
      <c r="C72" s="28" t="s">
        <v>195</v>
      </c>
      <c r="D72" s="29">
        <v>322.39999999999998</v>
      </c>
      <c r="E72" s="30">
        <v>0.4</v>
      </c>
      <c r="F72" s="30">
        <f t="shared" si="13"/>
        <v>128.96</v>
      </c>
      <c r="G72" s="30">
        <f>127.44+1.52</f>
        <v>128.96</v>
      </c>
      <c r="H72" s="30">
        <f t="shared" si="14"/>
        <v>0</v>
      </c>
      <c r="I72" s="27">
        <v>2066756</v>
      </c>
      <c r="J72" s="107" t="s">
        <v>196</v>
      </c>
      <c r="K72" s="31" t="s">
        <v>25</v>
      </c>
      <c r="L72" s="49" t="s">
        <v>26</v>
      </c>
      <c r="M72" s="27">
        <v>95316025</v>
      </c>
      <c r="N72" s="31"/>
      <c r="O72" s="146">
        <v>45615</v>
      </c>
      <c r="Q72">
        <v>3224</v>
      </c>
      <c r="R72" t="b">
        <f t="shared" si="15"/>
        <v>1</v>
      </c>
      <c r="S72" t="s">
        <v>195</v>
      </c>
      <c r="T72" t="b">
        <f t="shared" si="16"/>
        <v>1</v>
      </c>
      <c r="U72">
        <v>2066756</v>
      </c>
      <c r="V72" t="b">
        <f t="shared" si="17"/>
        <v>1</v>
      </c>
      <c r="W72" t="s">
        <v>196</v>
      </c>
      <c r="X72" t="b">
        <f t="shared" si="18"/>
        <v>1</v>
      </c>
      <c r="Y72" t="s">
        <v>26</v>
      </c>
      <c r="Z72" t="b">
        <f t="shared" si="19"/>
        <v>1</v>
      </c>
    </row>
    <row r="73" spans="1:26" hidden="1" x14ac:dyDescent="0.25">
      <c r="A73" s="27">
        <v>70</v>
      </c>
      <c r="B73" s="27">
        <v>3225</v>
      </c>
      <c r="C73" s="28" t="s">
        <v>197</v>
      </c>
      <c r="D73" s="29">
        <v>379.9</v>
      </c>
      <c r="E73" s="30">
        <v>0.4</v>
      </c>
      <c r="F73" s="30">
        <f t="shared" si="13"/>
        <v>151.96</v>
      </c>
      <c r="G73" s="30">
        <f>150.35+1.61</f>
        <v>151.96</v>
      </c>
      <c r="H73" s="30">
        <f t="shared" si="14"/>
        <v>0</v>
      </c>
      <c r="I73" s="65">
        <v>798637</v>
      </c>
      <c r="J73" s="66" t="s">
        <v>198</v>
      </c>
      <c r="K73" s="52" t="s">
        <v>25</v>
      </c>
      <c r="L73" s="66" t="s">
        <v>26</v>
      </c>
      <c r="M73" s="27"/>
      <c r="N73" s="35">
        <v>45615</v>
      </c>
      <c r="O73" t="s">
        <v>809</v>
      </c>
      <c r="Q73" s="50">
        <v>3225</v>
      </c>
      <c r="R73" t="b">
        <f t="shared" si="15"/>
        <v>1</v>
      </c>
      <c r="S73" t="s">
        <v>197</v>
      </c>
      <c r="T73" t="b">
        <f t="shared" si="16"/>
        <v>1</v>
      </c>
      <c r="U73">
        <v>798637</v>
      </c>
      <c r="V73" t="b">
        <f t="shared" si="17"/>
        <v>1</v>
      </c>
      <c r="W73" t="s">
        <v>198</v>
      </c>
      <c r="X73" t="b">
        <f t="shared" si="18"/>
        <v>1</v>
      </c>
      <c r="Y73" t="s">
        <v>26</v>
      </c>
      <c r="Z73" t="b">
        <f t="shared" si="19"/>
        <v>1</v>
      </c>
    </row>
    <row r="74" spans="1:26" hidden="1" x14ac:dyDescent="0.25">
      <c r="A74" s="27">
        <v>71</v>
      </c>
      <c r="B74" s="27">
        <v>3227</v>
      </c>
      <c r="C74" s="28" t="s">
        <v>787</v>
      </c>
      <c r="D74" s="29">
        <v>309.89999999999998</v>
      </c>
      <c r="E74" s="30">
        <v>0.4</v>
      </c>
      <c r="F74" s="30">
        <f t="shared" si="13"/>
        <v>123.96</v>
      </c>
      <c r="G74" s="30">
        <f>123.09+0.87</f>
        <v>123.96000000000001</v>
      </c>
      <c r="H74" s="30">
        <f t="shared" si="14"/>
        <v>0</v>
      </c>
      <c r="I74" s="65">
        <v>15214649</v>
      </c>
      <c r="J74" s="67" t="s">
        <v>199</v>
      </c>
      <c r="K74" s="52" t="s">
        <v>25</v>
      </c>
      <c r="L74" s="66" t="s">
        <v>26</v>
      </c>
      <c r="M74" s="27">
        <v>92171914</v>
      </c>
      <c r="N74" s="35">
        <v>45567</v>
      </c>
      <c r="O74" s="146">
        <v>45615</v>
      </c>
      <c r="Q74" s="50"/>
    </row>
    <row r="75" spans="1:26" hidden="1" x14ac:dyDescent="0.25">
      <c r="A75" s="172">
        <v>72</v>
      </c>
      <c r="B75" s="172">
        <v>3228</v>
      </c>
      <c r="C75" s="173" t="s">
        <v>200</v>
      </c>
      <c r="D75" s="174">
        <v>756</v>
      </c>
      <c r="E75" s="175">
        <v>0.4</v>
      </c>
      <c r="F75" s="175">
        <f t="shared" si="13"/>
        <v>302.40000000000003</v>
      </c>
      <c r="G75" s="175">
        <f t="shared" ref="G75:G77" si="20">F75</f>
        <v>302.40000000000003</v>
      </c>
      <c r="H75" s="175">
        <f t="shared" si="14"/>
        <v>0</v>
      </c>
      <c r="I75" s="172">
        <v>1307775</v>
      </c>
      <c r="J75" s="181" t="s">
        <v>201</v>
      </c>
      <c r="K75" s="179" t="s">
        <v>17</v>
      </c>
      <c r="L75" s="179" t="s">
        <v>18</v>
      </c>
      <c r="M75" s="172">
        <v>99484101</v>
      </c>
      <c r="N75" s="179"/>
      <c r="Q75">
        <v>3228</v>
      </c>
      <c r="R75" t="b">
        <f t="shared" si="15"/>
        <v>1</v>
      </c>
      <c r="S75" t="s">
        <v>200</v>
      </c>
      <c r="T75" t="b">
        <f t="shared" si="16"/>
        <v>1</v>
      </c>
      <c r="U75">
        <v>1307775</v>
      </c>
      <c r="V75" t="b">
        <f t="shared" si="17"/>
        <v>1</v>
      </c>
      <c r="W75" t="s">
        <v>201</v>
      </c>
      <c r="X75" t="b">
        <f t="shared" si="18"/>
        <v>1</v>
      </c>
      <c r="Y75" t="s">
        <v>18</v>
      </c>
      <c r="Z75" t="b">
        <f t="shared" si="19"/>
        <v>1</v>
      </c>
    </row>
    <row r="76" spans="1:26" hidden="1" x14ac:dyDescent="0.25">
      <c r="A76" s="172">
        <v>73</v>
      </c>
      <c r="B76" s="172">
        <v>3229</v>
      </c>
      <c r="C76" s="173" t="s">
        <v>202</v>
      </c>
      <c r="D76" s="174">
        <v>578</v>
      </c>
      <c r="E76" s="175">
        <v>0.4</v>
      </c>
      <c r="F76" s="175">
        <f t="shared" si="13"/>
        <v>231.20000000000002</v>
      </c>
      <c r="G76" s="175">
        <f t="shared" si="20"/>
        <v>231.20000000000002</v>
      </c>
      <c r="H76" s="175">
        <f t="shared" si="14"/>
        <v>0</v>
      </c>
      <c r="I76" s="172">
        <v>6370978</v>
      </c>
      <c r="J76" s="181" t="s">
        <v>203</v>
      </c>
      <c r="K76" s="177" t="s">
        <v>25</v>
      </c>
      <c r="L76" s="178" t="s">
        <v>26</v>
      </c>
      <c r="M76" s="172">
        <v>99485611</v>
      </c>
      <c r="N76" s="179"/>
      <c r="Q76">
        <v>3229</v>
      </c>
      <c r="R76" t="b">
        <f t="shared" si="15"/>
        <v>1</v>
      </c>
      <c r="S76" t="s">
        <v>202</v>
      </c>
      <c r="T76" t="b">
        <f t="shared" si="16"/>
        <v>1</v>
      </c>
      <c r="U76">
        <v>6370978</v>
      </c>
      <c r="V76" t="b">
        <f t="shared" si="17"/>
        <v>1</v>
      </c>
      <c r="W76" t="s">
        <v>203</v>
      </c>
      <c r="X76" t="b">
        <f t="shared" si="18"/>
        <v>1</v>
      </c>
      <c r="Y76" t="s">
        <v>26</v>
      </c>
      <c r="Z76" t="b">
        <f t="shared" si="19"/>
        <v>1</v>
      </c>
    </row>
    <row r="77" spans="1:26" hidden="1" x14ac:dyDescent="0.25">
      <c r="A77" s="172">
        <v>74</v>
      </c>
      <c r="B77" s="172">
        <v>3230</v>
      </c>
      <c r="C77" s="173" t="s">
        <v>204</v>
      </c>
      <c r="D77" s="174">
        <v>517.70000000000005</v>
      </c>
      <c r="E77" s="175">
        <v>0.4</v>
      </c>
      <c r="F77" s="175">
        <f t="shared" si="13"/>
        <v>207.08000000000004</v>
      </c>
      <c r="G77" s="175">
        <f t="shared" si="20"/>
        <v>207.08000000000004</v>
      </c>
      <c r="H77" s="175">
        <f t="shared" si="14"/>
        <v>0</v>
      </c>
      <c r="I77" s="172">
        <v>1968755</v>
      </c>
      <c r="J77" s="178" t="s">
        <v>205</v>
      </c>
      <c r="K77" s="177" t="s">
        <v>25</v>
      </c>
      <c r="L77" s="178" t="s">
        <v>26</v>
      </c>
      <c r="M77" s="172"/>
      <c r="N77" s="179"/>
      <c r="Q77">
        <v>3230</v>
      </c>
      <c r="R77" t="b">
        <f t="shared" si="15"/>
        <v>1</v>
      </c>
      <c r="S77" t="s">
        <v>204</v>
      </c>
      <c r="T77" t="b">
        <f t="shared" si="16"/>
        <v>1</v>
      </c>
      <c r="U77">
        <v>1968755</v>
      </c>
      <c r="V77" t="b">
        <f t="shared" si="17"/>
        <v>1</v>
      </c>
      <c r="W77" t="s">
        <v>205</v>
      </c>
      <c r="X77" t="b">
        <f t="shared" si="18"/>
        <v>1</v>
      </c>
      <c r="Y77" t="s">
        <v>26</v>
      </c>
      <c r="Z77" t="b">
        <f t="shared" si="19"/>
        <v>1</v>
      </c>
    </row>
    <row r="78" spans="1:26" hidden="1" x14ac:dyDescent="0.25">
      <c r="A78" s="27">
        <v>75</v>
      </c>
      <c r="B78" s="27">
        <v>3231</v>
      </c>
      <c r="C78" s="28" t="s">
        <v>206</v>
      </c>
      <c r="D78" s="29">
        <v>690.3</v>
      </c>
      <c r="E78" s="30">
        <v>0.4</v>
      </c>
      <c r="F78" s="30">
        <f t="shared" si="13"/>
        <v>276.12</v>
      </c>
      <c r="G78" s="30">
        <f>117.43+72.75+85.94</f>
        <v>276.12</v>
      </c>
      <c r="H78" s="30">
        <f t="shared" si="14"/>
        <v>0</v>
      </c>
      <c r="I78" s="27">
        <v>6203903</v>
      </c>
      <c r="J78" s="51" t="s">
        <v>207</v>
      </c>
      <c r="K78" s="31" t="s">
        <v>17</v>
      </c>
      <c r="L78" s="31" t="s">
        <v>18</v>
      </c>
      <c r="M78" s="27">
        <v>92535588</v>
      </c>
      <c r="N78" s="156">
        <v>45602</v>
      </c>
      <c r="O78" s="146">
        <v>45628</v>
      </c>
      <c r="P78" s="146">
        <v>45636</v>
      </c>
      <c r="Q78">
        <v>3231</v>
      </c>
      <c r="R78" t="b">
        <f t="shared" si="15"/>
        <v>1</v>
      </c>
      <c r="S78" t="s">
        <v>206</v>
      </c>
      <c r="T78" t="b">
        <f t="shared" si="16"/>
        <v>1</v>
      </c>
      <c r="U78">
        <v>6203903</v>
      </c>
      <c r="V78" t="b">
        <f t="shared" si="17"/>
        <v>1</v>
      </c>
      <c r="W78" t="s">
        <v>207</v>
      </c>
      <c r="X78" t="b">
        <f t="shared" si="18"/>
        <v>1</v>
      </c>
      <c r="Y78" t="s">
        <v>18</v>
      </c>
      <c r="Z78" t="b">
        <f t="shared" si="19"/>
        <v>1</v>
      </c>
    </row>
    <row r="79" spans="1:26" hidden="1" x14ac:dyDescent="0.25">
      <c r="A79" s="27">
        <v>76</v>
      </c>
      <c r="B79" s="27">
        <v>3232</v>
      </c>
      <c r="C79" s="28" t="s">
        <v>208</v>
      </c>
      <c r="D79" s="29">
        <v>366.2</v>
      </c>
      <c r="E79" s="30">
        <v>0.4</v>
      </c>
      <c r="F79" s="30">
        <f t="shared" si="13"/>
        <v>146.47999999999999</v>
      </c>
      <c r="G79" s="30">
        <f>145.5+0.98</f>
        <v>146.47999999999999</v>
      </c>
      <c r="H79" s="30">
        <f t="shared" si="14"/>
        <v>0</v>
      </c>
      <c r="I79" s="27">
        <v>6387264</v>
      </c>
      <c r="J79" s="66" t="s">
        <v>209</v>
      </c>
      <c r="K79" s="48" t="s">
        <v>210</v>
      </c>
      <c r="L79" s="66" t="s">
        <v>211</v>
      </c>
      <c r="M79" s="27">
        <v>96661076</v>
      </c>
      <c r="N79" s="35">
        <v>45615</v>
      </c>
      <c r="O79" s="171" t="s">
        <v>808</v>
      </c>
      <c r="Q79" s="50">
        <v>3232</v>
      </c>
      <c r="R79" t="b">
        <f t="shared" si="15"/>
        <v>1</v>
      </c>
      <c r="S79" t="s">
        <v>208</v>
      </c>
      <c r="T79" t="b">
        <f t="shared" si="16"/>
        <v>1</v>
      </c>
      <c r="U79">
        <v>6387264</v>
      </c>
      <c r="V79" t="b">
        <f t="shared" si="17"/>
        <v>1</v>
      </c>
      <c r="W79" t="s">
        <v>209</v>
      </c>
      <c r="X79" t="b">
        <f t="shared" si="18"/>
        <v>1</v>
      </c>
      <c r="Y79" t="s">
        <v>211</v>
      </c>
      <c r="Z79" t="b">
        <f t="shared" si="19"/>
        <v>1</v>
      </c>
    </row>
    <row r="80" spans="1:26" hidden="1" x14ac:dyDescent="0.25">
      <c r="A80" s="172">
        <v>77</v>
      </c>
      <c r="B80" s="172">
        <v>3234</v>
      </c>
      <c r="C80" s="173" t="s">
        <v>212</v>
      </c>
      <c r="D80" s="174">
        <v>776.6</v>
      </c>
      <c r="E80" s="175">
        <v>0.4</v>
      </c>
      <c r="F80" s="175">
        <f t="shared" si="13"/>
        <v>310.64000000000004</v>
      </c>
      <c r="G80" s="175">
        <f>F80</f>
        <v>310.64000000000004</v>
      </c>
      <c r="H80" s="175">
        <f t="shared" si="14"/>
        <v>0</v>
      </c>
      <c r="I80" s="172">
        <v>21834239</v>
      </c>
      <c r="J80" s="181" t="s">
        <v>213</v>
      </c>
      <c r="K80" s="177" t="s">
        <v>25</v>
      </c>
      <c r="L80" s="178" t="s">
        <v>26</v>
      </c>
      <c r="M80" s="172">
        <v>98135444</v>
      </c>
      <c r="N80" s="179"/>
      <c r="Q80">
        <v>3234</v>
      </c>
      <c r="R80" t="b">
        <f t="shared" si="15"/>
        <v>1</v>
      </c>
      <c r="S80" t="s">
        <v>212</v>
      </c>
      <c r="T80" t="b">
        <f t="shared" si="16"/>
        <v>1</v>
      </c>
      <c r="U80">
        <v>21834239</v>
      </c>
      <c r="V80" t="b">
        <f t="shared" si="17"/>
        <v>1</v>
      </c>
      <c r="W80" t="s">
        <v>213</v>
      </c>
      <c r="X80" t="b">
        <f t="shared" si="18"/>
        <v>1</v>
      </c>
      <c r="Y80" t="s">
        <v>26</v>
      </c>
      <c r="Z80" t="b">
        <f t="shared" si="19"/>
        <v>1</v>
      </c>
    </row>
    <row r="81" spans="1:26" x14ac:dyDescent="0.25">
      <c r="A81" s="22">
        <v>78</v>
      </c>
      <c r="B81" s="22">
        <v>3235</v>
      </c>
      <c r="C81" s="23" t="s">
        <v>214</v>
      </c>
      <c r="D81" s="24">
        <v>766.2</v>
      </c>
      <c r="E81" s="25">
        <v>0.4</v>
      </c>
      <c r="F81" s="30">
        <f t="shared" si="13"/>
        <v>306.48</v>
      </c>
      <c r="G81" s="30">
        <f>306.28+0.2</f>
        <v>306.47999999999996</v>
      </c>
      <c r="H81" s="30">
        <f t="shared" si="14"/>
        <v>0</v>
      </c>
      <c r="I81" s="22">
        <v>1234245</v>
      </c>
      <c r="J81" s="216" t="s">
        <v>215</v>
      </c>
      <c r="K81" s="26" t="s">
        <v>75</v>
      </c>
      <c r="L81" s="214" t="s">
        <v>76</v>
      </c>
      <c r="M81" s="22">
        <v>99487759</v>
      </c>
      <c r="N81" s="143">
        <v>45578</v>
      </c>
      <c r="Q81">
        <v>3235</v>
      </c>
      <c r="R81" t="b">
        <f t="shared" si="15"/>
        <v>1</v>
      </c>
      <c r="S81" t="s">
        <v>214</v>
      </c>
      <c r="T81" t="b">
        <f t="shared" si="16"/>
        <v>1</v>
      </c>
      <c r="U81">
        <v>1234245</v>
      </c>
      <c r="V81" t="b">
        <f t="shared" si="17"/>
        <v>1</v>
      </c>
      <c r="W81" t="s">
        <v>215</v>
      </c>
      <c r="X81" t="b">
        <f t="shared" si="18"/>
        <v>1</v>
      </c>
      <c r="Y81" t="s">
        <v>76</v>
      </c>
      <c r="Z81" t="b">
        <f t="shared" si="19"/>
        <v>1</v>
      </c>
    </row>
    <row r="82" spans="1:26" hidden="1" x14ac:dyDescent="0.25">
      <c r="A82" s="27">
        <v>79</v>
      </c>
      <c r="B82" s="27">
        <v>3236</v>
      </c>
      <c r="C82" s="28" t="s">
        <v>216</v>
      </c>
      <c r="D82" s="29">
        <v>350.3</v>
      </c>
      <c r="E82" s="30">
        <v>0.4</v>
      </c>
      <c r="F82" s="30">
        <f t="shared" si="13"/>
        <v>140.12</v>
      </c>
      <c r="G82" s="30">
        <f>137.14+2.98</f>
        <v>140.11999999999998</v>
      </c>
      <c r="H82" s="30">
        <f t="shared" si="14"/>
        <v>0</v>
      </c>
      <c r="I82" s="65">
        <v>6733333</v>
      </c>
      <c r="J82" s="66" t="s">
        <v>217</v>
      </c>
      <c r="K82" s="48" t="s">
        <v>25</v>
      </c>
      <c r="L82" s="66" t="s">
        <v>26</v>
      </c>
      <c r="M82" s="27"/>
      <c r="N82" s="35">
        <v>45567</v>
      </c>
      <c r="O82" s="146">
        <v>45602</v>
      </c>
      <c r="P82" s="146"/>
      <c r="Q82">
        <v>3236</v>
      </c>
      <c r="R82" t="b">
        <f t="shared" si="15"/>
        <v>1</v>
      </c>
      <c r="S82" t="s">
        <v>216</v>
      </c>
      <c r="T82" t="b">
        <f t="shared" si="16"/>
        <v>1</v>
      </c>
      <c r="U82">
        <v>6733333</v>
      </c>
      <c r="V82" t="b">
        <f t="shared" si="17"/>
        <v>1</v>
      </c>
      <c r="W82" t="s">
        <v>217</v>
      </c>
      <c r="X82" t="b">
        <f t="shared" si="18"/>
        <v>1</v>
      </c>
      <c r="Y82" t="s">
        <v>26</v>
      </c>
      <c r="Z82" t="b">
        <f t="shared" si="19"/>
        <v>1</v>
      </c>
    </row>
    <row r="83" spans="1:26" hidden="1" x14ac:dyDescent="0.25">
      <c r="A83" s="27">
        <v>80</v>
      </c>
      <c r="B83" s="27">
        <v>3237</v>
      </c>
      <c r="C83" s="28" t="s">
        <v>218</v>
      </c>
      <c r="D83" s="29">
        <v>949.1</v>
      </c>
      <c r="E83" s="30">
        <v>0.4</v>
      </c>
      <c r="F83" s="30">
        <f t="shared" si="13"/>
        <v>379.64000000000004</v>
      </c>
      <c r="G83" s="30">
        <f>378.98+0.66</f>
        <v>379.64000000000004</v>
      </c>
      <c r="H83" s="30">
        <f t="shared" si="14"/>
        <v>0</v>
      </c>
      <c r="I83" s="27">
        <v>873637</v>
      </c>
      <c r="J83" s="49" t="s">
        <v>219</v>
      </c>
      <c r="K83" s="31" t="s">
        <v>43</v>
      </c>
      <c r="L83" s="49" t="s">
        <v>44</v>
      </c>
      <c r="M83" s="27">
        <v>97659667</v>
      </c>
      <c r="N83" s="35">
        <v>45580</v>
      </c>
      <c r="O83" s="146">
        <v>45602</v>
      </c>
      <c r="P83" s="146"/>
      <c r="Q83">
        <v>3237</v>
      </c>
      <c r="R83" t="b">
        <f t="shared" si="15"/>
        <v>1</v>
      </c>
      <c r="S83" t="s">
        <v>218</v>
      </c>
      <c r="T83" t="b">
        <f t="shared" si="16"/>
        <v>1</v>
      </c>
      <c r="U83">
        <v>873637</v>
      </c>
      <c r="V83" t="b">
        <f t="shared" si="17"/>
        <v>1</v>
      </c>
      <c r="W83" t="s">
        <v>219</v>
      </c>
      <c r="X83" t="b">
        <f t="shared" si="18"/>
        <v>1</v>
      </c>
      <c r="Y83" t="s">
        <v>44</v>
      </c>
      <c r="Z83" t="b">
        <f t="shared" si="19"/>
        <v>1</v>
      </c>
    </row>
    <row r="84" spans="1:26" hidden="1" x14ac:dyDescent="0.25">
      <c r="A84" s="172">
        <v>81</v>
      </c>
      <c r="B84" s="172">
        <v>3238</v>
      </c>
      <c r="C84" s="173" t="s">
        <v>220</v>
      </c>
      <c r="D84" s="174">
        <v>49.1</v>
      </c>
      <c r="E84" s="175">
        <v>0.4</v>
      </c>
      <c r="F84" s="175">
        <f t="shared" si="13"/>
        <v>19.64</v>
      </c>
      <c r="G84" s="175">
        <f>F84</f>
        <v>19.64</v>
      </c>
      <c r="H84" s="175">
        <f t="shared" si="14"/>
        <v>0</v>
      </c>
      <c r="I84" s="183">
        <v>5361082</v>
      </c>
      <c r="J84" s="188" t="s">
        <v>221</v>
      </c>
      <c r="K84" s="189" t="s">
        <v>25</v>
      </c>
      <c r="L84" s="184" t="s">
        <v>26</v>
      </c>
      <c r="M84" s="172"/>
      <c r="N84" s="190">
        <v>44621</v>
      </c>
      <c r="Q84" s="50">
        <v>3238</v>
      </c>
      <c r="R84" t="b">
        <f t="shared" si="15"/>
        <v>1</v>
      </c>
      <c r="S84" t="s">
        <v>220</v>
      </c>
      <c r="T84" t="b">
        <f t="shared" si="16"/>
        <v>1</v>
      </c>
      <c r="U84">
        <v>5361082</v>
      </c>
      <c r="V84" t="b">
        <f t="shared" si="17"/>
        <v>1</v>
      </c>
      <c r="W84" s="63" t="s">
        <v>221</v>
      </c>
      <c r="X84" t="b">
        <f t="shared" si="18"/>
        <v>1</v>
      </c>
      <c r="Y84" t="s">
        <v>26</v>
      </c>
      <c r="Z84" t="b">
        <f t="shared" si="19"/>
        <v>1</v>
      </c>
    </row>
    <row r="85" spans="1:26" hidden="1" x14ac:dyDescent="0.25">
      <c r="A85" s="27">
        <v>82</v>
      </c>
      <c r="B85" s="27">
        <v>3239</v>
      </c>
      <c r="C85" s="28" t="s">
        <v>222</v>
      </c>
      <c r="D85" s="29">
        <v>711.7</v>
      </c>
      <c r="E85" s="30">
        <v>0.4</v>
      </c>
      <c r="F85" s="30">
        <f t="shared" si="13"/>
        <v>284.68</v>
      </c>
      <c r="G85" s="30">
        <f>230.88+53.8</f>
        <v>284.68</v>
      </c>
      <c r="H85" s="30">
        <f t="shared" si="14"/>
        <v>0</v>
      </c>
      <c r="I85" s="27">
        <v>14379226</v>
      </c>
      <c r="J85" s="51" t="s">
        <v>223</v>
      </c>
      <c r="K85" s="48" t="s">
        <v>25</v>
      </c>
      <c r="L85" s="49" t="s">
        <v>26</v>
      </c>
      <c r="M85" s="27">
        <v>92385524</v>
      </c>
      <c r="N85" s="31" t="s">
        <v>786</v>
      </c>
      <c r="O85" s="146">
        <v>45628</v>
      </c>
      <c r="Q85">
        <v>3239</v>
      </c>
      <c r="R85" t="b">
        <f t="shared" si="15"/>
        <v>1</v>
      </c>
      <c r="S85" t="s">
        <v>222</v>
      </c>
      <c r="T85" t="b">
        <f t="shared" si="16"/>
        <v>1</v>
      </c>
      <c r="U85">
        <v>14379226</v>
      </c>
      <c r="V85" t="b">
        <f t="shared" si="17"/>
        <v>1</v>
      </c>
      <c r="W85" t="s">
        <v>223</v>
      </c>
      <c r="X85" t="b">
        <f t="shared" si="18"/>
        <v>1</v>
      </c>
      <c r="Y85" t="s">
        <v>26</v>
      </c>
      <c r="Z85" t="b">
        <f t="shared" si="19"/>
        <v>1</v>
      </c>
    </row>
    <row r="86" spans="1:26" hidden="1" x14ac:dyDescent="0.25">
      <c r="A86" s="27">
        <v>83</v>
      </c>
      <c r="B86" s="27">
        <v>3240</v>
      </c>
      <c r="C86" s="28" t="s">
        <v>224</v>
      </c>
      <c r="D86" s="29">
        <v>751.1</v>
      </c>
      <c r="E86" s="30">
        <v>0.4</v>
      </c>
      <c r="F86" s="30">
        <f t="shared" si="13"/>
        <v>300.44</v>
      </c>
      <c r="G86" s="30">
        <f>F86</f>
        <v>300.44</v>
      </c>
      <c r="H86" s="30">
        <f t="shared" si="14"/>
        <v>0</v>
      </c>
      <c r="I86" s="27">
        <v>5622856</v>
      </c>
      <c r="J86" s="51" t="s">
        <v>225</v>
      </c>
      <c r="K86" s="31" t="s">
        <v>134</v>
      </c>
      <c r="L86" s="49" t="s">
        <v>135</v>
      </c>
      <c r="M86" s="27">
        <v>92400553</v>
      </c>
      <c r="N86" s="31"/>
      <c r="Q86">
        <v>3240</v>
      </c>
      <c r="R86" t="b">
        <f t="shared" si="15"/>
        <v>1</v>
      </c>
      <c r="S86" t="s">
        <v>224</v>
      </c>
      <c r="T86" t="b">
        <f t="shared" si="16"/>
        <v>1</v>
      </c>
      <c r="U86">
        <v>5622856</v>
      </c>
      <c r="V86" t="b">
        <f t="shared" si="17"/>
        <v>1</v>
      </c>
      <c r="W86" t="s">
        <v>225</v>
      </c>
      <c r="X86" t="b">
        <f t="shared" si="18"/>
        <v>1</v>
      </c>
      <c r="Y86" t="s">
        <v>135</v>
      </c>
      <c r="Z86" t="b">
        <f t="shared" si="19"/>
        <v>1</v>
      </c>
    </row>
    <row r="87" spans="1:26" hidden="1" x14ac:dyDescent="0.25">
      <c r="A87" s="172">
        <v>84</v>
      </c>
      <c r="B87" s="172">
        <v>3241</v>
      </c>
      <c r="C87" s="173" t="s">
        <v>227</v>
      </c>
      <c r="D87" s="174">
        <v>398.9</v>
      </c>
      <c r="E87" s="175">
        <v>0.4</v>
      </c>
      <c r="F87" s="175">
        <f t="shared" si="13"/>
        <v>159.56</v>
      </c>
      <c r="G87" s="175">
        <f>F87</f>
        <v>159.56</v>
      </c>
      <c r="H87" s="175">
        <f t="shared" si="14"/>
        <v>0</v>
      </c>
      <c r="I87" s="172">
        <v>21125518</v>
      </c>
      <c r="J87" s="181" t="s">
        <v>228</v>
      </c>
      <c r="K87" s="177" t="s">
        <v>25</v>
      </c>
      <c r="L87" s="178" t="s">
        <v>26</v>
      </c>
      <c r="M87" s="172">
        <v>99508853</v>
      </c>
      <c r="N87" s="179"/>
      <c r="Q87">
        <v>3241</v>
      </c>
      <c r="R87" t="b">
        <f t="shared" si="15"/>
        <v>1</v>
      </c>
      <c r="S87" t="s">
        <v>227</v>
      </c>
      <c r="T87" t="b">
        <f t="shared" si="16"/>
        <v>1</v>
      </c>
      <c r="U87">
        <v>21125518</v>
      </c>
      <c r="V87" t="b">
        <f t="shared" si="17"/>
        <v>1</v>
      </c>
      <c r="W87" t="s">
        <v>228</v>
      </c>
      <c r="X87" t="b">
        <f t="shared" si="18"/>
        <v>1</v>
      </c>
      <c r="Y87" t="s">
        <v>26</v>
      </c>
      <c r="Z87" t="b">
        <f t="shared" si="19"/>
        <v>1</v>
      </c>
    </row>
    <row r="88" spans="1:26" hidden="1" x14ac:dyDescent="0.25">
      <c r="A88" s="27">
        <v>85</v>
      </c>
      <c r="B88" s="27">
        <v>3243</v>
      </c>
      <c r="C88" s="28" t="s">
        <v>229</v>
      </c>
      <c r="D88" s="29">
        <v>402.6</v>
      </c>
      <c r="E88" s="30">
        <v>0.4</v>
      </c>
      <c r="F88" s="30">
        <f t="shared" si="13"/>
        <v>161.04000000000002</v>
      </c>
      <c r="G88" s="30">
        <f>160.5+0.54</f>
        <v>161.04</v>
      </c>
      <c r="H88" s="30">
        <f t="shared" si="14"/>
        <v>0</v>
      </c>
      <c r="I88" s="27">
        <v>25887256</v>
      </c>
      <c r="J88" s="51" t="s">
        <v>230</v>
      </c>
      <c r="K88" s="48" t="s">
        <v>25</v>
      </c>
      <c r="L88" s="49" t="s">
        <v>26</v>
      </c>
      <c r="M88" s="27">
        <v>93271871</v>
      </c>
      <c r="N88" s="156">
        <v>45602</v>
      </c>
      <c r="O88" s="146">
        <v>45615</v>
      </c>
      <c r="Q88">
        <v>3243</v>
      </c>
      <c r="R88" t="b">
        <f t="shared" si="15"/>
        <v>1</v>
      </c>
      <c r="S88" t="s">
        <v>229</v>
      </c>
      <c r="T88" t="b">
        <f t="shared" si="16"/>
        <v>1</v>
      </c>
      <c r="U88">
        <v>25887256</v>
      </c>
      <c r="V88" t="b">
        <f t="shared" si="17"/>
        <v>1</v>
      </c>
      <c r="W88" t="s">
        <v>230</v>
      </c>
      <c r="X88" t="b">
        <f t="shared" si="18"/>
        <v>1</v>
      </c>
      <c r="Y88" t="s">
        <v>26</v>
      </c>
      <c r="Z88" t="b">
        <f t="shared" si="19"/>
        <v>1</v>
      </c>
    </row>
    <row r="89" spans="1:26" hidden="1" x14ac:dyDescent="0.25">
      <c r="A89" s="172">
        <v>86</v>
      </c>
      <c r="B89" s="172">
        <v>3244</v>
      </c>
      <c r="C89" s="173" t="s">
        <v>232</v>
      </c>
      <c r="D89" s="174">
        <v>314.3</v>
      </c>
      <c r="E89" s="175">
        <v>0.4</v>
      </c>
      <c r="F89" s="175">
        <f t="shared" si="13"/>
        <v>125.72000000000001</v>
      </c>
      <c r="G89" s="175">
        <f>F89</f>
        <v>125.72000000000001</v>
      </c>
      <c r="H89" s="175">
        <f t="shared" si="14"/>
        <v>0</v>
      </c>
      <c r="I89" s="172">
        <v>19340943</v>
      </c>
      <c r="J89" s="181" t="s">
        <v>233</v>
      </c>
      <c r="K89" s="177" t="s">
        <v>25</v>
      </c>
      <c r="L89" s="178" t="s">
        <v>26</v>
      </c>
      <c r="M89" s="172">
        <v>92594446</v>
      </c>
      <c r="N89" s="179"/>
      <c r="Q89">
        <v>3244</v>
      </c>
      <c r="R89" t="b">
        <f t="shared" si="15"/>
        <v>1</v>
      </c>
      <c r="S89" t="s">
        <v>232</v>
      </c>
      <c r="T89" t="b">
        <f t="shared" si="16"/>
        <v>1</v>
      </c>
      <c r="U89">
        <v>19340943</v>
      </c>
      <c r="V89" t="b">
        <f t="shared" si="17"/>
        <v>1</v>
      </c>
      <c r="W89" t="s">
        <v>233</v>
      </c>
      <c r="X89" t="b">
        <f t="shared" si="18"/>
        <v>1</v>
      </c>
      <c r="Y89" t="s">
        <v>26</v>
      </c>
      <c r="Z89" t="b">
        <f t="shared" si="19"/>
        <v>1</v>
      </c>
    </row>
    <row r="90" spans="1:26" hidden="1" x14ac:dyDescent="0.25">
      <c r="A90" s="27">
        <v>87</v>
      </c>
      <c r="B90" s="27">
        <v>3245</v>
      </c>
      <c r="C90" s="28" t="s">
        <v>234</v>
      </c>
      <c r="D90" s="29">
        <v>321</v>
      </c>
      <c r="E90" s="30">
        <v>0.4</v>
      </c>
      <c r="F90" s="30">
        <f t="shared" si="13"/>
        <v>128.4</v>
      </c>
      <c r="G90" s="30">
        <f>125.57+2.83</f>
        <v>128.4</v>
      </c>
      <c r="H90" s="30">
        <f t="shared" si="14"/>
        <v>0</v>
      </c>
      <c r="I90" s="68" t="s">
        <v>235</v>
      </c>
      <c r="J90" s="49" t="s">
        <v>236</v>
      </c>
      <c r="K90" s="31" t="s">
        <v>43</v>
      </c>
      <c r="L90" s="49" t="s">
        <v>44</v>
      </c>
      <c r="M90" s="27">
        <v>99699068</v>
      </c>
      <c r="N90" s="35">
        <v>45567</v>
      </c>
      <c r="O90" s="146">
        <v>45602</v>
      </c>
      <c r="P90" s="146"/>
      <c r="Q90">
        <v>3245</v>
      </c>
      <c r="R90" t="b">
        <f t="shared" si="15"/>
        <v>1</v>
      </c>
      <c r="S90" t="s">
        <v>234</v>
      </c>
      <c r="T90" t="b">
        <f t="shared" si="16"/>
        <v>1</v>
      </c>
      <c r="U90" t="s">
        <v>235</v>
      </c>
      <c r="V90" t="b">
        <f t="shared" si="17"/>
        <v>1</v>
      </c>
      <c r="W90" t="s">
        <v>236</v>
      </c>
      <c r="X90" t="b">
        <f t="shared" si="18"/>
        <v>1</v>
      </c>
      <c r="Y90" t="s">
        <v>44</v>
      </c>
      <c r="Z90" t="b">
        <f t="shared" si="19"/>
        <v>1</v>
      </c>
    </row>
    <row r="91" spans="1:26" hidden="1" x14ac:dyDescent="0.25">
      <c r="A91" s="27">
        <v>88</v>
      </c>
      <c r="B91" s="27">
        <v>3246</v>
      </c>
      <c r="C91" s="28" t="s">
        <v>237</v>
      </c>
      <c r="D91" s="29">
        <v>323</v>
      </c>
      <c r="E91" s="30">
        <v>0.4</v>
      </c>
      <c r="F91" s="30">
        <f t="shared" si="13"/>
        <v>129.20000000000002</v>
      </c>
      <c r="G91" s="30">
        <f>126.1+3.1</f>
        <v>129.19999999999999</v>
      </c>
      <c r="H91" s="30">
        <f t="shared" si="14"/>
        <v>0</v>
      </c>
      <c r="I91" s="27">
        <v>662648</v>
      </c>
      <c r="J91" s="51" t="s">
        <v>238</v>
      </c>
      <c r="K91" s="48" t="s">
        <v>25</v>
      </c>
      <c r="L91" s="49" t="s">
        <v>26</v>
      </c>
      <c r="M91" s="27">
        <v>99498382</v>
      </c>
      <c r="N91" s="35" t="s">
        <v>818</v>
      </c>
      <c r="Q91">
        <v>3246</v>
      </c>
      <c r="R91" t="b">
        <f t="shared" si="15"/>
        <v>1</v>
      </c>
      <c r="S91" t="s">
        <v>237</v>
      </c>
      <c r="T91" t="b">
        <f t="shared" si="16"/>
        <v>1</v>
      </c>
      <c r="U91">
        <v>662648</v>
      </c>
      <c r="V91" t="b">
        <f t="shared" si="17"/>
        <v>1</v>
      </c>
      <c r="W91" t="s">
        <v>238</v>
      </c>
      <c r="X91" t="b">
        <f t="shared" si="18"/>
        <v>1</v>
      </c>
      <c r="Y91" t="s">
        <v>26</v>
      </c>
      <c r="Z91" t="b">
        <f t="shared" si="19"/>
        <v>1</v>
      </c>
    </row>
    <row r="92" spans="1:26" hidden="1" x14ac:dyDescent="0.25">
      <c r="A92" s="27">
        <v>89</v>
      </c>
      <c r="B92" s="27">
        <v>3247</v>
      </c>
      <c r="C92" s="28" t="s">
        <v>239</v>
      </c>
      <c r="D92" s="29">
        <v>349.5</v>
      </c>
      <c r="E92" s="30">
        <v>0.4</v>
      </c>
      <c r="F92" s="30">
        <f t="shared" si="13"/>
        <v>139.80000000000001</v>
      </c>
      <c r="G92" s="30">
        <f>135.8</f>
        <v>135.80000000000001</v>
      </c>
      <c r="H92" s="30">
        <f>F92-G92-4</f>
        <v>0</v>
      </c>
      <c r="I92" s="27">
        <v>6457783</v>
      </c>
      <c r="J92" s="49" t="s">
        <v>240</v>
      </c>
      <c r="K92" s="48" t="s">
        <v>25</v>
      </c>
      <c r="L92" s="49" t="s">
        <v>26</v>
      </c>
      <c r="M92" s="27">
        <v>92594442</v>
      </c>
      <c r="N92" s="35" t="s">
        <v>817</v>
      </c>
      <c r="Q92">
        <v>3247</v>
      </c>
      <c r="R92" t="b">
        <f t="shared" si="15"/>
        <v>1</v>
      </c>
      <c r="S92" t="s">
        <v>239</v>
      </c>
      <c r="T92" t="b">
        <f t="shared" si="16"/>
        <v>1</v>
      </c>
      <c r="U92">
        <v>6457783</v>
      </c>
      <c r="V92" t="b">
        <f t="shared" si="17"/>
        <v>1</v>
      </c>
      <c r="W92" t="s">
        <v>240</v>
      </c>
      <c r="X92" t="b">
        <f t="shared" si="18"/>
        <v>1</v>
      </c>
      <c r="Y92" t="s">
        <v>26</v>
      </c>
      <c r="Z92" t="b">
        <f t="shared" si="19"/>
        <v>1</v>
      </c>
    </row>
    <row r="93" spans="1:26" x14ac:dyDescent="0.25">
      <c r="A93" s="22">
        <v>90</v>
      </c>
      <c r="B93" s="22">
        <v>3248</v>
      </c>
      <c r="C93" s="23" t="s">
        <v>241</v>
      </c>
      <c r="D93" s="24">
        <v>321.89999999999998</v>
      </c>
      <c r="E93" s="25">
        <v>0.4</v>
      </c>
      <c r="F93" s="30">
        <f t="shared" si="13"/>
        <v>128.76</v>
      </c>
      <c r="G93" s="30">
        <f>126.1+2.66</f>
        <v>128.76</v>
      </c>
      <c r="H93" s="30">
        <f t="shared" si="14"/>
        <v>0</v>
      </c>
      <c r="I93" s="22">
        <v>18811851</v>
      </c>
      <c r="J93" s="216" t="s">
        <v>242</v>
      </c>
      <c r="K93" s="215" t="s">
        <v>25</v>
      </c>
      <c r="L93" s="214" t="s">
        <v>26</v>
      </c>
      <c r="M93" s="22">
        <v>92597556</v>
      </c>
      <c r="N93" s="143">
        <v>45615</v>
      </c>
      <c r="Q93">
        <v>3248</v>
      </c>
      <c r="R93" t="b">
        <f t="shared" si="15"/>
        <v>1</v>
      </c>
      <c r="S93" t="s">
        <v>241</v>
      </c>
      <c r="T93" t="b">
        <f t="shared" si="16"/>
        <v>1</v>
      </c>
      <c r="U93">
        <v>18811851</v>
      </c>
      <c r="V93" t="b">
        <f t="shared" si="17"/>
        <v>1</v>
      </c>
      <c r="W93" t="s">
        <v>242</v>
      </c>
      <c r="X93" t="b">
        <f t="shared" si="18"/>
        <v>1</v>
      </c>
      <c r="Y93" t="s">
        <v>26</v>
      </c>
      <c r="Z93" t="b">
        <f t="shared" si="19"/>
        <v>1</v>
      </c>
    </row>
    <row r="94" spans="1:26" hidden="1" x14ac:dyDescent="0.25">
      <c r="A94" s="54">
        <v>91</v>
      </c>
      <c r="B94" s="54">
        <v>3249</v>
      </c>
      <c r="C94" s="55" t="s">
        <v>243</v>
      </c>
      <c r="D94" s="56">
        <v>700</v>
      </c>
      <c r="E94" s="57">
        <v>0.4</v>
      </c>
      <c r="F94" s="57">
        <f t="shared" si="13"/>
        <v>280</v>
      </c>
      <c r="G94" s="57">
        <f>F94</f>
        <v>280</v>
      </c>
      <c r="H94" s="57">
        <f t="shared" si="14"/>
        <v>0</v>
      </c>
      <c r="I94" s="54">
        <v>24540784</v>
      </c>
      <c r="J94" s="69" t="s">
        <v>244</v>
      </c>
      <c r="K94" s="61" t="s">
        <v>25</v>
      </c>
      <c r="L94" s="60" t="s">
        <v>26</v>
      </c>
      <c r="M94" s="54">
        <v>99693301</v>
      </c>
      <c r="N94" s="61" t="s">
        <v>161</v>
      </c>
      <c r="Q94">
        <v>3249</v>
      </c>
      <c r="R94" t="b">
        <f t="shared" si="15"/>
        <v>1</v>
      </c>
      <c r="S94" t="s">
        <v>243</v>
      </c>
      <c r="T94" t="b">
        <f t="shared" si="16"/>
        <v>1</v>
      </c>
      <c r="U94">
        <v>24540784</v>
      </c>
      <c r="V94" t="b">
        <f t="shared" si="17"/>
        <v>1</v>
      </c>
      <c r="W94" t="s">
        <v>244</v>
      </c>
      <c r="X94" t="b">
        <f t="shared" si="18"/>
        <v>1</v>
      </c>
      <c r="Y94" t="s">
        <v>26</v>
      </c>
      <c r="Z94" t="b">
        <f t="shared" si="19"/>
        <v>1</v>
      </c>
    </row>
    <row r="95" spans="1:26" hidden="1" x14ac:dyDescent="0.25">
      <c r="A95" s="22">
        <v>92</v>
      </c>
      <c r="B95" s="22">
        <v>3251</v>
      </c>
      <c r="C95" s="23" t="s">
        <v>245</v>
      </c>
      <c r="D95" s="24">
        <v>397.6</v>
      </c>
      <c r="E95" s="25">
        <v>0.4</v>
      </c>
      <c r="F95" s="30">
        <f t="shared" si="13"/>
        <v>159.04000000000002</v>
      </c>
      <c r="G95" s="30">
        <f>157.24+1.8</f>
        <v>159.04000000000002</v>
      </c>
      <c r="H95" s="30">
        <f t="shared" si="14"/>
        <v>0</v>
      </c>
      <c r="I95" s="22">
        <v>6420681</v>
      </c>
      <c r="J95" s="216" t="s">
        <v>246</v>
      </c>
      <c r="K95" s="215" t="s">
        <v>25</v>
      </c>
      <c r="L95" s="214" t="s">
        <v>26</v>
      </c>
      <c r="M95" s="22">
        <v>99588744</v>
      </c>
      <c r="N95" s="143">
        <v>45578</v>
      </c>
      <c r="O95" s="258">
        <v>45685</v>
      </c>
      <c r="Q95">
        <v>3251</v>
      </c>
      <c r="R95" t="b">
        <f t="shared" si="15"/>
        <v>1</v>
      </c>
      <c r="S95" t="s">
        <v>245</v>
      </c>
      <c r="T95" t="b">
        <f t="shared" si="16"/>
        <v>1</v>
      </c>
      <c r="U95">
        <v>6420681</v>
      </c>
      <c r="V95" t="b">
        <f t="shared" si="17"/>
        <v>1</v>
      </c>
      <c r="W95" t="s">
        <v>246</v>
      </c>
      <c r="X95" t="b">
        <f t="shared" si="18"/>
        <v>1</v>
      </c>
      <c r="Y95" t="s">
        <v>26</v>
      </c>
      <c r="Z95" t="b">
        <f t="shared" si="19"/>
        <v>1</v>
      </c>
    </row>
    <row r="96" spans="1:26" hidden="1" x14ac:dyDescent="0.25">
      <c r="A96" s="27">
        <v>93</v>
      </c>
      <c r="B96" s="27">
        <v>3252</v>
      </c>
      <c r="C96" s="28" t="s">
        <v>247</v>
      </c>
      <c r="D96" s="29">
        <v>239.8</v>
      </c>
      <c r="E96" s="30">
        <v>0.4</v>
      </c>
      <c r="F96" s="30">
        <f t="shared" si="13"/>
        <v>95.920000000000016</v>
      </c>
      <c r="G96" s="30">
        <f>92.15+3.77</f>
        <v>95.92</v>
      </c>
      <c r="H96" s="30">
        <f t="shared" si="14"/>
        <v>0</v>
      </c>
      <c r="I96" s="27">
        <v>460074</v>
      </c>
      <c r="J96" s="70" t="s">
        <v>248</v>
      </c>
      <c r="K96" s="70" t="s">
        <v>25</v>
      </c>
      <c r="L96" s="49" t="s">
        <v>26</v>
      </c>
      <c r="M96" s="27">
        <v>99292354</v>
      </c>
      <c r="N96" s="123">
        <v>45544</v>
      </c>
      <c r="O96" s="146">
        <v>45621</v>
      </c>
      <c r="Q96" s="50">
        <v>3252</v>
      </c>
      <c r="R96" t="b">
        <f t="shared" si="15"/>
        <v>1</v>
      </c>
      <c r="S96" t="s">
        <v>247</v>
      </c>
      <c r="T96" t="b">
        <f t="shared" si="16"/>
        <v>1</v>
      </c>
      <c r="U96">
        <v>460074</v>
      </c>
      <c r="V96" t="b">
        <f t="shared" si="17"/>
        <v>1</v>
      </c>
      <c r="W96" t="s">
        <v>248</v>
      </c>
      <c r="X96" t="b">
        <f t="shared" si="18"/>
        <v>1</v>
      </c>
      <c r="Y96" t="s">
        <v>26</v>
      </c>
      <c r="Z96" t="b">
        <f t="shared" si="19"/>
        <v>1</v>
      </c>
    </row>
    <row r="97" spans="1:26" hidden="1" x14ac:dyDescent="0.25">
      <c r="A97" s="27">
        <v>94</v>
      </c>
      <c r="B97" s="27">
        <v>3253</v>
      </c>
      <c r="C97" s="28" t="s">
        <v>249</v>
      </c>
      <c r="D97" s="29">
        <v>747</v>
      </c>
      <c r="E97" s="30">
        <v>0.4</v>
      </c>
      <c r="F97" s="30">
        <f t="shared" si="13"/>
        <v>298.8</v>
      </c>
      <c r="G97" s="30">
        <f>296.54+2.26</f>
        <v>298.8</v>
      </c>
      <c r="H97" s="30">
        <f t="shared" si="14"/>
        <v>0</v>
      </c>
      <c r="I97" s="27">
        <v>25887589</v>
      </c>
      <c r="J97" s="51" t="s">
        <v>250</v>
      </c>
      <c r="K97" s="48" t="s">
        <v>25</v>
      </c>
      <c r="L97" s="49" t="s">
        <v>26</v>
      </c>
      <c r="M97" s="27">
        <v>93995997</v>
      </c>
      <c r="N97" s="35">
        <v>45567</v>
      </c>
      <c r="O97" s="146">
        <v>45621</v>
      </c>
      <c r="Q97">
        <v>3253</v>
      </c>
      <c r="R97" t="b">
        <f t="shared" si="15"/>
        <v>1</v>
      </c>
      <c r="S97" t="s">
        <v>249</v>
      </c>
      <c r="T97" t="b">
        <f t="shared" si="16"/>
        <v>1</v>
      </c>
      <c r="U97">
        <v>25887589</v>
      </c>
      <c r="V97" t="b">
        <f t="shared" si="17"/>
        <v>1</v>
      </c>
      <c r="W97" t="s">
        <v>250</v>
      </c>
      <c r="X97" t="b">
        <f t="shared" si="18"/>
        <v>1</v>
      </c>
      <c r="Y97" t="s">
        <v>26</v>
      </c>
      <c r="Z97" t="b">
        <f t="shared" si="19"/>
        <v>1</v>
      </c>
    </row>
    <row r="98" spans="1:26" hidden="1" x14ac:dyDescent="0.25">
      <c r="A98" s="27">
        <v>95</v>
      </c>
      <c r="B98" s="27">
        <v>3254</v>
      </c>
      <c r="C98" s="28" t="s">
        <v>251</v>
      </c>
      <c r="D98" s="29">
        <v>700.2</v>
      </c>
      <c r="E98" s="30">
        <v>0.4</v>
      </c>
      <c r="F98" s="30">
        <f t="shared" si="13"/>
        <v>280.08000000000004</v>
      </c>
      <c r="G98" s="30">
        <f>F98</f>
        <v>280.08000000000004</v>
      </c>
      <c r="H98" s="30">
        <f t="shared" si="14"/>
        <v>0</v>
      </c>
      <c r="I98" s="27">
        <v>6668983</v>
      </c>
      <c r="J98" s="51" t="s">
        <v>252</v>
      </c>
      <c r="K98" s="48" t="s">
        <v>25</v>
      </c>
      <c r="L98" s="49" t="s">
        <v>26</v>
      </c>
      <c r="M98" s="27">
        <v>92321002</v>
      </c>
      <c r="N98" s="35">
        <v>45602</v>
      </c>
      <c r="Q98">
        <v>3254</v>
      </c>
      <c r="R98" t="b">
        <f t="shared" si="15"/>
        <v>1</v>
      </c>
      <c r="S98" t="s">
        <v>251</v>
      </c>
      <c r="T98" t="b">
        <f t="shared" si="16"/>
        <v>1</v>
      </c>
      <c r="U98">
        <v>6668983</v>
      </c>
      <c r="V98" t="b">
        <f t="shared" si="17"/>
        <v>1</v>
      </c>
      <c r="W98" t="s">
        <v>252</v>
      </c>
      <c r="X98" t="b">
        <f t="shared" si="18"/>
        <v>1</v>
      </c>
      <c r="Y98" t="s">
        <v>26</v>
      </c>
      <c r="Z98" t="b">
        <f t="shared" si="19"/>
        <v>1</v>
      </c>
    </row>
    <row r="99" spans="1:26" hidden="1" x14ac:dyDescent="0.25">
      <c r="A99" s="27">
        <v>96</v>
      </c>
      <c r="B99" s="27">
        <v>3255</v>
      </c>
      <c r="C99" s="28" t="s">
        <v>253</v>
      </c>
      <c r="D99" s="29">
        <v>555.6</v>
      </c>
      <c r="E99" s="30">
        <v>0.4</v>
      </c>
      <c r="F99" s="30">
        <f t="shared" si="13"/>
        <v>222.24</v>
      </c>
      <c r="G99" s="30">
        <f>222.23+0.01</f>
        <v>222.23999999999998</v>
      </c>
      <c r="H99" s="30">
        <f t="shared" si="14"/>
        <v>0</v>
      </c>
      <c r="I99" s="27">
        <v>5851949</v>
      </c>
      <c r="J99" s="49" t="s">
        <v>254</v>
      </c>
      <c r="K99" s="48" t="s">
        <v>75</v>
      </c>
      <c r="L99" s="49" t="s">
        <v>76</v>
      </c>
      <c r="M99" s="27"/>
      <c r="N99" s="35">
        <v>45578</v>
      </c>
      <c r="O99" s="146">
        <v>45602</v>
      </c>
      <c r="P99" s="146"/>
      <c r="Q99">
        <v>3255</v>
      </c>
      <c r="R99" t="b">
        <f t="shared" si="15"/>
        <v>1</v>
      </c>
      <c r="S99" t="s">
        <v>253</v>
      </c>
      <c r="T99" t="b">
        <f t="shared" si="16"/>
        <v>1</v>
      </c>
      <c r="U99">
        <v>5851949</v>
      </c>
      <c r="V99" t="b">
        <f t="shared" si="17"/>
        <v>1</v>
      </c>
      <c r="W99" t="s">
        <v>254</v>
      </c>
      <c r="X99" t="b">
        <f t="shared" si="18"/>
        <v>1</v>
      </c>
      <c r="Y99" t="s">
        <v>76</v>
      </c>
      <c r="Z99" t="b">
        <f t="shared" si="19"/>
        <v>1</v>
      </c>
    </row>
    <row r="100" spans="1:26" hidden="1" x14ac:dyDescent="0.25">
      <c r="A100" s="27">
        <v>97</v>
      </c>
      <c r="B100" s="27">
        <v>3256</v>
      </c>
      <c r="C100" s="28" t="s">
        <v>255</v>
      </c>
      <c r="D100" s="29">
        <v>2349.1999999999998</v>
      </c>
      <c r="E100" s="30">
        <v>0.4</v>
      </c>
      <c r="F100" s="30">
        <f t="shared" si="13"/>
        <v>939.68</v>
      </c>
      <c r="G100" s="30">
        <f>642+297.68</f>
        <v>939.68000000000006</v>
      </c>
      <c r="H100" s="30">
        <f t="shared" si="14"/>
        <v>0</v>
      </c>
      <c r="I100" s="27">
        <v>6147152</v>
      </c>
      <c r="J100" s="51" t="s">
        <v>256</v>
      </c>
      <c r="K100" s="31" t="s">
        <v>257</v>
      </c>
      <c r="L100" s="49" t="s">
        <v>258</v>
      </c>
      <c r="M100" s="27">
        <v>99889778</v>
      </c>
      <c r="N100" s="35">
        <v>45602</v>
      </c>
      <c r="O100" s="146">
        <v>45609</v>
      </c>
      <c r="Q100">
        <v>3256</v>
      </c>
      <c r="R100" t="b">
        <f t="shared" si="15"/>
        <v>1</v>
      </c>
      <c r="S100" t="s">
        <v>255</v>
      </c>
      <c r="T100" t="b">
        <f t="shared" si="16"/>
        <v>1</v>
      </c>
      <c r="U100">
        <v>6147152</v>
      </c>
      <c r="V100" t="b">
        <f t="shared" si="17"/>
        <v>1</v>
      </c>
      <c r="W100" t="s">
        <v>256</v>
      </c>
      <c r="X100" t="b">
        <f t="shared" si="18"/>
        <v>1</v>
      </c>
      <c r="Y100" t="s">
        <v>258</v>
      </c>
      <c r="Z100" t="b">
        <f t="shared" si="19"/>
        <v>1</v>
      </c>
    </row>
    <row r="101" spans="1:26" hidden="1" x14ac:dyDescent="0.25">
      <c r="A101" s="54">
        <v>98</v>
      </c>
      <c r="B101" s="54">
        <v>3258</v>
      </c>
      <c r="C101" s="55" t="s">
        <v>259</v>
      </c>
      <c r="D101" s="56">
        <v>1011</v>
      </c>
      <c r="E101" s="57">
        <v>0.4</v>
      </c>
      <c r="F101" s="57">
        <f t="shared" si="13"/>
        <v>404.40000000000003</v>
      </c>
      <c r="G101" s="57">
        <f>F101</f>
        <v>404.40000000000003</v>
      </c>
      <c r="H101" s="57">
        <f t="shared" si="14"/>
        <v>0</v>
      </c>
      <c r="I101" s="54">
        <v>15335306</v>
      </c>
      <c r="J101" s="58" t="s">
        <v>260</v>
      </c>
      <c r="K101" s="61" t="s">
        <v>75</v>
      </c>
      <c r="L101" s="60" t="s">
        <v>76</v>
      </c>
      <c r="M101" s="54">
        <v>99772646</v>
      </c>
      <c r="N101" s="61" t="s">
        <v>161</v>
      </c>
      <c r="Q101">
        <v>3258</v>
      </c>
      <c r="R101" t="b">
        <f t="shared" si="15"/>
        <v>1</v>
      </c>
      <c r="S101" t="s">
        <v>259</v>
      </c>
      <c r="T101" t="b">
        <f t="shared" si="16"/>
        <v>1</v>
      </c>
      <c r="U101">
        <v>15335306</v>
      </c>
      <c r="V101" t="b">
        <f t="shared" si="17"/>
        <v>1</v>
      </c>
      <c r="W101" t="s">
        <v>260</v>
      </c>
      <c r="X101" t="b">
        <f t="shared" si="18"/>
        <v>1</v>
      </c>
      <c r="Y101" t="s">
        <v>76</v>
      </c>
      <c r="Z101" t="b">
        <f t="shared" si="19"/>
        <v>1</v>
      </c>
    </row>
    <row r="102" spans="1:26" hidden="1" x14ac:dyDescent="0.25">
      <c r="A102" s="172">
        <v>99</v>
      </c>
      <c r="B102" s="172">
        <v>3260</v>
      </c>
      <c r="C102" s="173" t="s">
        <v>261</v>
      </c>
      <c r="D102" s="174">
        <v>378.4</v>
      </c>
      <c r="E102" s="175">
        <v>0.4</v>
      </c>
      <c r="F102" s="175">
        <f t="shared" si="13"/>
        <v>151.35999999999999</v>
      </c>
      <c r="G102" s="175">
        <f t="shared" ref="G102:G103" si="21">F102</f>
        <v>151.35999999999999</v>
      </c>
      <c r="H102" s="175">
        <f t="shared" si="14"/>
        <v>0</v>
      </c>
      <c r="I102" s="172">
        <v>19361936</v>
      </c>
      <c r="J102" s="184" t="s">
        <v>262</v>
      </c>
      <c r="K102" s="179" t="s">
        <v>25</v>
      </c>
      <c r="L102" s="184" t="s">
        <v>26</v>
      </c>
      <c r="M102" s="172">
        <v>99550633</v>
      </c>
      <c r="N102" s="179"/>
      <c r="Q102">
        <v>3260</v>
      </c>
      <c r="R102" t="b">
        <f t="shared" si="15"/>
        <v>1</v>
      </c>
      <c r="S102" t="s">
        <v>261</v>
      </c>
      <c r="T102" t="b">
        <f t="shared" si="16"/>
        <v>1</v>
      </c>
      <c r="U102">
        <v>19361936</v>
      </c>
      <c r="V102" t="b">
        <f t="shared" si="17"/>
        <v>1</v>
      </c>
      <c r="W102" t="s">
        <v>262</v>
      </c>
      <c r="X102" t="b">
        <f t="shared" si="18"/>
        <v>1</v>
      </c>
      <c r="Y102" t="s">
        <v>26</v>
      </c>
      <c r="Z102" t="b">
        <f t="shared" si="19"/>
        <v>1</v>
      </c>
    </row>
    <row r="103" spans="1:26" hidden="1" x14ac:dyDescent="0.25">
      <c r="A103" s="172">
        <v>100</v>
      </c>
      <c r="B103" s="172">
        <v>3261</v>
      </c>
      <c r="C103" s="173" t="s">
        <v>263</v>
      </c>
      <c r="D103" s="174">
        <v>370.4</v>
      </c>
      <c r="E103" s="175">
        <v>0.4</v>
      </c>
      <c r="F103" s="175">
        <f t="shared" si="13"/>
        <v>148.16</v>
      </c>
      <c r="G103" s="175">
        <f t="shared" si="21"/>
        <v>148.16</v>
      </c>
      <c r="H103" s="175">
        <f t="shared" si="14"/>
        <v>0</v>
      </c>
      <c r="I103" s="172">
        <v>8124516</v>
      </c>
      <c r="J103" s="181" t="s">
        <v>264</v>
      </c>
      <c r="K103" s="177" t="s">
        <v>25</v>
      </c>
      <c r="L103" s="178" t="s">
        <v>26</v>
      </c>
      <c r="M103" s="172">
        <v>92661167</v>
      </c>
      <c r="N103" s="179"/>
      <c r="Q103">
        <v>3261</v>
      </c>
      <c r="R103" t="b">
        <f t="shared" si="15"/>
        <v>1</v>
      </c>
      <c r="S103" t="s">
        <v>263</v>
      </c>
      <c r="T103" t="b">
        <f t="shared" si="16"/>
        <v>1</v>
      </c>
      <c r="U103">
        <v>8124516</v>
      </c>
      <c r="V103" t="b">
        <f t="shared" si="17"/>
        <v>1</v>
      </c>
      <c r="W103" t="s">
        <v>264</v>
      </c>
      <c r="X103" t="b">
        <f t="shared" si="18"/>
        <v>1</v>
      </c>
      <c r="Y103" t="s">
        <v>26</v>
      </c>
      <c r="Z103" t="b">
        <f t="shared" si="19"/>
        <v>1</v>
      </c>
    </row>
    <row r="104" spans="1:26" hidden="1" x14ac:dyDescent="0.25">
      <c r="A104" s="27">
        <v>101</v>
      </c>
      <c r="B104" s="27">
        <v>3262</v>
      </c>
      <c r="C104" s="28" t="s">
        <v>265</v>
      </c>
      <c r="D104" s="29">
        <v>596</v>
      </c>
      <c r="E104" s="30">
        <v>0.4</v>
      </c>
      <c r="F104" s="30">
        <f t="shared" si="13"/>
        <v>238.4</v>
      </c>
      <c r="G104" s="30">
        <f>236.55+1.85</f>
        <v>238.4</v>
      </c>
      <c r="H104" s="30">
        <f t="shared" si="14"/>
        <v>0</v>
      </c>
      <c r="I104" s="27">
        <v>1483142</v>
      </c>
      <c r="J104" s="51" t="s">
        <v>266</v>
      </c>
      <c r="K104" s="31" t="s">
        <v>43</v>
      </c>
      <c r="L104" s="49" t="s">
        <v>44</v>
      </c>
      <c r="M104" s="27">
        <v>99499613</v>
      </c>
      <c r="N104" s="35">
        <v>45301</v>
      </c>
      <c r="O104">
        <v>959</v>
      </c>
      <c r="P104" t="s">
        <v>784</v>
      </c>
      <c r="Q104">
        <v>3262</v>
      </c>
      <c r="R104" t="b">
        <f t="shared" si="15"/>
        <v>1</v>
      </c>
      <c r="S104" t="s">
        <v>265</v>
      </c>
      <c r="T104" t="b">
        <f t="shared" si="16"/>
        <v>1</v>
      </c>
      <c r="U104">
        <v>1483142</v>
      </c>
      <c r="V104" t="b">
        <f t="shared" si="17"/>
        <v>1</v>
      </c>
      <c r="W104" t="s">
        <v>266</v>
      </c>
      <c r="X104" t="b">
        <f t="shared" si="18"/>
        <v>1</v>
      </c>
      <c r="Y104" t="s">
        <v>44</v>
      </c>
      <c r="Z104" t="b">
        <f t="shared" si="19"/>
        <v>1</v>
      </c>
    </row>
    <row r="105" spans="1:26" hidden="1" x14ac:dyDescent="0.25">
      <c r="A105" s="172">
        <v>102</v>
      </c>
      <c r="B105" s="172">
        <v>3263</v>
      </c>
      <c r="C105" s="173" t="s">
        <v>267</v>
      </c>
      <c r="D105" s="174">
        <v>548.5</v>
      </c>
      <c r="E105" s="175">
        <v>0.4</v>
      </c>
      <c r="F105" s="175">
        <f t="shared" si="13"/>
        <v>219.4</v>
      </c>
      <c r="G105" s="175">
        <f>175.52+43.88</f>
        <v>219.4</v>
      </c>
      <c r="H105" s="175">
        <f t="shared" si="14"/>
        <v>0</v>
      </c>
      <c r="I105" s="172">
        <v>986981</v>
      </c>
      <c r="J105" s="178" t="s">
        <v>268</v>
      </c>
      <c r="K105" s="179" t="s">
        <v>75</v>
      </c>
      <c r="L105" s="178" t="s">
        <v>76</v>
      </c>
      <c r="M105" s="172">
        <v>99667979</v>
      </c>
      <c r="N105" s="179" t="s">
        <v>710</v>
      </c>
      <c r="Q105">
        <v>3263</v>
      </c>
      <c r="R105" t="b">
        <f t="shared" si="15"/>
        <v>1</v>
      </c>
      <c r="S105" t="s">
        <v>267</v>
      </c>
      <c r="T105" t="b">
        <f t="shared" si="16"/>
        <v>1</v>
      </c>
      <c r="U105">
        <v>986981</v>
      </c>
      <c r="V105" t="b">
        <f t="shared" si="17"/>
        <v>1</v>
      </c>
      <c r="W105" t="s">
        <v>268</v>
      </c>
      <c r="X105" t="b">
        <f t="shared" si="18"/>
        <v>1</v>
      </c>
      <c r="Y105" t="s">
        <v>76</v>
      </c>
      <c r="Z105" t="b">
        <f t="shared" si="19"/>
        <v>1</v>
      </c>
    </row>
    <row r="106" spans="1:26" hidden="1" x14ac:dyDescent="0.25">
      <c r="A106" s="22">
        <v>103</v>
      </c>
      <c r="B106" s="22">
        <v>3266</v>
      </c>
      <c r="C106" s="23" t="s">
        <v>269</v>
      </c>
      <c r="D106" s="24">
        <v>760.6</v>
      </c>
      <c r="E106" s="25">
        <v>0.4</v>
      </c>
      <c r="F106" s="30">
        <f t="shared" si="13"/>
        <v>304.24</v>
      </c>
      <c r="G106" s="30">
        <f>299.5+4.74</f>
        <v>304.24</v>
      </c>
      <c r="H106" s="30">
        <f t="shared" si="14"/>
        <v>0</v>
      </c>
      <c r="I106" s="22">
        <v>25891616</v>
      </c>
      <c r="J106" s="216" t="s">
        <v>270</v>
      </c>
      <c r="K106" s="215" t="s">
        <v>25</v>
      </c>
      <c r="L106" s="214" t="s">
        <v>26</v>
      </c>
      <c r="M106" s="22">
        <v>99157779</v>
      </c>
      <c r="N106" s="143">
        <v>45575</v>
      </c>
      <c r="O106" s="258">
        <v>45685</v>
      </c>
      <c r="Q106">
        <v>3266</v>
      </c>
      <c r="R106" t="b">
        <f t="shared" si="15"/>
        <v>1</v>
      </c>
      <c r="S106" t="s">
        <v>269</v>
      </c>
      <c r="T106" t="b">
        <f t="shared" si="16"/>
        <v>1</v>
      </c>
      <c r="U106">
        <v>25891616</v>
      </c>
      <c r="V106" t="b">
        <f t="shared" si="17"/>
        <v>1</v>
      </c>
      <c r="W106" t="s">
        <v>270</v>
      </c>
      <c r="X106" t="b">
        <f t="shared" si="18"/>
        <v>1</v>
      </c>
      <c r="Y106" t="s">
        <v>26</v>
      </c>
      <c r="Z106" t="b">
        <f t="shared" si="19"/>
        <v>1</v>
      </c>
    </row>
    <row r="107" spans="1:26" hidden="1" x14ac:dyDescent="0.25">
      <c r="A107" s="54">
        <v>104</v>
      </c>
      <c r="B107" s="54">
        <v>3268</v>
      </c>
      <c r="C107" s="55" t="s">
        <v>271</v>
      </c>
      <c r="D107" s="56">
        <v>1040</v>
      </c>
      <c r="E107" s="57">
        <v>0.4</v>
      </c>
      <c r="F107" s="57">
        <f t="shared" si="13"/>
        <v>416</v>
      </c>
      <c r="G107" s="57">
        <f>F107</f>
        <v>416</v>
      </c>
      <c r="H107" s="57">
        <f t="shared" si="14"/>
        <v>0</v>
      </c>
      <c r="I107" s="71">
        <v>22373123</v>
      </c>
      <c r="J107" s="72" t="s">
        <v>272</v>
      </c>
      <c r="K107" s="73" t="s">
        <v>25</v>
      </c>
      <c r="L107" s="72" t="s">
        <v>26</v>
      </c>
      <c r="M107" s="54"/>
      <c r="N107" s="61" t="s">
        <v>161</v>
      </c>
      <c r="Q107" s="50">
        <v>3268</v>
      </c>
      <c r="R107" t="b">
        <f t="shared" si="15"/>
        <v>1</v>
      </c>
      <c r="S107" t="s">
        <v>271</v>
      </c>
      <c r="T107" t="b">
        <f t="shared" si="16"/>
        <v>1</v>
      </c>
      <c r="U107">
        <v>22373123</v>
      </c>
      <c r="V107" t="b">
        <f t="shared" si="17"/>
        <v>1</v>
      </c>
      <c r="W107" t="s">
        <v>272</v>
      </c>
      <c r="X107" t="b">
        <f t="shared" si="18"/>
        <v>1</v>
      </c>
      <c r="Y107" t="s">
        <v>26</v>
      </c>
      <c r="Z107" t="b">
        <f t="shared" si="19"/>
        <v>1</v>
      </c>
    </row>
    <row r="108" spans="1:26" hidden="1" x14ac:dyDescent="0.25">
      <c r="A108" s="54">
        <v>105</v>
      </c>
      <c r="B108" s="54">
        <v>3269</v>
      </c>
      <c r="C108" s="55" t="s">
        <v>273</v>
      </c>
      <c r="D108" s="56">
        <v>416</v>
      </c>
      <c r="E108" s="57">
        <v>0.4</v>
      </c>
      <c r="F108" s="57">
        <f t="shared" si="13"/>
        <v>166.4</v>
      </c>
      <c r="G108" s="57">
        <f>F108</f>
        <v>166.4</v>
      </c>
      <c r="H108" s="57">
        <f t="shared" si="14"/>
        <v>0</v>
      </c>
      <c r="I108" s="71">
        <v>14052947</v>
      </c>
      <c r="J108" s="72" t="s">
        <v>274</v>
      </c>
      <c r="K108" s="59" t="s">
        <v>210</v>
      </c>
      <c r="L108" s="72" t="s">
        <v>211</v>
      </c>
      <c r="M108" s="54">
        <v>92203300</v>
      </c>
      <c r="N108" s="61" t="s">
        <v>161</v>
      </c>
      <c r="Q108">
        <v>3269</v>
      </c>
      <c r="R108" t="b">
        <f t="shared" si="15"/>
        <v>1</v>
      </c>
      <c r="S108" t="s">
        <v>273</v>
      </c>
      <c r="T108" t="b">
        <f t="shared" si="16"/>
        <v>1</v>
      </c>
      <c r="U108">
        <v>14052947</v>
      </c>
      <c r="V108" t="b">
        <f t="shared" si="17"/>
        <v>1</v>
      </c>
      <c r="W108" t="s">
        <v>274</v>
      </c>
      <c r="X108" t="b">
        <f t="shared" si="18"/>
        <v>1</v>
      </c>
      <c r="Y108" t="s">
        <v>211</v>
      </c>
      <c r="Z108" t="b">
        <f t="shared" si="19"/>
        <v>1</v>
      </c>
    </row>
    <row r="109" spans="1:26" hidden="1" x14ac:dyDescent="0.25">
      <c r="A109" s="27">
        <v>106</v>
      </c>
      <c r="B109" s="27">
        <v>3270</v>
      </c>
      <c r="C109" s="28" t="s">
        <v>275</v>
      </c>
      <c r="D109" s="29">
        <v>721.8</v>
      </c>
      <c r="E109" s="30">
        <v>0.4</v>
      </c>
      <c r="F109" s="30">
        <f t="shared" si="13"/>
        <v>288.71999999999997</v>
      </c>
      <c r="G109" s="30">
        <f>48.01+237.65+3.06</f>
        <v>288.72000000000003</v>
      </c>
      <c r="H109" s="30">
        <f t="shared" si="14"/>
        <v>0</v>
      </c>
      <c r="I109" s="27">
        <v>11242698</v>
      </c>
      <c r="J109" s="51" t="s">
        <v>276</v>
      </c>
      <c r="K109" s="31" t="s">
        <v>17</v>
      </c>
      <c r="L109" s="31" t="s">
        <v>18</v>
      </c>
      <c r="M109" s="27">
        <v>93839955</v>
      </c>
      <c r="N109" s="35" t="s">
        <v>720</v>
      </c>
      <c r="O109" s="146">
        <v>45602</v>
      </c>
      <c r="P109" s="146"/>
      <c r="Q109">
        <v>3270</v>
      </c>
      <c r="R109" t="b">
        <f t="shared" si="15"/>
        <v>1</v>
      </c>
      <c r="S109" t="s">
        <v>275</v>
      </c>
      <c r="T109" t="b">
        <f t="shared" si="16"/>
        <v>1</v>
      </c>
      <c r="U109">
        <v>11242698</v>
      </c>
      <c r="V109" t="b">
        <f t="shared" si="17"/>
        <v>1</v>
      </c>
      <c r="W109" t="s">
        <v>276</v>
      </c>
      <c r="X109" t="b">
        <f t="shared" si="18"/>
        <v>1</v>
      </c>
      <c r="Y109" t="s">
        <v>18</v>
      </c>
      <c r="Z109" t="b">
        <f t="shared" si="19"/>
        <v>1</v>
      </c>
    </row>
    <row r="110" spans="1:26" s="36" customFormat="1" hidden="1" x14ac:dyDescent="0.25">
      <c r="A110" s="27">
        <v>107</v>
      </c>
      <c r="B110" s="27">
        <v>3271</v>
      </c>
      <c r="C110" s="74" t="s">
        <v>277</v>
      </c>
      <c r="D110" s="29">
        <v>549.20000000000005</v>
      </c>
      <c r="E110" s="30">
        <v>0.4</v>
      </c>
      <c r="F110" s="30">
        <f t="shared" si="13"/>
        <v>219.68000000000004</v>
      </c>
      <c r="G110" s="30">
        <f>214.85+4.83</f>
        <v>219.68</v>
      </c>
      <c r="H110" s="30">
        <f t="shared" si="14"/>
        <v>0</v>
      </c>
      <c r="I110" s="75">
        <v>24503986</v>
      </c>
      <c r="J110" s="76" t="s">
        <v>278</v>
      </c>
      <c r="K110" s="74" t="s">
        <v>17</v>
      </c>
      <c r="L110" s="77" t="s">
        <v>18</v>
      </c>
      <c r="M110" s="75">
        <v>92235243</v>
      </c>
      <c r="N110" s="108">
        <v>45588</v>
      </c>
      <c r="O110" s="156">
        <v>45609</v>
      </c>
    </row>
    <row r="111" spans="1:26" hidden="1" x14ac:dyDescent="0.25">
      <c r="A111" s="172">
        <v>108</v>
      </c>
      <c r="B111" s="172">
        <v>3272</v>
      </c>
      <c r="C111" s="191" t="s">
        <v>279</v>
      </c>
      <c r="D111" s="174">
        <v>280</v>
      </c>
      <c r="E111" s="175">
        <v>0.4</v>
      </c>
      <c r="F111" s="175">
        <f t="shared" si="13"/>
        <v>112</v>
      </c>
      <c r="G111" s="175">
        <f>F111</f>
        <v>112</v>
      </c>
      <c r="H111" s="175">
        <f t="shared" si="14"/>
        <v>0</v>
      </c>
      <c r="I111" s="192">
        <v>22977225</v>
      </c>
      <c r="J111" s="193" t="s">
        <v>280</v>
      </c>
      <c r="K111" s="191" t="s">
        <v>25</v>
      </c>
      <c r="L111" s="194" t="s">
        <v>26</v>
      </c>
      <c r="M111" s="195"/>
      <c r="N111" s="196"/>
    </row>
    <row r="112" spans="1:26" hidden="1" x14ac:dyDescent="0.25">
      <c r="A112" s="27">
        <v>109</v>
      </c>
      <c r="B112" s="27">
        <v>3273</v>
      </c>
      <c r="C112" s="28" t="s">
        <v>281</v>
      </c>
      <c r="D112" s="29">
        <v>747.1</v>
      </c>
      <c r="E112" s="30">
        <v>0.4</v>
      </c>
      <c r="F112" s="30">
        <f t="shared" si="13"/>
        <v>298.84000000000003</v>
      </c>
      <c r="G112" s="30">
        <f>293.45+5.39</f>
        <v>298.83999999999997</v>
      </c>
      <c r="H112" s="30">
        <f t="shared" si="14"/>
        <v>0</v>
      </c>
      <c r="I112" s="27">
        <v>7047221</v>
      </c>
      <c r="J112" s="51" t="s">
        <v>282</v>
      </c>
      <c r="K112" s="31" t="s">
        <v>17</v>
      </c>
      <c r="L112" s="31" t="s">
        <v>18</v>
      </c>
      <c r="M112" s="27">
        <v>92152241</v>
      </c>
      <c r="N112" s="35">
        <v>45609</v>
      </c>
      <c r="O112" s="146">
        <v>45621</v>
      </c>
      <c r="Q112">
        <v>3273</v>
      </c>
      <c r="R112" t="b">
        <f t="shared" si="15"/>
        <v>1</v>
      </c>
      <c r="S112" t="s">
        <v>281</v>
      </c>
      <c r="T112" t="b">
        <f t="shared" si="16"/>
        <v>1</v>
      </c>
      <c r="U112">
        <v>7047221</v>
      </c>
      <c r="V112" t="b">
        <f t="shared" si="17"/>
        <v>1</v>
      </c>
      <c r="W112" t="s">
        <v>282</v>
      </c>
      <c r="X112" t="b">
        <f t="shared" si="18"/>
        <v>1</v>
      </c>
      <c r="Y112" t="s">
        <v>18</v>
      </c>
      <c r="Z112" t="b">
        <f t="shared" si="19"/>
        <v>1</v>
      </c>
    </row>
    <row r="113" spans="1:26" hidden="1" x14ac:dyDescent="0.25">
      <c r="A113" s="27">
        <v>110</v>
      </c>
      <c r="B113" s="27">
        <v>3277</v>
      </c>
      <c r="C113" s="28" t="s">
        <v>283</v>
      </c>
      <c r="D113" s="29">
        <v>619.5</v>
      </c>
      <c r="E113" s="30">
        <v>0.4</v>
      </c>
      <c r="F113" s="30">
        <f t="shared" si="13"/>
        <v>247.8</v>
      </c>
      <c r="G113" s="30">
        <f>245.55+2.25</f>
        <v>247.8</v>
      </c>
      <c r="H113" s="30">
        <f t="shared" si="14"/>
        <v>0</v>
      </c>
      <c r="I113" s="27">
        <v>14277741</v>
      </c>
      <c r="J113" s="51" t="s">
        <v>284</v>
      </c>
      <c r="K113" s="48" t="s">
        <v>25</v>
      </c>
      <c r="L113" s="49" t="s">
        <v>26</v>
      </c>
      <c r="M113" s="27">
        <v>92160872</v>
      </c>
      <c r="N113" s="35">
        <v>45567</v>
      </c>
      <c r="O113" t="s">
        <v>803</v>
      </c>
      <c r="Q113">
        <v>3277</v>
      </c>
      <c r="R113" t="b">
        <f t="shared" si="15"/>
        <v>1</v>
      </c>
      <c r="S113" t="s">
        <v>283</v>
      </c>
      <c r="T113" t="b">
        <f t="shared" si="16"/>
        <v>1</v>
      </c>
      <c r="U113">
        <v>14277741</v>
      </c>
      <c r="V113" t="b">
        <f t="shared" si="17"/>
        <v>1</v>
      </c>
      <c r="W113" t="s">
        <v>284</v>
      </c>
      <c r="X113" t="b">
        <f t="shared" si="18"/>
        <v>1</v>
      </c>
      <c r="Y113" t="s">
        <v>26</v>
      </c>
      <c r="Z113" t="b">
        <f t="shared" si="19"/>
        <v>1</v>
      </c>
    </row>
    <row r="114" spans="1:26" hidden="1" x14ac:dyDescent="0.25">
      <c r="A114" s="172">
        <v>111</v>
      </c>
      <c r="B114" s="172">
        <v>3278</v>
      </c>
      <c r="C114" s="173" t="s">
        <v>285</v>
      </c>
      <c r="D114" s="174">
        <v>331.7</v>
      </c>
      <c r="E114" s="175">
        <v>0.4</v>
      </c>
      <c r="F114" s="175">
        <f t="shared" si="13"/>
        <v>132.68</v>
      </c>
      <c r="G114" s="175">
        <f>F114</f>
        <v>132.68</v>
      </c>
      <c r="H114" s="175">
        <f t="shared" si="14"/>
        <v>0</v>
      </c>
      <c r="I114" s="172">
        <v>27713998</v>
      </c>
      <c r="J114" s="181" t="s">
        <v>286</v>
      </c>
      <c r="K114" s="179" t="s">
        <v>75</v>
      </c>
      <c r="L114" s="178" t="s">
        <v>76</v>
      </c>
      <c r="M114" s="172">
        <v>99257989</v>
      </c>
      <c r="N114" s="179"/>
      <c r="Q114">
        <v>3278</v>
      </c>
      <c r="R114" t="b">
        <f t="shared" si="15"/>
        <v>1</v>
      </c>
      <c r="S114" t="s">
        <v>285</v>
      </c>
      <c r="T114" t="b">
        <f t="shared" si="16"/>
        <v>1</v>
      </c>
      <c r="U114">
        <v>27713998</v>
      </c>
      <c r="V114" t="b">
        <f t="shared" si="17"/>
        <v>1</v>
      </c>
      <c r="W114" t="s">
        <v>286</v>
      </c>
      <c r="X114" t="b">
        <f t="shared" si="18"/>
        <v>1</v>
      </c>
      <c r="Y114" t="s">
        <v>76</v>
      </c>
      <c r="Z114" t="b">
        <f t="shared" si="19"/>
        <v>1</v>
      </c>
    </row>
    <row r="115" spans="1:26" hidden="1" x14ac:dyDescent="0.25">
      <c r="A115" s="54">
        <v>112</v>
      </c>
      <c r="B115" s="54">
        <v>3279</v>
      </c>
      <c r="C115" s="55" t="s">
        <v>287</v>
      </c>
      <c r="D115" s="56">
        <v>1728</v>
      </c>
      <c r="E115" s="57">
        <v>0.4</v>
      </c>
      <c r="F115" s="57">
        <f t="shared" si="13"/>
        <v>691.2</v>
      </c>
      <c r="G115" s="57">
        <f>F115</f>
        <v>691.2</v>
      </c>
      <c r="H115" s="57">
        <f t="shared" si="14"/>
        <v>0</v>
      </c>
      <c r="I115" s="78">
        <v>20468811</v>
      </c>
      <c r="J115" s="60" t="s">
        <v>244</v>
      </c>
      <c r="K115" s="59" t="s">
        <v>25</v>
      </c>
      <c r="L115" s="60" t="s">
        <v>26</v>
      </c>
      <c r="M115" s="54"/>
      <c r="N115" s="61" t="s">
        <v>161</v>
      </c>
      <c r="Q115">
        <v>3279</v>
      </c>
      <c r="R115" t="b">
        <f t="shared" si="15"/>
        <v>1</v>
      </c>
      <c r="S115" t="s">
        <v>287</v>
      </c>
      <c r="T115" t="b">
        <f t="shared" si="16"/>
        <v>1</v>
      </c>
      <c r="U115">
        <v>20468811</v>
      </c>
      <c r="V115" t="b">
        <f t="shared" si="17"/>
        <v>1</v>
      </c>
      <c r="W115" t="s">
        <v>244</v>
      </c>
      <c r="X115" t="b">
        <f t="shared" si="18"/>
        <v>1</v>
      </c>
      <c r="Y115" t="s">
        <v>26</v>
      </c>
      <c r="Z115" t="b">
        <f t="shared" si="19"/>
        <v>1</v>
      </c>
    </row>
    <row r="116" spans="1:26" s="79" customFormat="1" hidden="1" x14ac:dyDescent="0.25">
      <c r="A116" s="27">
        <v>113</v>
      </c>
      <c r="B116" s="27">
        <v>3280</v>
      </c>
      <c r="C116" s="28" t="s">
        <v>288</v>
      </c>
      <c r="D116" s="29">
        <v>746.5</v>
      </c>
      <c r="E116" s="30">
        <v>0.4</v>
      </c>
      <c r="F116" s="30">
        <f t="shared" si="13"/>
        <v>298.60000000000002</v>
      </c>
      <c r="G116" s="30">
        <f>294.25+4.35</f>
        <v>298.60000000000002</v>
      </c>
      <c r="H116" s="30">
        <f t="shared" si="14"/>
        <v>0</v>
      </c>
      <c r="I116" s="27">
        <v>25887523</v>
      </c>
      <c r="J116" s="51" t="s">
        <v>289</v>
      </c>
      <c r="K116" s="31" t="s">
        <v>290</v>
      </c>
      <c r="L116" s="49" t="s">
        <v>291</v>
      </c>
      <c r="M116" s="27">
        <v>91774010</v>
      </c>
      <c r="N116" s="35">
        <v>45602</v>
      </c>
      <c r="Q116" s="79">
        <v>3280</v>
      </c>
      <c r="R116" s="79" t="b">
        <f t="shared" si="15"/>
        <v>1</v>
      </c>
      <c r="S116" s="79" t="s">
        <v>288</v>
      </c>
      <c r="T116" s="79" t="b">
        <f t="shared" si="16"/>
        <v>1</v>
      </c>
      <c r="U116" s="79">
        <v>25887523</v>
      </c>
      <c r="V116" s="79" t="b">
        <f t="shared" si="17"/>
        <v>1</v>
      </c>
      <c r="W116" s="79" t="s">
        <v>289</v>
      </c>
      <c r="X116" s="79" t="b">
        <f t="shared" si="18"/>
        <v>1</v>
      </c>
      <c r="Y116" s="79" t="s">
        <v>291</v>
      </c>
      <c r="Z116" s="79" t="b">
        <f t="shared" si="19"/>
        <v>1</v>
      </c>
    </row>
    <row r="117" spans="1:26" hidden="1" x14ac:dyDescent="0.25">
      <c r="A117" s="27">
        <v>114</v>
      </c>
      <c r="B117" s="27">
        <v>3281</v>
      </c>
      <c r="C117" s="28" t="s">
        <v>292</v>
      </c>
      <c r="D117" s="29">
        <v>745.1</v>
      </c>
      <c r="E117" s="30">
        <v>0.4</v>
      </c>
      <c r="F117" s="30">
        <f t="shared" si="13"/>
        <v>298.04000000000002</v>
      </c>
      <c r="G117" s="30">
        <f>294.79+3.25</f>
        <v>298.04000000000002</v>
      </c>
      <c r="H117" s="30">
        <f t="shared" si="14"/>
        <v>0</v>
      </c>
      <c r="I117" s="27">
        <v>1045575</v>
      </c>
      <c r="J117" s="51" t="s">
        <v>293</v>
      </c>
      <c r="K117" s="31" t="s">
        <v>134</v>
      </c>
      <c r="L117" s="49" t="s">
        <v>135</v>
      </c>
      <c r="M117" s="27">
        <v>99841917</v>
      </c>
      <c r="N117" s="35">
        <v>45567</v>
      </c>
      <c r="O117" s="146">
        <v>45602</v>
      </c>
      <c r="P117" s="146"/>
      <c r="Q117">
        <v>3281</v>
      </c>
      <c r="R117" t="b">
        <f t="shared" si="15"/>
        <v>1</v>
      </c>
      <c r="S117" t="s">
        <v>292</v>
      </c>
      <c r="T117" t="b">
        <f t="shared" si="16"/>
        <v>1</v>
      </c>
      <c r="U117">
        <v>1045575</v>
      </c>
      <c r="V117" t="b">
        <f t="shared" si="17"/>
        <v>1</v>
      </c>
      <c r="W117" t="s">
        <v>293</v>
      </c>
      <c r="X117" t="b">
        <f t="shared" si="18"/>
        <v>1</v>
      </c>
      <c r="Y117" t="s">
        <v>135</v>
      </c>
      <c r="Z117" t="b">
        <f t="shared" si="19"/>
        <v>1</v>
      </c>
    </row>
    <row r="118" spans="1:26" hidden="1" x14ac:dyDescent="0.25">
      <c r="A118" s="27">
        <v>115</v>
      </c>
      <c r="B118" s="27">
        <v>3286</v>
      </c>
      <c r="C118" s="28" t="s">
        <v>295</v>
      </c>
      <c r="D118" s="29">
        <v>483.7</v>
      </c>
      <c r="E118" s="30">
        <v>0.4</v>
      </c>
      <c r="F118" s="30">
        <f t="shared" si="13"/>
        <v>193.48000000000002</v>
      </c>
      <c r="G118" s="30">
        <f>193.48</f>
        <v>193.48</v>
      </c>
      <c r="H118" s="30">
        <f t="shared" si="14"/>
        <v>0</v>
      </c>
      <c r="I118" s="27">
        <v>23232841</v>
      </c>
      <c r="J118" s="51" t="s">
        <v>296</v>
      </c>
      <c r="K118" s="48" t="s">
        <v>25</v>
      </c>
      <c r="L118" s="49" t="s">
        <v>26</v>
      </c>
      <c r="M118" s="27"/>
      <c r="N118" s="35">
        <v>45624</v>
      </c>
      <c r="Q118">
        <v>3286</v>
      </c>
      <c r="R118" t="b">
        <f t="shared" si="15"/>
        <v>1</v>
      </c>
      <c r="S118" t="s">
        <v>295</v>
      </c>
      <c r="T118" t="b">
        <f t="shared" si="16"/>
        <v>1</v>
      </c>
      <c r="U118">
        <v>23232841</v>
      </c>
      <c r="V118" t="b">
        <f t="shared" si="17"/>
        <v>1</v>
      </c>
      <c r="W118" t="s">
        <v>296</v>
      </c>
      <c r="X118" t="b">
        <f t="shared" si="18"/>
        <v>1</v>
      </c>
      <c r="Y118" t="s">
        <v>26</v>
      </c>
      <c r="Z118" t="b">
        <f t="shared" si="19"/>
        <v>1</v>
      </c>
    </row>
    <row r="119" spans="1:26" hidden="1" x14ac:dyDescent="0.25">
      <c r="A119" s="27">
        <v>116</v>
      </c>
      <c r="B119" s="27">
        <v>3287</v>
      </c>
      <c r="C119" s="28" t="s">
        <v>297</v>
      </c>
      <c r="D119" s="29">
        <v>482.4</v>
      </c>
      <c r="E119" s="30">
        <v>0.4</v>
      </c>
      <c r="F119" s="30">
        <f t="shared" si="13"/>
        <v>192.96</v>
      </c>
      <c r="G119" s="30">
        <f>188.26+4.7</f>
        <v>192.95999999999998</v>
      </c>
      <c r="H119" s="30">
        <f t="shared" si="14"/>
        <v>0</v>
      </c>
      <c r="I119" s="27">
        <v>6504554</v>
      </c>
      <c r="J119" s="51" t="s">
        <v>298</v>
      </c>
      <c r="K119" s="48" t="s">
        <v>25</v>
      </c>
      <c r="L119" s="49" t="s">
        <v>26</v>
      </c>
      <c r="M119" s="27">
        <v>95606029</v>
      </c>
      <c r="N119" s="35">
        <v>45629</v>
      </c>
      <c r="O119" s="146">
        <v>45630</v>
      </c>
      <c r="Q119">
        <v>3287</v>
      </c>
      <c r="R119" t="b">
        <f t="shared" si="15"/>
        <v>1</v>
      </c>
      <c r="S119" t="s">
        <v>297</v>
      </c>
      <c r="T119" t="b">
        <f t="shared" si="16"/>
        <v>1</v>
      </c>
      <c r="U119">
        <v>6504554</v>
      </c>
      <c r="V119" t="b">
        <f t="shared" si="17"/>
        <v>1</v>
      </c>
      <c r="W119" t="s">
        <v>298</v>
      </c>
      <c r="X119" t="b">
        <f t="shared" si="18"/>
        <v>1</v>
      </c>
      <c r="Y119" t="s">
        <v>26</v>
      </c>
      <c r="Z119" t="b">
        <f t="shared" si="19"/>
        <v>1</v>
      </c>
    </row>
    <row r="120" spans="1:26" hidden="1" x14ac:dyDescent="0.25">
      <c r="A120" s="27">
        <v>117</v>
      </c>
      <c r="B120" s="27">
        <v>3288</v>
      </c>
      <c r="C120" s="28" t="s">
        <v>300</v>
      </c>
      <c r="D120" s="29">
        <v>622.4</v>
      </c>
      <c r="E120" s="30">
        <v>0.4</v>
      </c>
      <c r="F120" s="30">
        <f t="shared" si="13"/>
        <v>248.96</v>
      </c>
      <c r="G120" s="30">
        <f>245.45+3.51</f>
        <v>248.95999999999998</v>
      </c>
      <c r="H120" s="30">
        <f t="shared" si="14"/>
        <v>0</v>
      </c>
      <c r="I120" s="32">
        <v>1460824</v>
      </c>
      <c r="J120" s="49" t="s">
        <v>301</v>
      </c>
      <c r="K120" s="48" t="s">
        <v>302</v>
      </c>
      <c r="L120" s="49" t="s">
        <v>18</v>
      </c>
      <c r="M120" s="27"/>
      <c r="N120" s="35">
        <v>45567</v>
      </c>
      <c r="O120" s="146">
        <v>45602</v>
      </c>
      <c r="P120" s="146"/>
      <c r="Q120">
        <v>3288</v>
      </c>
      <c r="R120" t="b">
        <f t="shared" si="15"/>
        <v>1</v>
      </c>
      <c r="S120" t="s">
        <v>300</v>
      </c>
      <c r="T120" t="b">
        <f t="shared" si="16"/>
        <v>1</v>
      </c>
      <c r="U120">
        <v>1460824</v>
      </c>
      <c r="V120" t="b">
        <f t="shared" si="17"/>
        <v>1</v>
      </c>
      <c r="W120" t="s">
        <v>301</v>
      </c>
      <c r="X120" t="b">
        <f t="shared" si="18"/>
        <v>1</v>
      </c>
      <c r="Y120" t="s">
        <v>18</v>
      </c>
      <c r="Z120" t="b">
        <f t="shared" si="19"/>
        <v>1</v>
      </c>
    </row>
    <row r="121" spans="1:26" hidden="1" x14ac:dyDescent="0.25">
      <c r="A121" s="172">
        <v>118</v>
      </c>
      <c r="B121" s="172">
        <v>3291</v>
      </c>
      <c r="C121" s="173" t="s">
        <v>303</v>
      </c>
      <c r="D121" s="174">
        <v>982.3</v>
      </c>
      <c r="E121" s="175">
        <v>0.4</v>
      </c>
      <c r="F121" s="175">
        <f t="shared" si="13"/>
        <v>392.92</v>
      </c>
      <c r="G121" s="175">
        <f>F121</f>
        <v>392.92</v>
      </c>
      <c r="H121" s="175">
        <f t="shared" si="14"/>
        <v>0</v>
      </c>
      <c r="I121" s="172">
        <v>1974735</v>
      </c>
      <c r="J121" s="181" t="s">
        <v>304</v>
      </c>
      <c r="K121" s="178" t="s">
        <v>75</v>
      </c>
      <c r="L121" s="181" t="s">
        <v>76</v>
      </c>
      <c r="M121" s="172">
        <v>99085848</v>
      </c>
      <c r="N121" s="179"/>
      <c r="Q121">
        <v>3291</v>
      </c>
      <c r="R121" t="b">
        <f t="shared" si="15"/>
        <v>1</v>
      </c>
      <c r="S121" t="s">
        <v>303</v>
      </c>
      <c r="T121" t="b">
        <f t="shared" si="16"/>
        <v>1</v>
      </c>
      <c r="U121">
        <v>1974735</v>
      </c>
      <c r="V121" t="b">
        <f t="shared" si="17"/>
        <v>1</v>
      </c>
      <c r="W121" t="s">
        <v>304</v>
      </c>
      <c r="X121" t="b">
        <f t="shared" si="18"/>
        <v>1</v>
      </c>
      <c r="Y121" t="s">
        <v>76</v>
      </c>
      <c r="Z121" t="b">
        <f t="shared" si="19"/>
        <v>1</v>
      </c>
    </row>
    <row r="122" spans="1:26" hidden="1" x14ac:dyDescent="0.25">
      <c r="A122" s="27">
        <v>119</v>
      </c>
      <c r="B122" s="27">
        <v>3292</v>
      </c>
      <c r="C122" s="28" t="s">
        <v>305</v>
      </c>
      <c r="D122" s="29">
        <v>988.3</v>
      </c>
      <c r="E122" s="30">
        <v>0.4</v>
      </c>
      <c r="F122" s="30">
        <f t="shared" si="13"/>
        <v>395.32</v>
      </c>
      <c r="G122" s="30">
        <f>241.17+150.35+3.8</f>
        <v>395.32</v>
      </c>
      <c r="H122" s="30">
        <f t="shared" si="14"/>
        <v>0</v>
      </c>
      <c r="I122" s="65">
        <v>13282353</v>
      </c>
      <c r="J122" s="66" t="s">
        <v>306</v>
      </c>
      <c r="K122" s="31" t="s">
        <v>17</v>
      </c>
      <c r="L122" s="66" t="s">
        <v>18</v>
      </c>
      <c r="M122" s="27"/>
      <c r="N122" s="35">
        <v>45580</v>
      </c>
      <c r="O122" s="146">
        <v>45607</v>
      </c>
      <c r="P122" s="146"/>
      <c r="Q122" s="50">
        <v>3292</v>
      </c>
      <c r="R122" t="b">
        <f t="shared" si="15"/>
        <v>1</v>
      </c>
      <c r="S122" t="s">
        <v>305</v>
      </c>
      <c r="T122" t="b">
        <f t="shared" si="16"/>
        <v>1</v>
      </c>
      <c r="U122">
        <v>13282353</v>
      </c>
      <c r="V122" t="b">
        <f t="shared" si="17"/>
        <v>1</v>
      </c>
      <c r="W122" t="s">
        <v>306</v>
      </c>
      <c r="X122" t="b">
        <f t="shared" si="18"/>
        <v>1</v>
      </c>
      <c r="Y122" t="s">
        <v>18</v>
      </c>
      <c r="Z122" t="b">
        <f t="shared" si="19"/>
        <v>1</v>
      </c>
    </row>
    <row r="123" spans="1:26" s="36" customFormat="1" hidden="1" x14ac:dyDescent="0.25">
      <c r="A123" s="27">
        <v>120</v>
      </c>
      <c r="B123" s="27">
        <v>3293</v>
      </c>
      <c r="C123" s="28" t="s">
        <v>307</v>
      </c>
      <c r="D123" s="29">
        <v>275.3</v>
      </c>
      <c r="E123" s="30">
        <v>0.4</v>
      </c>
      <c r="F123" s="30">
        <f t="shared" si="13"/>
        <v>110.12</v>
      </c>
      <c r="G123" s="30">
        <f>106.56+3.56</f>
        <v>110.12</v>
      </c>
      <c r="H123" s="30">
        <f t="shared" si="14"/>
        <v>0</v>
      </c>
      <c r="I123" s="27">
        <v>4048259</v>
      </c>
      <c r="J123" s="49" t="s">
        <v>308</v>
      </c>
      <c r="K123" s="31" t="s">
        <v>75</v>
      </c>
      <c r="L123" s="49" t="s">
        <v>76</v>
      </c>
      <c r="M123" s="27">
        <v>92970078</v>
      </c>
      <c r="N123" s="35">
        <v>45582</v>
      </c>
      <c r="O123" s="156">
        <v>45629</v>
      </c>
      <c r="Q123" s="36">
        <v>3293</v>
      </c>
      <c r="R123" s="36" t="b">
        <f t="shared" si="15"/>
        <v>1</v>
      </c>
      <c r="S123" s="36" t="s">
        <v>307</v>
      </c>
      <c r="T123" s="36" t="b">
        <f t="shared" si="16"/>
        <v>1</v>
      </c>
      <c r="U123" s="36">
        <v>4048259</v>
      </c>
      <c r="V123" s="36" t="b">
        <f t="shared" si="17"/>
        <v>1</v>
      </c>
      <c r="W123" s="36" t="s">
        <v>308</v>
      </c>
      <c r="X123" s="36" t="b">
        <f t="shared" si="18"/>
        <v>1</v>
      </c>
      <c r="Y123" s="36" t="s">
        <v>76</v>
      </c>
      <c r="Z123" s="36" t="b">
        <f t="shared" si="19"/>
        <v>1</v>
      </c>
    </row>
    <row r="124" spans="1:26" hidden="1" x14ac:dyDescent="0.25">
      <c r="A124" s="172">
        <v>121</v>
      </c>
      <c r="B124" s="172">
        <v>3294</v>
      </c>
      <c r="C124" s="173" t="s">
        <v>309</v>
      </c>
      <c r="D124" s="174">
        <v>674.5</v>
      </c>
      <c r="E124" s="175">
        <v>0.4</v>
      </c>
      <c r="F124" s="175">
        <f t="shared" si="13"/>
        <v>269.8</v>
      </c>
      <c r="G124" s="175">
        <f t="shared" ref="G124:G127" si="22">F124</f>
        <v>269.8</v>
      </c>
      <c r="H124" s="175">
        <f t="shared" si="14"/>
        <v>0</v>
      </c>
      <c r="I124" s="172">
        <v>19263029</v>
      </c>
      <c r="J124" s="181" t="s">
        <v>310</v>
      </c>
      <c r="K124" s="177" t="s">
        <v>25</v>
      </c>
      <c r="L124" s="178" t="s">
        <v>26</v>
      </c>
      <c r="M124" s="172">
        <v>92387034</v>
      </c>
      <c r="N124" s="179"/>
      <c r="Q124">
        <v>3294</v>
      </c>
      <c r="R124" t="b">
        <f t="shared" si="15"/>
        <v>1</v>
      </c>
      <c r="S124" t="s">
        <v>309</v>
      </c>
      <c r="T124" t="b">
        <f t="shared" si="16"/>
        <v>1</v>
      </c>
      <c r="U124">
        <v>19263029</v>
      </c>
      <c r="V124" t="b">
        <f t="shared" si="17"/>
        <v>1</v>
      </c>
      <c r="W124" t="s">
        <v>310</v>
      </c>
      <c r="X124" t="b">
        <f t="shared" si="18"/>
        <v>1</v>
      </c>
      <c r="Y124" t="s">
        <v>26</v>
      </c>
      <c r="Z124" t="b">
        <f t="shared" si="19"/>
        <v>1</v>
      </c>
    </row>
    <row r="125" spans="1:26" hidden="1" x14ac:dyDescent="0.25">
      <c r="A125" s="172">
        <v>122</v>
      </c>
      <c r="B125" s="172">
        <v>3295</v>
      </c>
      <c r="C125" s="173" t="s">
        <v>311</v>
      </c>
      <c r="D125" s="174">
        <v>378</v>
      </c>
      <c r="E125" s="175">
        <v>0.4</v>
      </c>
      <c r="F125" s="175">
        <f t="shared" si="13"/>
        <v>151.20000000000002</v>
      </c>
      <c r="G125" s="175">
        <f t="shared" si="22"/>
        <v>151.20000000000002</v>
      </c>
      <c r="H125" s="175">
        <f t="shared" si="14"/>
        <v>0</v>
      </c>
      <c r="I125" s="172">
        <v>20378353</v>
      </c>
      <c r="J125" s="181" t="s">
        <v>312</v>
      </c>
      <c r="K125" s="179" t="s">
        <v>17</v>
      </c>
      <c r="L125" s="179" t="s">
        <v>18</v>
      </c>
      <c r="M125" s="172">
        <v>99489171</v>
      </c>
      <c r="N125" s="179"/>
      <c r="Q125">
        <v>3295</v>
      </c>
      <c r="R125" t="b">
        <f t="shared" si="15"/>
        <v>1</v>
      </c>
      <c r="S125" t="s">
        <v>311</v>
      </c>
      <c r="T125" t="b">
        <f t="shared" si="16"/>
        <v>1</v>
      </c>
      <c r="U125">
        <v>20378353</v>
      </c>
      <c r="V125" t="b">
        <f t="shared" si="17"/>
        <v>1</v>
      </c>
      <c r="W125" t="s">
        <v>312</v>
      </c>
      <c r="X125" t="b">
        <f t="shared" si="18"/>
        <v>1</v>
      </c>
      <c r="Y125" t="s">
        <v>18</v>
      </c>
      <c r="Z125" t="b">
        <f t="shared" si="19"/>
        <v>1</v>
      </c>
    </row>
    <row r="126" spans="1:26" hidden="1" x14ac:dyDescent="0.25">
      <c r="A126" s="172">
        <v>123</v>
      </c>
      <c r="B126" s="172">
        <v>3297</v>
      </c>
      <c r="C126" s="173" t="s">
        <v>313</v>
      </c>
      <c r="D126" s="174">
        <v>316.39999999999998</v>
      </c>
      <c r="E126" s="175">
        <v>0.4</v>
      </c>
      <c r="F126" s="175">
        <f t="shared" si="13"/>
        <v>126.56</v>
      </c>
      <c r="G126" s="175">
        <f t="shared" si="22"/>
        <v>126.56</v>
      </c>
      <c r="H126" s="175">
        <f t="shared" si="14"/>
        <v>0</v>
      </c>
      <c r="I126" s="172">
        <v>5359682</v>
      </c>
      <c r="J126" s="178" t="s">
        <v>314</v>
      </c>
      <c r="K126" s="179" t="s">
        <v>25</v>
      </c>
      <c r="L126" s="179" t="s">
        <v>26</v>
      </c>
      <c r="M126" s="172">
        <v>93240442</v>
      </c>
      <c r="N126" s="179"/>
      <c r="Q126">
        <v>3297</v>
      </c>
      <c r="R126" t="b">
        <f t="shared" si="15"/>
        <v>1</v>
      </c>
      <c r="S126" t="s">
        <v>313</v>
      </c>
      <c r="T126" t="b">
        <f t="shared" si="16"/>
        <v>1</v>
      </c>
      <c r="U126">
        <v>5359682</v>
      </c>
      <c r="V126" t="b">
        <f t="shared" si="17"/>
        <v>1</v>
      </c>
      <c r="W126" t="s">
        <v>314</v>
      </c>
      <c r="X126" t="b">
        <f t="shared" si="18"/>
        <v>1</v>
      </c>
      <c r="Y126" t="s">
        <v>26</v>
      </c>
      <c r="Z126" t="b">
        <f t="shared" si="19"/>
        <v>1</v>
      </c>
    </row>
    <row r="127" spans="1:26" hidden="1" x14ac:dyDescent="0.25">
      <c r="A127" s="172">
        <v>124</v>
      </c>
      <c r="B127" s="172">
        <v>3298</v>
      </c>
      <c r="C127" s="173" t="s">
        <v>315</v>
      </c>
      <c r="D127" s="174">
        <v>554.1</v>
      </c>
      <c r="E127" s="175">
        <v>0.4</v>
      </c>
      <c r="F127" s="175">
        <f t="shared" si="13"/>
        <v>221.64000000000001</v>
      </c>
      <c r="G127" s="175">
        <f t="shared" si="22"/>
        <v>221.64000000000001</v>
      </c>
      <c r="H127" s="175">
        <f t="shared" si="14"/>
        <v>0</v>
      </c>
      <c r="I127" s="180">
        <v>6160236</v>
      </c>
      <c r="J127" s="184" t="s">
        <v>316</v>
      </c>
      <c r="K127" s="177" t="s">
        <v>25</v>
      </c>
      <c r="L127" s="184" t="s">
        <v>26</v>
      </c>
      <c r="M127" s="172"/>
      <c r="N127" s="179"/>
      <c r="Q127" s="50">
        <v>3298</v>
      </c>
      <c r="R127" t="b">
        <f t="shared" si="15"/>
        <v>1</v>
      </c>
      <c r="S127" t="s">
        <v>315</v>
      </c>
      <c r="T127" t="b">
        <f t="shared" si="16"/>
        <v>1</v>
      </c>
      <c r="U127">
        <v>6160236</v>
      </c>
      <c r="V127" t="b">
        <f t="shared" si="17"/>
        <v>1</v>
      </c>
      <c r="W127" t="s">
        <v>316</v>
      </c>
      <c r="X127" t="b">
        <f t="shared" si="18"/>
        <v>1</v>
      </c>
      <c r="Y127" t="s">
        <v>26</v>
      </c>
      <c r="Z127" t="b">
        <f t="shared" si="19"/>
        <v>1</v>
      </c>
    </row>
    <row r="128" spans="1:26" s="144" customFormat="1" hidden="1" x14ac:dyDescent="0.25">
      <c r="A128" s="54">
        <v>125</v>
      </c>
      <c r="B128" s="54">
        <v>3302</v>
      </c>
      <c r="C128" s="55" t="s">
        <v>317</v>
      </c>
      <c r="D128" s="56">
        <v>726</v>
      </c>
      <c r="E128" s="57">
        <v>0.4</v>
      </c>
      <c r="F128" s="57">
        <f t="shared" si="13"/>
        <v>290.40000000000003</v>
      </c>
      <c r="G128" s="57">
        <f>F128</f>
        <v>290.40000000000003</v>
      </c>
      <c r="H128" s="57">
        <f t="shared" si="14"/>
        <v>0</v>
      </c>
      <c r="I128" s="54">
        <v>71004483</v>
      </c>
      <c r="J128" s="165" t="s">
        <v>318</v>
      </c>
      <c r="K128" s="59" t="s">
        <v>25</v>
      </c>
      <c r="L128" s="60" t="s">
        <v>26</v>
      </c>
      <c r="M128" s="54">
        <v>92557761</v>
      </c>
      <c r="N128" s="61" t="s">
        <v>161</v>
      </c>
      <c r="Q128" s="144">
        <v>3302</v>
      </c>
      <c r="R128" s="144" t="b">
        <f t="shared" si="15"/>
        <v>1</v>
      </c>
      <c r="S128" s="144" t="s">
        <v>317</v>
      </c>
      <c r="T128" s="144" t="b">
        <f t="shared" si="16"/>
        <v>1</v>
      </c>
      <c r="U128" s="144">
        <v>71004483</v>
      </c>
      <c r="V128" s="144" t="b">
        <f t="shared" si="17"/>
        <v>1</v>
      </c>
      <c r="W128" s="144" t="s">
        <v>318</v>
      </c>
      <c r="X128" s="144" t="b">
        <f t="shared" si="18"/>
        <v>1</v>
      </c>
      <c r="Y128" s="144" t="s">
        <v>26</v>
      </c>
      <c r="Z128" s="144" t="b">
        <f t="shared" si="19"/>
        <v>1</v>
      </c>
    </row>
    <row r="129" spans="1:26" hidden="1" x14ac:dyDescent="0.25">
      <c r="A129" s="172">
        <v>126</v>
      </c>
      <c r="B129" s="172">
        <v>3303</v>
      </c>
      <c r="C129" s="173" t="s">
        <v>319</v>
      </c>
      <c r="D129" s="174">
        <v>435.5</v>
      </c>
      <c r="E129" s="175">
        <v>0.4</v>
      </c>
      <c r="F129" s="175">
        <f t="shared" si="13"/>
        <v>174.20000000000002</v>
      </c>
      <c r="G129" s="175">
        <f>F129</f>
        <v>174.20000000000002</v>
      </c>
      <c r="H129" s="175">
        <f t="shared" si="14"/>
        <v>0</v>
      </c>
      <c r="I129" s="180">
        <v>3172781</v>
      </c>
      <c r="J129" s="178" t="s">
        <v>320</v>
      </c>
      <c r="K129" s="177" t="s">
        <v>17</v>
      </c>
      <c r="L129" s="178" t="s">
        <v>18</v>
      </c>
      <c r="M129" s="172">
        <v>99282770</v>
      </c>
      <c r="N129" s="179"/>
      <c r="Q129">
        <v>3303</v>
      </c>
      <c r="R129" t="b">
        <f t="shared" si="15"/>
        <v>1</v>
      </c>
      <c r="S129" t="s">
        <v>319</v>
      </c>
      <c r="T129" t="b">
        <f t="shared" si="16"/>
        <v>1</v>
      </c>
      <c r="U129">
        <v>3172781</v>
      </c>
      <c r="V129" t="b">
        <f t="shared" si="17"/>
        <v>1</v>
      </c>
      <c r="W129" t="s">
        <v>320</v>
      </c>
      <c r="X129" t="b">
        <f t="shared" si="18"/>
        <v>1</v>
      </c>
      <c r="Y129" t="s">
        <v>18</v>
      </c>
      <c r="Z129" t="b">
        <f t="shared" si="19"/>
        <v>1</v>
      </c>
    </row>
    <row r="130" spans="1:26" hidden="1" x14ac:dyDescent="0.25">
      <c r="A130" s="27">
        <v>127</v>
      </c>
      <c r="B130" s="27">
        <v>3309</v>
      </c>
      <c r="C130" s="28" t="s">
        <v>321</v>
      </c>
      <c r="D130" s="29">
        <v>289</v>
      </c>
      <c r="E130" s="30">
        <v>0.4</v>
      </c>
      <c r="F130" s="30">
        <f t="shared" si="13"/>
        <v>115.60000000000001</v>
      </c>
      <c r="G130" s="30">
        <f>111.55+4.05</f>
        <v>115.6</v>
      </c>
      <c r="H130" s="30">
        <f t="shared" si="14"/>
        <v>0</v>
      </c>
      <c r="I130" s="32">
        <v>21453611</v>
      </c>
      <c r="J130" s="66" t="s">
        <v>322</v>
      </c>
      <c r="K130" s="48" t="s">
        <v>25</v>
      </c>
      <c r="L130" s="49" t="s">
        <v>26</v>
      </c>
      <c r="M130" s="27">
        <v>93389969</v>
      </c>
      <c r="N130" s="31">
        <v>45544</v>
      </c>
      <c r="O130" s="146">
        <v>45621</v>
      </c>
      <c r="Q130" s="50">
        <v>3309</v>
      </c>
      <c r="R130" t="b">
        <f t="shared" si="15"/>
        <v>1</v>
      </c>
      <c r="S130" t="s">
        <v>321</v>
      </c>
      <c r="T130" t="b">
        <f t="shared" si="16"/>
        <v>1</v>
      </c>
      <c r="U130">
        <v>21453611</v>
      </c>
      <c r="V130" t="b">
        <f t="shared" si="17"/>
        <v>1</v>
      </c>
      <c r="W130" t="s">
        <v>322</v>
      </c>
      <c r="X130" t="b">
        <f t="shared" si="18"/>
        <v>1</v>
      </c>
      <c r="Y130" t="s">
        <v>26</v>
      </c>
      <c r="Z130" t="b">
        <f t="shared" si="19"/>
        <v>1</v>
      </c>
    </row>
    <row r="131" spans="1:26" hidden="1" x14ac:dyDescent="0.25">
      <c r="A131" s="172">
        <v>128</v>
      </c>
      <c r="B131" s="172">
        <v>3311</v>
      </c>
      <c r="C131" s="173" t="s">
        <v>323</v>
      </c>
      <c r="D131" s="174">
        <v>638.70000000000005</v>
      </c>
      <c r="E131" s="175">
        <v>0.4</v>
      </c>
      <c r="F131" s="175">
        <f t="shared" si="13"/>
        <v>255.48000000000002</v>
      </c>
      <c r="G131" s="175">
        <f>F131</f>
        <v>255.48000000000002</v>
      </c>
      <c r="H131" s="175">
        <f t="shared" si="14"/>
        <v>0</v>
      </c>
      <c r="I131" s="172" t="s">
        <v>324</v>
      </c>
      <c r="J131" s="181" t="s">
        <v>325</v>
      </c>
      <c r="K131" s="177" t="s">
        <v>326</v>
      </c>
      <c r="L131" s="181" t="s">
        <v>327</v>
      </c>
      <c r="M131" s="172">
        <v>92817378</v>
      </c>
      <c r="N131" s="179"/>
      <c r="Q131">
        <v>3311</v>
      </c>
      <c r="R131" t="b">
        <f t="shared" si="15"/>
        <v>1</v>
      </c>
      <c r="S131" t="s">
        <v>323</v>
      </c>
      <c r="T131" t="b">
        <f t="shared" si="16"/>
        <v>1</v>
      </c>
      <c r="U131" t="s">
        <v>324</v>
      </c>
      <c r="V131" t="b">
        <f t="shared" si="17"/>
        <v>1</v>
      </c>
      <c r="W131" t="s">
        <v>325</v>
      </c>
      <c r="X131" t="b">
        <f t="shared" si="18"/>
        <v>1</v>
      </c>
      <c r="Y131" t="s">
        <v>327</v>
      </c>
      <c r="Z131" t="b">
        <f t="shared" si="19"/>
        <v>1</v>
      </c>
    </row>
    <row r="132" spans="1:26" hidden="1" x14ac:dyDescent="0.25">
      <c r="A132" s="27">
        <v>129</v>
      </c>
      <c r="B132" s="27">
        <v>3312</v>
      </c>
      <c r="C132" s="28" t="s">
        <v>328</v>
      </c>
      <c r="D132" s="29">
        <v>756</v>
      </c>
      <c r="E132" s="30">
        <v>0.4</v>
      </c>
      <c r="F132" s="30">
        <f t="shared" si="13"/>
        <v>302.40000000000003</v>
      </c>
      <c r="G132" s="30">
        <f>F132</f>
        <v>302.40000000000003</v>
      </c>
      <c r="H132" s="30">
        <f t="shared" si="14"/>
        <v>0</v>
      </c>
      <c r="I132" s="27">
        <v>881326</v>
      </c>
      <c r="J132" s="51" t="s">
        <v>329</v>
      </c>
      <c r="K132" s="31" t="s">
        <v>121</v>
      </c>
      <c r="L132" s="31" t="s">
        <v>122</v>
      </c>
      <c r="M132" s="27">
        <v>99481799</v>
      </c>
      <c r="N132" s="35">
        <v>45602</v>
      </c>
      <c r="Q132">
        <v>3312</v>
      </c>
      <c r="R132" t="b">
        <f t="shared" si="15"/>
        <v>1</v>
      </c>
      <c r="S132" t="s">
        <v>328</v>
      </c>
      <c r="T132" t="b">
        <f t="shared" si="16"/>
        <v>1</v>
      </c>
      <c r="U132">
        <v>881326</v>
      </c>
      <c r="V132" t="b">
        <f t="shared" si="17"/>
        <v>1</v>
      </c>
      <c r="W132" t="s">
        <v>329</v>
      </c>
      <c r="X132" t="b">
        <f t="shared" si="18"/>
        <v>1</v>
      </c>
      <c r="Y132" t="s">
        <v>122</v>
      </c>
      <c r="Z132" t="b">
        <f t="shared" si="19"/>
        <v>1</v>
      </c>
    </row>
    <row r="133" spans="1:26" hidden="1" x14ac:dyDescent="0.25">
      <c r="A133" s="27">
        <v>130</v>
      </c>
      <c r="B133" s="27">
        <v>3314</v>
      </c>
      <c r="C133" s="28" t="s">
        <v>330</v>
      </c>
      <c r="D133" s="29">
        <v>672.7</v>
      </c>
      <c r="E133" s="30">
        <v>0.4</v>
      </c>
      <c r="F133" s="30">
        <f t="shared" si="13"/>
        <v>269.08000000000004</v>
      </c>
      <c r="G133" s="30">
        <f>267.44+1.64</f>
        <v>269.08</v>
      </c>
      <c r="H133" s="30">
        <f t="shared" ref="H133:H196" si="23">F133-G133</f>
        <v>0</v>
      </c>
      <c r="I133" s="27">
        <v>766893</v>
      </c>
      <c r="J133" s="51" t="s">
        <v>331</v>
      </c>
      <c r="K133" s="48" t="s">
        <v>25</v>
      </c>
      <c r="L133" s="49" t="s">
        <v>26</v>
      </c>
      <c r="M133" s="27">
        <v>99257989</v>
      </c>
      <c r="N133" s="35">
        <v>45609</v>
      </c>
      <c r="O133" s="146">
        <v>45656</v>
      </c>
      <c r="Q133">
        <v>3314</v>
      </c>
      <c r="R133" t="b">
        <f t="shared" si="15"/>
        <v>1</v>
      </c>
      <c r="S133" t="s">
        <v>330</v>
      </c>
      <c r="T133" t="b">
        <f t="shared" si="16"/>
        <v>1</v>
      </c>
      <c r="U133">
        <v>766893</v>
      </c>
      <c r="V133" t="b">
        <f t="shared" si="17"/>
        <v>1</v>
      </c>
      <c r="W133" t="s">
        <v>331</v>
      </c>
      <c r="X133" t="b">
        <f t="shared" si="18"/>
        <v>1</v>
      </c>
      <c r="Y133" t="s">
        <v>26</v>
      </c>
      <c r="Z133" t="b">
        <f t="shared" si="19"/>
        <v>1</v>
      </c>
    </row>
    <row r="134" spans="1:26" hidden="1" x14ac:dyDescent="0.25">
      <c r="A134" s="27">
        <v>131</v>
      </c>
      <c r="B134" s="27">
        <v>3315</v>
      </c>
      <c r="C134" s="28" t="s">
        <v>333</v>
      </c>
      <c r="D134" s="29">
        <v>187</v>
      </c>
      <c r="E134" s="30">
        <v>0.4</v>
      </c>
      <c r="F134" s="30">
        <f t="shared" si="13"/>
        <v>74.8</v>
      </c>
      <c r="G134" s="30">
        <f>72.75+2.05</f>
        <v>74.8</v>
      </c>
      <c r="H134" s="30">
        <f t="shared" si="23"/>
        <v>0</v>
      </c>
      <c r="I134" s="27">
        <v>23957422</v>
      </c>
      <c r="J134" s="51" t="s">
        <v>334</v>
      </c>
      <c r="K134" s="31" t="s">
        <v>25</v>
      </c>
      <c r="L134" s="70" t="s">
        <v>26</v>
      </c>
      <c r="M134" s="27">
        <v>99601665</v>
      </c>
      <c r="N134" s="35">
        <v>45544</v>
      </c>
      <c r="O134" s="152">
        <v>45621</v>
      </c>
    </row>
    <row r="135" spans="1:26" hidden="1" x14ac:dyDescent="0.25">
      <c r="A135" s="27">
        <v>132</v>
      </c>
      <c r="B135" s="27">
        <v>3316</v>
      </c>
      <c r="C135" s="28" t="s">
        <v>335</v>
      </c>
      <c r="D135" s="29">
        <v>226</v>
      </c>
      <c r="E135" s="30">
        <v>0.4</v>
      </c>
      <c r="F135" s="30">
        <f t="shared" si="13"/>
        <v>90.4</v>
      </c>
      <c r="G135" s="30">
        <f>87.3+3.1</f>
        <v>90.399999999999991</v>
      </c>
      <c r="H135" s="30">
        <f t="shared" si="23"/>
        <v>0</v>
      </c>
      <c r="I135" s="27">
        <v>26159748</v>
      </c>
      <c r="J135" s="49" t="s">
        <v>336</v>
      </c>
      <c r="K135" s="31" t="s">
        <v>25</v>
      </c>
      <c r="L135" s="70" t="s">
        <v>26</v>
      </c>
      <c r="M135" s="27">
        <v>99601665</v>
      </c>
      <c r="N135" s="35">
        <v>45544</v>
      </c>
      <c r="O135" s="152">
        <v>45621</v>
      </c>
      <c r="Q135" s="50">
        <v>3316</v>
      </c>
      <c r="R135" t="b">
        <f t="shared" si="15"/>
        <v>1</v>
      </c>
      <c r="S135" t="s">
        <v>335</v>
      </c>
      <c r="T135" t="b">
        <f t="shared" ref="T135:T198" si="24">S135=C135</f>
        <v>1</v>
      </c>
      <c r="U135">
        <v>26159748</v>
      </c>
      <c r="V135" t="b">
        <f t="shared" ref="V135:V198" si="25">U135=I135</f>
        <v>1</v>
      </c>
      <c r="W135" t="s">
        <v>336</v>
      </c>
      <c r="X135" t="b">
        <f t="shared" ref="X135:X198" si="26">W135=J135</f>
        <v>1</v>
      </c>
      <c r="Y135" t="s">
        <v>26</v>
      </c>
      <c r="Z135" t="b">
        <f t="shared" ref="Z135:Z198" si="27">Y135=L135</f>
        <v>1</v>
      </c>
    </row>
    <row r="136" spans="1:26" hidden="1" x14ac:dyDescent="0.25">
      <c r="A136" s="172">
        <v>133</v>
      </c>
      <c r="B136" s="172">
        <v>3320</v>
      </c>
      <c r="C136" s="173" t="s">
        <v>337</v>
      </c>
      <c r="D136" s="174">
        <v>401</v>
      </c>
      <c r="E136" s="175">
        <v>0.4</v>
      </c>
      <c r="F136" s="175">
        <f t="shared" ref="F136:F199" si="28">E136*D136</f>
        <v>160.4</v>
      </c>
      <c r="G136" s="175">
        <f>F136</f>
        <v>160.4</v>
      </c>
      <c r="H136" s="175">
        <f t="shared" si="23"/>
        <v>0</v>
      </c>
      <c r="I136" s="172">
        <v>2096234</v>
      </c>
      <c r="J136" s="181" t="s">
        <v>338</v>
      </c>
      <c r="K136" s="177" t="s">
        <v>25</v>
      </c>
      <c r="L136" s="178" t="s">
        <v>26</v>
      </c>
      <c r="M136" s="172">
        <v>99495933</v>
      </c>
      <c r="N136" s="179"/>
      <c r="Q136">
        <v>3320</v>
      </c>
      <c r="R136" t="b">
        <f t="shared" si="15"/>
        <v>1</v>
      </c>
      <c r="S136" t="s">
        <v>337</v>
      </c>
      <c r="T136" t="b">
        <f t="shared" si="24"/>
        <v>1</v>
      </c>
      <c r="U136">
        <v>2096234</v>
      </c>
      <c r="V136" t="b">
        <f t="shared" si="25"/>
        <v>1</v>
      </c>
      <c r="W136" t="s">
        <v>338</v>
      </c>
      <c r="X136" t="b">
        <f t="shared" si="26"/>
        <v>1</v>
      </c>
      <c r="Y136" t="s">
        <v>26</v>
      </c>
      <c r="Z136" t="b">
        <f t="shared" si="27"/>
        <v>1</v>
      </c>
    </row>
    <row r="137" spans="1:26" hidden="1" x14ac:dyDescent="0.25">
      <c r="A137" s="22">
        <v>134</v>
      </c>
      <c r="B137" s="22">
        <v>3321</v>
      </c>
      <c r="C137" s="23" t="s">
        <v>339</v>
      </c>
      <c r="D137" s="24">
        <v>247.2</v>
      </c>
      <c r="E137" s="25">
        <v>0.4</v>
      </c>
      <c r="F137" s="30">
        <f t="shared" si="28"/>
        <v>98.88</v>
      </c>
      <c r="G137" s="30">
        <f>96.42+2.46</f>
        <v>98.88</v>
      </c>
      <c r="H137" s="30">
        <f t="shared" si="23"/>
        <v>0</v>
      </c>
      <c r="I137" s="22">
        <v>10721505</v>
      </c>
      <c r="J137" s="216" t="s">
        <v>340</v>
      </c>
      <c r="K137" s="215" t="s">
        <v>25</v>
      </c>
      <c r="L137" s="214" t="s">
        <v>26</v>
      </c>
      <c r="M137" s="22">
        <v>93955800</v>
      </c>
      <c r="N137" s="143">
        <v>45578</v>
      </c>
      <c r="O137" s="146">
        <v>45779</v>
      </c>
      <c r="Q137">
        <v>3321</v>
      </c>
      <c r="R137" t="b">
        <f t="shared" si="15"/>
        <v>1</v>
      </c>
      <c r="S137" t="s">
        <v>339</v>
      </c>
      <c r="T137" t="b">
        <f t="shared" si="24"/>
        <v>1</v>
      </c>
      <c r="U137">
        <v>10721505</v>
      </c>
      <c r="V137" t="b">
        <f t="shared" si="25"/>
        <v>1</v>
      </c>
      <c r="W137" t="s">
        <v>340</v>
      </c>
      <c r="X137" t="b">
        <f t="shared" si="26"/>
        <v>1</v>
      </c>
      <c r="Y137" t="s">
        <v>26</v>
      </c>
      <c r="Z137" t="b">
        <f t="shared" si="27"/>
        <v>1</v>
      </c>
    </row>
    <row r="138" spans="1:26" hidden="1" x14ac:dyDescent="0.25">
      <c r="A138" s="172">
        <v>135</v>
      </c>
      <c r="B138" s="172">
        <v>3322</v>
      </c>
      <c r="C138" s="173" t="s">
        <v>341</v>
      </c>
      <c r="D138" s="174">
        <v>688.2</v>
      </c>
      <c r="E138" s="175">
        <v>0.4</v>
      </c>
      <c r="F138" s="175">
        <f t="shared" si="28"/>
        <v>275.28000000000003</v>
      </c>
      <c r="G138" s="175">
        <f>F138</f>
        <v>275.28000000000003</v>
      </c>
      <c r="H138" s="175">
        <f t="shared" si="23"/>
        <v>0</v>
      </c>
      <c r="I138" s="172">
        <v>6047858</v>
      </c>
      <c r="J138" s="181" t="s">
        <v>342</v>
      </c>
      <c r="K138" s="179" t="s">
        <v>43</v>
      </c>
      <c r="L138" s="178" t="s">
        <v>44</v>
      </c>
      <c r="M138" s="172"/>
      <c r="N138" s="179"/>
      <c r="Q138">
        <v>3322</v>
      </c>
      <c r="R138" t="b">
        <f t="shared" si="15"/>
        <v>1</v>
      </c>
      <c r="S138" t="s">
        <v>341</v>
      </c>
      <c r="T138" t="b">
        <f t="shared" si="24"/>
        <v>1</v>
      </c>
      <c r="U138">
        <v>6047858</v>
      </c>
      <c r="V138" t="b">
        <f t="shared" si="25"/>
        <v>1</v>
      </c>
      <c r="W138" t="s">
        <v>342</v>
      </c>
      <c r="X138" t="b">
        <f t="shared" si="26"/>
        <v>1</v>
      </c>
      <c r="Y138" t="s">
        <v>44</v>
      </c>
      <c r="Z138" t="b">
        <f t="shared" si="27"/>
        <v>1</v>
      </c>
    </row>
    <row r="139" spans="1:26" hidden="1" x14ac:dyDescent="0.25">
      <c r="A139" s="27">
        <v>136</v>
      </c>
      <c r="B139" s="27">
        <v>3325</v>
      </c>
      <c r="C139" s="28" t="s">
        <v>153</v>
      </c>
      <c r="D139" s="29">
        <v>179.1</v>
      </c>
      <c r="E139" s="30">
        <v>0.4</v>
      </c>
      <c r="F139" s="30">
        <f t="shared" si="28"/>
        <v>71.64</v>
      </c>
      <c r="G139" s="30">
        <f>F139</f>
        <v>71.64</v>
      </c>
      <c r="H139" s="30">
        <f t="shared" si="23"/>
        <v>0</v>
      </c>
      <c r="I139" s="27">
        <v>21849398</v>
      </c>
      <c r="J139" s="51" t="s">
        <v>343</v>
      </c>
      <c r="K139" s="48" t="s">
        <v>25</v>
      </c>
      <c r="L139" s="49" t="s">
        <v>26</v>
      </c>
      <c r="M139" s="27">
        <v>93233323</v>
      </c>
      <c r="N139" s="35">
        <v>45637</v>
      </c>
      <c r="Q139">
        <v>3325</v>
      </c>
      <c r="R139" t="b">
        <f t="shared" ref="R139:R202" si="29">Q139=B139</f>
        <v>1</v>
      </c>
      <c r="S139" t="s">
        <v>153</v>
      </c>
      <c r="T139" t="b">
        <f t="shared" si="24"/>
        <v>1</v>
      </c>
      <c r="U139">
        <v>21849398</v>
      </c>
      <c r="V139" t="b">
        <f t="shared" si="25"/>
        <v>1</v>
      </c>
      <c r="W139" t="s">
        <v>343</v>
      </c>
      <c r="X139" t="b">
        <f t="shared" si="26"/>
        <v>1</v>
      </c>
      <c r="Y139" t="s">
        <v>26</v>
      </c>
      <c r="Z139" t="b">
        <f t="shared" si="27"/>
        <v>1</v>
      </c>
    </row>
    <row r="140" spans="1:26" hidden="1" x14ac:dyDescent="0.25">
      <c r="A140" s="27">
        <v>137</v>
      </c>
      <c r="B140" s="27">
        <v>3326</v>
      </c>
      <c r="C140" s="28" t="s">
        <v>344</v>
      </c>
      <c r="D140" s="29">
        <v>907.9</v>
      </c>
      <c r="E140" s="30">
        <v>0.4</v>
      </c>
      <c r="F140" s="30">
        <f t="shared" si="28"/>
        <v>363.16</v>
      </c>
      <c r="G140" s="30">
        <f>357.9+5.26</f>
        <v>363.15999999999997</v>
      </c>
      <c r="H140" s="30">
        <f t="shared" si="23"/>
        <v>0</v>
      </c>
      <c r="I140" s="27">
        <v>1466865</v>
      </c>
      <c r="J140" s="51" t="s">
        <v>345</v>
      </c>
      <c r="K140" s="31" t="s">
        <v>17</v>
      </c>
      <c r="L140" s="31" t="s">
        <v>18</v>
      </c>
      <c r="M140" s="27"/>
      <c r="N140" s="35">
        <v>45567</v>
      </c>
      <c r="O140" s="146">
        <v>45602</v>
      </c>
      <c r="P140" s="146"/>
      <c r="Q140">
        <v>3326</v>
      </c>
      <c r="R140" t="b">
        <f t="shared" si="29"/>
        <v>1</v>
      </c>
      <c r="S140" t="s">
        <v>344</v>
      </c>
      <c r="T140" t="b">
        <f t="shared" si="24"/>
        <v>1</v>
      </c>
      <c r="U140">
        <v>1466865</v>
      </c>
      <c r="V140" t="b">
        <f t="shared" si="25"/>
        <v>1</v>
      </c>
      <c r="W140" t="s">
        <v>345</v>
      </c>
      <c r="X140" t="b">
        <f t="shared" si="26"/>
        <v>1</v>
      </c>
      <c r="Y140" t="s">
        <v>18</v>
      </c>
      <c r="Z140" t="b">
        <f t="shared" si="27"/>
        <v>1</v>
      </c>
    </row>
    <row r="141" spans="1:26" hidden="1" x14ac:dyDescent="0.25">
      <c r="A141" s="27">
        <v>138</v>
      </c>
      <c r="B141" s="27">
        <v>3328</v>
      </c>
      <c r="C141" s="28" t="s">
        <v>346</v>
      </c>
      <c r="D141" s="29">
        <v>673.9</v>
      </c>
      <c r="E141" s="30">
        <v>0.4</v>
      </c>
      <c r="F141" s="30">
        <f t="shared" si="28"/>
        <v>269.56</v>
      </c>
      <c r="G141" s="30">
        <f>267.24+2.32</f>
        <v>269.56</v>
      </c>
      <c r="H141" s="30">
        <f t="shared" si="23"/>
        <v>0</v>
      </c>
      <c r="I141" s="27">
        <v>1934204</v>
      </c>
      <c r="J141" s="49" t="s">
        <v>347</v>
      </c>
      <c r="K141" s="48" t="s">
        <v>25</v>
      </c>
      <c r="L141" s="49" t="s">
        <v>26</v>
      </c>
      <c r="M141" s="27"/>
      <c r="N141" s="35">
        <v>45602</v>
      </c>
      <c r="O141" s="146">
        <v>45615</v>
      </c>
      <c r="Q141">
        <v>3328</v>
      </c>
      <c r="R141" t="b">
        <f t="shared" si="29"/>
        <v>1</v>
      </c>
      <c r="S141" t="s">
        <v>346</v>
      </c>
      <c r="T141" t="b">
        <f t="shared" si="24"/>
        <v>1</v>
      </c>
      <c r="U141">
        <v>1934204</v>
      </c>
      <c r="V141" t="b">
        <f t="shared" si="25"/>
        <v>1</v>
      </c>
      <c r="W141" t="s">
        <v>347</v>
      </c>
      <c r="X141" t="b">
        <f t="shared" si="26"/>
        <v>1</v>
      </c>
      <c r="Y141" t="s">
        <v>26</v>
      </c>
      <c r="Z141" t="b">
        <f t="shared" si="27"/>
        <v>1</v>
      </c>
    </row>
    <row r="142" spans="1:26" hidden="1" x14ac:dyDescent="0.25">
      <c r="A142" s="172">
        <v>139</v>
      </c>
      <c r="B142" s="172">
        <v>3329</v>
      </c>
      <c r="C142" s="173" t="s">
        <v>348</v>
      </c>
      <c r="D142" s="174">
        <v>380</v>
      </c>
      <c r="E142" s="175">
        <v>0.4</v>
      </c>
      <c r="F142" s="175">
        <f t="shared" si="28"/>
        <v>152</v>
      </c>
      <c r="G142" s="175">
        <f t="shared" ref="G142:G146" si="30">F142</f>
        <v>152</v>
      </c>
      <c r="H142" s="175">
        <f t="shared" si="23"/>
        <v>0</v>
      </c>
      <c r="I142" s="172">
        <v>9086292</v>
      </c>
      <c r="J142" s="178" t="s">
        <v>349</v>
      </c>
      <c r="K142" s="179" t="s">
        <v>75</v>
      </c>
      <c r="L142" s="178" t="s">
        <v>76</v>
      </c>
      <c r="M142" s="172">
        <v>95976260</v>
      </c>
      <c r="N142" s="179"/>
      <c r="Q142">
        <v>3329</v>
      </c>
      <c r="R142" t="b">
        <f t="shared" si="29"/>
        <v>1</v>
      </c>
      <c r="S142" t="s">
        <v>348</v>
      </c>
      <c r="T142" t="b">
        <f t="shared" si="24"/>
        <v>1</v>
      </c>
      <c r="U142">
        <v>9086292</v>
      </c>
      <c r="V142" t="b">
        <f t="shared" si="25"/>
        <v>1</v>
      </c>
      <c r="W142" t="s">
        <v>349</v>
      </c>
      <c r="X142" t="b">
        <f t="shared" si="26"/>
        <v>1</v>
      </c>
      <c r="Y142" t="s">
        <v>76</v>
      </c>
      <c r="Z142" t="b">
        <f t="shared" si="27"/>
        <v>1</v>
      </c>
    </row>
    <row r="143" spans="1:26" hidden="1" x14ac:dyDescent="0.25">
      <c r="A143" s="172">
        <v>140</v>
      </c>
      <c r="B143" s="172">
        <v>3331</v>
      </c>
      <c r="C143" s="173" t="s">
        <v>350</v>
      </c>
      <c r="D143" s="174">
        <v>702.7</v>
      </c>
      <c r="E143" s="175">
        <v>0.4</v>
      </c>
      <c r="F143" s="175">
        <f t="shared" si="28"/>
        <v>281.08000000000004</v>
      </c>
      <c r="G143" s="175">
        <f t="shared" si="30"/>
        <v>281.08000000000004</v>
      </c>
      <c r="H143" s="175">
        <f t="shared" si="23"/>
        <v>0</v>
      </c>
      <c r="I143" s="172">
        <v>18048861</v>
      </c>
      <c r="J143" s="181" t="s">
        <v>351</v>
      </c>
      <c r="K143" s="179" t="s">
        <v>352</v>
      </c>
      <c r="L143" s="178" t="s">
        <v>129</v>
      </c>
      <c r="M143" s="172"/>
      <c r="N143" s="179"/>
      <c r="Q143">
        <v>3331</v>
      </c>
      <c r="R143" t="b">
        <f t="shared" si="29"/>
        <v>1</v>
      </c>
      <c r="S143" t="s">
        <v>350</v>
      </c>
      <c r="T143" t="b">
        <f t="shared" si="24"/>
        <v>1</v>
      </c>
      <c r="U143">
        <v>18048861</v>
      </c>
      <c r="V143" t="b">
        <f t="shared" si="25"/>
        <v>1</v>
      </c>
      <c r="W143" t="s">
        <v>351</v>
      </c>
      <c r="X143" t="b">
        <f t="shared" si="26"/>
        <v>1</v>
      </c>
      <c r="Y143" t="s">
        <v>129</v>
      </c>
      <c r="Z143" t="b">
        <f t="shared" si="27"/>
        <v>1</v>
      </c>
    </row>
    <row r="144" spans="1:26" hidden="1" x14ac:dyDescent="0.25">
      <c r="A144" s="172">
        <v>141</v>
      </c>
      <c r="B144" s="172">
        <v>3332</v>
      </c>
      <c r="C144" s="173" t="s">
        <v>721</v>
      </c>
      <c r="D144" s="174">
        <v>204.2</v>
      </c>
      <c r="E144" s="175">
        <v>0.4</v>
      </c>
      <c r="F144" s="175">
        <f t="shared" si="28"/>
        <v>81.680000000000007</v>
      </c>
      <c r="G144" s="175">
        <f t="shared" si="30"/>
        <v>81.680000000000007</v>
      </c>
      <c r="H144" s="175">
        <f t="shared" si="23"/>
        <v>0</v>
      </c>
      <c r="I144" s="172">
        <v>1320775</v>
      </c>
      <c r="J144" s="181"/>
      <c r="K144" s="179"/>
      <c r="L144" s="178"/>
      <c r="M144" s="172">
        <v>99490105</v>
      </c>
      <c r="N144" s="179"/>
    </row>
    <row r="145" spans="1:26" hidden="1" x14ac:dyDescent="0.25">
      <c r="A145" s="172">
        <v>142</v>
      </c>
      <c r="B145" s="172">
        <v>3334</v>
      </c>
      <c r="C145" s="173" t="s">
        <v>353</v>
      </c>
      <c r="D145" s="174">
        <v>539.4</v>
      </c>
      <c r="E145" s="175">
        <v>0.4</v>
      </c>
      <c r="F145" s="175">
        <f t="shared" si="28"/>
        <v>215.76</v>
      </c>
      <c r="G145" s="175">
        <f t="shared" si="30"/>
        <v>215.76</v>
      </c>
      <c r="H145" s="175">
        <f t="shared" si="23"/>
        <v>0</v>
      </c>
      <c r="I145" s="172">
        <v>1176211</v>
      </c>
      <c r="J145" s="181" t="s">
        <v>354</v>
      </c>
      <c r="K145" s="179" t="s">
        <v>17</v>
      </c>
      <c r="L145" s="179" t="s">
        <v>18</v>
      </c>
      <c r="M145" s="172">
        <v>99480111</v>
      </c>
      <c r="N145" s="179"/>
      <c r="Q145">
        <v>3334</v>
      </c>
      <c r="R145" t="b">
        <f t="shared" si="29"/>
        <v>1</v>
      </c>
      <c r="S145" t="s">
        <v>353</v>
      </c>
      <c r="T145" t="b">
        <f t="shared" si="24"/>
        <v>1</v>
      </c>
      <c r="U145">
        <v>1176211</v>
      </c>
      <c r="V145" t="b">
        <f t="shared" si="25"/>
        <v>1</v>
      </c>
      <c r="W145" t="s">
        <v>354</v>
      </c>
      <c r="X145" t="b">
        <f t="shared" si="26"/>
        <v>1</v>
      </c>
      <c r="Y145" t="s">
        <v>18</v>
      </c>
      <c r="Z145" t="b">
        <f t="shared" si="27"/>
        <v>1</v>
      </c>
    </row>
    <row r="146" spans="1:26" hidden="1" x14ac:dyDescent="0.25">
      <c r="A146" s="172">
        <v>143</v>
      </c>
      <c r="B146" s="172">
        <v>3335</v>
      </c>
      <c r="C146" s="173" t="s">
        <v>355</v>
      </c>
      <c r="D146" s="174">
        <v>304.60000000000002</v>
      </c>
      <c r="E146" s="175">
        <v>0.4</v>
      </c>
      <c r="F146" s="175">
        <f t="shared" si="28"/>
        <v>121.84000000000002</v>
      </c>
      <c r="G146" s="175">
        <f t="shared" si="30"/>
        <v>121.84000000000002</v>
      </c>
      <c r="H146" s="175">
        <f t="shared" si="23"/>
        <v>0</v>
      </c>
      <c r="I146" s="172">
        <v>2022545</v>
      </c>
      <c r="J146" s="181" t="s">
        <v>356</v>
      </c>
      <c r="K146" s="177" t="s">
        <v>25</v>
      </c>
      <c r="L146" s="178" t="s">
        <v>26</v>
      </c>
      <c r="M146" s="172">
        <v>99489989</v>
      </c>
      <c r="N146" s="179"/>
      <c r="Q146">
        <v>3335</v>
      </c>
      <c r="R146" t="b">
        <f t="shared" si="29"/>
        <v>1</v>
      </c>
      <c r="S146" t="s">
        <v>355</v>
      </c>
      <c r="T146" t="b">
        <f t="shared" si="24"/>
        <v>1</v>
      </c>
      <c r="U146">
        <v>2022545</v>
      </c>
      <c r="V146" t="b">
        <f t="shared" si="25"/>
        <v>1</v>
      </c>
      <c r="W146" t="s">
        <v>356</v>
      </c>
      <c r="X146" t="b">
        <f t="shared" si="26"/>
        <v>1</v>
      </c>
      <c r="Y146" t="s">
        <v>26</v>
      </c>
      <c r="Z146" t="b">
        <f t="shared" si="27"/>
        <v>1</v>
      </c>
    </row>
    <row r="147" spans="1:26" hidden="1" x14ac:dyDescent="0.25">
      <c r="A147" s="27">
        <v>144</v>
      </c>
      <c r="B147" s="27">
        <v>3336</v>
      </c>
      <c r="C147" s="28" t="s">
        <v>357</v>
      </c>
      <c r="D147" s="29">
        <v>347.5</v>
      </c>
      <c r="E147" s="30">
        <v>0.4</v>
      </c>
      <c r="F147" s="30">
        <f t="shared" si="28"/>
        <v>139</v>
      </c>
      <c r="G147" s="30">
        <f>134.21+4.79</f>
        <v>139</v>
      </c>
      <c r="H147" s="30">
        <f t="shared" si="23"/>
        <v>0</v>
      </c>
      <c r="I147" s="27">
        <v>905756</v>
      </c>
      <c r="J147" s="51" t="s">
        <v>358</v>
      </c>
      <c r="K147" s="48" t="s">
        <v>25</v>
      </c>
      <c r="L147" s="49" t="s">
        <v>26</v>
      </c>
      <c r="M147" s="27">
        <v>92321799</v>
      </c>
      <c r="N147" s="35">
        <v>45574</v>
      </c>
      <c r="O147" s="146">
        <v>45635</v>
      </c>
      <c r="Q147">
        <v>3336</v>
      </c>
      <c r="R147" t="b">
        <f t="shared" si="29"/>
        <v>1</v>
      </c>
      <c r="S147" t="s">
        <v>357</v>
      </c>
      <c r="T147" t="b">
        <f t="shared" si="24"/>
        <v>1</v>
      </c>
      <c r="U147">
        <v>905756</v>
      </c>
      <c r="V147" t="b">
        <f t="shared" si="25"/>
        <v>1</v>
      </c>
      <c r="W147" t="s">
        <v>358</v>
      </c>
      <c r="X147" t="b">
        <f t="shared" si="26"/>
        <v>1</v>
      </c>
      <c r="Y147" t="s">
        <v>26</v>
      </c>
      <c r="Z147" t="b">
        <f t="shared" si="27"/>
        <v>1</v>
      </c>
    </row>
    <row r="148" spans="1:26" hidden="1" x14ac:dyDescent="0.25">
      <c r="A148" s="172">
        <v>145</v>
      </c>
      <c r="B148" s="172">
        <v>3337</v>
      </c>
      <c r="C148" s="173" t="s">
        <v>359</v>
      </c>
      <c r="D148" s="174">
        <v>373.2</v>
      </c>
      <c r="E148" s="175">
        <v>0.4</v>
      </c>
      <c r="F148" s="175">
        <f t="shared" si="28"/>
        <v>149.28</v>
      </c>
      <c r="G148" s="175">
        <f>F148</f>
        <v>149.28</v>
      </c>
      <c r="H148" s="175">
        <f t="shared" si="23"/>
        <v>0</v>
      </c>
      <c r="I148" s="172">
        <v>19344361</v>
      </c>
      <c r="J148" s="181" t="s">
        <v>360</v>
      </c>
      <c r="K148" s="177" t="s">
        <v>25</v>
      </c>
      <c r="L148" s="178" t="s">
        <v>26</v>
      </c>
      <c r="M148" s="172"/>
      <c r="N148" s="179"/>
      <c r="Q148">
        <v>3337</v>
      </c>
      <c r="R148" t="b">
        <f t="shared" si="29"/>
        <v>1</v>
      </c>
      <c r="S148" t="s">
        <v>359</v>
      </c>
      <c r="T148" t="b">
        <f t="shared" si="24"/>
        <v>1</v>
      </c>
      <c r="U148">
        <v>19344361</v>
      </c>
      <c r="V148" t="b">
        <f t="shared" si="25"/>
        <v>1</v>
      </c>
      <c r="W148" t="s">
        <v>360</v>
      </c>
      <c r="X148" t="b">
        <f t="shared" si="26"/>
        <v>1</v>
      </c>
      <c r="Y148" t="s">
        <v>26</v>
      </c>
      <c r="Z148" t="b">
        <f t="shared" si="27"/>
        <v>1</v>
      </c>
    </row>
    <row r="149" spans="1:26" hidden="1" x14ac:dyDescent="0.25">
      <c r="A149" s="27">
        <v>146</v>
      </c>
      <c r="B149" s="27">
        <v>3338</v>
      </c>
      <c r="C149" s="28" t="s">
        <v>361</v>
      </c>
      <c r="D149" s="29">
        <v>443</v>
      </c>
      <c r="E149" s="30">
        <v>0.4</v>
      </c>
      <c r="F149" s="30">
        <f t="shared" si="28"/>
        <v>177.20000000000002</v>
      </c>
      <c r="G149" s="30">
        <f>38.7+121.25+17.25</f>
        <v>177.2</v>
      </c>
      <c r="H149" s="30">
        <f t="shared" si="23"/>
        <v>0</v>
      </c>
      <c r="I149" s="27">
        <v>1078791</v>
      </c>
      <c r="J149" s="51" t="s">
        <v>362</v>
      </c>
      <c r="K149" s="31" t="s">
        <v>17</v>
      </c>
      <c r="L149" s="31" t="s">
        <v>18</v>
      </c>
      <c r="M149" s="27"/>
      <c r="N149" s="35">
        <v>45593</v>
      </c>
      <c r="O149" s="146">
        <v>45602</v>
      </c>
      <c r="P149" s="146">
        <v>45609</v>
      </c>
      <c r="Q149">
        <v>3338</v>
      </c>
      <c r="R149" t="b">
        <f t="shared" si="29"/>
        <v>1</v>
      </c>
      <c r="S149" t="s">
        <v>361</v>
      </c>
      <c r="T149" t="b">
        <f t="shared" si="24"/>
        <v>1</v>
      </c>
      <c r="U149">
        <v>1078791</v>
      </c>
      <c r="V149" t="b">
        <f t="shared" si="25"/>
        <v>1</v>
      </c>
      <c r="W149" t="s">
        <v>362</v>
      </c>
      <c r="X149" t="b">
        <f t="shared" si="26"/>
        <v>1</v>
      </c>
      <c r="Y149" t="s">
        <v>18</v>
      </c>
      <c r="Z149" t="b">
        <f t="shared" si="27"/>
        <v>1</v>
      </c>
    </row>
    <row r="150" spans="1:26" hidden="1" x14ac:dyDescent="0.25">
      <c r="A150" s="172">
        <v>147</v>
      </c>
      <c r="B150" s="172">
        <v>3340</v>
      </c>
      <c r="C150" s="173" t="s">
        <v>363</v>
      </c>
      <c r="D150" s="174">
        <v>327.5</v>
      </c>
      <c r="E150" s="175">
        <v>0.4</v>
      </c>
      <c r="F150" s="175">
        <f t="shared" si="28"/>
        <v>131</v>
      </c>
      <c r="G150" s="175">
        <f>F150</f>
        <v>131</v>
      </c>
      <c r="H150" s="175">
        <f t="shared" si="23"/>
        <v>0</v>
      </c>
      <c r="I150" s="172">
        <v>906355</v>
      </c>
      <c r="J150" s="181" t="s">
        <v>364</v>
      </c>
      <c r="K150" s="177" t="s">
        <v>25</v>
      </c>
      <c r="L150" s="178" t="s">
        <v>26</v>
      </c>
      <c r="M150" s="172">
        <v>95333933</v>
      </c>
      <c r="N150" s="179"/>
      <c r="Q150">
        <v>3340</v>
      </c>
      <c r="R150" t="b">
        <f t="shared" si="29"/>
        <v>1</v>
      </c>
      <c r="S150" t="s">
        <v>363</v>
      </c>
      <c r="T150" t="b">
        <f t="shared" si="24"/>
        <v>1</v>
      </c>
      <c r="U150">
        <v>906355</v>
      </c>
      <c r="V150" t="b">
        <f t="shared" si="25"/>
        <v>1</v>
      </c>
      <c r="W150" t="s">
        <v>364</v>
      </c>
      <c r="X150" t="b">
        <f t="shared" si="26"/>
        <v>1</v>
      </c>
      <c r="Y150" t="s">
        <v>26</v>
      </c>
      <c r="Z150" t="b">
        <f t="shared" si="27"/>
        <v>1</v>
      </c>
    </row>
    <row r="151" spans="1:26" s="36" customFormat="1" hidden="1" x14ac:dyDescent="0.25">
      <c r="A151" s="27">
        <v>148</v>
      </c>
      <c r="B151" s="27">
        <v>3342</v>
      </c>
      <c r="C151" s="28" t="s">
        <v>366</v>
      </c>
      <c r="D151" s="29">
        <v>270.60000000000002</v>
      </c>
      <c r="E151" s="30">
        <v>0.4</v>
      </c>
      <c r="F151" s="30">
        <f t="shared" si="28"/>
        <v>108.24000000000001</v>
      </c>
      <c r="G151" s="30">
        <f>14.16+92.15+1.93</f>
        <v>108.24000000000001</v>
      </c>
      <c r="H151" s="30">
        <f t="shared" si="23"/>
        <v>0</v>
      </c>
      <c r="I151" s="27">
        <v>1779485</v>
      </c>
      <c r="J151" s="51" t="s">
        <v>367</v>
      </c>
      <c r="K151" s="31" t="s">
        <v>17</v>
      </c>
      <c r="L151" s="31" t="s">
        <v>18</v>
      </c>
      <c r="M151" s="27"/>
      <c r="N151" s="35" t="s">
        <v>722</v>
      </c>
      <c r="O151" s="156">
        <v>45621</v>
      </c>
      <c r="Q151" s="36">
        <v>3342</v>
      </c>
      <c r="R151" s="36" t="b">
        <f t="shared" si="29"/>
        <v>1</v>
      </c>
      <c r="S151" s="36" t="s">
        <v>366</v>
      </c>
      <c r="T151" s="36" t="b">
        <f t="shared" si="24"/>
        <v>1</v>
      </c>
      <c r="U151" s="36">
        <v>1779485</v>
      </c>
      <c r="V151" s="36" t="b">
        <f t="shared" si="25"/>
        <v>1</v>
      </c>
      <c r="W151" s="36" t="s">
        <v>367</v>
      </c>
      <c r="X151" s="36" t="b">
        <f t="shared" si="26"/>
        <v>1</v>
      </c>
      <c r="Y151" s="36" t="s">
        <v>18</v>
      </c>
      <c r="Z151" s="36" t="b">
        <f t="shared" si="27"/>
        <v>1</v>
      </c>
    </row>
    <row r="152" spans="1:26" hidden="1" x14ac:dyDescent="0.25">
      <c r="A152" s="27">
        <v>149</v>
      </c>
      <c r="B152" s="27">
        <v>3346</v>
      </c>
      <c r="C152" s="28" t="s">
        <v>368</v>
      </c>
      <c r="D152" s="29">
        <v>670.7</v>
      </c>
      <c r="E152" s="30">
        <v>0.4</v>
      </c>
      <c r="F152" s="30">
        <f t="shared" si="28"/>
        <v>268.28000000000003</v>
      </c>
      <c r="G152" s="30">
        <f>268.26+0.02</f>
        <v>268.27999999999997</v>
      </c>
      <c r="H152" s="30">
        <f t="shared" si="23"/>
        <v>0</v>
      </c>
      <c r="I152" s="27">
        <v>1586848</v>
      </c>
      <c r="J152" s="51" t="s">
        <v>369</v>
      </c>
      <c r="K152" s="31" t="s">
        <v>166</v>
      </c>
      <c r="L152" s="31" t="s">
        <v>129</v>
      </c>
      <c r="M152" s="27">
        <v>92930610</v>
      </c>
      <c r="N152" s="35">
        <v>45567</v>
      </c>
      <c r="O152" s="146">
        <v>45602</v>
      </c>
      <c r="P152" s="146"/>
      <c r="Q152">
        <v>3346</v>
      </c>
      <c r="R152" t="b">
        <f t="shared" si="29"/>
        <v>1</v>
      </c>
      <c r="S152" t="s">
        <v>368</v>
      </c>
      <c r="T152" t="b">
        <f t="shared" si="24"/>
        <v>1</v>
      </c>
      <c r="U152">
        <v>1586848</v>
      </c>
      <c r="V152" t="b">
        <f t="shared" si="25"/>
        <v>1</v>
      </c>
      <c r="W152" t="s">
        <v>369</v>
      </c>
      <c r="X152" t="b">
        <f t="shared" si="26"/>
        <v>1</v>
      </c>
      <c r="Y152" t="s">
        <v>129</v>
      </c>
      <c r="Z152" t="b">
        <f t="shared" si="27"/>
        <v>1</v>
      </c>
    </row>
    <row r="153" spans="1:26" hidden="1" x14ac:dyDescent="0.25">
      <c r="A153" s="27">
        <v>150</v>
      </c>
      <c r="B153" s="27">
        <v>3700</v>
      </c>
      <c r="C153" s="28" t="s">
        <v>27</v>
      </c>
      <c r="D153" s="29">
        <v>1023.3</v>
      </c>
      <c r="E153" s="30">
        <v>0.4</v>
      </c>
      <c r="F153" s="30">
        <f t="shared" si="28"/>
        <v>409.32</v>
      </c>
      <c r="G153" s="30">
        <f>F153</f>
        <v>409.32</v>
      </c>
      <c r="H153" s="30">
        <f t="shared" si="23"/>
        <v>0</v>
      </c>
      <c r="I153" s="27">
        <v>19729836</v>
      </c>
      <c r="J153" s="49" t="s">
        <v>28</v>
      </c>
      <c r="K153" s="48" t="s">
        <v>25</v>
      </c>
      <c r="L153" s="31" t="s">
        <v>26</v>
      </c>
      <c r="M153" s="27">
        <v>99633838</v>
      </c>
      <c r="N153" s="35">
        <v>45602</v>
      </c>
      <c r="Q153">
        <v>3700</v>
      </c>
      <c r="R153" t="b">
        <f t="shared" si="29"/>
        <v>1</v>
      </c>
      <c r="S153" t="s">
        <v>27</v>
      </c>
      <c r="T153" t="b">
        <f t="shared" si="24"/>
        <v>1</v>
      </c>
      <c r="U153">
        <v>19729836</v>
      </c>
      <c r="V153" t="b">
        <f t="shared" si="25"/>
        <v>1</v>
      </c>
      <c r="W153" t="s">
        <v>28</v>
      </c>
      <c r="X153" t="b">
        <f t="shared" si="26"/>
        <v>1</v>
      </c>
      <c r="Y153" t="s">
        <v>26</v>
      </c>
      <c r="Z153" t="b">
        <f t="shared" si="27"/>
        <v>1</v>
      </c>
    </row>
    <row r="154" spans="1:26" hidden="1" x14ac:dyDescent="0.25">
      <c r="A154" s="27">
        <v>151</v>
      </c>
      <c r="B154" s="27">
        <v>3702</v>
      </c>
      <c r="C154" s="28" t="s">
        <v>370</v>
      </c>
      <c r="D154" s="29">
        <v>402.6</v>
      </c>
      <c r="E154" s="30">
        <v>0.4</v>
      </c>
      <c r="F154" s="30">
        <f t="shared" si="28"/>
        <v>161.04000000000002</v>
      </c>
      <c r="G154" s="30">
        <f>61.95+97+2.09</f>
        <v>161.04</v>
      </c>
      <c r="H154" s="30">
        <f t="shared" si="23"/>
        <v>0</v>
      </c>
      <c r="I154" s="68" t="s">
        <v>371</v>
      </c>
      <c r="J154" s="49" t="s">
        <v>372</v>
      </c>
      <c r="K154" s="31" t="s">
        <v>17</v>
      </c>
      <c r="L154" s="31" t="s">
        <v>18</v>
      </c>
      <c r="M154" s="27">
        <v>90939111</v>
      </c>
      <c r="N154" s="35">
        <v>45596</v>
      </c>
      <c r="O154" s="146">
        <v>45609</v>
      </c>
      <c r="P154" s="146">
        <v>45628</v>
      </c>
      <c r="Q154">
        <v>3702</v>
      </c>
      <c r="R154" t="b">
        <f t="shared" si="29"/>
        <v>1</v>
      </c>
      <c r="S154" t="s">
        <v>370</v>
      </c>
      <c r="T154" t="b">
        <f t="shared" si="24"/>
        <v>1</v>
      </c>
      <c r="U154" t="s">
        <v>371</v>
      </c>
      <c r="V154" t="b">
        <f t="shared" si="25"/>
        <v>1</v>
      </c>
      <c r="W154" t="s">
        <v>372</v>
      </c>
      <c r="X154" t="b">
        <f t="shared" si="26"/>
        <v>1</v>
      </c>
      <c r="Y154" t="s">
        <v>18</v>
      </c>
      <c r="Z154" t="b">
        <f t="shared" si="27"/>
        <v>1</v>
      </c>
    </row>
    <row r="155" spans="1:26" hidden="1" x14ac:dyDescent="0.25">
      <c r="A155" s="115">
        <v>152</v>
      </c>
      <c r="B155" s="115">
        <v>3703</v>
      </c>
      <c r="C155" s="116" t="s">
        <v>373</v>
      </c>
      <c r="D155" s="117">
        <v>1017.8</v>
      </c>
      <c r="E155" s="118">
        <v>0.4</v>
      </c>
      <c r="F155" s="118">
        <f t="shared" si="28"/>
        <v>407.12</v>
      </c>
      <c r="G155" s="118">
        <f>F155</f>
        <v>407.12</v>
      </c>
      <c r="H155" s="118">
        <f t="shared" si="23"/>
        <v>0</v>
      </c>
      <c r="I155" s="115">
        <v>6332137</v>
      </c>
      <c r="J155" s="120" t="s">
        <v>814</v>
      </c>
      <c r="K155" s="125" t="s">
        <v>128</v>
      </c>
      <c r="L155" s="125" t="s">
        <v>129</v>
      </c>
      <c r="M155" s="115">
        <v>98239666</v>
      </c>
      <c r="N155" s="125" t="s">
        <v>812</v>
      </c>
      <c r="Q155">
        <v>3703</v>
      </c>
      <c r="R155" t="b">
        <f t="shared" si="29"/>
        <v>1</v>
      </c>
      <c r="S155" t="s">
        <v>373</v>
      </c>
      <c r="T155" t="b">
        <f t="shared" si="24"/>
        <v>1</v>
      </c>
      <c r="U155">
        <v>6332137</v>
      </c>
      <c r="V155" t="b">
        <f t="shared" si="25"/>
        <v>1</v>
      </c>
      <c r="W155" t="s">
        <v>374</v>
      </c>
      <c r="X155" t="b">
        <f t="shared" si="26"/>
        <v>0</v>
      </c>
      <c r="Y155" t="s">
        <v>122</v>
      </c>
      <c r="Z155" t="b">
        <f t="shared" si="27"/>
        <v>0</v>
      </c>
    </row>
    <row r="156" spans="1:26" s="170" customFormat="1" hidden="1" x14ac:dyDescent="0.25">
      <c r="A156" s="115">
        <v>153</v>
      </c>
      <c r="B156" s="115">
        <v>3704</v>
      </c>
      <c r="C156" s="116" t="s">
        <v>375</v>
      </c>
      <c r="D156" s="117">
        <v>825.6</v>
      </c>
      <c r="E156" s="118">
        <v>0.4</v>
      </c>
      <c r="F156" s="118">
        <f t="shared" si="28"/>
        <v>330.24</v>
      </c>
      <c r="G156" s="118">
        <v>330.24</v>
      </c>
      <c r="H156" s="118">
        <f t="shared" si="23"/>
        <v>0</v>
      </c>
      <c r="I156" s="115">
        <v>730722</v>
      </c>
      <c r="J156" s="168" t="s">
        <v>376</v>
      </c>
      <c r="K156" s="125" t="s">
        <v>25</v>
      </c>
      <c r="L156" s="120" t="s">
        <v>26</v>
      </c>
      <c r="M156" s="115">
        <v>92499000</v>
      </c>
      <c r="N156" s="125" t="s">
        <v>805</v>
      </c>
      <c r="Q156" s="170">
        <v>3704</v>
      </c>
      <c r="R156" s="170" t="b">
        <f t="shared" si="29"/>
        <v>1</v>
      </c>
      <c r="S156" s="170" t="s">
        <v>375</v>
      </c>
      <c r="T156" s="170" t="b">
        <f t="shared" si="24"/>
        <v>1</v>
      </c>
      <c r="U156" s="170">
        <v>730722</v>
      </c>
      <c r="V156" s="170" t="b">
        <f t="shared" si="25"/>
        <v>1</v>
      </c>
      <c r="W156" s="170" t="s">
        <v>376</v>
      </c>
      <c r="X156" s="170" t="b">
        <f t="shared" si="26"/>
        <v>1</v>
      </c>
      <c r="Y156" s="170" t="s">
        <v>26</v>
      </c>
      <c r="Z156" s="170" t="b">
        <f t="shared" si="27"/>
        <v>1</v>
      </c>
    </row>
    <row r="157" spans="1:26" s="36" customFormat="1" hidden="1" x14ac:dyDescent="0.25">
      <c r="A157" s="27">
        <v>154</v>
      </c>
      <c r="B157" s="27">
        <v>3705</v>
      </c>
      <c r="C157" s="28" t="s">
        <v>377</v>
      </c>
      <c r="D157" s="29">
        <v>378.1</v>
      </c>
      <c r="E157" s="30">
        <v>0.4</v>
      </c>
      <c r="F157" s="30">
        <f t="shared" si="28"/>
        <v>151.24</v>
      </c>
      <c r="G157" s="30">
        <f>146.41+4.83</f>
        <v>151.24</v>
      </c>
      <c r="H157" s="30">
        <f t="shared" si="23"/>
        <v>0</v>
      </c>
      <c r="I157" s="27">
        <v>738486</v>
      </c>
      <c r="J157" s="51" t="s">
        <v>378</v>
      </c>
      <c r="K157" s="31" t="s">
        <v>25</v>
      </c>
      <c r="L157" s="49" t="s">
        <v>26</v>
      </c>
      <c r="M157" s="27">
        <v>99486030</v>
      </c>
      <c r="N157" s="35">
        <v>45593</v>
      </c>
      <c r="O157" s="156">
        <v>45621</v>
      </c>
      <c r="Q157" s="36">
        <v>3705</v>
      </c>
      <c r="R157" s="36" t="b">
        <f t="shared" si="29"/>
        <v>1</v>
      </c>
      <c r="S157" s="36" t="s">
        <v>377</v>
      </c>
      <c r="T157" s="36" t="b">
        <f t="shared" si="24"/>
        <v>1</v>
      </c>
      <c r="U157" s="36">
        <v>738486</v>
      </c>
      <c r="V157" s="36" t="b">
        <f t="shared" si="25"/>
        <v>1</v>
      </c>
      <c r="W157" s="36" t="s">
        <v>378</v>
      </c>
      <c r="X157" s="36" t="b">
        <f t="shared" si="26"/>
        <v>1</v>
      </c>
      <c r="Y157" s="36" t="s">
        <v>26</v>
      </c>
      <c r="Z157" s="36" t="b">
        <f t="shared" si="27"/>
        <v>1</v>
      </c>
    </row>
    <row r="158" spans="1:26" s="36" customFormat="1" hidden="1" x14ac:dyDescent="0.25">
      <c r="A158" s="27">
        <v>155</v>
      </c>
      <c r="B158" s="27">
        <v>3706</v>
      </c>
      <c r="C158" s="28" t="s">
        <v>379</v>
      </c>
      <c r="D158" s="29">
        <v>351.3</v>
      </c>
      <c r="E158" s="30">
        <v>0.4</v>
      </c>
      <c r="F158" s="30">
        <f t="shared" si="28"/>
        <v>140.52000000000001</v>
      </c>
      <c r="G158" s="30">
        <f>140.46+0.06</f>
        <v>140.52000000000001</v>
      </c>
      <c r="H158" s="30">
        <f t="shared" si="23"/>
        <v>0</v>
      </c>
      <c r="I158" s="27">
        <v>8098795</v>
      </c>
      <c r="J158" s="51" t="s">
        <v>380</v>
      </c>
      <c r="K158" s="31" t="s">
        <v>25</v>
      </c>
      <c r="L158" s="49" t="s">
        <v>26</v>
      </c>
      <c r="M158" s="27">
        <v>93567000</v>
      </c>
      <c r="N158" s="35">
        <v>45593</v>
      </c>
      <c r="O158" s="156">
        <v>45621</v>
      </c>
      <c r="Q158" s="36">
        <v>3706</v>
      </c>
      <c r="R158" s="36" t="b">
        <f t="shared" si="29"/>
        <v>1</v>
      </c>
      <c r="S158" s="36" t="s">
        <v>379</v>
      </c>
      <c r="T158" s="36" t="b">
        <f t="shared" si="24"/>
        <v>1</v>
      </c>
      <c r="U158" s="36">
        <v>8098795</v>
      </c>
      <c r="V158" s="36" t="b">
        <f t="shared" si="25"/>
        <v>1</v>
      </c>
      <c r="W158" s="36" t="s">
        <v>380</v>
      </c>
      <c r="X158" s="36" t="b">
        <f t="shared" si="26"/>
        <v>1</v>
      </c>
      <c r="Y158" s="36" t="s">
        <v>26</v>
      </c>
      <c r="Z158" s="36" t="b">
        <f t="shared" si="27"/>
        <v>1</v>
      </c>
    </row>
    <row r="159" spans="1:26" hidden="1" x14ac:dyDescent="0.25">
      <c r="A159" s="54">
        <v>156</v>
      </c>
      <c r="B159" s="54">
        <v>3708</v>
      </c>
      <c r="C159" s="55" t="s">
        <v>381</v>
      </c>
      <c r="D159" s="56">
        <v>694.9</v>
      </c>
      <c r="E159" s="57">
        <v>0.4</v>
      </c>
      <c r="F159" s="57">
        <f t="shared" si="28"/>
        <v>277.95999999999998</v>
      </c>
      <c r="G159" s="57">
        <f>F159</f>
        <v>277.95999999999998</v>
      </c>
      <c r="H159" s="57">
        <f t="shared" si="23"/>
        <v>0</v>
      </c>
      <c r="I159" s="57">
        <v>5304255</v>
      </c>
      <c r="J159" s="60" t="s">
        <v>383</v>
      </c>
      <c r="K159" s="59" t="s">
        <v>25</v>
      </c>
      <c r="L159" s="60" t="s">
        <v>26</v>
      </c>
      <c r="M159" s="54">
        <v>98822655</v>
      </c>
      <c r="N159" s="61" t="s">
        <v>161</v>
      </c>
      <c r="Q159">
        <v>3708</v>
      </c>
      <c r="R159" t="b">
        <f t="shared" si="29"/>
        <v>1</v>
      </c>
      <c r="S159" t="s">
        <v>381</v>
      </c>
      <c r="T159" t="b">
        <f t="shared" si="24"/>
        <v>1</v>
      </c>
      <c r="U159">
        <v>5304255</v>
      </c>
      <c r="V159" t="b">
        <f t="shared" si="25"/>
        <v>1</v>
      </c>
      <c r="W159" t="s">
        <v>383</v>
      </c>
      <c r="X159" t="b">
        <f t="shared" si="26"/>
        <v>1</v>
      </c>
      <c r="Y159" t="s">
        <v>26</v>
      </c>
      <c r="Z159" t="b">
        <f t="shared" si="27"/>
        <v>1</v>
      </c>
    </row>
    <row r="160" spans="1:26" hidden="1" x14ac:dyDescent="0.25">
      <c r="A160" s="172">
        <v>157</v>
      </c>
      <c r="B160" s="172">
        <v>3709</v>
      </c>
      <c r="C160" s="173" t="s">
        <v>384</v>
      </c>
      <c r="D160" s="174">
        <v>753</v>
      </c>
      <c r="E160" s="175">
        <v>0.4</v>
      </c>
      <c r="F160" s="175">
        <f t="shared" si="28"/>
        <v>301.2</v>
      </c>
      <c r="G160" s="175">
        <f>F160</f>
        <v>301.2</v>
      </c>
      <c r="H160" s="175">
        <f t="shared" si="23"/>
        <v>0</v>
      </c>
      <c r="I160" s="197" t="s">
        <v>385</v>
      </c>
      <c r="J160" s="178" t="s">
        <v>386</v>
      </c>
      <c r="K160" s="177" t="s">
        <v>25</v>
      </c>
      <c r="L160" s="178" t="s">
        <v>26</v>
      </c>
      <c r="M160" s="172">
        <v>97799855</v>
      </c>
      <c r="N160" s="179"/>
      <c r="Q160">
        <v>3709</v>
      </c>
      <c r="R160" t="b">
        <f t="shared" si="29"/>
        <v>1</v>
      </c>
      <c r="S160" t="s">
        <v>384</v>
      </c>
      <c r="T160" t="b">
        <f t="shared" si="24"/>
        <v>1</v>
      </c>
      <c r="U160" t="s">
        <v>385</v>
      </c>
      <c r="V160" t="b">
        <f t="shared" si="25"/>
        <v>1</v>
      </c>
      <c r="W160" t="s">
        <v>386</v>
      </c>
      <c r="X160" t="b">
        <f t="shared" si="26"/>
        <v>1</v>
      </c>
      <c r="Y160" t="s">
        <v>26</v>
      </c>
      <c r="Z160" t="b">
        <f t="shared" si="27"/>
        <v>1</v>
      </c>
    </row>
    <row r="161" spans="1:26" hidden="1" x14ac:dyDescent="0.25">
      <c r="A161" s="27">
        <v>158</v>
      </c>
      <c r="B161" s="27">
        <v>3711</v>
      </c>
      <c r="C161" s="28" t="s">
        <v>387</v>
      </c>
      <c r="D161" s="29">
        <v>367.3</v>
      </c>
      <c r="E161" s="30">
        <v>0.4</v>
      </c>
      <c r="F161" s="30">
        <f t="shared" si="28"/>
        <v>146.92000000000002</v>
      </c>
      <c r="G161" s="30">
        <f>145.38+1.54</f>
        <v>146.91999999999999</v>
      </c>
      <c r="H161" s="30">
        <f t="shared" si="23"/>
        <v>0</v>
      </c>
      <c r="I161" s="68" t="s">
        <v>388</v>
      </c>
      <c r="J161" s="49" t="s">
        <v>389</v>
      </c>
      <c r="K161" s="31" t="s">
        <v>17</v>
      </c>
      <c r="L161" s="31" t="s">
        <v>18</v>
      </c>
      <c r="M161" s="27">
        <v>99590400</v>
      </c>
      <c r="N161" s="35">
        <v>45596</v>
      </c>
      <c r="O161" s="146">
        <v>45602</v>
      </c>
      <c r="P161" s="146"/>
      <c r="Q161">
        <v>3711</v>
      </c>
      <c r="R161" t="b">
        <f t="shared" si="29"/>
        <v>1</v>
      </c>
      <c r="S161" t="s">
        <v>387</v>
      </c>
      <c r="T161" t="b">
        <f t="shared" si="24"/>
        <v>1</v>
      </c>
      <c r="U161" t="s">
        <v>388</v>
      </c>
      <c r="V161" t="b">
        <f t="shared" si="25"/>
        <v>1</v>
      </c>
      <c r="W161" t="s">
        <v>389</v>
      </c>
      <c r="X161" t="b">
        <f t="shared" si="26"/>
        <v>1</v>
      </c>
      <c r="Y161" t="s">
        <v>18</v>
      </c>
      <c r="Z161" t="b">
        <f t="shared" si="27"/>
        <v>1</v>
      </c>
    </row>
    <row r="162" spans="1:26" hidden="1" x14ac:dyDescent="0.25">
      <c r="A162" s="27">
        <v>159</v>
      </c>
      <c r="B162" s="27">
        <v>3712</v>
      </c>
      <c r="C162" s="28" t="s">
        <v>390</v>
      </c>
      <c r="D162" s="29">
        <v>312.5</v>
      </c>
      <c r="E162" s="30">
        <v>0.4</v>
      </c>
      <c r="F162" s="30">
        <f t="shared" si="28"/>
        <v>125</v>
      </c>
      <c r="G162" s="30">
        <f>124.01+0.99</f>
        <v>125</v>
      </c>
      <c r="H162" s="30">
        <f t="shared" si="23"/>
        <v>0</v>
      </c>
      <c r="I162" s="68" t="s">
        <v>391</v>
      </c>
      <c r="J162" s="49" t="s">
        <v>392</v>
      </c>
      <c r="K162" s="48" t="s">
        <v>25</v>
      </c>
      <c r="L162" s="49" t="s">
        <v>26</v>
      </c>
      <c r="M162" s="27">
        <v>99586643</v>
      </c>
      <c r="N162" s="35">
        <v>45575</v>
      </c>
      <c r="O162" s="146">
        <v>45602</v>
      </c>
      <c r="P162" s="146"/>
      <c r="Q162">
        <v>3712</v>
      </c>
      <c r="R162" t="b">
        <f t="shared" si="29"/>
        <v>1</v>
      </c>
      <c r="S162" t="s">
        <v>390</v>
      </c>
      <c r="T162" t="b">
        <f t="shared" si="24"/>
        <v>1</v>
      </c>
      <c r="U162" t="s">
        <v>391</v>
      </c>
      <c r="V162" t="b">
        <f t="shared" si="25"/>
        <v>1</v>
      </c>
      <c r="W162" t="s">
        <v>392</v>
      </c>
      <c r="X162" t="b">
        <f t="shared" si="26"/>
        <v>1</v>
      </c>
      <c r="Y162" t="s">
        <v>26</v>
      </c>
      <c r="Z162" t="b">
        <f t="shared" si="27"/>
        <v>1</v>
      </c>
    </row>
    <row r="163" spans="1:26" hidden="1" x14ac:dyDescent="0.25">
      <c r="A163" s="172">
        <v>160</v>
      </c>
      <c r="B163" s="172">
        <v>3713</v>
      </c>
      <c r="C163" s="173" t="s">
        <v>393</v>
      </c>
      <c r="D163" s="174">
        <v>374.8</v>
      </c>
      <c r="E163" s="175">
        <v>0.4</v>
      </c>
      <c r="F163" s="175">
        <f t="shared" si="28"/>
        <v>149.92000000000002</v>
      </c>
      <c r="G163" s="175">
        <f>F163</f>
        <v>149.92000000000002</v>
      </c>
      <c r="H163" s="175">
        <f t="shared" si="23"/>
        <v>0</v>
      </c>
      <c r="I163" s="197" t="s">
        <v>394</v>
      </c>
      <c r="J163" s="179" t="s">
        <v>395</v>
      </c>
      <c r="K163" s="179" t="s">
        <v>121</v>
      </c>
      <c r="L163" s="179" t="s">
        <v>122</v>
      </c>
      <c r="M163" s="172">
        <v>99490438</v>
      </c>
      <c r="N163" s="179"/>
      <c r="Q163">
        <v>3713</v>
      </c>
      <c r="R163" t="b">
        <f t="shared" si="29"/>
        <v>1</v>
      </c>
      <c r="S163" t="s">
        <v>393</v>
      </c>
      <c r="T163" t="b">
        <f t="shared" si="24"/>
        <v>1</v>
      </c>
      <c r="U163" t="s">
        <v>394</v>
      </c>
      <c r="V163" t="b">
        <f t="shared" si="25"/>
        <v>1</v>
      </c>
      <c r="W163" t="s">
        <v>395</v>
      </c>
      <c r="X163" t="b">
        <f t="shared" si="26"/>
        <v>1</v>
      </c>
      <c r="Y163" t="s">
        <v>122</v>
      </c>
      <c r="Z163" t="b">
        <f t="shared" si="27"/>
        <v>1</v>
      </c>
    </row>
    <row r="164" spans="1:26" hidden="1" x14ac:dyDescent="0.25">
      <c r="A164" s="27">
        <v>161</v>
      </c>
      <c r="B164" s="27">
        <v>3716</v>
      </c>
      <c r="C164" s="28" t="s">
        <v>396</v>
      </c>
      <c r="D164" s="29">
        <v>667.2</v>
      </c>
      <c r="E164" s="30">
        <v>0.4</v>
      </c>
      <c r="F164" s="30">
        <f t="shared" si="28"/>
        <v>266.88000000000005</v>
      </c>
      <c r="G164" s="30">
        <f>163.922+101.85+1.108</f>
        <v>266.88</v>
      </c>
      <c r="H164" s="30">
        <f t="shared" si="23"/>
        <v>0</v>
      </c>
      <c r="I164" s="32" t="s">
        <v>397</v>
      </c>
      <c r="J164" s="49" t="s">
        <v>398</v>
      </c>
      <c r="K164" s="48" t="s">
        <v>25</v>
      </c>
      <c r="L164" s="49" t="s">
        <v>26</v>
      </c>
      <c r="M164" s="27"/>
      <c r="N164" s="35" t="s">
        <v>723</v>
      </c>
      <c r="O164" s="146">
        <v>45607</v>
      </c>
      <c r="Q164">
        <v>3716</v>
      </c>
      <c r="R164" t="b">
        <f t="shared" si="29"/>
        <v>1</v>
      </c>
      <c r="S164" t="s">
        <v>396</v>
      </c>
      <c r="T164" t="b">
        <f t="shared" si="24"/>
        <v>1</v>
      </c>
      <c r="U164" t="s">
        <v>397</v>
      </c>
      <c r="V164" t="b">
        <f t="shared" si="25"/>
        <v>1</v>
      </c>
      <c r="W164" t="s">
        <v>398</v>
      </c>
      <c r="X164" t="b">
        <f t="shared" si="26"/>
        <v>1</v>
      </c>
      <c r="Y164" t="s">
        <v>26</v>
      </c>
      <c r="Z164" t="b">
        <f t="shared" si="27"/>
        <v>1</v>
      </c>
    </row>
    <row r="165" spans="1:26" hidden="1" x14ac:dyDescent="0.25">
      <c r="A165" s="172">
        <v>162</v>
      </c>
      <c r="B165" s="172">
        <v>3717</v>
      </c>
      <c r="C165" s="173" t="s">
        <v>399</v>
      </c>
      <c r="D165" s="174">
        <v>754</v>
      </c>
      <c r="E165" s="175">
        <v>0.4</v>
      </c>
      <c r="F165" s="175">
        <f t="shared" si="28"/>
        <v>301.60000000000002</v>
      </c>
      <c r="G165" s="175">
        <f t="shared" ref="G165:G167" si="31">F165</f>
        <v>301.60000000000002</v>
      </c>
      <c r="H165" s="175">
        <f t="shared" si="23"/>
        <v>0</v>
      </c>
      <c r="I165" s="180" t="s">
        <v>400</v>
      </c>
      <c r="J165" s="178" t="s">
        <v>401</v>
      </c>
      <c r="K165" s="177" t="s">
        <v>25</v>
      </c>
      <c r="L165" s="178" t="s">
        <v>26</v>
      </c>
      <c r="M165" s="172"/>
      <c r="N165" s="179"/>
      <c r="Q165">
        <v>3717</v>
      </c>
      <c r="R165" t="b">
        <f t="shared" si="29"/>
        <v>1</v>
      </c>
      <c r="S165" t="s">
        <v>399</v>
      </c>
      <c r="T165" t="b">
        <f t="shared" si="24"/>
        <v>1</v>
      </c>
      <c r="U165" t="s">
        <v>400</v>
      </c>
      <c r="V165" t="b">
        <f t="shared" si="25"/>
        <v>1</v>
      </c>
      <c r="W165" t="s">
        <v>401</v>
      </c>
      <c r="X165" t="b">
        <f t="shared" si="26"/>
        <v>1</v>
      </c>
      <c r="Y165" t="s">
        <v>26</v>
      </c>
      <c r="Z165" t="b">
        <f t="shared" si="27"/>
        <v>1</v>
      </c>
    </row>
    <row r="166" spans="1:26" hidden="1" x14ac:dyDescent="0.25">
      <c r="A166" s="172">
        <v>163</v>
      </c>
      <c r="B166" s="172">
        <v>3718</v>
      </c>
      <c r="C166" s="173" t="s">
        <v>403</v>
      </c>
      <c r="D166" s="174">
        <v>207.6</v>
      </c>
      <c r="E166" s="175">
        <v>0.4</v>
      </c>
      <c r="F166" s="175">
        <f t="shared" si="28"/>
        <v>83.04</v>
      </c>
      <c r="G166" s="175">
        <f t="shared" si="31"/>
        <v>83.04</v>
      </c>
      <c r="H166" s="175">
        <f t="shared" si="23"/>
        <v>0</v>
      </c>
      <c r="I166" s="197" t="s">
        <v>404</v>
      </c>
      <c r="J166" s="178" t="s">
        <v>405</v>
      </c>
      <c r="K166" s="179" t="s">
        <v>43</v>
      </c>
      <c r="L166" s="178" t="s">
        <v>44</v>
      </c>
      <c r="M166" s="172">
        <v>92955331</v>
      </c>
      <c r="N166" s="179"/>
      <c r="Q166">
        <v>3718</v>
      </c>
      <c r="R166" t="b">
        <f t="shared" si="29"/>
        <v>1</v>
      </c>
      <c r="S166" t="s">
        <v>403</v>
      </c>
      <c r="T166" t="b">
        <f t="shared" si="24"/>
        <v>1</v>
      </c>
      <c r="U166" t="s">
        <v>404</v>
      </c>
      <c r="V166" t="b">
        <f t="shared" si="25"/>
        <v>1</v>
      </c>
      <c r="W166" t="s">
        <v>405</v>
      </c>
      <c r="X166" t="b">
        <f t="shared" si="26"/>
        <v>1</v>
      </c>
      <c r="Y166" t="s">
        <v>44</v>
      </c>
      <c r="Z166" t="b">
        <f t="shared" si="27"/>
        <v>1</v>
      </c>
    </row>
    <row r="167" spans="1:26" hidden="1" x14ac:dyDescent="0.25">
      <c r="A167" s="172">
        <v>164</v>
      </c>
      <c r="B167" s="172">
        <v>3719</v>
      </c>
      <c r="C167" s="173" t="s">
        <v>406</v>
      </c>
      <c r="D167" s="174">
        <v>405</v>
      </c>
      <c r="E167" s="175">
        <v>0.4</v>
      </c>
      <c r="F167" s="175">
        <f t="shared" si="28"/>
        <v>162</v>
      </c>
      <c r="G167" s="175">
        <f t="shared" si="31"/>
        <v>162</v>
      </c>
      <c r="H167" s="175">
        <f t="shared" si="23"/>
        <v>0</v>
      </c>
      <c r="I167" s="197" t="s">
        <v>407</v>
      </c>
      <c r="J167" s="178" t="s">
        <v>408</v>
      </c>
      <c r="K167" s="181" t="s">
        <v>75</v>
      </c>
      <c r="L167" s="179" t="s">
        <v>76</v>
      </c>
      <c r="M167" s="172">
        <v>99083559</v>
      </c>
      <c r="N167" s="179"/>
      <c r="Q167">
        <v>3719</v>
      </c>
      <c r="R167" t="b">
        <f t="shared" si="29"/>
        <v>1</v>
      </c>
      <c r="S167" t="s">
        <v>406</v>
      </c>
      <c r="T167" t="b">
        <f t="shared" si="24"/>
        <v>1</v>
      </c>
      <c r="U167" t="s">
        <v>407</v>
      </c>
      <c r="V167" t="b">
        <f t="shared" si="25"/>
        <v>1</v>
      </c>
      <c r="W167" t="s">
        <v>408</v>
      </c>
      <c r="X167" t="b">
        <f t="shared" si="26"/>
        <v>1</v>
      </c>
      <c r="Y167" t="s">
        <v>76</v>
      </c>
      <c r="Z167" t="b">
        <f t="shared" si="27"/>
        <v>1</v>
      </c>
    </row>
    <row r="168" spans="1:26" hidden="1" x14ac:dyDescent="0.25">
      <c r="A168" s="54">
        <v>165</v>
      </c>
      <c r="B168" s="54">
        <v>3720</v>
      </c>
      <c r="C168" s="55" t="s">
        <v>409</v>
      </c>
      <c r="D168" s="56">
        <v>488.3</v>
      </c>
      <c r="E168" s="57">
        <v>0.4</v>
      </c>
      <c r="F168" s="57">
        <f t="shared" si="28"/>
        <v>195.32000000000002</v>
      </c>
      <c r="G168" s="57">
        <f>F168</f>
        <v>195.32000000000002</v>
      </c>
      <c r="H168" s="57">
        <f t="shared" si="23"/>
        <v>0</v>
      </c>
      <c r="I168" s="124" t="s">
        <v>410</v>
      </c>
      <c r="J168" s="60" t="s">
        <v>411</v>
      </c>
      <c r="K168" s="61" t="s">
        <v>17</v>
      </c>
      <c r="L168" s="61" t="s">
        <v>18</v>
      </c>
      <c r="M168" s="54">
        <v>91731345</v>
      </c>
      <c r="N168" s="61" t="s">
        <v>161</v>
      </c>
      <c r="Q168">
        <v>3720</v>
      </c>
      <c r="R168" t="b">
        <f t="shared" si="29"/>
        <v>1</v>
      </c>
      <c r="S168" t="s">
        <v>409</v>
      </c>
      <c r="T168" t="b">
        <f t="shared" si="24"/>
        <v>1</v>
      </c>
      <c r="U168" t="s">
        <v>410</v>
      </c>
      <c r="V168" t="b">
        <f t="shared" si="25"/>
        <v>1</v>
      </c>
      <c r="W168" t="s">
        <v>411</v>
      </c>
      <c r="X168" t="b">
        <f t="shared" si="26"/>
        <v>1</v>
      </c>
      <c r="Y168" t="s">
        <v>18</v>
      </c>
      <c r="Z168" t="b">
        <f t="shared" si="27"/>
        <v>1</v>
      </c>
    </row>
    <row r="169" spans="1:26" hidden="1" x14ac:dyDescent="0.25">
      <c r="A169" s="172">
        <v>166</v>
      </c>
      <c r="B169" s="172">
        <v>3722</v>
      </c>
      <c r="C169" s="173" t="s">
        <v>412</v>
      </c>
      <c r="D169" s="174">
        <v>400.7</v>
      </c>
      <c r="E169" s="175">
        <v>0.4</v>
      </c>
      <c r="F169" s="175">
        <f t="shared" si="28"/>
        <v>160.28</v>
      </c>
      <c r="G169" s="175">
        <f t="shared" ref="G169:G170" si="32">F169</f>
        <v>160.28</v>
      </c>
      <c r="H169" s="175">
        <f t="shared" si="23"/>
        <v>0</v>
      </c>
      <c r="I169" s="198" t="s">
        <v>413</v>
      </c>
      <c r="J169" s="178" t="s">
        <v>414</v>
      </c>
      <c r="K169" s="185" t="s">
        <v>75</v>
      </c>
      <c r="L169" s="179" t="s">
        <v>76</v>
      </c>
      <c r="M169" s="172">
        <v>96912200</v>
      </c>
      <c r="N169" s="179"/>
      <c r="Q169">
        <v>3722</v>
      </c>
      <c r="R169" t="b">
        <f t="shared" si="29"/>
        <v>1</v>
      </c>
      <c r="S169" t="s">
        <v>412</v>
      </c>
      <c r="T169" t="b">
        <f t="shared" si="24"/>
        <v>1</v>
      </c>
      <c r="U169" t="s">
        <v>413</v>
      </c>
      <c r="V169" t="b">
        <f t="shared" si="25"/>
        <v>1</v>
      </c>
      <c r="W169" t="s">
        <v>414</v>
      </c>
      <c r="X169" t="b">
        <f t="shared" si="26"/>
        <v>1</v>
      </c>
      <c r="Y169" t="s">
        <v>76</v>
      </c>
      <c r="Z169" t="b">
        <f t="shared" si="27"/>
        <v>1</v>
      </c>
    </row>
    <row r="170" spans="1:26" hidden="1" x14ac:dyDescent="0.25">
      <c r="A170" s="172">
        <v>167</v>
      </c>
      <c r="B170" s="172">
        <v>3723</v>
      </c>
      <c r="C170" s="173" t="s">
        <v>415</v>
      </c>
      <c r="D170" s="174">
        <v>190.8</v>
      </c>
      <c r="E170" s="175">
        <v>0.4</v>
      </c>
      <c r="F170" s="175">
        <f t="shared" si="28"/>
        <v>76.320000000000007</v>
      </c>
      <c r="G170" s="175">
        <f t="shared" si="32"/>
        <v>76.320000000000007</v>
      </c>
      <c r="H170" s="175">
        <f t="shared" si="23"/>
        <v>0</v>
      </c>
      <c r="I170" s="172">
        <v>993752</v>
      </c>
      <c r="J170" s="199" t="s">
        <v>416</v>
      </c>
      <c r="K170" s="189" t="s">
        <v>25</v>
      </c>
      <c r="L170" s="199" t="s">
        <v>26</v>
      </c>
      <c r="M170" s="172">
        <v>99100344</v>
      </c>
      <c r="N170" s="179"/>
      <c r="Q170" s="50">
        <v>3723</v>
      </c>
      <c r="R170" t="b">
        <f t="shared" si="29"/>
        <v>1</v>
      </c>
      <c r="S170" t="s">
        <v>415</v>
      </c>
      <c r="T170" t="b">
        <f t="shared" si="24"/>
        <v>1</v>
      </c>
      <c r="U170">
        <v>993752</v>
      </c>
      <c r="V170" t="b">
        <f t="shared" si="25"/>
        <v>1</v>
      </c>
      <c r="W170" t="s">
        <v>416</v>
      </c>
      <c r="X170" t="b">
        <f t="shared" si="26"/>
        <v>1</v>
      </c>
      <c r="Y170" t="s">
        <v>26</v>
      </c>
      <c r="Z170" t="b">
        <f t="shared" si="27"/>
        <v>1</v>
      </c>
    </row>
    <row r="171" spans="1:26" hidden="1" x14ac:dyDescent="0.25">
      <c r="A171" s="27">
        <v>168</v>
      </c>
      <c r="B171" s="27">
        <v>3725</v>
      </c>
      <c r="C171" s="28" t="s">
        <v>297</v>
      </c>
      <c r="D171" s="29">
        <v>582.79999999999995</v>
      </c>
      <c r="E171" s="30">
        <v>0.4</v>
      </c>
      <c r="F171" s="30">
        <f t="shared" si="28"/>
        <v>233.12</v>
      </c>
      <c r="G171" s="30">
        <f>231.75+1.37</f>
        <v>233.12</v>
      </c>
      <c r="H171" s="30">
        <f t="shared" si="23"/>
        <v>0</v>
      </c>
      <c r="I171" s="65">
        <v>1648248</v>
      </c>
      <c r="J171" s="67" t="s">
        <v>417</v>
      </c>
      <c r="K171" s="52" t="s">
        <v>25</v>
      </c>
      <c r="L171" s="70" t="s">
        <v>26</v>
      </c>
      <c r="M171" s="27">
        <v>99497550</v>
      </c>
      <c r="N171" s="35">
        <v>45586</v>
      </c>
      <c r="O171" s="146">
        <v>45602</v>
      </c>
      <c r="P171" s="146"/>
      <c r="Q171" s="50">
        <v>3725</v>
      </c>
      <c r="R171" t="b">
        <f t="shared" si="29"/>
        <v>1</v>
      </c>
      <c r="S171" t="s">
        <v>297</v>
      </c>
      <c r="T171" t="b">
        <f t="shared" si="24"/>
        <v>1</v>
      </c>
      <c r="U171">
        <v>1648248</v>
      </c>
      <c r="V171" t="b">
        <f t="shared" si="25"/>
        <v>1</v>
      </c>
      <c r="W171" s="63" t="s">
        <v>417</v>
      </c>
      <c r="X171" t="b">
        <f t="shared" si="26"/>
        <v>1</v>
      </c>
      <c r="Y171" t="s">
        <v>26</v>
      </c>
      <c r="Z171" t="b">
        <f t="shared" si="27"/>
        <v>1</v>
      </c>
    </row>
    <row r="172" spans="1:26" hidden="1" x14ac:dyDescent="0.25">
      <c r="A172" s="27">
        <v>169</v>
      </c>
      <c r="B172" s="27">
        <v>3727</v>
      </c>
      <c r="C172" s="28" t="s">
        <v>419</v>
      </c>
      <c r="D172" s="29">
        <v>286</v>
      </c>
      <c r="E172" s="30">
        <v>0.4</v>
      </c>
      <c r="F172" s="30">
        <f t="shared" si="28"/>
        <v>114.4</v>
      </c>
      <c r="G172" s="30">
        <f>111.54+2.86</f>
        <v>114.4</v>
      </c>
      <c r="H172" s="30">
        <f t="shared" si="23"/>
        <v>0</v>
      </c>
      <c r="I172" s="68" t="s">
        <v>420</v>
      </c>
      <c r="J172" s="49" t="s">
        <v>421</v>
      </c>
      <c r="K172" s="48" t="s">
        <v>25</v>
      </c>
      <c r="L172" s="49" t="s">
        <v>26</v>
      </c>
      <c r="M172" s="27">
        <v>99679943</v>
      </c>
      <c r="N172" s="35">
        <v>45596</v>
      </c>
      <c r="O172" s="146">
        <v>45602</v>
      </c>
      <c r="P172" s="146"/>
      <c r="Q172">
        <v>3727</v>
      </c>
      <c r="R172" t="b">
        <f t="shared" si="29"/>
        <v>1</v>
      </c>
      <c r="S172" t="s">
        <v>419</v>
      </c>
      <c r="T172" t="b">
        <f t="shared" si="24"/>
        <v>1</v>
      </c>
      <c r="U172" t="s">
        <v>420</v>
      </c>
      <c r="V172" t="b">
        <f t="shared" si="25"/>
        <v>1</v>
      </c>
      <c r="W172" t="s">
        <v>421</v>
      </c>
      <c r="X172" t="b">
        <f t="shared" si="26"/>
        <v>1</v>
      </c>
      <c r="Y172" t="s">
        <v>26</v>
      </c>
      <c r="Z172" t="b">
        <f t="shared" si="27"/>
        <v>1</v>
      </c>
    </row>
    <row r="173" spans="1:26" hidden="1" x14ac:dyDescent="0.25">
      <c r="A173" s="27">
        <v>170</v>
      </c>
      <c r="B173" s="27">
        <v>3728</v>
      </c>
      <c r="C173" s="28" t="s">
        <v>422</v>
      </c>
      <c r="D173" s="29">
        <v>337</v>
      </c>
      <c r="E173" s="30">
        <v>0.4</v>
      </c>
      <c r="F173" s="30">
        <f t="shared" si="28"/>
        <v>134.80000000000001</v>
      </c>
      <c r="G173" s="30">
        <f>133.31+1.49</f>
        <v>134.80000000000001</v>
      </c>
      <c r="H173" s="30">
        <f t="shared" si="23"/>
        <v>0</v>
      </c>
      <c r="I173" s="65">
        <v>25886784</v>
      </c>
      <c r="J173" s="67" t="s">
        <v>423</v>
      </c>
      <c r="K173" s="52" t="s">
        <v>25</v>
      </c>
      <c r="L173" s="70" t="s">
        <v>26</v>
      </c>
      <c r="M173" s="27">
        <v>99564153</v>
      </c>
      <c r="N173" s="35">
        <v>45586</v>
      </c>
      <c r="O173" s="146">
        <v>45663</v>
      </c>
      <c r="Q173" s="50">
        <v>3728</v>
      </c>
      <c r="R173" t="b">
        <f t="shared" si="29"/>
        <v>1</v>
      </c>
      <c r="S173" t="s">
        <v>422</v>
      </c>
      <c r="T173" t="b">
        <f t="shared" si="24"/>
        <v>1</v>
      </c>
      <c r="U173">
        <v>25886784</v>
      </c>
      <c r="V173" t="b">
        <f t="shared" si="25"/>
        <v>1</v>
      </c>
      <c r="W173" s="63" t="s">
        <v>423</v>
      </c>
      <c r="X173" t="b">
        <f t="shared" si="26"/>
        <v>1</v>
      </c>
      <c r="Y173" t="s">
        <v>26</v>
      </c>
      <c r="Z173" t="b">
        <f t="shared" si="27"/>
        <v>1</v>
      </c>
    </row>
    <row r="174" spans="1:26" s="36" customFormat="1" hidden="1" x14ac:dyDescent="0.25">
      <c r="A174" s="27">
        <v>171</v>
      </c>
      <c r="B174" s="27">
        <v>3729</v>
      </c>
      <c r="C174" s="28" t="s">
        <v>424</v>
      </c>
      <c r="D174" s="110">
        <v>329.3</v>
      </c>
      <c r="E174" s="30">
        <v>0.4</v>
      </c>
      <c r="F174" s="30">
        <f t="shared" si="28"/>
        <v>131.72</v>
      </c>
      <c r="G174" s="30">
        <f>128.31+3.41</f>
        <v>131.72</v>
      </c>
      <c r="H174" s="30">
        <f t="shared" si="23"/>
        <v>0</v>
      </c>
      <c r="I174" s="111" t="s">
        <v>425</v>
      </c>
      <c r="J174" s="49" t="s">
        <v>426</v>
      </c>
      <c r="K174" s="52" t="s">
        <v>25</v>
      </c>
      <c r="L174" s="70" t="s">
        <v>26</v>
      </c>
      <c r="M174" s="27">
        <v>91288200</v>
      </c>
      <c r="N174" s="35">
        <v>45582</v>
      </c>
      <c r="O174" s="156">
        <v>45607</v>
      </c>
      <c r="P174" s="156"/>
      <c r="Q174" s="36">
        <v>3729</v>
      </c>
      <c r="R174" s="36" t="b">
        <f t="shared" si="29"/>
        <v>1</v>
      </c>
      <c r="S174" s="36" t="s">
        <v>424</v>
      </c>
      <c r="T174" s="36" t="b">
        <f t="shared" si="24"/>
        <v>1</v>
      </c>
      <c r="U174" s="36" t="s">
        <v>425</v>
      </c>
      <c r="V174" s="36" t="b">
        <f t="shared" si="25"/>
        <v>1</v>
      </c>
      <c r="W174" s="36" t="s">
        <v>426</v>
      </c>
      <c r="X174" s="36" t="b">
        <f t="shared" si="26"/>
        <v>1</v>
      </c>
      <c r="Y174" s="36" t="s">
        <v>26</v>
      </c>
      <c r="Z174" s="36" t="b">
        <f t="shared" si="27"/>
        <v>1</v>
      </c>
    </row>
    <row r="175" spans="1:26" hidden="1" x14ac:dyDescent="0.25">
      <c r="A175" s="27">
        <v>172</v>
      </c>
      <c r="B175" s="27">
        <v>3730</v>
      </c>
      <c r="C175" s="28" t="s">
        <v>427</v>
      </c>
      <c r="D175" s="29">
        <v>562.6</v>
      </c>
      <c r="E175" s="30">
        <v>0.4</v>
      </c>
      <c r="F175" s="30">
        <f t="shared" si="28"/>
        <v>225.04000000000002</v>
      </c>
      <c r="G175" s="30">
        <f>224.87+0.17</f>
        <v>225.04</v>
      </c>
      <c r="H175" s="30">
        <f t="shared" si="23"/>
        <v>0</v>
      </c>
      <c r="I175" s="68" t="s">
        <v>428</v>
      </c>
      <c r="J175" s="49" t="s">
        <v>429</v>
      </c>
      <c r="K175" s="48" t="s">
        <v>25</v>
      </c>
      <c r="L175" s="49" t="s">
        <v>26</v>
      </c>
      <c r="M175" s="27">
        <v>93504408</v>
      </c>
      <c r="N175" s="35">
        <v>45567</v>
      </c>
      <c r="O175" s="146">
        <v>45602</v>
      </c>
      <c r="P175" s="146"/>
      <c r="Q175">
        <v>3730</v>
      </c>
      <c r="R175" t="b">
        <f t="shared" si="29"/>
        <v>1</v>
      </c>
      <c r="S175" t="s">
        <v>427</v>
      </c>
      <c r="T175" t="b">
        <f t="shared" si="24"/>
        <v>1</v>
      </c>
      <c r="U175" t="s">
        <v>428</v>
      </c>
      <c r="V175" t="b">
        <f t="shared" si="25"/>
        <v>1</v>
      </c>
      <c r="W175" t="s">
        <v>429</v>
      </c>
      <c r="X175" t="b">
        <f t="shared" si="26"/>
        <v>1</v>
      </c>
      <c r="Y175" t="s">
        <v>26</v>
      </c>
      <c r="Z175" t="b">
        <f t="shared" si="27"/>
        <v>1</v>
      </c>
    </row>
    <row r="176" spans="1:26" hidden="1" x14ac:dyDescent="0.25">
      <c r="A176" s="115">
        <v>173</v>
      </c>
      <c r="B176" s="115">
        <v>3731</v>
      </c>
      <c r="C176" s="116" t="s">
        <v>430</v>
      </c>
      <c r="D176" s="117">
        <v>779.2</v>
      </c>
      <c r="E176" s="118">
        <v>0.4</v>
      </c>
      <c r="F176" s="118">
        <f t="shared" si="28"/>
        <v>311.68000000000006</v>
      </c>
      <c r="G176" s="118">
        <f>F176</f>
        <v>311.68000000000006</v>
      </c>
      <c r="H176" s="118">
        <f t="shared" si="23"/>
        <v>0</v>
      </c>
      <c r="I176" s="161">
        <v>4640285</v>
      </c>
      <c r="J176" s="120" t="s">
        <v>431</v>
      </c>
      <c r="K176" s="121" t="s">
        <v>25</v>
      </c>
      <c r="L176" s="120" t="s">
        <v>26</v>
      </c>
      <c r="M176" s="115">
        <v>99493301</v>
      </c>
      <c r="N176" s="125"/>
      <c r="O176" s="146">
        <v>45603</v>
      </c>
      <c r="P176" s="146"/>
      <c r="Q176">
        <v>3731</v>
      </c>
      <c r="R176" t="b">
        <f t="shared" si="29"/>
        <v>1</v>
      </c>
      <c r="S176" t="s">
        <v>430</v>
      </c>
      <c r="T176" t="b">
        <f t="shared" si="24"/>
        <v>1</v>
      </c>
      <c r="U176">
        <v>4640285</v>
      </c>
      <c r="V176" t="b">
        <f t="shared" si="25"/>
        <v>1</v>
      </c>
      <c r="W176" t="s">
        <v>431</v>
      </c>
      <c r="X176" t="b">
        <f t="shared" si="26"/>
        <v>1</v>
      </c>
      <c r="Y176" t="s">
        <v>26</v>
      </c>
      <c r="Z176" t="b">
        <f t="shared" si="27"/>
        <v>1</v>
      </c>
    </row>
    <row r="177" spans="1:26" s="36" customFormat="1" hidden="1" x14ac:dyDescent="0.25">
      <c r="A177" s="27">
        <v>174</v>
      </c>
      <c r="B177" s="27">
        <v>3733</v>
      </c>
      <c r="C177" s="28" t="s">
        <v>432</v>
      </c>
      <c r="D177" s="29">
        <v>203.5</v>
      </c>
      <c r="E177" s="30">
        <v>0.4</v>
      </c>
      <c r="F177" s="30">
        <f t="shared" si="28"/>
        <v>81.400000000000006</v>
      </c>
      <c r="G177" s="30">
        <f>76+5.4</f>
        <v>81.400000000000006</v>
      </c>
      <c r="H177" s="30">
        <f t="shared" si="23"/>
        <v>0</v>
      </c>
      <c r="I177" s="162">
        <v>23270163</v>
      </c>
      <c r="J177" s="49" t="s">
        <v>433</v>
      </c>
      <c r="K177" s="52" t="s">
        <v>25</v>
      </c>
      <c r="L177" s="70" t="s">
        <v>26</v>
      </c>
      <c r="M177" s="27">
        <v>92212553</v>
      </c>
      <c r="N177" s="82">
        <v>45558</v>
      </c>
      <c r="O177" s="156">
        <v>45607</v>
      </c>
      <c r="P177" s="156">
        <v>45624</v>
      </c>
      <c r="Q177" s="163">
        <v>3733</v>
      </c>
      <c r="R177" s="36" t="b">
        <f t="shared" si="29"/>
        <v>1</v>
      </c>
      <c r="S177" s="36" t="s">
        <v>432</v>
      </c>
      <c r="T177" s="36" t="b">
        <f t="shared" si="24"/>
        <v>1</v>
      </c>
      <c r="U177" s="36">
        <v>23270163</v>
      </c>
      <c r="V177" s="36" t="b">
        <f t="shared" si="25"/>
        <v>1</v>
      </c>
      <c r="W177" s="164" t="s">
        <v>433</v>
      </c>
      <c r="X177" s="36" t="b">
        <f t="shared" si="26"/>
        <v>1</v>
      </c>
      <c r="Y177" s="36" t="s">
        <v>26</v>
      </c>
      <c r="Z177" s="36" t="b">
        <f t="shared" si="27"/>
        <v>1</v>
      </c>
    </row>
    <row r="178" spans="1:26" hidden="1" x14ac:dyDescent="0.25">
      <c r="A178" s="172">
        <v>175</v>
      </c>
      <c r="B178" s="172">
        <v>3734</v>
      </c>
      <c r="C178" s="173" t="s">
        <v>434</v>
      </c>
      <c r="D178" s="174">
        <v>567.79999999999995</v>
      </c>
      <c r="E178" s="175">
        <v>0.4</v>
      </c>
      <c r="F178" s="175">
        <f t="shared" si="28"/>
        <v>227.12</v>
      </c>
      <c r="G178" s="175">
        <f t="shared" ref="G178:G180" si="33">F178</f>
        <v>227.12</v>
      </c>
      <c r="H178" s="175">
        <f t="shared" si="23"/>
        <v>0</v>
      </c>
      <c r="I178" s="180">
        <v>6680216</v>
      </c>
      <c r="J178" s="178" t="s">
        <v>435</v>
      </c>
      <c r="K178" s="179" t="s">
        <v>17</v>
      </c>
      <c r="L178" s="179" t="s">
        <v>18</v>
      </c>
      <c r="M178" s="172">
        <v>92333311</v>
      </c>
      <c r="N178" s="179"/>
      <c r="Q178">
        <v>3734</v>
      </c>
      <c r="R178" t="b">
        <f t="shared" si="29"/>
        <v>1</v>
      </c>
      <c r="S178" t="s">
        <v>434</v>
      </c>
      <c r="T178" t="b">
        <f t="shared" si="24"/>
        <v>1</v>
      </c>
      <c r="U178">
        <v>6680216</v>
      </c>
      <c r="V178" t="b">
        <f t="shared" si="25"/>
        <v>1</v>
      </c>
      <c r="W178" t="s">
        <v>435</v>
      </c>
      <c r="X178" t="b">
        <f t="shared" si="26"/>
        <v>1</v>
      </c>
      <c r="Y178" t="s">
        <v>18</v>
      </c>
      <c r="Z178" t="b">
        <f t="shared" si="27"/>
        <v>1</v>
      </c>
    </row>
    <row r="179" spans="1:26" hidden="1" x14ac:dyDescent="0.25">
      <c r="A179" s="172">
        <v>176</v>
      </c>
      <c r="B179" s="172">
        <v>3735</v>
      </c>
      <c r="C179" s="173" t="s">
        <v>436</v>
      </c>
      <c r="D179" s="174">
        <v>345.9</v>
      </c>
      <c r="E179" s="175">
        <v>0.4</v>
      </c>
      <c r="F179" s="175">
        <f t="shared" si="28"/>
        <v>138.35999999999999</v>
      </c>
      <c r="G179" s="175">
        <f t="shared" si="33"/>
        <v>138.35999999999999</v>
      </c>
      <c r="H179" s="175">
        <f t="shared" si="23"/>
        <v>0</v>
      </c>
      <c r="I179" s="180">
        <v>19952467</v>
      </c>
      <c r="J179" s="178" t="s">
        <v>437</v>
      </c>
      <c r="K179" s="177" t="s">
        <v>25</v>
      </c>
      <c r="L179" s="178" t="s">
        <v>26</v>
      </c>
      <c r="M179" s="172">
        <v>91222276</v>
      </c>
      <c r="N179" s="179"/>
      <c r="Q179">
        <v>3735</v>
      </c>
      <c r="R179" t="b">
        <f t="shared" si="29"/>
        <v>1</v>
      </c>
      <c r="S179" t="s">
        <v>436</v>
      </c>
      <c r="T179" t="b">
        <f t="shared" si="24"/>
        <v>1</v>
      </c>
      <c r="U179">
        <v>19952467</v>
      </c>
      <c r="V179" t="b">
        <f t="shared" si="25"/>
        <v>1</v>
      </c>
      <c r="W179" t="s">
        <v>437</v>
      </c>
      <c r="X179" t="b">
        <f t="shared" si="26"/>
        <v>1</v>
      </c>
      <c r="Y179" t="s">
        <v>26</v>
      </c>
      <c r="Z179" t="b">
        <f t="shared" si="27"/>
        <v>1</v>
      </c>
    </row>
    <row r="180" spans="1:26" hidden="1" x14ac:dyDescent="0.25">
      <c r="A180" s="172">
        <v>177</v>
      </c>
      <c r="B180" s="172">
        <v>3739</v>
      </c>
      <c r="C180" s="200" t="s">
        <v>438</v>
      </c>
      <c r="D180" s="174">
        <v>274</v>
      </c>
      <c r="E180" s="175">
        <v>0.4</v>
      </c>
      <c r="F180" s="175">
        <f t="shared" si="28"/>
        <v>109.60000000000001</v>
      </c>
      <c r="G180" s="175">
        <f t="shared" si="33"/>
        <v>109.60000000000001</v>
      </c>
      <c r="H180" s="175">
        <f t="shared" si="23"/>
        <v>0</v>
      </c>
      <c r="I180" s="201">
        <v>22187694</v>
      </c>
      <c r="J180" s="194" t="s">
        <v>439</v>
      </c>
      <c r="K180" s="202" t="s">
        <v>25</v>
      </c>
      <c r="L180" s="194" t="s">
        <v>26</v>
      </c>
      <c r="M180" s="192">
        <v>93000079</v>
      </c>
      <c r="N180" s="179"/>
    </row>
    <row r="181" spans="1:26" hidden="1" x14ac:dyDescent="0.25">
      <c r="A181" s="27">
        <v>178</v>
      </c>
      <c r="B181" s="27">
        <v>3740</v>
      </c>
      <c r="C181" s="28" t="s">
        <v>440</v>
      </c>
      <c r="D181" s="29">
        <v>733.6</v>
      </c>
      <c r="E181" s="30">
        <v>0.4</v>
      </c>
      <c r="F181" s="30">
        <f t="shared" si="28"/>
        <v>293.44</v>
      </c>
      <c r="G181" s="30">
        <f>290.95+2.49</f>
        <v>293.44</v>
      </c>
      <c r="H181" s="30">
        <f t="shared" si="23"/>
        <v>0</v>
      </c>
      <c r="I181" s="32">
        <v>25472616</v>
      </c>
      <c r="J181" s="49" t="s">
        <v>441</v>
      </c>
      <c r="K181" s="31" t="s">
        <v>17</v>
      </c>
      <c r="L181" s="31" t="s">
        <v>18</v>
      </c>
      <c r="M181" s="27">
        <v>93318821</v>
      </c>
      <c r="N181" s="35">
        <v>45586</v>
      </c>
      <c r="O181" s="146">
        <v>45607</v>
      </c>
      <c r="Q181">
        <v>3740</v>
      </c>
      <c r="R181" t="b">
        <f t="shared" si="29"/>
        <v>1</v>
      </c>
      <c r="S181" t="s">
        <v>440</v>
      </c>
      <c r="T181" t="b">
        <f t="shared" si="24"/>
        <v>1</v>
      </c>
      <c r="U181">
        <v>25472616</v>
      </c>
      <c r="V181" t="b">
        <f t="shared" si="25"/>
        <v>1</v>
      </c>
      <c r="W181" t="s">
        <v>441</v>
      </c>
      <c r="X181" t="b">
        <f t="shared" si="26"/>
        <v>1</v>
      </c>
      <c r="Y181" t="s">
        <v>18</v>
      </c>
      <c r="Z181" t="b">
        <f t="shared" si="27"/>
        <v>1</v>
      </c>
    </row>
    <row r="182" spans="1:26" hidden="1" x14ac:dyDescent="0.25">
      <c r="A182" s="172">
        <v>179</v>
      </c>
      <c r="B182" s="172">
        <v>3742</v>
      </c>
      <c r="C182" s="173" t="s">
        <v>442</v>
      </c>
      <c r="D182" s="174">
        <v>208.1</v>
      </c>
      <c r="E182" s="175">
        <v>0.4</v>
      </c>
      <c r="F182" s="175">
        <f t="shared" si="28"/>
        <v>83.240000000000009</v>
      </c>
      <c r="G182" s="175">
        <f t="shared" ref="G182:G183" si="34">F182</f>
        <v>83.240000000000009</v>
      </c>
      <c r="H182" s="175">
        <f t="shared" si="23"/>
        <v>0</v>
      </c>
      <c r="I182" s="203">
        <v>1930281</v>
      </c>
      <c r="J182" s="178" t="s">
        <v>443</v>
      </c>
      <c r="K182" s="178" t="s">
        <v>418</v>
      </c>
      <c r="L182" s="184" t="s">
        <v>258</v>
      </c>
      <c r="M182" s="172">
        <v>99330095</v>
      </c>
      <c r="N182" s="179"/>
      <c r="Q182">
        <v>3742</v>
      </c>
      <c r="R182" t="b">
        <f t="shared" si="29"/>
        <v>1</v>
      </c>
      <c r="S182" t="s">
        <v>442</v>
      </c>
      <c r="T182" t="b">
        <f t="shared" si="24"/>
        <v>1</v>
      </c>
      <c r="U182">
        <v>1930281</v>
      </c>
      <c r="V182" t="b">
        <f t="shared" si="25"/>
        <v>1</v>
      </c>
      <c r="W182" t="s">
        <v>443</v>
      </c>
      <c r="X182" t="b">
        <f t="shared" si="26"/>
        <v>1</v>
      </c>
      <c r="Y182" t="s">
        <v>258</v>
      </c>
      <c r="Z182" t="b">
        <f t="shared" si="27"/>
        <v>1</v>
      </c>
    </row>
    <row r="183" spans="1:26" hidden="1" x14ac:dyDescent="0.25">
      <c r="A183" s="172">
        <v>180</v>
      </c>
      <c r="B183" s="172">
        <v>3743</v>
      </c>
      <c r="C183" s="173" t="s">
        <v>444</v>
      </c>
      <c r="D183" s="174">
        <v>826.2</v>
      </c>
      <c r="E183" s="175">
        <v>0.4</v>
      </c>
      <c r="F183" s="175">
        <f t="shared" si="28"/>
        <v>330.48</v>
      </c>
      <c r="G183" s="175">
        <f t="shared" si="34"/>
        <v>330.48</v>
      </c>
      <c r="H183" s="175">
        <f t="shared" si="23"/>
        <v>0</v>
      </c>
      <c r="I183" s="180">
        <v>599336</v>
      </c>
      <c r="J183" s="178" t="s">
        <v>445</v>
      </c>
      <c r="K183" s="177" t="s">
        <v>25</v>
      </c>
      <c r="L183" s="178" t="s">
        <v>26</v>
      </c>
      <c r="M183" s="172">
        <v>99497544</v>
      </c>
      <c r="N183" s="179"/>
      <c r="Q183">
        <v>3743</v>
      </c>
      <c r="R183" t="b">
        <f t="shared" si="29"/>
        <v>1</v>
      </c>
      <c r="S183" t="s">
        <v>444</v>
      </c>
      <c r="T183" t="b">
        <f t="shared" si="24"/>
        <v>1</v>
      </c>
      <c r="U183">
        <v>599336</v>
      </c>
      <c r="V183" t="b">
        <f t="shared" si="25"/>
        <v>1</v>
      </c>
      <c r="W183" t="s">
        <v>445</v>
      </c>
      <c r="X183" t="b">
        <f t="shared" si="26"/>
        <v>1</v>
      </c>
      <c r="Y183" t="s">
        <v>26</v>
      </c>
      <c r="Z183" t="b">
        <f t="shared" si="27"/>
        <v>1</v>
      </c>
    </row>
    <row r="184" spans="1:26" hidden="1" x14ac:dyDescent="0.25">
      <c r="A184" s="27">
        <v>181</v>
      </c>
      <c r="B184" s="27">
        <v>3745</v>
      </c>
      <c r="C184" s="28" t="s">
        <v>446</v>
      </c>
      <c r="D184" s="29">
        <v>185.1</v>
      </c>
      <c r="E184" s="30">
        <v>0.4</v>
      </c>
      <c r="F184" s="30">
        <f t="shared" si="28"/>
        <v>74.040000000000006</v>
      </c>
      <c r="G184" s="30">
        <f>71.33+2.71</f>
        <v>74.039999999999992</v>
      </c>
      <c r="H184" s="30">
        <f t="shared" si="23"/>
        <v>0</v>
      </c>
      <c r="I184" s="32">
        <v>2199772</v>
      </c>
      <c r="J184" s="49" t="s">
        <v>447</v>
      </c>
      <c r="K184" s="48" t="s">
        <v>25</v>
      </c>
      <c r="L184" s="49" t="s">
        <v>26</v>
      </c>
      <c r="M184" s="27">
        <v>72556787</v>
      </c>
      <c r="N184" s="35">
        <v>45582</v>
      </c>
      <c r="O184" s="146">
        <v>45621</v>
      </c>
      <c r="Q184">
        <v>3745</v>
      </c>
      <c r="R184" t="b">
        <f t="shared" si="29"/>
        <v>1</v>
      </c>
      <c r="S184" t="s">
        <v>446</v>
      </c>
      <c r="T184" t="b">
        <f t="shared" si="24"/>
        <v>1</v>
      </c>
      <c r="U184">
        <v>2199772</v>
      </c>
      <c r="V184" t="b">
        <f t="shared" si="25"/>
        <v>1</v>
      </c>
      <c r="W184" t="s">
        <v>447</v>
      </c>
      <c r="X184" t="b">
        <f t="shared" si="26"/>
        <v>1</v>
      </c>
      <c r="Y184" t="s">
        <v>26</v>
      </c>
      <c r="Z184" t="b">
        <f t="shared" si="27"/>
        <v>1</v>
      </c>
    </row>
    <row r="185" spans="1:26" hidden="1" x14ac:dyDescent="0.25">
      <c r="A185" s="27">
        <v>182</v>
      </c>
      <c r="B185" s="27">
        <v>3746</v>
      </c>
      <c r="C185" s="28" t="s">
        <v>448</v>
      </c>
      <c r="D185" s="29">
        <v>461.7</v>
      </c>
      <c r="E185" s="30">
        <v>0.4</v>
      </c>
      <c r="F185" s="30">
        <f t="shared" si="28"/>
        <v>184.68</v>
      </c>
      <c r="G185" s="30">
        <f>184.3+0.38</f>
        <v>184.68</v>
      </c>
      <c r="H185" s="30">
        <f t="shared" si="23"/>
        <v>0</v>
      </c>
      <c r="I185" s="32">
        <v>21973713</v>
      </c>
      <c r="J185" s="49" t="s">
        <v>449</v>
      </c>
      <c r="K185" s="48" t="s">
        <v>25</v>
      </c>
      <c r="L185" s="49" t="s">
        <v>26</v>
      </c>
      <c r="M185" s="27">
        <v>95710331</v>
      </c>
      <c r="N185" s="35">
        <v>45602</v>
      </c>
      <c r="O185" s="146">
        <v>45623</v>
      </c>
      <c r="Q185">
        <v>3746</v>
      </c>
      <c r="R185" t="b">
        <f t="shared" si="29"/>
        <v>1</v>
      </c>
      <c r="S185" t="s">
        <v>448</v>
      </c>
      <c r="T185" t="b">
        <f t="shared" si="24"/>
        <v>1</v>
      </c>
      <c r="U185">
        <v>21973713</v>
      </c>
      <c r="V185" t="b">
        <f t="shared" si="25"/>
        <v>1</v>
      </c>
      <c r="W185" t="s">
        <v>449</v>
      </c>
      <c r="X185" t="b">
        <f t="shared" si="26"/>
        <v>1</v>
      </c>
      <c r="Y185" t="s">
        <v>26</v>
      </c>
      <c r="Z185" t="b">
        <f t="shared" si="27"/>
        <v>1</v>
      </c>
    </row>
    <row r="186" spans="1:26" hidden="1" x14ac:dyDescent="0.25">
      <c r="A186" s="172">
        <v>183</v>
      </c>
      <c r="B186" s="172">
        <v>3748</v>
      </c>
      <c r="C186" s="173" t="s">
        <v>450</v>
      </c>
      <c r="D186" s="174">
        <v>268.3</v>
      </c>
      <c r="E186" s="175">
        <v>0.4</v>
      </c>
      <c r="F186" s="175">
        <f t="shared" si="28"/>
        <v>107.32000000000001</v>
      </c>
      <c r="G186" s="175">
        <f t="shared" ref="G186:G193" si="35">F186</f>
        <v>107.32000000000001</v>
      </c>
      <c r="H186" s="175">
        <f t="shared" si="23"/>
        <v>0</v>
      </c>
      <c r="I186" s="180">
        <v>18620918</v>
      </c>
      <c r="J186" s="178" t="s">
        <v>451</v>
      </c>
      <c r="K186" s="177" t="s">
        <v>25</v>
      </c>
      <c r="L186" s="178" t="s">
        <v>26</v>
      </c>
      <c r="M186" s="172">
        <v>91222276</v>
      </c>
      <c r="N186" s="179"/>
      <c r="Q186">
        <v>3748</v>
      </c>
      <c r="R186" t="b">
        <f t="shared" si="29"/>
        <v>1</v>
      </c>
      <c r="S186" t="s">
        <v>450</v>
      </c>
      <c r="T186" t="b">
        <f t="shared" si="24"/>
        <v>1</v>
      </c>
      <c r="U186">
        <v>18620918</v>
      </c>
      <c r="V186" t="b">
        <f t="shared" si="25"/>
        <v>1</v>
      </c>
      <c r="W186" t="s">
        <v>451</v>
      </c>
      <c r="X186" t="b">
        <f t="shared" si="26"/>
        <v>1</v>
      </c>
      <c r="Y186" t="s">
        <v>26</v>
      </c>
      <c r="Z186" t="b">
        <f t="shared" si="27"/>
        <v>1</v>
      </c>
    </row>
    <row r="187" spans="1:26" s="170" customFormat="1" hidden="1" x14ac:dyDescent="0.25">
      <c r="A187" s="115">
        <v>184</v>
      </c>
      <c r="B187" s="115">
        <v>3750</v>
      </c>
      <c r="C187" s="116" t="s">
        <v>452</v>
      </c>
      <c r="D187" s="117">
        <v>488.7</v>
      </c>
      <c r="E187" s="118">
        <v>0.4</v>
      </c>
      <c r="F187" s="118">
        <f t="shared" si="28"/>
        <v>195.48000000000002</v>
      </c>
      <c r="G187" s="118">
        <f t="shared" si="35"/>
        <v>195.48000000000002</v>
      </c>
      <c r="H187" s="118">
        <f t="shared" si="23"/>
        <v>0</v>
      </c>
      <c r="I187" s="119">
        <v>939641</v>
      </c>
      <c r="J187" s="120" t="s">
        <v>453</v>
      </c>
      <c r="K187" s="121" t="s">
        <v>25</v>
      </c>
      <c r="L187" s="120" t="s">
        <v>26</v>
      </c>
      <c r="M187" s="115">
        <v>99588609</v>
      </c>
      <c r="N187" s="125" t="s">
        <v>811</v>
      </c>
      <c r="Q187" s="170">
        <v>3750</v>
      </c>
      <c r="R187" s="170" t="b">
        <f t="shared" si="29"/>
        <v>1</v>
      </c>
      <c r="S187" s="170" t="s">
        <v>452</v>
      </c>
      <c r="T187" s="170" t="b">
        <f t="shared" si="24"/>
        <v>1</v>
      </c>
      <c r="U187" s="170">
        <v>939641</v>
      </c>
      <c r="V187" s="170" t="b">
        <f t="shared" si="25"/>
        <v>1</v>
      </c>
      <c r="W187" s="170" t="s">
        <v>453</v>
      </c>
      <c r="X187" s="170" t="b">
        <f t="shared" si="26"/>
        <v>1</v>
      </c>
      <c r="Y187" s="170" t="s">
        <v>26</v>
      </c>
      <c r="Z187" s="170" t="b">
        <f t="shared" si="27"/>
        <v>1</v>
      </c>
    </row>
    <row r="188" spans="1:26" hidden="1" x14ac:dyDescent="0.25">
      <c r="A188" s="27">
        <v>185</v>
      </c>
      <c r="B188" s="27">
        <v>3751</v>
      </c>
      <c r="C188" s="28" t="s">
        <v>454</v>
      </c>
      <c r="D188" s="29">
        <v>1417.1</v>
      </c>
      <c r="E188" s="30">
        <v>0.4</v>
      </c>
      <c r="F188" s="30">
        <f t="shared" si="28"/>
        <v>566.84</v>
      </c>
      <c r="G188" s="30">
        <f t="shared" si="35"/>
        <v>566.84</v>
      </c>
      <c r="H188" s="30">
        <f t="shared" si="23"/>
        <v>0</v>
      </c>
      <c r="I188" s="27">
        <v>2116627</v>
      </c>
      <c r="J188" s="49" t="s">
        <v>455</v>
      </c>
      <c r="K188" s="48" t="s">
        <v>25</v>
      </c>
      <c r="L188" s="49" t="s">
        <v>26</v>
      </c>
      <c r="M188" s="27">
        <v>99493880</v>
      </c>
      <c r="N188" s="35">
        <v>45608</v>
      </c>
      <c r="Q188">
        <v>3751</v>
      </c>
      <c r="R188" t="b">
        <f t="shared" si="29"/>
        <v>1</v>
      </c>
      <c r="S188" t="s">
        <v>454</v>
      </c>
      <c r="T188" t="b">
        <f t="shared" si="24"/>
        <v>1</v>
      </c>
      <c r="U188">
        <v>2116627</v>
      </c>
      <c r="V188" t="b">
        <f t="shared" si="25"/>
        <v>1</v>
      </c>
      <c r="W188" t="s">
        <v>455</v>
      </c>
      <c r="X188" t="b">
        <f t="shared" si="26"/>
        <v>1</v>
      </c>
      <c r="Y188" t="s">
        <v>26</v>
      </c>
      <c r="Z188" t="b">
        <f t="shared" si="27"/>
        <v>1</v>
      </c>
    </row>
    <row r="189" spans="1:26" hidden="1" x14ac:dyDescent="0.25">
      <c r="A189" s="115">
        <v>186</v>
      </c>
      <c r="B189" s="115">
        <v>3752</v>
      </c>
      <c r="C189" s="116" t="s">
        <v>456</v>
      </c>
      <c r="D189" s="117">
        <v>404</v>
      </c>
      <c r="E189" s="118">
        <v>0.4</v>
      </c>
      <c r="F189" s="118">
        <f t="shared" si="28"/>
        <v>161.60000000000002</v>
      </c>
      <c r="G189" s="118">
        <f t="shared" si="35"/>
        <v>161.60000000000002</v>
      </c>
      <c r="H189" s="118">
        <f t="shared" si="23"/>
        <v>0</v>
      </c>
      <c r="I189" s="119">
        <v>2789493</v>
      </c>
      <c r="J189" s="120" t="s">
        <v>457</v>
      </c>
      <c r="K189" s="121" t="s">
        <v>25</v>
      </c>
      <c r="L189" s="120" t="s">
        <v>26</v>
      </c>
      <c r="M189" s="115">
        <v>97884330</v>
      </c>
      <c r="N189" s="125" t="s">
        <v>724</v>
      </c>
      <c r="Q189">
        <v>3752</v>
      </c>
      <c r="R189" t="b">
        <f t="shared" si="29"/>
        <v>1</v>
      </c>
      <c r="S189" t="s">
        <v>456</v>
      </c>
      <c r="T189" t="b">
        <f t="shared" si="24"/>
        <v>1</v>
      </c>
      <c r="U189">
        <v>2789493</v>
      </c>
      <c r="V189" t="b">
        <f t="shared" si="25"/>
        <v>1</v>
      </c>
      <c r="W189" t="s">
        <v>457</v>
      </c>
      <c r="X189" t="b">
        <f t="shared" si="26"/>
        <v>1</v>
      </c>
      <c r="Y189" t="s">
        <v>26</v>
      </c>
      <c r="Z189" t="b">
        <f t="shared" si="27"/>
        <v>1</v>
      </c>
    </row>
    <row r="190" spans="1:26" hidden="1" x14ac:dyDescent="0.25">
      <c r="A190" s="27">
        <v>187</v>
      </c>
      <c r="B190" s="27">
        <v>3753</v>
      </c>
      <c r="C190" s="28" t="s">
        <v>458</v>
      </c>
      <c r="D190" s="29">
        <v>362.7</v>
      </c>
      <c r="E190" s="30">
        <v>0.4</v>
      </c>
      <c r="F190" s="30">
        <f t="shared" si="28"/>
        <v>145.08000000000001</v>
      </c>
      <c r="G190" s="30">
        <f t="shared" si="35"/>
        <v>145.08000000000001</v>
      </c>
      <c r="H190" s="30">
        <f t="shared" si="23"/>
        <v>0</v>
      </c>
      <c r="I190" s="32">
        <v>13938302</v>
      </c>
      <c r="J190" s="49" t="s">
        <v>459</v>
      </c>
      <c r="K190" s="31" t="s">
        <v>17</v>
      </c>
      <c r="L190" s="31" t="s">
        <v>18</v>
      </c>
      <c r="M190" s="27">
        <v>99054621</v>
      </c>
      <c r="N190" s="35">
        <v>45630</v>
      </c>
      <c r="Q190">
        <v>3753</v>
      </c>
      <c r="R190" t="b">
        <f t="shared" si="29"/>
        <v>1</v>
      </c>
      <c r="S190" t="s">
        <v>458</v>
      </c>
      <c r="T190" t="b">
        <f t="shared" si="24"/>
        <v>1</v>
      </c>
      <c r="U190">
        <v>13938302</v>
      </c>
      <c r="V190" t="b">
        <f t="shared" si="25"/>
        <v>1</v>
      </c>
      <c r="W190" t="s">
        <v>459</v>
      </c>
      <c r="X190" t="b">
        <f t="shared" si="26"/>
        <v>1</v>
      </c>
      <c r="Y190" t="s">
        <v>18</v>
      </c>
      <c r="Z190" t="b">
        <f t="shared" si="27"/>
        <v>1</v>
      </c>
    </row>
    <row r="191" spans="1:26" hidden="1" x14ac:dyDescent="0.25">
      <c r="A191" s="172">
        <v>188</v>
      </c>
      <c r="B191" s="172">
        <v>3754</v>
      </c>
      <c r="C191" s="173" t="s">
        <v>460</v>
      </c>
      <c r="D191" s="174">
        <v>969.3</v>
      </c>
      <c r="E191" s="175">
        <v>0.4</v>
      </c>
      <c r="F191" s="175">
        <f t="shared" si="28"/>
        <v>387.72</v>
      </c>
      <c r="G191" s="175">
        <f t="shared" si="35"/>
        <v>387.72</v>
      </c>
      <c r="H191" s="175">
        <f t="shared" si="23"/>
        <v>0</v>
      </c>
      <c r="I191" s="180">
        <v>443075</v>
      </c>
      <c r="J191" s="178" t="s">
        <v>461</v>
      </c>
      <c r="K191" s="179" t="s">
        <v>210</v>
      </c>
      <c r="L191" s="181" t="s">
        <v>211</v>
      </c>
      <c r="M191" s="172">
        <v>90937047</v>
      </c>
      <c r="N191" s="179"/>
      <c r="Q191">
        <v>3754</v>
      </c>
      <c r="R191" t="b">
        <f t="shared" si="29"/>
        <v>1</v>
      </c>
      <c r="S191" t="s">
        <v>460</v>
      </c>
      <c r="T191" t="b">
        <f t="shared" si="24"/>
        <v>1</v>
      </c>
      <c r="U191">
        <v>443075</v>
      </c>
      <c r="V191" t="b">
        <f t="shared" si="25"/>
        <v>1</v>
      </c>
      <c r="W191" t="s">
        <v>461</v>
      </c>
      <c r="X191" t="b">
        <f t="shared" si="26"/>
        <v>1</v>
      </c>
      <c r="Y191" t="s">
        <v>211</v>
      </c>
      <c r="Z191" t="b">
        <f t="shared" si="27"/>
        <v>1</v>
      </c>
    </row>
    <row r="192" spans="1:26" hidden="1" x14ac:dyDescent="0.25">
      <c r="A192" s="27">
        <v>189</v>
      </c>
      <c r="B192" s="27">
        <v>3755</v>
      </c>
      <c r="C192" s="28" t="s">
        <v>462</v>
      </c>
      <c r="D192" s="29">
        <v>695.7</v>
      </c>
      <c r="E192" s="30">
        <v>0.4</v>
      </c>
      <c r="F192" s="30">
        <f t="shared" si="28"/>
        <v>278.28000000000003</v>
      </c>
      <c r="G192" s="30">
        <f t="shared" si="35"/>
        <v>278.28000000000003</v>
      </c>
      <c r="H192" s="30">
        <f t="shared" si="23"/>
        <v>0</v>
      </c>
      <c r="I192" s="32">
        <v>15536654</v>
      </c>
      <c r="J192" s="49" t="s">
        <v>463</v>
      </c>
      <c r="K192" s="48" t="s">
        <v>25</v>
      </c>
      <c r="L192" s="49" t="s">
        <v>26</v>
      </c>
      <c r="M192" s="27">
        <v>92826690</v>
      </c>
      <c r="N192" s="35">
        <v>45624</v>
      </c>
      <c r="Q192">
        <v>3755</v>
      </c>
      <c r="R192" t="b">
        <f t="shared" si="29"/>
        <v>1</v>
      </c>
      <c r="S192" t="s">
        <v>462</v>
      </c>
      <c r="T192" t="b">
        <f t="shared" si="24"/>
        <v>1</v>
      </c>
      <c r="U192">
        <v>15536654</v>
      </c>
      <c r="V192" t="b">
        <f t="shared" si="25"/>
        <v>1</v>
      </c>
      <c r="W192" t="s">
        <v>463</v>
      </c>
      <c r="X192" t="b">
        <f t="shared" si="26"/>
        <v>1</v>
      </c>
      <c r="Y192" t="s">
        <v>26</v>
      </c>
      <c r="Z192" t="b">
        <f t="shared" si="27"/>
        <v>1</v>
      </c>
    </row>
    <row r="193" spans="1:26" hidden="1" x14ac:dyDescent="0.25">
      <c r="A193" s="172">
        <v>190</v>
      </c>
      <c r="B193" s="172">
        <v>3756</v>
      </c>
      <c r="C193" s="173" t="s">
        <v>464</v>
      </c>
      <c r="D193" s="174">
        <v>322.7</v>
      </c>
      <c r="E193" s="175">
        <v>0.4</v>
      </c>
      <c r="F193" s="175">
        <f t="shared" si="28"/>
        <v>129.08000000000001</v>
      </c>
      <c r="G193" s="175">
        <f t="shared" si="35"/>
        <v>129.08000000000001</v>
      </c>
      <c r="H193" s="175">
        <f t="shared" si="23"/>
        <v>0</v>
      </c>
      <c r="I193" s="180">
        <v>630458</v>
      </c>
      <c r="J193" s="178" t="s">
        <v>465</v>
      </c>
      <c r="K193" s="177" t="s">
        <v>25</v>
      </c>
      <c r="L193" s="178" t="s">
        <v>26</v>
      </c>
      <c r="M193" s="172"/>
      <c r="N193" s="179"/>
      <c r="Q193">
        <v>3756</v>
      </c>
      <c r="R193" t="b">
        <f t="shared" si="29"/>
        <v>1</v>
      </c>
      <c r="S193" t="s">
        <v>464</v>
      </c>
      <c r="T193" t="b">
        <f t="shared" si="24"/>
        <v>1</v>
      </c>
      <c r="U193">
        <v>630458</v>
      </c>
      <c r="V193" t="b">
        <f t="shared" si="25"/>
        <v>1</v>
      </c>
      <c r="W193" t="s">
        <v>465</v>
      </c>
      <c r="X193" t="b">
        <f t="shared" si="26"/>
        <v>1</v>
      </c>
      <c r="Y193" t="s">
        <v>26</v>
      </c>
      <c r="Z193" t="b">
        <f t="shared" si="27"/>
        <v>1</v>
      </c>
    </row>
    <row r="194" spans="1:26" hidden="1" x14ac:dyDescent="0.25">
      <c r="A194" s="22">
        <v>191</v>
      </c>
      <c r="B194" s="22">
        <v>3757</v>
      </c>
      <c r="C194" s="23" t="s">
        <v>466</v>
      </c>
      <c r="D194" s="24">
        <v>405</v>
      </c>
      <c r="E194" s="25">
        <v>0.4</v>
      </c>
      <c r="F194" s="30">
        <f t="shared" si="28"/>
        <v>162</v>
      </c>
      <c r="G194" s="30">
        <f>157.02+4.98</f>
        <v>162</v>
      </c>
      <c r="H194" s="30">
        <f t="shared" si="23"/>
        <v>0</v>
      </c>
      <c r="I194" s="34">
        <v>729973</v>
      </c>
      <c r="J194" s="214" t="s">
        <v>467</v>
      </c>
      <c r="K194" s="214" t="s">
        <v>121</v>
      </c>
      <c r="L194" s="26" t="s">
        <v>122</v>
      </c>
      <c r="M194" s="22">
        <v>92283227</v>
      </c>
      <c r="N194" s="143">
        <v>45586</v>
      </c>
      <c r="O194" s="146">
        <v>45691</v>
      </c>
      <c r="Q194">
        <v>3757</v>
      </c>
      <c r="R194" t="b">
        <f t="shared" si="29"/>
        <v>1</v>
      </c>
      <c r="S194" t="s">
        <v>466</v>
      </c>
      <c r="T194" t="b">
        <f t="shared" si="24"/>
        <v>1</v>
      </c>
      <c r="U194">
        <v>729973</v>
      </c>
      <c r="V194" t="b">
        <f t="shared" si="25"/>
        <v>1</v>
      </c>
      <c r="W194" t="s">
        <v>467</v>
      </c>
      <c r="X194" t="b">
        <f t="shared" si="26"/>
        <v>1</v>
      </c>
      <c r="Y194" t="s">
        <v>122</v>
      </c>
      <c r="Z194" t="b">
        <f t="shared" si="27"/>
        <v>1</v>
      </c>
    </row>
    <row r="195" spans="1:26" hidden="1" x14ac:dyDescent="0.25">
      <c r="A195" s="27">
        <v>192</v>
      </c>
      <c r="B195" s="27">
        <v>3758</v>
      </c>
      <c r="C195" s="28" t="s">
        <v>468</v>
      </c>
      <c r="D195" s="29">
        <v>360</v>
      </c>
      <c r="E195" s="30">
        <v>0.4</v>
      </c>
      <c r="F195" s="30">
        <f t="shared" si="28"/>
        <v>144</v>
      </c>
      <c r="G195" s="30">
        <f>F195</f>
        <v>144</v>
      </c>
      <c r="H195" s="30">
        <f t="shared" si="23"/>
        <v>0</v>
      </c>
      <c r="I195" s="32">
        <v>18899068</v>
      </c>
      <c r="J195" s="49" t="s">
        <v>469</v>
      </c>
      <c r="K195" s="48" t="s">
        <v>25</v>
      </c>
      <c r="L195" s="49" t="s">
        <v>26</v>
      </c>
      <c r="M195" s="27">
        <v>92672061</v>
      </c>
      <c r="N195" s="35">
        <v>45615</v>
      </c>
      <c r="Q195">
        <v>3758</v>
      </c>
      <c r="R195" t="b">
        <f t="shared" si="29"/>
        <v>1</v>
      </c>
      <c r="S195" t="s">
        <v>468</v>
      </c>
      <c r="T195" t="b">
        <f t="shared" si="24"/>
        <v>1</v>
      </c>
      <c r="U195">
        <v>18899068</v>
      </c>
      <c r="V195" t="b">
        <f t="shared" si="25"/>
        <v>1</v>
      </c>
      <c r="W195" t="s">
        <v>469</v>
      </c>
      <c r="X195" t="b">
        <f t="shared" si="26"/>
        <v>1</v>
      </c>
      <c r="Y195" t="s">
        <v>26</v>
      </c>
      <c r="Z195" t="b">
        <f t="shared" si="27"/>
        <v>1</v>
      </c>
    </row>
    <row r="196" spans="1:26" hidden="1" x14ac:dyDescent="0.25">
      <c r="A196" s="27">
        <v>193</v>
      </c>
      <c r="B196" s="27">
        <v>3759</v>
      </c>
      <c r="C196" s="28" t="s">
        <v>29</v>
      </c>
      <c r="D196" s="29">
        <v>405</v>
      </c>
      <c r="E196" s="30">
        <v>0.4</v>
      </c>
      <c r="F196" s="30">
        <f t="shared" si="28"/>
        <v>162</v>
      </c>
      <c r="G196" s="30">
        <f>162</f>
        <v>162</v>
      </c>
      <c r="H196" s="30">
        <f t="shared" si="23"/>
        <v>0</v>
      </c>
      <c r="I196" s="32">
        <v>5634282</v>
      </c>
      <c r="J196" s="49" t="s">
        <v>30</v>
      </c>
      <c r="K196" s="48" t="s">
        <v>25</v>
      </c>
      <c r="L196" s="49" t="s">
        <v>26</v>
      </c>
      <c r="M196" s="27">
        <v>99293745</v>
      </c>
      <c r="N196" s="35">
        <v>45630</v>
      </c>
      <c r="Q196">
        <v>3759</v>
      </c>
      <c r="R196" t="b">
        <f t="shared" si="29"/>
        <v>1</v>
      </c>
      <c r="S196" t="s">
        <v>29</v>
      </c>
      <c r="T196" t="b">
        <f t="shared" si="24"/>
        <v>1</v>
      </c>
      <c r="U196">
        <v>5634282</v>
      </c>
      <c r="V196" t="b">
        <f t="shared" si="25"/>
        <v>1</v>
      </c>
      <c r="W196" t="s">
        <v>30</v>
      </c>
      <c r="X196" t="b">
        <f t="shared" si="26"/>
        <v>1</v>
      </c>
      <c r="Y196" t="s">
        <v>26</v>
      </c>
      <c r="Z196" t="b">
        <f t="shared" si="27"/>
        <v>1</v>
      </c>
    </row>
    <row r="197" spans="1:26" hidden="1" x14ac:dyDescent="0.25">
      <c r="A197" s="27">
        <v>194</v>
      </c>
      <c r="B197" s="27">
        <v>3760</v>
      </c>
      <c r="C197" s="28" t="s">
        <v>470</v>
      </c>
      <c r="D197" s="29">
        <v>371.5</v>
      </c>
      <c r="E197" s="30">
        <v>0.4</v>
      </c>
      <c r="F197" s="30">
        <f t="shared" si="28"/>
        <v>148.6</v>
      </c>
      <c r="G197" s="30">
        <f>147.14+1.46</f>
        <v>148.6</v>
      </c>
      <c r="H197" s="30">
        <f t="shared" ref="H197:H260" si="36">F197-G197</f>
        <v>0</v>
      </c>
      <c r="I197" s="32">
        <v>19531566</v>
      </c>
      <c r="J197" s="49" t="s">
        <v>471</v>
      </c>
      <c r="K197" s="31" t="s">
        <v>17</v>
      </c>
      <c r="L197" s="31" t="s">
        <v>18</v>
      </c>
      <c r="M197" s="27">
        <v>90988855</v>
      </c>
      <c r="N197" s="35">
        <v>45607</v>
      </c>
      <c r="O197" t="s">
        <v>793</v>
      </c>
      <c r="Q197">
        <v>3760</v>
      </c>
      <c r="R197" t="b">
        <f t="shared" si="29"/>
        <v>1</v>
      </c>
      <c r="S197" t="s">
        <v>470</v>
      </c>
      <c r="T197" t="b">
        <f t="shared" si="24"/>
        <v>1</v>
      </c>
      <c r="U197">
        <v>19531566</v>
      </c>
      <c r="V197" t="b">
        <f t="shared" si="25"/>
        <v>1</v>
      </c>
      <c r="W197" t="s">
        <v>471</v>
      </c>
      <c r="X197" t="b">
        <f t="shared" si="26"/>
        <v>1</v>
      </c>
      <c r="Y197" t="s">
        <v>18</v>
      </c>
      <c r="Z197" t="b">
        <f t="shared" si="27"/>
        <v>1</v>
      </c>
    </row>
    <row r="198" spans="1:26" hidden="1" x14ac:dyDescent="0.25">
      <c r="A198" s="27">
        <v>195</v>
      </c>
      <c r="B198" s="27">
        <v>3762</v>
      </c>
      <c r="C198" s="28" t="s">
        <v>472</v>
      </c>
      <c r="D198" s="29">
        <v>391.3</v>
      </c>
      <c r="E198" s="30">
        <v>0.4</v>
      </c>
      <c r="F198" s="30">
        <f t="shared" si="28"/>
        <v>156.52000000000001</v>
      </c>
      <c r="G198" s="30">
        <f>155.73+0.79</f>
        <v>156.51999999999998</v>
      </c>
      <c r="H198" s="30">
        <f t="shared" si="36"/>
        <v>0</v>
      </c>
      <c r="I198" s="32">
        <v>15664101</v>
      </c>
      <c r="J198" s="49" t="s">
        <v>473</v>
      </c>
      <c r="K198" s="48" t="s">
        <v>25</v>
      </c>
      <c r="L198" s="49" t="s">
        <v>26</v>
      </c>
      <c r="M198" s="27"/>
      <c r="N198" s="35">
        <v>45567</v>
      </c>
      <c r="O198" s="146">
        <v>45602</v>
      </c>
      <c r="P198" s="146"/>
      <c r="Q198">
        <v>3762</v>
      </c>
      <c r="R198" t="b">
        <f t="shared" si="29"/>
        <v>1</v>
      </c>
      <c r="S198" t="s">
        <v>472</v>
      </c>
      <c r="T198" t="b">
        <f t="shared" si="24"/>
        <v>1</v>
      </c>
      <c r="U198">
        <v>15664101</v>
      </c>
      <c r="V198" t="b">
        <f t="shared" si="25"/>
        <v>1</v>
      </c>
      <c r="W198" t="s">
        <v>473</v>
      </c>
      <c r="X198" t="b">
        <f t="shared" si="26"/>
        <v>1</v>
      </c>
      <c r="Y198" t="s">
        <v>26</v>
      </c>
      <c r="Z198" t="b">
        <f t="shared" si="27"/>
        <v>1</v>
      </c>
    </row>
    <row r="199" spans="1:26" hidden="1" x14ac:dyDescent="0.25">
      <c r="A199" s="172">
        <v>196</v>
      </c>
      <c r="B199" s="172">
        <v>3764</v>
      </c>
      <c r="C199" s="173" t="s">
        <v>474</v>
      </c>
      <c r="D199" s="174">
        <v>915.4</v>
      </c>
      <c r="E199" s="175">
        <v>0.4</v>
      </c>
      <c r="F199" s="175">
        <f t="shared" si="28"/>
        <v>366.16</v>
      </c>
      <c r="G199" s="175">
        <f t="shared" ref="G199:G200" si="37">F199</f>
        <v>366.16</v>
      </c>
      <c r="H199" s="175">
        <f t="shared" si="36"/>
        <v>0</v>
      </c>
      <c r="I199" s="180">
        <v>1996843</v>
      </c>
      <c r="J199" s="178" t="s">
        <v>475</v>
      </c>
      <c r="K199" s="177" t="s">
        <v>25</v>
      </c>
      <c r="L199" s="178" t="s">
        <v>26</v>
      </c>
      <c r="M199" s="172">
        <v>91918493</v>
      </c>
      <c r="N199" s="179"/>
      <c r="Q199">
        <v>3764</v>
      </c>
      <c r="R199" t="b">
        <f t="shared" si="29"/>
        <v>1</v>
      </c>
      <c r="S199" t="s">
        <v>474</v>
      </c>
      <c r="T199" t="b">
        <f t="shared" ref="T199:T263" si="38">S199=C199</f>
        <v>1</v>
      </c>
      <c r="U199">
        <v>1996843</v>
      </c>
      <c r="V199" t="b">
        <f t="shared" ref="V199:V263" si="39">U199=I199</f>
        <v>1</v>
      </c>
      <c r="W199" t="s">
        <v>475</v>
      </c>
      <c r="X199" t="b">
        <f t="shared" ref="X199:X263" si="40">W199=J199</f>
        <v>1</v>
      </c>
      <c r="Y199" t="s">
        <v>26</v>
      </c>
      <c r="Z199" t="b">
        <f t="shared" ref="Z199:Z263" si="41">Y199=L199</f>
        <v>1</v>
      </c>
    </row>
    <row r="200" spans="1:26" hidden="1" x14ac:dyDescent="0.25">
      <c r="A200" s="172">
        <v>197</v>
      </c>
      <c r="B200" s="172">
        <v>3765</v>
      </c>
      <c r="C200" s="173" t="s">
        <v>31</v>
      </c>
      <c r="D200" s="174">
        <v>998.5</v>
      </c>
      <c r="E200" s="175">
        <v>0.4</v>
      </c>
      <c r="F200" s="175">
        <f t="shared" ref="F200:F264" si="42">E200*D200</f>
        <v>399.40000000000003</v>
      </c>
      <c r="G200" s="175">
        <f t="shared" si="37"/>
        <v>399.40000000000003</v>
      </c>
      <c r="H200" s="175">
        <f t="shared" si="36"/>
        <v>0</v>
      </c>
      <c r="I200" s="180">
        <v>19752023</v>
      </c>
      <c r="J200" s="178" t="s">
        <v>32</v>
      </c>
      <c r="K200" s="177" t="s">
        <v>25</v>
      </c>
      <c r="L200" s="178" t="s">
        <v>26</v>
      </c>
      <c r="M200" s="172">
        <v>99499894</v>
      </c>
      <c r="N200" s="179"/>
      <c r="Q200">
        <v>3765</v>
      </c>
      <c r="R200" t="b">
        <f t="shared" si="29"/>
        <v>1</v>
      </c>
      <c r="S200" t="s">
        <v>31</v>
      </c>
      <c r="T200" t="b">
        <f t="shared" si="38"/>
        <v>1</v>
      </c>
      <c r="U200">
        <v>19752023</v>
      </c>
      <c r="V200" t="b">
        <f t="shared" si="39"/>
        <v>1</v>
      </c>
      <c r="W200" t="s">
        <v>32</v>
      </c>
      <c r="X200" t="b">
        <f t="shared" si="40"/>
        <v>1</v>
      </c>
      <c r="Y200" t="s">
        <v>26</v>
      </c>
      <c r="Z200" t="b">
        <f t="shared" si="41"/>
        <v>1</v>
      </c>
    </row>
    <row r="201" spans="1:26" s="36" customFormat="1" hidden="1" x14ac:dyDescent="0.25">
      <c r="A201" s="27">
        <v>198</v>
      </c>
      <c r="B201" s="27">
        <v>3766</v>
      </c>
      <c r="C201" s="28" t="s">
        <v>476</v>
      </c>
      <c r="D201" s="29">
        <v>356.5</v>
      </c>
      <c r="E201" s="30">
        <v>0.4</v>
      </c>
      <c r="F201" s="30">
        <f t="shared" si="42"/>
        <v>142.6</v>
      </c>
      <c r="G201" s="30">
        <f>30.04+111.55+1.01</f>
        <v>142.6</v>
      </c>
      <c r="H201" s="30">
        <f t="shared" si="36"/>
        <v>0</v>
      </c>
      <c r="I201" s="32">
        <v>5729117</v>
      </c>
      <c r="J201" s="49" t="s">
        <v>477</v>
      </c>
      <c r="K201" s="31" t="s">
        <v>17</v>
      </c>
      <c r="L201" s="31" t="s">
        <v>18</v>
      </c>
      <c r="M201" s="27">
        <v>97297211</v>
      </c>
      <c r="N201" s="35">
        <v>45593</v>
      </c>
      <c r="O201" s="156">
        <v>45629</v>
      </c>
      <c r="P201" s="156">
        <v>45656</v>
      </c>
      <c r="Q201" s="36">
        <v>3766</v>
      </c>
      <c r="R201" s="36" t="b">
        <f t="shared" si="29"/>
        <v>1</v>
      </c>
      <c r="S201" s="36" t="s">
        <v>476</v>
      </c>
      <c r="T201" s="36" t="b">
        <f t="shared" si="38"/>
        <v>1</v>
      </c>
      <c r="U201" s="36">
        <v>5729117</v>
      </c>
      <c r="V201" s="36" t="b">
        <f t="shared" si="39"/>
        <v>1</v>
      </c>
      <c r="W201" s="36" t="s">
        <v>477</v>
      </c>
      <c r="X201" s="36" t="b">
        <f t="shared" si="40"/>
        <v>1</v>
      </c>
      <c r="Y201" s="36" t="s">
        <v>18</v>
      </c>
      <c r="Z201" s="36" t="b">
        <f t="shared" si="41"/>
        <v>1</v>
      </c>
    </row>
    <row r="202" spans="1:26" hidden="1" x14ac:dyDescent="0.25">
      <c r="A202" s="115">
        <v>199</v>
      </c>
      <c r="B202" s="115">
        <v>3767</v>
      </c>
      <c r="C202" s="116" t="s">
        <v>478</v>
      </c>
      <c r="D202" s="117">
        <v>1458</v>
      </c>
      <c r="E202" s="118">
        <v>0.4</v>
      </c>
      <c r="F202" s="118">
        <f t="shared" si="42"/>
        <v>583.20000000000005</v>
      </c>
      <c r="G202" s="118">
        <v>583.20000000000005</v>
      </c>
      <c r="H202" s="118">
        <f t="shared" si="36"/>
        <v>0</v>
      </c>
      <c r="I202" s="115">
        <v>971428</v>
      </c>
      <c r="J202" s="120" t="s">
        <v>479</v>
      </c>
      <c r="K202" s="121" t="s">
        <v>25</v>
      </c>
      <c r="L202" s="120" t="s">
        <v>26</v>
      </c>
      <c r="M202" s="115">
        <v>92214819</v>
      </c>
      <c r="N202" s="125" t="s">
        <v>796</v>
      </c>
      <c r="O202" s="146"/>
      <c r="P202" s="146"/>
      <c r="Q202">
        <v>3767</v>
      </c>
      <c r="R202" t="b">
        <f t="shared" si="29"/>
        <v>1</v>
      </c>
      <c r="S202" t="s">
        <v>478</v>
      </c>
      <c r="T202" t="b">
        <f t="shared" si="38"/>
        <v>1</v>
      </c>
      <c r="U202">
        <v>971428</v>
      </c>
      <c r="V202" t="b">
        <f t="shared" si="39"/>
        <v>1</v>
      </c>
      <c r="W202" t="s">
        <v>479</v>
      </c>
      <c r="X202" t="b">
        <f t="shared" si="40"/>
        <v>1</v>
      </c>
      <c r="Y202" t="s">
        <v>26</v>
      </c>
      <c r="Z202" t="b">
        <f t="shared" si="41"/>
        <v>1</v>
      </c>
    </row>
    <row r="203" spans="1:26" hidden="1" x14ac:dyDescent="0.25">
      <c r="A203" s="115">
        <v>200</v>
      </c>
      <c r="B203" s="115">
        <v>3768</v>
      </c>
      <c r="C203" s="116" t="s">
        <v>480</v>
      </c>
      <c r="D203" s="117">
        <v>349.7</v>
      </c>
      <c r="E203" s="118">
        <v>0.4</v>
      </c>
      <c r="F203" s="118">
        <f t="shared" si="42"/>
        <v>139.88</v>
      </c>
      <c r="G203" s="118">
        <f>129.61+10.27</f>
        <v>139.88000000000002</v>
      </c>
      <c r="H203" s="118">
        <f t="shared" si="36"/>
        <v>0</v>
      </c>
      <c r="I203" s="119">
        <v>21349024</v>
      </c>
      <c r="J203" s="120" t="s">
        <v>481</v>
      </c>
      <c r="K203" s="121" t="s">
        <v>25</v>
      </c>
      <c r="L203" s="120" t="s">
        <v>26</v>
      </c>
      <c r="M203" s="115">
        <v>71536935</v>
      </c>
      <c r="N203" s="125" t="s">
        <v>725</v>
      </c>
      <c r="O203" s="146">
        <v>45602</v>
      </c>
      <c r="P203" s="146"/>
      <c r="Q203">
        <v>3768</v>
      </c>
      <c r="R203" t="b">
        <f t="shared" ref="R203:R261" si="43">Q203=B203</f>
        <v>1</v>
      </c>
      <c r="S203" t="s">
        <v>480</v>
      </c>
      <c r="T203" t="b">
        <f t="shared" si="38"/>
        <v>1</v>
      </c>
      <c r="U203">
        <v>21349024</v>
      </c>
      <c r="V203" t="b">
        <f t="shared" si="39"/>
        <v>1</v>
      </c>
      <c r="W203" t="s">
        <v>481</v>
      </c>
      <c r="X203" t="b">
        <f t="shared" si="40"/>
        <v>1</v>
      </c>
      <c r="Y203" t="s">
        <v>26</v>
      </c>
      <c r="Z203" t="b">
        <f t="shared" si="41"/>
        <v>1</v>
      </c>
    </row>
    <row r="204" spans="1:26" hidden="1" x14ac:dyDescent="0.25">
      <c r="A204" s="27">
        <v>201</v>
      </c>
      <c r="B204" s="27">
        <v>3769</v>
      </c>
      <c r="C204" s="28" t="s">
        <v>482</v>
      </c>
      <c r="D204" s="29">
        <v>705.1</v>
      </c>
      <c r="E204" s="30">
        <v>0.4</v>
      </c>
      <c r="F204" s="30">
        <f t="shared" si="42"/>
        <v>282.04000000000002</v>
      </c>
      <c r="G204" s="30">
        <f>281.69+0.35</f>
        <v>282.04000000000002</v>
      </c>
      <c r="H204" s="30">
        <f t="shared" si="36"/>
        <v>0</v>
      </c>
      <c r="I204" s="32">
        <v>24915633</v>
      </c>
      <c r="J204" s="49" t="s">
        <v>483</v>
      </c>
      <c r="K204" s="31" t="s">
        <v>43</v>
      </c>
      <c r="L204" s="49" t="s">
        <v>44</v>
      </c>
      <c r="M204" s="27">
        <v>99605319</v>
      </c>
      <c r="N204" s="35">
        <v>45582</v>
      </c>
      <c r="O204" s="144" t="s">
        <v>776</v>
      </c>
      <c r="P204" s="144"/>
      <c r="Q204">
        <v>3769</v>
      </c>
      <c r="R204" t="b">
        <f t="shared" si="43"/>
        <v>1</v>
      </c>
      <c r="S204" t="s">
        <v>482</v>
      </c>
      <c r="T204" t="b">
        <f t="shared" si="38"/>
        <v>1</v>
      </c>
      <c r="U204">
        <v>24915633</v>
      </c>
      <c r="V204" t="b">
        <f t="shared" si="39"/>
        <v>1</v>
      </c>
      <c r="W204" t="s">
        <v>483</v>
      </c>
      <c r="X204" t="b">
        <f t="shared" si="40"/>
        <v>1</v>
      </c>
      <c r="Y204" t="s">
        <v>44</v>
      </c>
      <c r="Z204" t="b">
        <f t="shared" si="41"/>
        <v>1</v>
      </c>
    </row>
    <row r="205" spans="1:26" hidden="1" x14ac:dyDescent="0.25">
      <c r="A205" s="172">
        <v>202</v>
      </c>
      <c r="B205" s="172">
        <v>3770</v>
      </c>
      <c r="C205" s="173" t="s">
        <v>33</v>
      </c>
      <c r="D205" s="174">
        <v>298</v>
      </c>
      <c r="E205" s="175">
        <v>0.4</v>
      </c>
      <c r="F205" s="175">
        <f t="shared" si="42"/>
        <v>119.2</v>
      </c>
      <c r="G205" s="175">
        <f>F205</f>
        <v>119.2</v>
      </c>
      <c r="H205" s="175">
        <f t="shared" si="36"/>
        <v>0</v>
      </c>
      <c r="I205" s="180">
        <v>7198036</v>
      </c>
      <c r="J205" s="178" t="s">
        <v>34</v>
      </c>
      <c r="K205" s="177" t="s">
        <v>25</v>
      </c>
      <c r="L205" s="178" t="s">
        <v>26</v>
      </c>
      <c r="M205" s="172">
        <v>92321799</v>
      </c>
      <c r="N205" s="179"/>
      <c r="Q205">
        <v>3770</v>
      </c>
      <c r="R205" t="b">
        <f t="shared" si="43"/>
        <v>1</v>
      </c>
      <c r="S205" t="s">
        <v>33</v>
      </c>
      <c r="T205" t="b">
        <f t="shared" si="38"/>
        <v>1</v>
      </c>
      <c r="U205">
        <v>7198036</v>
      </c>
      <c r="V205" t="b">
        <f t="shared" si="39"/>
        <v>1</v>
      </c>
      <c r="W205" t="s">
        <v>34</v>
      </c>
      <c r="X205" t="b">
        <f t="shared" si="40"/>
        <v>1</v>
      </c>
      <c r="Y205" t="s">
        <v>26</v>
      </c>
      <c r="Z205" t="b">
        <f t="shared" si="41"/>
        <v>1</v>
      </c>
    </row>
    <row r="206" spans="1:26" hidden="1" x14ac:dyDescent="0.25">
      <c r="A206" s="54">
        <v>203</v>
      </c>
      <c r="B206" s="54">
        <v>3771</v>
      </c>
      <c r="C206" s="55" t="s">
        <v>484</v>
      </c>
      <c r="D206" s="56">
        <v>746.9</v>
      </c>
      <c r="E206" s="57">
        <v>0.4</v>
      </c>
      <c r="F206" s="57">
        <f t="shared" si="42"/>
        <v>298.76</v>
      </c>
      <c r="G206" s="57">
        <f>F206</f>
        <v>298.76</v>
      </c>
      <c r="H206" s="57">
        <f t="shared" si="36"/>
        <v>0</v>
      </c>
      <c r="I206" s="84">
        <v>1977962</v>
      </c>
      <c r="J206" s="60" t="s">
        <v>485</v>
      </c>
      <c r="K206" s="59" t="s">
        <v>25</v>
      </c>
      <c r="L206" s="60" t="s">
        <v>26</v>
      </c>
      <c r="M206" s="54">
        <v>99488815</v>
      </c>
      <c r="N206" s="61" t="s">
        <v>161</v>
      </c>
      <c r="Q206">
        <v>3771</v>
      </c>
      <c r="R206" t="b">
        <f t="shared" si="43"/>
        <v>1</v>
      </c>
      <c r="S206" t="s">
        <v>484</v>
      </c>
      <c r="T206" t="b">
        <f t="shared" si="38"/>
        <v>1</v>
      </c>
      <c r="U206">
        <v>1977962</v>
      </c>
      <c r="V206" t="b">
        <f t="shared" si="39"/>
        <v>1</v>
      </c>
      <c r="W206" t="s">
        <v>485</v>
      </c>
      <c r="X206" t="b">
        <f t="shared" si="40"/>
        <v>1</v>
      </c>
      <c r="Y206" t="s">
        <v>26</v>
      </c>
      <c r="Z206" t="b">
        <f t="shared" si="41"/>
        <v>1</v>
      </c>
    </row>
    <row r="207" spans="1:26" hidden="1" x14ac:dyDescent="0.25">
      <c r="A207" s="172">
        <v>204</v>
      </c>
      <c r="B207" s="172">
        <v>3772</v>
      </c>
      <c r="C207" s="173" t="s">
        <v>486</v>
      </c>
      <c r="D207" s="174">
        <v>393.9</v>
      </c>
      <c r="E207" s="175">
        <v>0.4</v>
      </c>
      <c r="F207" s="175">
        <f t="shared" si="42"/>
        <v>157.56</v>
      </c>
      <c r="G207" s="175">
        <f t="shared" ref="G207:G208" si="44">F207</f>
        <v>157.56</v>
      </c>
      <c r="H207" s="175">
        <f t="shared" si="36"/>
        <v>0</v>
      </c>
      <c r="I207" s="180">
        <v>6419804</v>
      </c>
      <c r="J207" s="178" t="s">
        <v>487</v>
      </c>
      <c r="K207" s="177" t="s">
        <v>25</v>
      </c>
      <c r="L207" s="178" t="s">
        <v>26</v>
      </c>
      <c r="M207" s="172"/>
      <c r="N207" s="179"/>
      <c r="Q207">
        <v>3772</v>
      </c>
      <c r="R207" t="b">
        <f t="shared" si="43"/>
        <v>1</v>
      </c>
      <c r="S207" t="s">
        <v>486</v>
      </c>
      <c r="T207" t="b">
        <f t="shared" si="38"/>
        <v>1</v>
      </c>
      <c r="U207">
        <v>6419804</v>
      </c>
      <c r="V207" t="b">
        <f t="shared" si="39"/>
        <v>1</v>
      </c>
      <c r="W207" t="s">
        <v>487</v>
      </c>
      <c r="X207" t="b">
        <f t="shared" si="40"/>
        <v>1</v>
      </c>
      <c r="Y207" t="s">
        <v>26</v>
      </c>
      <c r="Z207" t="b">
        <f t="shared" si="41"/>
        <v>1</v>
      </c>
    </row>
    <row r="208" spans="1:26" hidden="1" x14ac:dyDescent="0.25">
      <c r="A208" s="172">
        <v>205</v>
      </c>
      <c r="B208" s="172">
        <v>3773</v>
      </c>
      <c r="C208" s="173" t="s">
        <v>488</v>
      </c>
      <c r="D208" s="174">
        <v>382.6</v>
      </c>
      <c r="E208" s="175">
        <v>0.4</v>
      </c>
      <c r="F208" s="175">
        <f t="shared" si="42"/>
        <v>153.04000000000002</v>
      </c>
      <c r="G208" s="175">
        <f t="shared" si="44"/>
        <v>153.04000000000002</v>
      </c>
      <c r="H208" s="175">
        <f t="shared" si="36"/>
        <v>0</v>
      </c>
      <c r="I208" s="180">
        <v>2023936</v>
      </c>
      <c r="J208" s="178" t="s">
        <v>489</v>
      </c>
      <c r="K208" s="177" t="s">
        <v>210</v>
      </c>
      <c r="L208" s="178" t="s">
        <v>211</v>
      </c>
      <c r="M208" s="172"/>
      <c r="N208" s="179"/>
      <c r="Q208">
        <v>3773</v>
      </c>
      <c r="R208" t="b">
        <f t="shared" si="43"/>
        <v>1</v>
      </c>
      <c r="S208" t="s">
        <v>488</v>
      </c>
      <c r="T208" t="b">
        <f t="shared" si="38"/>
        <v>1</v>
      </c>
      <c r="U208">
        <v>2023936</v>
      </c>
      <c r="V208" t="b">
        <f t="shared" si="39"/>
        <v>1</v>
      </c>
      <c r="W208" t="s">
        <v>489</v>
      </c>
      <c r="X208" t="b">
        <f t="shared" si="40"/>
        <v>1</v>
      </c>
      <c r="Y208" t="s">
        <v>211</v>
      </c>
      <c r="Z208" t="b">
        <f t="shared" si="41"/>
        <v>1</v>
      </c>
    </row>
    <row r="209" spans="1:26" hidden="1" x14ac:dyDescent="0.25">
      <c r="A209" s="27">
        <v>206</v>
      </c>
      <c r="B209" s="27">
        <v>3774</v>
      </c>
      <c r="C209" s="28" t="s">
        <v>490</v>
      </c>
      <c r="D209" s="29">
        <v>344.5</v>
      </c>
      <c r="E209" s="30">
        <v>0.4</v>
      </c>
      <c r="F209" s="30">
        <f t="shared" si="42"/>
        <v>137.80000000000001</v>
      </c>
      <c r="G209" s="30">
        <f>3.01+130.95+3.84</f>
        <v>137.79999999999998</v>
      </c>
      <c r="H209" s="30">
        <f t="shared" si="36"/>
        <v>0</v>
      </c>
      <c r="I209" s="32">
        <v>889849</v>
      </c>
      <c r="J209" s="49" t="s">
        <v>491</v>
      </c>
      <c r="K209" s="31" t="s">
        <v>17</v>
      </c>
      <c r="L209" s="31" t="s">
        <v>18</v>
      </c>
      <c r="M209" s="27">
        <v>93011211</v>
      </c>
      <c r="N209" s="35">
        <v>45544</v>
      </c>
      <c r="O209" s="146">
        <v>45609</v>
      </c>
      <c r="Q209" s="50">
        <v>3774</v>
      </c>
      <c r="R209" t="b">
        <f t="shared" si="43"/>
        <v>1</v>
      </c>
      <c r="S209" t="s">
        <v>490</v>
      </c>
      <c r="T209" t="b">
        <f t="shared" si="38"/>
        <v>1</v>
      </c>
      <c r="U209">
        <v>889849</v>
      </c>
      <c r="V209" t="b">
        <f t="shared" si="39"/>
        <v>1</v>
      </c>
      <c r="W209" t="s">
        <v>491</v>
      </c>
      <c r="X209" t="b">
        <f t="shared" si="40"/>
        <v>1</v>
      </c>
      <c r="Y209" t="s">
        <v>18</v>
      </c>
      <c r="Z209" t="b">
        <f t="shared" si="41"/>
        <v>1</v>
      </c>
    </row>
    <row r="210" spans="1:26" hidden="1" x14ac:dyDescent="0.25">
      <c r="A210" s="27">
        <v>207</v>
      </c>
      <c r="B210" s="27">
        <v>3775</v>
      </c>
      <c r="C210" s="28" t="s">
        <v>492</v>
      </c>
      <c r="D210" s="29">
        <v>254</v>
      </c>
      <c r="E210" s="30">
        <v>0.4</v>
      </c>
      <c r="F210" s="30">
        <f t="shared" si="42"/>
        <v>101.60000000000001</v>
      </c>
      <c r="G210" s="30">
        <f>F210</f>
        <v>101.60000000000001</v>
      </c>
      <c r="H210" s="30">
        <f t="shared" si="36"/>
        <v>0</v>
      </c>
      <c r="I210" s="32">
        <v>7198074</v>
      </c>
      <c r="J210" s="49" t="s">
        <v>493</v>
      </c>
      <c r="K210" s="31" t="s">
        <v>210</v>
      </c>
      <c r="L210" s="51" t="s">
        <v>211</v>
      </c>
      <c r="M210" s="27">
        <v>98182322</v>
      </c>
      <c r="N210" s="35">
        <v>45635</v>
      </c>
      <c r="Q210">
        <v>3775</v>
      </c>
      <c r="R210" t="b">
        <f t="shared" si="43"/>
        <v>1</v>
      </c>
      <c r="S210" t="s">
        <v>492</v>
      </c>
      <c r="T210" t="b">
        <f t="shared" si="38"/>
        <v>1</v>
      </c>
      <c r="U210">
        <v>7198074</v>
      </c>
      <c r="V210" t="b">
        <f t="shared" si="39"/>
        <v>1</v>
      </c>
      <c r="W210" t="s">
        <v>493</v>
      </c>
      <c r="X210" t="b">
        <f t="shared" si="40"/>
        <v>1</v>
      </c>
      <c r="Y210" t="s">
        <v>211</v>
      </c>
      <c r="Z210" t="b">
        <f t="shared" si="41"/>
        <v>1</v>
      </c>
    </row>
    <row r="211" spans="1:26" hidden="1" x14ac:dyDescent="0.25">
      <c r="A211" s="172">
        <v>208</v>
      </c>
      <c r="B211" s="172">
        <v>3776</v>
      </c>
      <c r="C211" s="173" t="s">
        <v>494</v>
      </c>
      <c r="D211" s="174">
        <v>373.8</v>
      </c>
      <c r="E211" s="175">
        <v>0.4</v>
      </c>
      <c r="F211" s="175">
        <f t="shared" si="42"/>
        <v>149.52000000000001</v>
      </c>
      <c r="G211" s="175">
        <f>F211</f>
        <v>149.52000000000001</v>
      </c>
      <c r="H211" s="175">
        <f t="shared" si="36"/>
        <v>0</v>
      </c>
      <c r="I211" s="180">
        <v>5530783</v>
      </c>
      <c r="J211" s="178" t="s">
        <v>495</v>
      </c>
      <c r="K211" s="177" t="s">
        <v>25</v>
      </c>
      <c r="L211" s="178" t="s">
        <v>26</v>
      </c>
      <c r="M211" s="172">
        <v>97170030</v>
      </c>
      <c r="N211" s="179"/>
      <c r="Q211">
        <v>3776</v>
      </c>
      <c r="R211" t="b">
        <f t="shared" si="43"/>
        <v>1</v>
      </c>
      <c r="S211" t="s">
        <v>494</v>
      </c>
      <c r="T211" t="b">
        <f t="shared" si="38"/>
        <v>1</v>
      </c>
      <c r="U211">
        <v>5530783</v>
      </c>
      <c r="V211" t="b">
        <f t="shared" si="39"/>
        <v>1</v>
      </c>
      <c r="W211" t="s">
        <v>495</v>
      </c>
      <c r="X211" t="b">
        <f t="shared" si="40"/>
        <v>1</v>
      </c>
      <c r="Y211" t="s">
        <v>26</v>
      </c>
      <c r="Z211" t="b">
        <f t="shared" si="41"/>
        <v>1</v>
      </c>
    </row>
    <row r="212" spans="1:26" hidden="1" x14ac:dyDescent="0.25">
      <c r="A212" s="22">
        <v>209</v>
      </c>
      <c r="B212" s="22">
        <v>3777</v>
      </c>
      <c r="C212" s="23" t="s">
        <v>496</v>
      </c>
      <c r="D212" s="24">
        <v>908.7</v>
      </c>
      <c r="E212" s="25">
        <v>0.4</v>
      </c>
      <c r="F212" s="30">
        <f t="shared" si="42"/>
        <v>363.48</v>
      </c>
      <c r="G212" s="30">
        <f>358.9+4.58</f>
        <v>363.47999999999996</v>
      </c>
      <c r="H212" s="30">
        <f t="shared" si="36"/>
        <v>0</v>
      </c>
      <c r="I212" s="34">
        <v>6538875</v>
      </c>
      <c r="J212" s="214" t="s">
        <v>497</v>
      </c>
      <c r="K212" s="215" t="s">
        <v>25</v>
      </c>
      <c r="L212" s="214" t="s">
        <v>26</v>
      </c>
      <c r="M212" s="22">
        <v>91750033</v>
      </c>
      <c r="N212" s="143">
        <v>45637</v>
      </c>
      <c r="O212" s="146">
        <v>45676</v>
      </c>
      <c r="Q212">
        <v>3777</v>
      </c>
      <c r="R212" t="b">
        <f t="shared" si="43"/>
        <v>1</v>
      </c>
      <c r="S212" t="s">
        <v>496</v>
      </c>
      <c r="T212" t="b">
        <f t="shared" si="38"/>
        <v>1</v>
      </c>
      <c r="U212">
        <v>6538875</v>
      </c>
      <c r="V212" t="b">
        <f t="shared" si="39"/>
        <v>1</v>
      </c>
      <c r="W212" t="s">
        <v>497</v>
      </c>
      <c r="X212" t="b">
        <f t="shared" si="40"/>
        <v>1</v>
      </c>
      <c r="Y212" t="s">
        <v>26</v>
      </c>
      <c r="Z212" t="b">
        <f t="shared" si="41"/>
        <v>1</v>
      </c>
    </row>
    <row r="213" spans="1:26" hidden="1" x14ac:dyDescent="0.25">
      <c r="A213" s="27">
        <v>210</v>
      </c>
      <c r="B213" s="27">
        <v>3778</v>
      </c>
      <c r="C213" s="28" t="s">
        <v>498</v>
      </c>
      <c r="D213" s="29">
        <v>533.79999999999995</v>
      </c>
      <c r="E213" s="30">
        <v>0.4</v>
      </c>
      <c r="F213" s="30">
        <f t="shared" si="42"/>
        <v>213.51999999999998</v>
      </c>
      <c r="G213" s="30">
        <f>208.59+4.93</f>
        <v>213.52</v>
      </c>
      <c r="H213" s="30">
        <f t="shared" si="36"/>
        <v>0</v>
      </c>
      <c r="I213" s="32">
        <v>1481822</v>
      </c>
      <c r="J213" s="49" t="s">
        <v>499</v>
      </c>
      <c r="K213" s="31" t="s">
        <v>17</v>
      </c>
      <c r="L213" s="31" t="s">
        <v>18</v>
      </c>
      <c r="M213" s="27">
        <v>92951944</v>
      </c>
      <c r="N213" s="35">
        <v>45567</v>
      </c>
      <c r="O213" s="146">
        <v>45602</v>
      </c>
      <c r="P213" s="146"/>
      <c r="Q213">
        <v>3778</v>
      </c>
      <c r="R213" t="b">
        <f t="shared" si="43"/>
        <v>1</v>
      </c>
      <c r="S213" t="s">
        <v>498</v>
      </c>
      <c r="T213" t="b">
        <f t="shared" si="38"/>
        <v>1</v>
      </c>
      <c r="U213">
        <v>1481822</v>
      </c>
      <c r="V213" t="b">
        <f t="shared" si="39"/>
        <v>1</v>
      </c>
      <c r="W213" t="s">
        <v>499</v>
      </c>
      <c r="X213" t="b">
        <f t="shared" si="40"/>
        <v>1</v>
      </c>
      <c r="Y213" t="s">
        <v>18</v>
      </c>
      <c r="Z213" t="b">
        <f t="shared" si="41"/>
        <v>1</v>
      </c>
    </row>
    <row r="214" spans="1:26" hidden="1" x14ac:dyDescent="0.25">
      <c r="A214" s="27">
        <v>211</v>
      </c>
      <c r="B214" s="27">
        <v>3781</v>
      </c>
      <c r="C214" s="28" t="s">
        <v>500</v>
      </c>
      <c r="D214" s="29">
        <v>725.3</v>
      </c>
      <c r="E214" s="30">
        <v>0.4</v>
      </c>
      <c r="F214" s="30">
        <f t="shared" si="42"/>
        <v>290.12</v>
      </c>
      <c r="G214" s="30">
        <f>287.258+2.862</f>
        <v>290.12</v>
      </c>
      <c r="H214" s="30">
        <f t="shared" si="36"/>
        <v>0</v>
      </c>
      <c r="I214" s="85" t="s">
        <v>501</v>
      </c>
      <c r="J214" s="49" t="s">
        <v>502</v>
      </c>
      <c r="K214" s="49" t="s">
        <v>503</v>
      </c>
      <c r="L214" s="66" t="s">
        <v>504</v>
      </c>
      <c r="M214" s="27">
        <v>95655550</v>
      </c>
      <c r="N214" s="35">
        <v>45596</v>
      </c>
      <c r="O214" s="146">
        <v>45624</v>
      </c>
      <c r="Q214">
        <v>3781</v>
      </c>
      <c r="R214" t="b">
        <f t="shared" si="43"/>
        <v>1</v>
      </c>
      <c r="S214" t="s">
        <v>500</v>
      </c>
      <c r="T214" t="b">
        <f t="shared" si="38"/>
        <v>1</v>
      </c>
      <c r="U214" t="s">
        <v>501</v>
      </c>
      <c r="V214" t="b">
        <f t="shared" si="39"/>
        <v>1</v>
      </c>
      <c r="W214" t="s">
        <v>502</v>
      </c>
      <c r="X214" t="b">
        <f t="shared" si="40"/>
        <v>1</v>
      </c>
      <c r="Y214" t="s">
        <v>504</v>
      </c>
      <c r="Z214" t="b">
        <f t="shared" si="41"/>
        <v>1</v>
      </c>
    </row>
    <row r="215" spans="1:26" hidden="1" x14ac:dyDescent="0.25">
      <c r="A215" s="27">
        <v>212</v>
      </c>
      <c r="B215" s="27">
        <v>3782</v>
      </c>
      <c r="C215" s="28" t="s">
        <v>505</v>
      </c>
      <c r="D215" s="29">
        <v>698.2</v>
      </c>
      <c r="E215" s="30">
        <v>0.4</v>
      </c>
      <c r="F215" s="30">
        <f t="shared" si="42"/>
        <v>279.28000000000003</v>
      </c>
      <c r="G215" s="30">
        <f>198.55+80.73</f>
        <v>279.28000000000003</v>
      </c>
      <c r="H215" s="30">
        <f t="shared" si="36"/>
        <v>0</v>
      </c>
      <c r="I215" s="32">
        <v>8467003</v>
      </c>
      <c r="J215" s="49" t="s">
        <v>506</v>
      </c>
      <c r="K215" s="48" t="s">
        <v>17</v>
      </c>
      <c r="L215" s="49" t="s">
        <v>18</v>
      </c>
      <c r="M215" s="27">
        <v>96138831</v>
      </c>
      <c r="N215" s="35">
        <v>45567</v>
      </c>
      <c r="O215" s="146">
        <v>45602</v>
      </c>
      <c r="P215" s="146"/>
      <c r="Q215">
        <v>3782</v>
      </c>
      <c r="R215" t="b">
        <f t="shared" si="43"/>
        <v>1</v>
      </c>
      <c r="S215" t="s">
        <v>505</v>
      </c>
      <c r="T215" t="b">
        <f t="shared" si="38"/>
        <v>1</v>
      </c>
      <c r="U215">
        <v>8467003</v>
      </c>
      <c r="V215" t="b">
        <f t="shared" si="39"/>
        <v>1</v>
      </c>
      <c r="W215" t="s">
        <v>506</v>
      </c>
      <c r="X215" t="b">
        <f t="shared" si="40"/>
        <v>1</v>
      </c>
      <c r="Y215" t="s">
        <v>18</v>
      </c>
      <c r="Z215" t="b">
        <f t="shared" si="41"/>
        <v>1</v>
      </c>
    </row>
    <row r="216" spans="1:26" hidden="1" x14ac:dyDescent="0.25">
      <c r="A216" s="27">
        <v>213</v>
      </c>
      <c r="B216" s="27">
        <v>3783</v>
      </c>
      <c r="C216" s="28" t="s">
        <v>507</v>
      </c>
      <c r="D216" s="29">
        <v>253.5</v>
      </c>
      <c r="E216" s="30">
        <v>0.4</v>
      </c>
      <c r="F216" s="30">
        <f t="shared" si="42"/>
        <v>101.4</v>
      </c>
      <c r="G216" s="30">
        <f>97+4.4</f>
        <v>101.4</v>
      </c>
      <c r="H216" s="30">
        <f t="shared" si="36"/>
        <v>0</v>
      </c>
      <c r="I216" s="32">
        <v>25019867</v>
      </c>
      <c r="J216" s="49" t="s">
        <v>508</v>
      </c>
      <c r="K216" s="31" t="s">
        <v>17</v>
      </c>
      <c r="L216" s="31" t="s">
        <v>18</v>
      </c>
      <c r="M216" s="27">
        <v>97264292</v>
      </c>
      <c r="N216" s="35">
        <v>45596</v>
      </c>
      <c r="O216" s="146">
        <v>45621</v>
      </c>
      <c r="Q216">
        <v>3783</v>
      </c>
      <c r="R216" t="b">
        <f t="shared" si="43"/>
        <v>1</v>
      </c>
      <c r="S216" t="s">
        <v>507</v>
      </c>
      <c r="T216" t="b">
        <f t="shared" si="38"/>
        <v>1</v>
      </c>
      <c r="U216">
        <v>25019867</v>
      </c>
      <c r="V216" t="b">
        <f t="shared" si="39"/>
        <v>1</v>
      </c>
      <c r="W216" t="s">
        <v>508</v>
      </c>
      <c r="X216" t="b">
        <f t="shared" si="40"/>
        <v>1</v>
      </c>
      <c r="Y216" t="s">
        <v>18</v>
      </c>
      <c r="Z216" t="b">
        <f t="shared" si="41"/>
        <v>1</v>
      </c>
    </row>
    <row r="217" spans="1:26" hidden="1" x14ac:dyDescent="0.25">
      <c r="A217" s="172">
        <v>214</v>
      </c>
      <c r="B217" s="172">
        <v>3784</v>
      </c>
      <c r="C217" s="173" t="s">
        <v>509</v>
      </c>
      <c r="D217" s="174">
        <v>656.3</v>
      </c>
      <c r="E217" s="175">
        <v>0.4</v>
      </c>
      <c r="F217" s="175">
        <f t="shared" si="42"/>
        <v>262.52</v>
      </c>
      <c r="G217" s="175">
        <f>F217</f>
        <v>262.52</v>
      </c>
      <c r="H217" s="175">
        <f t="shared" si="36"/>
        <v>0</v>
      </c>
      <c r="I217" s="180">
        <v>19870884</v>
      </c>
      <c r="J217" s="178" t="s">
        <v>510</v>
      </c>
      <c r="K217" s="177" t="s">
        <v>25</v>
      </c>
      <c r="L217" s="178" t="s">
        <v>26</v>
      </c>
      <c r="M217" s="172">
        <v>94847877</v>
      </c>
      <c r="N217" s="179"/>
      <c r="Q217">
        <v>3784</v>
      </c>
      <c r="R217" t="b">
        <f t="shared" si="43"/>
        <v>1</v>
      </c>
      <c r="S217" t="s">
        <v>509</v>
      </c>
      <c r="T217" t="b">
        <f t="shared" si="38"/>
        <v>1</v>
      </c>
      <c r="U217">
        <v>19870884</v>
      </c>
      <c r="V217" t="b">
        <f t="shared" si="39"/>
        <v>1</v>
      </c>
      <c r="W217" t="s">
        <v>510</v>
      </c>
      <c r="X217" t="b">
        <f t="shared" si="40"/>
        <v>1</v>
      </c>
      <c r="Y217" t="s">
        <v>26</v>
      </c>
      <c r="Z217" t="b">
        <f t="shared" si="41"/>
        <v>1</v>
      </c>
    </row>
    <row r="218" spans="1:26" hidden="1" x14ac:dyDescent="0.25">
      <c r="A218" s="27">
        <v>215</v>
      </c>
      <c r="B218" s="27">
        <v>3786</v>
      </c>
      <c r="C218" s="28" t="s">
        <v>511</v>
      </c>
      <c r="D218" s="29">
        <v>478.8</v>
      </c>
      <c r="E218" s="30">
        <v>0.4</v>
      </c>
      <c r="F218" s="30">
        <f t="shared" si="42"/>
        <v>191.52</v>
      </c>
      <c r="G218" s="30">
        <f>133+58.2+0.32</f>
        <v>191.51999999999998</v>
      </c>
      <c r="H218" s="30">
        <f t="shared" si="36"/>
        <v>0</v>
      </c>
      <c r="I218" s="32">
        <v>941209</v>
      </c>
      <c r="J218" s="49" t="s">
        <v>512</v>
      </c>
      <c r="K218" s="31" t="s">
        <v>290</v>
      </c>
      <c r="L218" s="49" t="s">
        <v>291</v>
      </c>
      <c r="M218" s="27">
        <v>92975256</v>
      </c>
      <c r="N218" s="35">
        <v>45574</v>
      </c>
      <c r="O218" s="146">
        <v>45602</v>
      </c>
      <c r="P218" s="146"/>
      <c r="Q218">
        <v>3786</v>
      </c>
      <c r="R218" t="b">
        <f t="shared" si="43"/>
        <v>1</v>
      </c>
      <c r="S218" t="s">
        <v>511</v>
      </c>
      <c r="T218" t="b">
        <f t="shared" si="38"/>
        <v>1</v>
      </c>
      <c r="U218">
        <v>941209</v>
      </c>
      <c r="V218" t="b">
        <f t="shared" si="39"/>
        <v>1</v>
      </c>
      <c r="W218" t="s">
        <v>512</v>
      </c>
      <c r="X218" t="b">
        <f t="shared" si="40"/>
        <v>1</v>
      </c>
      <c r="Y218" t="s">
        <v>291</v>
      </c>
      <c r="Z218" t="b">
        <f t="shared" si="41"/>
        <v>1</v>
      </c>
    </row>
    <row r="219" spans="1:26" hidden="1" x14ac:dyDescent="0.25">
      <c r="A219" s="172">
        <v>216</v>
      </c>
      <c r="B219" s="172">
        <v>3787</v>
      </c>
      <c r="C219" s="173" t="s">
        <v>513</v>
      </c>
      <c r="D219" s="174">
        <v>780</v>
      </c>
      <c r="E219" s="175">
        <v>0.4</v>
      </c>
      <c r="F219" s="175">
        <f t="shared" si="42"/>
        <v>312</v>
      </c>
      <c r="G219" s="175">
        <f t="shared" ref="G219:G221" si="45">F219</f>
        <v>312</v>
      </c>
      <c r="H219" s="175">
        <f t="shared" si="36"/>
        <v>0</v>
      </c>
      <c r="I219" s="180">
        <v>813786</v>
      </c>
      <c r="J219" s="178" t="s">
        <v>514</v>
      </c>
      <c r="K219" s="177" t="s">
        <v>25</v>
      </c>
      <c r="L219" s="178" t="s">
        <v>26</v>
      </c>
      <c r="M219" s="172">
        <v>99293129</v>
      </c>
      <c r="N219" s="179"/>
      <c r="Q219">
        <v>3787</v>
      </c>
      <c r="R219" t="b">
        <f t="shared" si="43"/>
        <v>1</v>
      </c>
      <c r="S219" t="s">
        <v>513</v>
      </c>
      <c r="T219" t="b">
        <f t="shared" si="38"/>
        <v>1</v>
      </c>
      <c r="U219">
        <v>813786</v>
      </c>
      <c r="V219" t="b">
        <f t="shared" si="39"/>
        <v>1</v>
      </c>
      <c r="W219" t="s">
        <v>514</v>
      </c>
      <c r="X219" t="b">
        <f t="shared" si="40"/>
        <v>1</v>
      </c>
      <c r="Y219" t="s">
        <v>26</v>
      </c>
      <c r="Z219" t="b">
        <f t="shared" si="41"/>
        <v>1</v>
      </c>
    </row>
    <row r="220" spans="1:26" hidden="1" x14ac:dyDescent="0.25">
      <c r="A220" s="172">
        <v>217</v>
      </c>
      <c r="B220" s="172">
        <v>3789</v>
      </c>
      <c r="C220" s="173" t="s">
        <v>515</v>
      </c>
      <c r="D220" s="174">
        <v>322.10000000000002</v>
      </c>
      <c r="E220" s="175">
        <v>0.4</v>
      </c>
      <c r="F220" s="175">
        <f t="shared" si="42"/>
        <v>128.84</v>
      </c>
      <c r="G220" s="175">
        <f t="shared" si="45"/>
        <v>128.84</v>
      </c>
      <c r="H220" s="175">
        <f t="shared" si="36"/>
        <v>0</v>
      </c>
      <c r="I220" s="180">
        <v>22338686</v>
      </c>
      <c r="J220" s="178" t="s">
        <v>516</v>
      </c>
      <c r="K220" s="177" t="s">
        <v>25</v>
      </c>
      <c r="L220" s="178" t="s">
        <v>26</v>
      </c>
      <c r="M220" s="172">
        <v>92552232</v>
      </c>
      <c r="N220" s="179"/>
      <c r="Q220">
        <v>3789</v>
      </c>
      <c r="R220" t="b">
        <f t="shared" si="43"/>
        <v>1</v>
      </c>
      <c r="S220" t="s">
        <v>515</v>
      </c>
      <c r="T220" t="b">
        <f t="shared" si="38"/>
        <v>1</v>
      </c>
      <c r="U220">
        <v>22338686</v>
      </c>
      <c r="V220" t="b">
        <f t="shared" si="39"/>
        <v>1</v>
      </c>
      <c r="W220" t="s">
        <v>516</v>
      </c>
      <c r="X220" t="b">
        <f t="shared" si="40"/>
        <v>1</v>
      </c>
      <c r="Y220" t="s">
        <v>26</v>
      </c>
      <c r="Z220" t="b">
        <f t="shared" si="41"/>
        <v>1</v>
      </c>
    </row>
    <row r="221" spans="1:26" hidden="1" x14ac:dyDescent="0.25">
      <c r="A221" s="172">
        <v>218</v>
      </c>
      <c r="B221" s="172">
        <v>3791</v>
      </c>
      <c r="C221" s="173" t="s">
        <v>517</v>
      </c>
      <c r="D221" s="174">
        <v>361.2</v>
      </c>
      <c r="E221" s="175">
        <v>0.4</v>
      </c>
      <c r="F221" s="175">
        <f t="shared" si="42"/>
        <v>144.47999999999999</v>
      </c>
      <c r="G221" s="175">
        <f t="shared" si="45"/>
        <v>144.47999999999999</v>
      </c>
      <c r="H221" s="175">
        <f t="shared" si="36"/>
        <v>0</v>
      </c>
      <c r="I221" s="180">
        <v>20365611</v>
      </c>
      <c r="J221" s="178" t="s">
        <v>518</v>
      </c>
      <c r="K221" s="177" t="s">
        <v>25</v>
      </c>
      <c r="L221" s="178" t="s">
        <v>26</v>
      </c>
      <c r="M221" s="172">
        <v>9257761</v>
      </c>
      <c r="N221" s="179"/>
      <c r="Q221">
        <v>3791</v>
      </c>
      <c r="R221" t="b">
        <f t="shared" si="43"/>
        <v>1</v>
      </c>
      <c r="S221" t="s">
        <v>517</v>
      </c>
      <c r="T221" t="b">
        <f t="shared" si="38"/>
        <v>1</v>
      </c>
      <c r="U221">
        <v>20365611</v>
      </c>
      <c r="V221" t="b">
        <f t="shared" si="39"/>
        <v>1</v>
      </c>
      <c r="W221" t="s">
        <v>518</v>
      </c>
      <c r="X221" t="b">
        <f t="shared" si="40"/>
        <v>1</v>
      </c>
      <c r="Y221" t="s">
        <v>26</v>
      </c>
      <c r="Z221" t="b">
        <f t="shared" si="41"/>
        <v>1</v>
      </c>
    </row>
    <row r="222" spans="1:26" hidden="1" x14ac:dyDescent="0.25">
      <c r="A222" s="27">
        <v>219</v>
      </c>
      <c r="B222" s="27">
        <v>3792</v>
      </c>
      <c r="C222" s="74" t="s">
        <v>519</v>
      </c>
      <c r="D222" s="29">
        <v>347.6</v>
      </c>
      <c r="E222" s="30">
        <v>0.4</v>
      </c>
      <c r="F222" s="30">
        <f t="shared" si="42"/>
        <v>139.04000000000002</v>
      </c>
      <c r="G222" s="30">
        <f>125.36+13.68</f>
        <v>139.04</v>
      </c>
      <c r="H222" s="30">
        <f t="shared" si="36"/>
        <v>0</v>
      </c>
      <c r="I222" s="86">
        <v>23169608</v>
      </c>
      <c r="J222" s="77" t="s">
        <v>520</v>
      </c>
      <c r="K222" s="74" t="s">
        <v>290</v>
      </c>
      <c r="L222" s="77" t="s">
        <v>291</v>
      </c>
      <c r="M222" s="75">
        <v>93380506</v>
      </c>
      <c r="N222" s="31" t="s">
        <v>726</v>
      </c>
      <c r="O222" s="146">
        <v>45602</v>
      </c>
      <c r="P222" s="146"/>
    </row>
    <row r="223" spans="1:26" hidden="1" x14ac:dyDescent="0.25">
      <c r="A223" s="115">
        <v>220</v>
      </c>
      <c r="B223" s="115">
        <v>3793</v>
      </c>
      <c r="C223" s="116" t="s">
        <v>521</v>
      </c>
      <c r="D223" s="117">
        <v>965.4</v>
      </c>
      <c r="E223" s="118">
        <v>0.4</v>
      </c>
      <c r="F223" s="118">
        <f t="shared" si="42"/>
        <v>386.16</v>
      </c>
      <c r="G223" s="118">
        <f>F223</f>
        <v>386.16</v>
      </c>
      <c r="H223" s="118">
        <f t="shared" si="36"/>
        <v>0</v>
      </c>
      <c r="I223" s="119">
        <v>1283875</v>
      </c>
      <c r="J223" s="120" t="s">
        <v>522</v>
      </c>
      <c r="K223" s="125" t="s">
        <v>43</v>
      </c>
      <c r="L223" s="120" t="s">
        <v>44</v>
      </c>
      <c r="M223" s="115">
        <v>92348115</v>
      </c>
      <c r="N223" s="125" t="s">
        <v>727</v>
      </c>
      <c r="Q223">
        <v>3793</v>
      </c>
      <c r="R223" t="b">
        <f t="shared" si="43"/>
        <v>1</v>
      </c>
      <c r="S223" t="s">
        <v>521</v>
      </c>
      <c r="T223" t="b">
        <f t="shared" si="38"/>
        <v>1</v>
      </c>
      <c r="U223">
        <v>1283875</v>
      </c>
      <c r="V223" t="b">
        <f t="shared" si="39"/>
        <v>1</v>
      </c>
      <c r="W223" t="s">
        <v>522</v>
      </c>
      <c r="X223" t="b">
        <f t="shared" si="40"/>
        <v>1</v>
      </c>
      <c r="Y223" t="s">
        <v>44</v>
      </c>
      <c r="Z223" t="b">
        <f t="shared" si="41"/>
        <v>1</v>
      </c>
    </row>
    <row r="224" spans="1:26" hidden="1" x14ac:dyDescent="0.25">
      <c r="A224" s="27">
        <v>221</v>
      </c>
      <c r="B224" s="27">
        <v>3794</v>
      </c>
      <c r="C224" s="28" t="s">
        <v>523</v>
      </c>
      <c r="D224" s="29">
        <v>944</v>
      </c>
      <c r="E224" s="30">
        <v>0.4</v>
      </c>
      <c r="F224" s="30">
        <f t="shared" si="42"/>
        <v>377.6</v>
      </c>
      <c r="G224" s="30">
        <f>373.288+4.312</f>
        <v>377.6</v>
      </c>
      <c r="H224" s="30">
        <f t="shared" si="36"/>
        <v>0</v>
      </c>
      <c r="I224" s="32">
        <v>8222931</v>
      </c>
      <c r="J224" s="49" t="s">
        <v>524</v>
      </c>
      <c r="K224" s="48" t="s">
        <v>25</v>
      </c>
      <c r="L224" s="49" t="s">
        <v>26</v>
      </c>
      <c r="M224" s="27">
        <v>93377666</v>
      </c>
      <c r="N224" s="35">
        <v>45567</v>
      </c>
      <c r="O224" s="146">
        <v>45602</v>
      </c>
      <c r="P224" s="146"/>
      <c r="Q224">
        <v>3794</v>
      </c>
      <c r="R224" t="b">
        <f t="shared" si="43"/>
        <v>1</v>
      </c>
      <c r="S224" t="s">
        <v>523</v>
      </c>
      <c r="T224" t="b">
        <f t="shared" si="38"/>
        <v>1</v>
      </c>
      <c r="U224">
        <v>8222931</v>
      </c>
      <c r="V224" t="b">
        <f t="shared" si="39"/>
        <v>1</v>
      </c>
      <c r="W224" t="s">
        <v>524</v>
      </c>
      <c r="X224" t="b">
        <f t="shared" si="40"/>
        <v>1</v>
      </c>
      <c r="Y224" t="s">
        <v>26</v>
      </c>
      <c r="Z224" t="b">
        <f t="shared" si="41"/>
        <v>1</v>
      </c>
    </row>
    <row r="225" spans="1:26" hidden="1" x14ac:dyDescent="0.25">
      <c r="A225" s="27">
        <v>222</v>
      </c>
      <c r="B225" s="27">
        <v>3795</v>
      </c>
      <c r="C225" s="28" t="s">
        <v>525</v>
      </c>
      <c r="D225" s="29">
        <v>359.9</v>
      </c>
      <c r="E225" s="30">
        <v>0.4</v>
      </c>
      <c r="F225" s="30">
        <f t="shared" si="42"/>
        <v>143.96</v>
      </c>
      <c r="G225" s="30">
        <f>F225</f>
        <v>143.96</v>
      </c>
      <c r="H225" s="30">
        <f t="shared" si="36"/>
        <v>0</v>
      </c>
      <c r="I225" s="32">
        <v>2331658</v>
      </c>
      <c r="J225" s="49" t="s">
        <v>526</v>
      </c>
      <c r="K225" s="31" t="s">
        <v>17</v>
      </c>
      <c r="L225" s="31" t="s">
        <v>18</v>
      </c>
      <c r="M225" s="27">
        <v>91790440</v>
      </c>
      <c r="N225" s="35">
        <v>45637</v>
      </c>
      <c r="Q225">
        <v>3795</v>
      </c>
      <c r="R225" t="b">
        <f t="shared" si="43"/>
        <v>1</v>
      </c>
      <c r="S225" t="s">
        <v>525</v>
      </c>
      <c r="T225" t="b">
        <f t="shared" si="38"/>
        <v>1</v>
      </c>
      <c r="U225">
        <v>2331658</v>
      </c>
      <c r="V225" t="b">
        <f t="shared" si="39"/>
        <v>1</v>
      </c>
      <c r="W225" t="s">
        <v>526</v>
      </c>
      <c r="X225" t="b">
        <f t="shared" si="40"/>
        <v>1</v>
      </c>
      <c r="Y225" t="s">
        <v>18</v>
      </c>
      <c r="Z225" t="b">
        <f t="shared" si="41"/>
        <v>1</v>
      </c>
    </row>
    <row r="226" spans="1:26" hidden="1" x14ac:dyDescent="0.25">
      <c r="A226" s="27">
        <v>223</v>
      </c>
      <c r="B226" s="27">
        <v>3796</v>
      </c>
      <c r="C226" s="28" t="s">
        <v>527</v>
      </c>
      <c r="D226" s="29">
        <v>406.4</v>
      </c>
      <c r="E226" s="30">
        <v>0.4</v>
      </c>
      <c r="F226" s="30">
        <f t="shared" si="42"/>
        <v>162.56</v>
      </c>
      <c r="G226" s="30">
        <f>162.23+0.33</f>
        <v>162.56</v>
      </c>
      <c r="H226" s="30">
        <f t="shared" si="36"/>
        <v>0</v>
      </c>
      <c r="I226" s="32">
        <v>6455206</v>
      </c>
      <c r="J226" s="49" t="s">
        <v>528</v>
      </c>
      <c r="K226" s="48" t="s">
        <v>25</v>
      </c>
      <c r="L226" s="49" t="s">
        <v>26</v>
      </c>
      <c r="M226" s="27">
        <v>97312444</v>
      </c>
      <c r="N226" s="35">
        <v>45596</v>
      </c>
      <c r="O226" s="166">
        <v>45615</v>
      </c>
      <c r="Q226">
        <v>3796</v>
      </c>
      <c r="R226" t="b">
        <f t="shared" si="43"/>
        <v>1</v>
      </c>
      <c r="S226" t="s">
        <v>527</v>
      </c>
      <c r="T226" t="b">
        <f t="shared" si="38"/>
        <v>1</v>
      </c>
      <c r="U226">
        <v>6455206</v>
      </c>
      <c r="V226" t="b">
        <f t="shared" si="39"/>
        <v>1</v>
      </c>
      <c r="W226" t="s">
        <v>528</v>
      </c>
      <c r="X226" t="b">
        <f t="shared" si="40"/>
        <v>1</v>
      </c>
      <c r="Y226" t="s">
        <v>26</v>
      </c>
      <c r="Z226" t="b">
        <f t="shared" si="41"/>
        <v>1</v>
      </c>
    </row>
    <row r="227" spans="1:26" hidden="1" x14ac:dyDescent="0.25">
      <c r="A227" s="27">
        <v>224</v>
      </c>
      <c r="B227" s="27">
        <v>3798</v>
      </c>
      <c r="C227" s="28" t="s">
        <v>529</v>
      </c>
      <c r="D227" s="29">
        <v>380.1</v>
      </c>
      <c r="E227" s="30">
        <v>0.4</v>
      </c>
      <c r="F227" s="30">
        <f t="shared" si="42"/>
        <v>152.04000000000002</v>
      </c>
      <c r="G227" s="30">
        <f>149.75+2.29</f>
        <v>152.04</v>
      </c>
      <c r="H227" s="30">
        <f t="shared" si="36"/>
        <v>0</v>
      </c>
      <c r="I227" s="32">
        <v>6048954</v>
      </c>
      <c r="J227" s="49" t="s">
        <v>530</v>
      </c>
      <c r="K227" s="48" t="s">
        <v>25</v>
      </c>
      <c r="L227" s="49" t="s">
        <v>26</v>
      </c>
      <c r="M227" s="27">
        <v>92833445</v>
      </c>
      <c r="N227" s="35">
        <v>45582</v>
      </c>
      <c r="O227" s="146">
        <v>45602</v>
      </c>
      <c r="P227" s="146"/>
      <c r="Q227">
        <v>3798</v>
      </c>
      <c r="R227" t="b">
        <f t="shared" si="43"/>
        <v>1</v>
      </c>
      <c r="S227" t="s">
        <v>529</v>
      </c>
      <c r="T227" t="b">
        <f t="shared" si="38"/>
        <v>1</v>
      </c>
      <c r="U227">
        <v>6048954</v>
      </c>
      <c r="V227" t="b">
        <f t="shared" si="39"/>
        <v>1</v>
      </c>
      <c r="W227" t="s">
        <v>530</v>
      </c>
      <c r="X227" t="b">
        <f t="shared" si="40"/>
        <v>1</v>
      </c>
      <c r="Y227" t="s">
        <v>26</v>
      </c>
      <c r="Z227" t="b">
        <f t="shared" si="41"/>
        <v>1</v>
      </c>
    </row>
    <row r="228" spans="1:26" s="36" customFormat="1" hidden="1" x14ac:dyDescent="0.25">
      <c r="A228" s="27">
        <v>225</v>
      </c>
      <c r="B228" s="27">
        <v>3799</v>
      </c>
      <c r="C228" s="28" t="s">
        <v>531</v>
      </c>
      <c r="D228" s="29">
        <v>897.7</v>
      </c>
      <c r="E228" s="30">
        <v>0.4</v>
      </c>
      <c r="F228" s="30">
        <f t="shared" si="42"/>
        <v>359.08000000000004</v>
      </c>
      <c r="G228" s="30">
        <f>356.52+2.56</f>
        <v>359.08</v>
      </c>
      <c r="H228" s="30">
        <f t="shared" si="36"/>
        <v>0</v>
      </c>
      <c r="I228" s="32">
        <v>12494672</v>
      </c>
      <c r="J228" s="49" t="s">
        <v>532</v>
      </c>
      <c r="K228" s="31" t="s">
        <v>17</v>
      </c>
      <c r="L228" s="31" t="s">
        <v>18</v>
      </c>
      <c r="M228" s="27">
        <v>98872720</v>
      </c>
      <c r="N228" s="35">
        <v>45607</v>
      </c>
      <c r="O228" s="156">
        <v>45630</v>
      </c>
      <c r="Q228" s="36">
        <v>3799</v>
      </c>
      <c r="R228" s="36" t="b">
        <f t="shared" si="43"/>
        <v>1</v>
      </c>
      <c r="S228" s="36" t="s">
        <v>531</v>
      </c>
      <c r="T228" s="36" t="b">
        <f t="shared" si="38"/>
        <v>1</v>
      </c>
      <c r="U228" s="36">
        <v>12494672</v>
      </c>
      <c r="V228" s="36" t="b">
        <f t="shared" si="39"/>
        <v>1</v>
      </c>
      <c r="W228" s="36" t="s">
        <v>532</v>
      </c>
      <c r="X228" s="36" t="b">
        <f t="shared" si="40"/>
        <v>1</v>
      </c>
      <c r="Y228" s="36" t="s">
        <v>18</v>
      </c>
      <c r="Z228" s="36" t="b">
        <f t="shared" si="41"/>
        <v>1</v>
      </c>
    </row>
    <row r="229" spans="1:26" s="36" customFormat="1" hidden="1" x14ac:dyDescent="0.25">
      <c r="A229" s="27">
        <v>226</v>
      </c>
      <c r="B229" s="27">
        <v>3800</v>
      </c>
      <c r="C229" s="28" t="s">
        <v>534</v>
      </c>
      <c r="D229" s="29">
        <v>404.2</v>
      </c>
      <c r="E229" s="30">
        <v>0.4</v>
      </c>
      <c r="F229" s="30">
        <f t="shared" si="42"/>
        <v>161.68</v>
      </c>
      <c r="G229" s="30">
        <f>161.65+0.03</f>
        <v>161.68</v>
      </c>
      <c r="H229" s="30">
        <f t="shared" si="36"/>
        <v>0</v>
      </c>
      <c r="I229" s="32">
        <v>11566758</v>
      </c>
      <c r="J229" s="49" t="s">
        <v>535</v>
      </c>
      <c r="K229" s="48" t="s">
        <v>25</v>
      </c>
      <c r="L229" s="49" t="s">
        <v>26</v>
      </c>
      <c r="M229" s="27"/>
      <c r="N229" s="35">
        <v>45593</v>
      </c>
      <c r="O229" s="156">
        <v>45602</v>
      </c>
      <c r="P229" s="156"/>
      <c r="Q229" s="36">
        <v>3800</v>
      </c>
      <c r="R229" s="36" t="b">
        <f t="shared" si="43"/>
        <v>1</v>
      </c>
      <c r="S229" s="36" t="s">
        <v>534</v>
      </c>
      <c r="T229" s="36" t="b">
        <f t="shared" si="38"/>
        <v>1</v>
      </c>
      <c r="U229" s="36">
        <v>11566758</v>
      </c>
      <c r="V229" s="36" t="b">
        <f t="shared" si="39"/>
        <v>1</v>
      </c>
      <c r="W229" s="36" t="s">
        <v>535</v>
      </c>
      <c r="X229" s="36" t="b">
        <f t="shared" si="40"/>
        <v>1</v>
      </c>
      <c r="Y229" s="36" t="s">
        <v>26</v>
      </c>
      <c r="Z229" s="36" t="b">
        <f t="shared" si="41"/>
        <v>1</v>
      </c>
    </row>
    <row r="230" spans="1:26" hidden="1" x14ac:dyDescent="0.25">
      <c r="A230" s="27">
        <v>227</v>
      </c>
      <c r="B230" s="27">
        <v>3801</v>
      </c>
      <c r="C230" s="28" t="s">
        <v>536</v>
      </c>
      <c r="D230" s="29">
        <v>487</v>
      </c>
      <c r="E230" s="30">
        <v>0.4</v>
      </c>
      <c r="F230" s="30">
        <f t="shared" si="42"/>
        <v>194.8</v>
      </c>
      <c r="G230" s="30">
        <f>191.85+2.95</f>
        <v>194.79999999999998</v>
      </c>
      <c r="H230" s="30">
        <f t="shared" si="36"/>
        <v>0</v>
      </c>
      <c r="I230" s="32">
        <v>19559588</v>
      </c>
      <c r="J230" s="66" t="s">
        <v>537</v>
      </c>
      <c r="K230" s="48" t="s">
        <v>75</v>
      </c>
      <c r="L230" s="66" t="s">
        <v>76</v>
      </c>
      <c r="M230" s="27">
        <v>93200888</v>
      </c>
      <c r="N230" s="35">
        <v>45567</v>
      </c>
      <c r="O230" s="146">
        <v>45630</v>
      </c>
      <c r="Q230">
        <v>3801</v>
      </c>
      <c r="R230" t="b">
        <f t="shared" si="43"/>
        <v>1</v>
      </c>
      <c r="S230" t="s">
        <v>536</v>
      </c>
      <c r="T230" t="b">
        <f t="shared" si="38"/>
        <v>1</v>
      </c>
      <c r="U230">
        <v>19559588</v>
      </c>
      <c r="V230" t="b">
        <f t="shared" si="39"/>
        <v>1</v>
      </c>
      <c r="W230" t="s">
        <v>537</v>
      </c>
      <c r="X230" t="b">
        <f t="shared" si="40"/>
        <v>1</v>
      </c>
      <c r="Y230" t="s">
        <v>76</v>
      </c>
      <c r="Z230" t="b">
        <f t="shared" si="41"/>
        <v>1</v>
      </c>
    </row>
    <row r="231" spans="1:26" hidden="1" x14ac:dyDescent="0.25">
      <c r="A231" s="27">
        <v>228</v>
      </c>
      <c r="B231" s="27">
        <v>3802</v>
      </c>
      <c r="C231" s="28" t="s">
        <v>538</v>
      </c>
      <c r="D231" s="29">
        <v>476.5</v>
      </c>
      <c r="E231" s="30">
        <v>0.4</v>
      </c>
      <c r="F231" s="30">
        <f t="shared" si="42"/>
        <v>190.60000000000002</v>
      </c>
      <c r="G231" s="30">
        <f>187.11+3.49</f>
        <v>190.60000000000002</v>
      </c>
      <c r="H231" s="30">
        <f t="shared" si="36"/>
        <v>0</v>
      </c>
      <c r="I231" s="32">
        <v>1260268</v>
      </c>
      <c r="J231" s="49" t="s">
        <v>539</v>
      </c>
      <c r="K231" s="48" t="s">
        <v>25</v>
      </c>
      <c r="L231" s="49" t="s">
        <v>26</v>
      </c>
      <c r="M231" s="27">
        <v>99692231</v>
      </c>
      <c r="N231" s="35">
        <v>45596</v>
      </c>
      <c r="Q231">
        <v>3802</v>
      </c>
      <c r="R231" t="b">
        <f t="shared" si="43"/>
        <v>1</v>
      </c>
      <c r="S231" t="s">
        <v>538</v>
      </c>
      <c r="T231" t="b">
        <f t="shared" si="38"/>
        <v>1</v>
      </c>
      <c r="U231">
        <v>1260268</v>
      </c>
      <c r="V231" t="b">
        <f t="shared" si="39"/>
        <v>1</v>
      </c>
      <c r="W231" t="s">
        <v>539</v>
      </c>
      <c r="X231" t="b">
        <f t="shared" si="40"/>
        <v>1</v>
      </c>
      <c r="Y231" t="s">
        <v>26</v>
      </c>
      <c r="Z231" t="b">
        <f t="shared" si="41"/>
        <v>1</v>
      </c>
    </row>
    <row r="232" spans="1:26" hidden="1" x14ac:dyDescent="0.25">
      <c r="A232" s="172">
        <v>229</v>
      </c>
      <c r="B232" s="172">
        <v>3803</v>
      </c>
      <c r="C232" s="173" t="s">
        <v>540</v>
      </c>
      <c r="D232" s="174">
        <v>562.5</v>
      </c>
      <c r="E232" s="175">
        <v>0.4</v>
      </c>
      <c r="F232" s="175">
        <f t="shared" si="42"/>
        <v>225</v>
      </c>
      <c r="G232" s="175">
        <f t="shared" ref="G232:G233" si="46">F232</f>
        <v>225</v>
      </c>
      <c r="H232" s="175">
        <f t="shared" si="36"/>
        <v>0</v>
      </c>
      <c r="I232" s="180">
        <v>4890484</v>
      </c>
      <c r="J232" s="178" t="s">
        <v>541</v>
      </c>
      <c r="K232" s="179" t="s">
        <v>17</v>
      </c>
      <c r="L232" s="179" t="s">
        <v>18</v>
      </c>
      <c r="M232" s="172">
        <v>93231221</v>
      </c>
      <c r="N232" s="179"/>
      <c r="Q232">
        <v>3803</v>
      </c>
      <c r="R232" t="b">
        <f t="shared" si="43"/>
        <v>1</v>
      </c>
      <c r="S232" t="s">
        <v>540</v>
      </c>
      <c r="T232" t="b">
        <f t="shared" si="38"/>
        <v>1</v>
      </c>
      <c r="U232">
        <v>4890484</v>
      </c>
      <c r="V232" t="b">
        <f t="shared" si="39"/>
        <v>1</v>
      </c>
      <c r="W232" t="s">
        <v>541</v>
      </c>
      <c r="X232" t="b">
        <f t="shared" si="40"/>
        <v>1</v>
      </c>
      <c r="Y232" t="s">
        <v>18</v>
      </c>
      <c r="Z232" t="b">
        <f t="shared" si="41"/>
        <v>1</v>
      </c>
    </row>
    <row r="233" spans="1:26" hidden="1" x14ac:dyDescent="0.25">
      <c r="A233" s="172">
        <v>230</v>
      </c>
      <c r="B233" s="172">
        <v>3804</v>
      </c>
      <c r="C233" s="173" t="s">
        <v>542</v>
      </c>
      <c r="D233" s="174">
        <v>359.5</v>
      </c>
      <c r="E233" s="175">
        <v>0.4</v>
      </c>
      <c r="F233" s="175">
        <f t="shared" si="42"/>
        <v>143.80000000000001</v>
      </c>
      <c r="G233" s="175">
        <f t="shared" si="46"/>
        <v>143.80000000000001</v>
      </c>
      <c r="H233" s="175">
        <f t="shared" si="36"/>
        <v>0</v>
      </c>
      <c r="I233" s="180">
        <v>18102928</v>
      </c>
      <c r="J233" s="178" t="s">
        <v>543</v>
      </c>
      <c r="K233" s="179" t="s">
        <v>17</v>
      </c>
      <c r="L233" s="179" t="s">
        <v>18</v>
      </c>
      <c r="M233" s="172">
        <v>95933733</v>
      </c>
      <c r="N233" s="179"/>
      <c r="Q233">
        <v>3804</v>
      </c>
      <c r="R233" t="b">
        <f t="shared" si="43"/>
        <v>1</v>
      </c>
      <c r="S233" t="s">
        <v>542</v>
      </c>
      <c r="T233" t="b">
        <f t="shared" si="38"/>
        <v>1</v>
      </c>
      <c r="U233">
        <v>18102928</v>
      </c>
      <c r="V233" t="b">
        <f t="shared" si="39"/>
        <v>1</v>
      </c>
      <c r="W233" t="s">
        <v>543</v>
      </c>
      <c r="X233" t="b">
        <f t="shared" si="40"/>
        <v>1</v>
      </c>
      <c r="Y233" t="s">
        <v>18</v>
      </c>
      <c r="Z233" t="b">
        <f t="shared" si="41"/>
        <v>1</v>
      </c>
    </row>
    <row r="234" spans="1:26" hidden="1" x14ac:dyDescent="0.25">
      <c r="A234" s="27">
        <v>231</v>
      </c>
      <c r="B234" s="27">
        <v>3805</v>
      </c>
      <c r="C234" s="28" t="s">
        <v>544</v>
      </c>
      <c r="D234" s="29">
        <v>340.4</v>
      </c>
      <c r="E234" s="30">
        <v>0.4</v>
      </c>
      <c r="F234" s="30">
        <f t="shared" si="42"/>
        <v>136.16</v>
      </c>
      <c r="G234" s="30">
        <f>135.92+0.24</f>
        <v>136.16</v>
      </c>
      <c r="H234" s="30">
        <f t="shared" si="36"/>
        <v>0</v>
      </c>
      <c r="I234" s="65">
        <v>18675553</v>
      </c>
      <c r="J234" s="66" t="s">
        <v>545</v>
      </c>
      <c r="K234" s="51" t="s">
        <v>75</v>
      </c>
      <c r="L234" s="31" t="s">
        <v>76</v>
      </c>
      <c r="M234" s="27">
        <v>77588303</v>
      </c>
      <c r="N234" s="35">
        <v>45567</v>
      </c>
      <c r="O234" s="146">
        <v>45602</v>
      </c>
      <c r="P234" s="146"/>
      <c r="Q234">
        <v>3805</v>
      </c>
      <c r="R234" t="b">
        <f t="shared" si="43"/>
        <v>1</v>
      </c>
      <c r="S234" t="s">
        <v>544</v>
      </c>
      <c r="T234" t="b">
        <f t="shared" si="38"/>
        <v>1</v>
      </c>
      <c r="U234">
        <v>18675553</v>
      </c>
      <c r="V234" t="b">
        <f t="shared" si="39"/>
        <v>1</v>
      </c>
      <c r="W234" t="s">
        <v>545</v>
      </c>
      <c r="X234" t="b">
        <f t="shared" si="40"/>
        <v>1</v>
      </c>
      <c r="Y234" t="s">
        <v>76</v>
      </c>
      <c r="Z234" t="b">
        <f t="shared" si="41"/>
        <v>1</v>
      </c>
    </row>
    <row r="235" spans="1:26" hidden="1" x14ac:dyDescent="0.25">
      <c r="A235" s="27">
        <v>232</v>
      </c>
      <c r="B235" s="27">
        <v>3807</v>
      </c>
      <c r="C235" s="28" t="s">
        <v>546</v>
      </c>
      <c r="D235" s="29">
        <v>282.5</v>
      </c>
      <c r="E235" s="30">
        <v>0.4</v>
      </c>
      <c r="F235" s="30">
        <f t="shared" si="42"/>
        <v>113</v>
      </c>
      <c r="G235" s="30">
        <f>110.68+2.32</f>
        <v>113</v>
      </c>
      <c r="H235" s="30">
        <f t="shared" si="36"/>
        <v>0</v>
      </c>
      <c r="I235" s="32">
        <v>2110484</v>
      </c>
      <c r="J235" s="49" t="s">
        <v>547</v>
      </c>
      <c r="K235" s="31" t="s">
        <v>17</v>
      </c>
      <c r="L235" s="31" t="s">
        <v>18</v>
      </c>
      <c r="M235" s="27">
        <v>95918256</v>
      </c>
      <c r="N235" s="35">
        <v>45574</v>
      </c>
      <c r="O235" s="146">
        <v>45607</v>
      </c>
      <c r="Q235">
        <v>3807</v>
      </c>
      <c r="R235" t="b">
        <f t="shared" si="43"/>
        <v>1</v>
      </c>
      <c r="S235" t="s">
        <v>546</v>
      </c>
      <c r="T235" t="b">
        <f t="shared" si="38"/>
        <v>1</v>
      </c>
      <c r="U235">
        <v>2110484</v>
      </c>
      <c r="V235" t="b">
        <f t="shared" si="39"/>
        <v>1</v>
      </c>
      <c r="W235" t="s">
        <v>547</v>
      </c>
      <c r="X235" t="b">
        <f t="shared" si="40"/>
        <v>1</v>
      </c>
      <c r="Y235" t="s">
        <v>18</v>
      </c>
      <c r="Z235" t="b">
        <f t="shared" si="41"/>
        <v>1</v>
      </c>
    </row>
    <row r="236" spans="1:26" hidden="1" x14ac:dyDescent="0.25">
      <c r="A236" s="27">
        <v>233</v>
      </c>
      <c r="B236" s="27">
        <v>3808</v>
      </c>
      <c r="C236" s="28" t="s">
        <v>548</v>
      </c>
      <c r="D236" s="29">
        <v>739.1</v>
      </c>
      <c r="E236" s="30">
        <v>0.4</v>
      </c>
      <c r="F236" s="30">
        <f t="shared" si="42"/>
        <v>295.64000000000004</v>
      </c>
      <c r="G236" s="30">
        <f>291.89+3.75</f>
        <v>295.64</v>
      </c>
      <c r="H236" s="30">
        <f t="shared" si="36"/>
        <v>0</v>
      </c>
      <c r="I236" s="32">
        <v>1366005</v>
      </c>
      <c r="J236" s="49" t="s">
        <v>549</v>
      </c>
      <c r="K236" s="31" t="s">
        <v>17</v>
      </c>
      <c r="L236" s="31" t="s">
        <v>18</v>
      </c>
      <c r="M236" s="27">
        <v>99589981</v>
      </c>
      <c r="N236" s="35">
        <v>45574</v>
      </c>
      <c r="O236" s="146">
        <v>45602</v>
      </c>
      <c r="P236" s="146"/>
      <c r="Q236">
        <v>3808</v>
      </c>
      <c r="R236" t="b">
        <f t="shared" si="43"/>
        <v>1</v>
      </c>
      <c r="S236" t="s">
        <v>548</v>
      </c>
      <c r="T236" t="b">
        <f t="shared" si="38"/>
        <v>1</v>
      </c>
      <c r="U236">
        <v>1366005</v>
      </c>
      <c r="V236" t="b">
        <f t="shared" si="39"/>
        <v>1</v>
      </c>
      <c r="W236" t="s">
        <v>549</v>
      </c>
      <c r="X236" t="b">
        <f t="shared" si="40"/>
        <v>1</v>
      </c>
      <c r="Y236" t="s">
        <v>18</v>
      </c>
      <c r="Z236" t="b">
        <f t="shared" si="41"/>
        <v>1</v>
      </c>
    </row>
    <row r="237" spans="1:26" hidden="1" x14ac:dyDescent="0.25">
      <c r="A237" s="27">
        <v>234</v>
      </c>
      <c r="B237" s="27">
        <v>3809</v>
      </c>
      <c r="C237" s="28" t="s">
        <v>550</v>
      </c>
      <c r="D237" s="29">
        <v>781.4</v>
      </c>
      <c r="E237" s="30">
        <v>0.4</v>
      </c>
      <c r="F237" s="30">
        <f t="shared" si="42"/>
        <v>312.56</v>
      </c>
      <c r="G237" s="30">
        <f>57.78+252.2+2.58</f>
        <v>312.56</v>
      </c>
      <c r="H237" s="30">
        <f t="shared" si="36"/>
        <v>0</v>
      </c>
      <c r="I237" s="32">
        <v>10913998</v>
      </c>
      <c r="J237" s="49" t="s">
        <v>551</v>
      </c>
      <c r="K237" s="48" t="s">
        <v>25</v>
      </c>
      <c r="L237" s="49" t="s">
        <v>26</v>
      </c>
      <c r="M237" s="27">
        <v>99080863</v>
      </c>
      <c r="N237" s="35">
        <v>45567</v>
      </c>
      <c r="O237" s="146">
        <v>45602</v>
      </c>
      <c r="P237" s="146">
        <v>45628</v>
      </c>
      <c r="Q237">
        <v>3809</v>
      </c>
      <c r="R237" t="b">
        <f t="shared" si="43"/>
        <v>1</v>
      </c>
      <c r="S237" t="s">
        <v>550</v>
      </c>
      <c r="T237" t="b">
        <f t="shared" si="38"/>
        <v>1</v>
      </c>
      <c r="U237">
        <v>10913998</v>
      </c>
      <c r="V237" t="b">
        <f t="shared" si="39"/>
        <v>1</v>
      </c>
      <c r="W237" t="s">
        <v>551</v>
      </c>
      <c r="X237" t="b">
        <f t="shared" si="40"/>
        <v>1</v>
      </c>
      <c r="Y237" t="s">
        <v>26</v>
      </c>
      <c r="Z237" t="b">
        <f t="shared" si="41"/>
        <v>1</v>
      </c>
    </row>
    <row r="238" spans="1:26" hidden="1" x14ac:dyDescent="0.25">
      <c r="A238" s="172">
        <v>235</v>
      </c>
      <c r="B238" s="172">
        <v>3810</v>
      </c>
      <c r="C238" s="191" t="s">
        <v>553</v>
      </c>
      <c r="D238" s="174">
        <v>266.39999999999998</v>
      </c>
      <c r="E238" s="175">
        <v>0.4</v>
      </c>
      <c r="F238" s="175">
        <f t="shared" si="42"/>
        <v>106.56</v>
      </c>
      <c r="G238" s="175">
        <f>F238</f>
        <v>106.56</v>
      </c>
      <c r="H238" s="175">
        <f t="shared" si="36"/>
        <v>0</v>
      </c>
      <c r="I238" s="204">
        <v>9442232</v>
      </c>
      <c r="J238" s="194" t="s">
        <v>554</v>
      </c>
      <c r="K238" s="182" t="s">
        <v>25</v>
      </c>
      <c r="L238" s="205" t="s">
        <v>26</v>
      </c>
      <c r="M238" s="192">
        <v>98255338</v>
      </c>
      <c r="N238" s="179"/>
    </row>
    <row r="239" spans="1:26" hidden="1" x14ac:dyDescent="0.25">
      <c r="A239" s="27">
        <v>236</v>
      </c>
      <c r="B239" s="27">
        <v>3811</v>
      </c>
      <c r="C239" s="28" t="s">
        <v>555</v>
      </c>
      <c r="D239" s="29">
        <v>268.5</v>
      </c>
      <c r="E239" s="30">
        <v>0.4</v>
      </c>
      <c r="F239" s="30">
        <f t="shared" si="42"/>
        <v>107.4</v>
      </c>
      <c r="G239" s="30">
        <f>104.26+3.14</f>
        <v>107.4</v>
      </c>
      <c r="H239" s="30">
        <f t="shared" si="36"/>
        <v>0</v>
      </c>
      <c r="I239" s="32">
        <v>6865286</v>
      </c>
      <c r="J239" s="49" t="s">
        <v>556</v>
      </c>
      <c r="K239" s="51" t="s">
        <v>75</v>
      </c>
      <c r="L239" s="31" t="s">
        <v>76</v>
      </c>
      <c r="M239" s="27">
        <v>92441715</v>
      </c>
      <c r="N239" s="35">
        <v>45574</v>
      </c>
      <c r="O239" s="146">
        <v>45602</v>
      </c>
      <c r="P239" s="146"/>
      <c r="Q239">
        <v>3811</v>
      </c>
      <c r="R239" t="b">
        <f t="shared" si="43"/>
        <v>1</v>
      </c>
      <c r="S239" t="s">
        <v>555</v>
      </c>
      <c r="T239" t="b">
        <f t="shared" si="38"/>
        <v>1</v>
      </c>
      <c r="U239">
        <v>6865286</v>
      </c>
      <c r="V239" t="b">
        <f t="shared" si="39"/>
        <v>1</v>
      </c>
      <c r="W239" t="s">
        <v>556</v>
      </c>
      <c r="X239" t="b">
        <f t="shared" si="40"/>
        <v>1</v>
      </c>
      <c r="Y239" t="s">
        <v>76</v>
      </c>
      <c r="Z239" t="b">
        <f t="shared" si="41"/>
        <v>1</v>
      </c>
    </row>
    <row r="240" spans="1:26" hidden="1" x14ac:dyDescent="0.25">
      <c r="A240" s="115">
        <v>237</v>
      </c>
      <c r="B240" s="115">
        <v>3812</v>
      </c>
      <c r="C240" s="116" t="s">
        <v>557</v>
      </c>
      <c r="D240" s="117">
        <v>462.9</v>
      </c>
      <c r="E240" s="118">
        <v>0.4</v>
      </c>
      <c r="F240" s="118">
        <f t="shared" si="42"/>
        <v>185.16</v>
      </c>
      <c r="G240" s="118">
        <f>F240</f>
        <v>185.16</v>
      </c>
      <c r="H240" s="118">
        <f t="shared" si="36"/>
        <v>0</v>
      </c>
      <c r="I240" s="119">
        <v>2441718</v>
      </c>
      <c r="J240" s="120" t="s">
        <v>558</v>
      </c>
      <c r="K240" s="121" t="s">
        <v>25</v>
      </c>
      <c r="L240" s="120" t="s">
        <v>26</v>
      </c>
      <c r="M240" s="115"/>
      <c r="N240" s="125" t="s">
        <v>779</v>
      </c>
      <c r="Q240">
        <v>3812</v>
      </c>
      <c r="R240" t="b">
        <f t="shared" si="43"/>
        <v>1</v>
      </c>
      <c r="S240" t="s">
        <v>557</v>
      </c>
      <c r="T240" t="b">
        <f t="shared" si="38"/>
        <v>1</v>
      </c>
      <c r="U240">
        <v>2441718</v>
      </c>
      <c r="V240" t="b">
        <f t="shared" si="39"/>
        <v>1</v>
      </c>
      <c r="W240" t="s">
        <v>558</v>
      </c>
      <c r="X240" t="b">
        <f t="shared" si="40"/>
        <v>1</v>
      </c>
      <c r="Y240" t="s">
        <v>26</v>
      </c>
      <c r="Z240" t="b">
        <f t="shared" si="41"/>
        <v>1</v>
      </c>
    </row>
    <row r="241" spans="1:26" hidden="1" x14ac:dyDescent="0.25">
      <c r="A241" s="172">
        <v>238</v>
      </c>
      <c r="B241" s="172">
        <v>3813</v>
      </c>
      <c r="C241" s="173" t="s">
        <v>559</v>
      </c>
      <c r="D241" s="174">
        <v>184.6</v>
      </c>
      <c r="E241" s="175">
        <v>0.4</v>
      </c>
      <c r="F241" s="175">
        <f t="shared" si="42"/>
        <v>73.84</v>
      </c>
      <c r="G241" s="175">
        <f>F241</f>
        <v>73.84</v>
      </c>
      <c r="H241" s="175">
        <f t="shared" si="36"/>
        <v>0</v>
      </c>
      <c r="I241" s="180">
        <v>18842378</v>
      </c>
      <c r="J241" s="178" t="s">
        <v>560</v>
      </c>
      <c r="K241" s="177" t="s">
        <v>25</v>
      </c>
      <c r="L241" s="178" t="s">
        <v>26</v>
      </c>
      <c r="M241" s="172">
        <v>91102135</v>
      </c>
      <c r="N241" s="179"/>
      <c r="Q241">
        <v>3813</v>
      </c>
      <c r="R241" t="b">
        <f t="shared" si="43"/>
        <v>1</v>
      </c>
      <c r="S241" t="s">
        <v>559</v>
      </c>
      <c r="T241" t="b">
        <f t="shared" si="38"/>
        <v>1</v>
      </c>
      <c r="U241">
        <v>18842378</v>
      </c>
      <c r="V241" t="b">
        <f t="shared" si="39"/>
        <v>1</v>
      </c>
      <c r="W241" t="s">
        <v>560</v>
      </c>
      <c r="X241" t="b">
        <f t="shared" si="40"/>
        <v>1</v>
      </c>
      <c r="Y241" t="s">
        <v>26</v>
      </c>
      <c r="Z241" t="b">
        <f t="shared" si="41"/>
        <v>1</v>
      </c>
    </row>
    <row r="242" spans="1:26" hidden="1" x14ac:dyDescent="0.25">
      <c r="A242" s="115">
        <v>239</v>
      </c>
      <c r="B242" s="115">
        <v>3814</v>
      </c>
      <c r="C242" s="116" t="s">
        <v>561</v>
      </c>
      <c r="D242" s="117">
        <v>390.9</v>
      </c>
      <c r="E242" s="118">
        <v>0.4</v>
      </c>
      <c r="F242" s="118">
        <f t="shared" si="42"/>
        <v>156.36000000000001</v>
      </c>
      <c r="G242" s="118">
        <f>51.05+104.3+1.01</f>
        <v>156.35999999999999</v>
      </c>
      <c r="H242" s="118">
        <f t="shared" si="36"/>
        <v>0</v>
      </c>
      <c r="I242" s="137">
        <v>6998672</v>
      </c>
      <c r="J242" s="120" t="s">
        <v>562</v>
      </c>
      <c r="K242" s="138" t="s">
        <v>25</v>
      </c>
      <c r="L242" s="139" t="s">
        <v>26</v>
      </c>
      <c r="M242" s="115">
        <v>94051423</v>
      </c>
      <c r="N242" s="125" t="s">
        <v>728</v>
      </c>
      <c r="O242" s="146">
        <v>45587</v>
      </c>
      <c r="P242" s="146">
        <v>45609</v>
      </c>
      <c r="Q242">
        <v>3814</v>
      </c>
      <c r="R242" t="b">
        <f t="shared" si="43"/>
        <v>1</v>
      </c>
      <c r="S242" t="s">
        <v>561</v>
      </c>
      <c r="T242" t="b">
        <f t="shared" si="38"/>
        <v>1</v>
      </c>
      <c r="U242">
        <v>6998672</v>
      </c>
      <c r="V242" t="b">
        <f t="shared" si="39"/>
        <v>1</v>
      </c>
      <c r="W242" t="s">
        <v>562</v>
      </c>
      <c r="X242" t="b">
        <f t="shared" si="40"/>
        <v>1</v>
      </c>
      <c r="Y242" t="s">
        <v>26</v>
      </c>
      <c r="Z242" t="b">
        <f t="shared" si="41"/>
        <v>1</v>
      </c>
    </row>
    <row r="243" spans="1:26" s="36" customFormat="1" hidden="1" x14ac:dyDescent="0.25">
      <c r="A243" s="27">
        <v>240</v>
      </c>
      <c r="B243" s="27">
        <v>3815</v>
      </c>
      <c r="C243" s="28" t="s">
        <v>563</v>
      </c>
      <c r="D243" s="29">
        <v>465.6</v>
      </c>
      <c r="E243" s="30">
        <v>0.4</v>
      </c>
      <c r="F243" s="30">
        <f t="shared" si="42"/>
        <v>186.24</v>
      </c>
      <c r="G243" s="30">
        <f>160.05+26.19</f>
        <v>186.24</v>
      </c>
      <c r="H243" s="30">
        <f t="shared" si="36"/>
        <v>0</v>
      </c>
      <c r="I243" s="65">
        <v>24909353</v>
      </c>
      <c r="J243" s="66" t="s">
        <v>564</v>
      </c>
      <c r="K243" s="48" t="s">
        <v>25</v>
      </c>
      <c r="L243" s="49" t="s">
        <v>26</v>
      </c>
      <c r="M243" s="27">
        <v>97797883</v>
      </c>
      <c r="N243" s="35">
        <v>45628</v>
      </c>
      <c r="Q243" s="36">
        <v>3815</v>
      </c>
      <c r="R243" s="36" t="b">
        <f t="shared" si="43"/>
        <v>1</v>
      </c>
      <c r="S243" s="36" t="s">
        <v>563</v>
      </c>
      <c r="T243" s="36" t="b">
        <f t="shared" si="38"/>
        <v>1</v>
      </c>
      <c r="U243" s="36">
        <v>24909353</v>
      </c>
      <c r="V243" s="36" t="b">
        <f t="shared" si="39"/>
        <v>1</v>
      </c>
      <c r="W243" s="36" t="s">
        <v>564</v>
      </c>
      <c r="X243" s="36" t="b">
        <f t="shared" si="40"/>
        <v>1</v>
      </c>
      <c r="Y243" s="36" t="s">
        <v>26</v>
      </c>
      <c r="Z243" s="36" t="b">
        <f t="shared" si="41"/>
        <v>1</v>
      </c>
    </row>
    <row r="244" spans="1:26" hidden="1" x14ac:dyDescent="0.25">
      <c r="A244" s="27">
        <v>241</v>
      </c>
      <c r="B244" s="27">
        <v>3816</v>
      </c>
      <c r="C244" s="28" t="s">
        <v>565</v>
      </c>
      <c r="D244" s="29">
        <v>430.8</v>
      </c>
      <c r="E244" s="30">
        <v>0.4</v>
      </c>
      <c r="F244" s="30">
        <f t="shared" si="42"/>
        <v>172.32000000000002</v>
      </c>
      <c r="G244" s="30">
        <f>167.95+4.37</f>
        <v>172.32</v>
      </c>
      <c r="H244" s="30">
        <f t="shared" si="36"/>
        <v>0</v>
      </c>
      <c r="I244" s="32">
        <v>27389488</v>
      </c>
      <c r="J244" s="49" t="s">
        <v>566</v>
      </c>
      <c r="K244" s="48" t="s">
        <v>25</v>
      </c>
      <c r="L244" s="49" t="s">
        <v>26</v>
      </c>
      <c r="M244" s="27"/>
      <c r="N244" s="35">
        <v>45574</v>
      </c>
      <c r="O244" s="146">
        <v>45602</v>
      </c>
      <c r="P244" s="146"/>
      <c r="Q244">
        <v>3816</v>
      </c>
      <c r="R244" t="b">
        <f t="shared" si="43"/>
        <v>1</v>
      </c>
      <c r="S244" t="s">
        <v>565</v>
      </c>
      <c r="T244" t="b">
        <f t="shared" si="38"/>
        <v>1</v>
      </c>
      <c r="U244">
        <v>27389488</v>
      </c>
      <c r="V244" t="b">
        <f t="shared" si="39"/>
        <v>1</v>
      </c>
      <c r="W244" t="s">
        <v>566</v>
      </c>
      <c r="X244" t="b">
        <f t="shared" si="40"/>
        <v>1</v>
      </c>
      <c r="Y244" t="s">
        <v>26</v>
      </c>
      <c r="Z244" t="b">
        <f t="shared" si="41"/>
        <v>1</v>
      </c>
    </row>
    <row r="245" spans="1:26" hidden="1" x14ac:dyDescent="0.25">
      <c r="A245" s="172">
        <v>242</v>
      </c>
      <c r="B245" s="172">
        <v>3817</v>
      </c>
      <c r="C245" s="173" t="s">
        <v>567</v>
      </c>
      <c r="D245" s="174">
        <v>557.6</v>
      </c>
      <c r="E245" s="175">
        <v>0.4</v>
      </c>
      <c r="F245" s="175">
        <f t="shared" si="42"/>
        <v>223.04000000000002</v>
      </c>
      <c r="G245" s="175">
        <f>F245</f>
        <v>223.04000000000002</v>
      </c>
      <c r="H245" s="175">
        <f t="shared" si="36"/>
        <v>0</v>
      </c>
      <c r="I245" s="180">
        <v>7851322</v>
      </c>
      <c r="J245" s="178" t="s">
        <v>568</v>
      </c>
      <c r="K245" s="177" t="s">
        <v>25</v>
      </c>
      <c r="L245" s="178" t="s">
        <v>26</v>
      </c>
      <c r="M245" s="172">
        <v>96288881</v>
      </c>
      <c r="N245" s="179"/>
      <c r="Q245">
        <v>3817</v>
      </c>
      <c r="R245" t="b">
        <f t="shared" si="43"/>
        <v>1</v>
      </c>
      <c r="S245" t="s">
        <v>567</v>
      </c>
      <c r="T245" t="b">
        <f t="shared" si="38"/>
        <v>1</v>
      </c>
      <c r="U245">
        <v>7851322</v>
      </c>
      <c r="V245" t="b">
        <f t="shared" si="39"/>
        <v>1</v>
      </c>
      <c r="W245" t="s">
        <v>568</v>
      </c>
      <c r="X245" t="b">
        <f t="shared" si="40"/>
        <v>1</v>
      </c>
      <c r="Y245" t="s">
        <v>26</v>
      </c>
      <c r="Z245" t="b">
        <f t="shared" si="41"/>
        <v>1</v>
      </c>
    </row>
    <row r="246" spans="1:26" hidden="1" x14ac:dyDescent="0.25">
      <c r="A246" s="172">
        <v>243</v>
      </c>
      <c r="B246" s="172">
        <v>3818</v>
      </c>
      <c r="C246" s="173" t="s">
        <v>569</v>
      </c>
      <c r="D246" s="174">
        <v>937.4</v>
      </c>
      <c r="E246" s="175">
        <v>0.4</v>
      </c>
      <c r="F246" s="175">
        <f t="shared" si="42"/>
        <v>374.96000000000004</v>
      </c>
      <c r="G246" s="175">
        <f>F246</f>
        <v>374.96000000000004</v>
      </c>
      <c r="H246" s="175">
        <f t="shared" si="36"/>
        <v>0</v>
      </c>
      <c r="I246" s="180">
        <v>2520858</v>
      </c>
      <c r="J246" s="178" t="s">
        <v>570</v>
      </c>
      <c r="K246" s="177" t="s">
        <v>25</v>
      </c>
      <c r="L246" s="178" t="s">
        <v>26</v>
      </c>
      <c r="M246" s="172">
        <v>99699976</v>
      </c>
      <c r="N246" s="179"/>
      <c r="Q246">
        <v>3818</v>
      </c>
      <c r="R246" t="b">
        <f t="shared" si="43"/>
        <v>1</v>
      </c>
      <c r="S246" t="s">
        <v>569</v>
      </c>
      <c r="T246" t="b">
        <f t="shared" si="38"/>
        <v>1</v>
      </c>
      <c r="U246">
        <v>2520858</v>
      </c>
      <c r="V246" t="b">
        <f t="shared" si="39"/>
        <v>1</v>
      </c>
      <c r="W246" t="s">
        <v>570</v>
      </c>
      <c r="X246" t="b">
        <f t="shared" si="40"/>
        <v>1</v>
      </c>
      <c r="Y246" t="s">
        <v>26</v>
      </c>
      <c r="Z246" t="b">
        <f t="shared" si="41"/>
        <v>1</v>
      </c>
    </row>
    <row r="247" spans="1:26" s="144" customFormat="1" hidden="1" x14ac:dyDescent="0.25">
      <c r="A247" s="54">
        <v>244</v>
      </c>
      <c r="B247" s="54">
        <v>3819</v>
      </c>
      <c r="C247" s="55" t="s">
        <v>571</v>
      </c>
      <c r="D247" s="56">
        <v>1056.7</v>
      </c>
      <c r="E247" s="57">
        <v>0.4</v>
      </c>
      <c r="F247" s="57">
        <f t="shared" si="42"/>
        <v>422.68000000000006</v>
      </c>
      <c r="G247" s="57">
        <f>F247</f>
        <v>422.68000000000006</v>
      </c>
      <c r="H247" s="57">
        <f t="shared" si="36"/>
        <v>0</v>
      </c>
      <c r="I247" s="84">
        <v>3952839</v>
      </c>
      <c r="J247" s="60" t="s">
        <v>572</v>
      </c>
      <c r="K247" s="61" t="s">
        <v>17</v>
      </c>
      <c r="L247" s="61" t="s">
        <v>18</v>
      </c>
      <c r="M247" s="54">
        <v>98856929</v>
      </c>
      <c r="N247" s="61" t="s">
        <v>161</v>
      </c>
      <c r="Q247" s="144">
        <v>3819</v>
      </c>
      <c r="R247" s="144" t="b">
        <f t="shared" si="43"/>
        <v>1</v>
      </c>
      <c r="S247" s="144" t="s">
        <v>571</v>
      </c>
      <c r="T247" s="144" t="b">
        <f t="shared" si="38"/>
        <v>1</v>
      </c>
      <c r="U247" s="144">
        <v>3952839</v>
      </c>
      <c r="V247" s="144" t="b">
        <f t="shared" si="39"/>
        <v>1</v>
      </c>
      <c r="W247" s="144" t="s">
        <v>572</v>
      </c>
      <c r="X247" s="144" t="b">
        <f t="shared" si="40"/>
        <v>1</v>
      </c>
      <c r="Y247" s="144" t="s">
        <v>18</v>
      </c>
      <c r="Z247" s="144" t="b">
        <f t="shared" si="41"/>
        <v>1</v>
      </c>
    </row>
    <row r="248" spans="1:26" s="36" customFormat="1" hidden="1" x14ac:dyDescent="0.25">
      <c r="A248" s="22">
        <v>245</v>
      </c>
      <c r="B248" s="22">
        <v>3820</v>
      </c>
      <c r="C248" s="23" t="s">
        <v>573</v>
      </c>
      <c r="D248" s="24">
        <v>340.2</v>
      </c>
      <c r="E248" s="25">
        <v>0.4</v>
      </c>
      <c r="F248" s="30">
        <f t="shared" si="42"/>
        <v>136.08000000000001</v>
      </c>
      <c r="G248" s="30">
        <f>16.17+116.4+3.51</f>
        <v>136.07999999999998</v>
      </c>
      <c r="H248" s="30">
        <f t="shared" si="36"/>
        <v>0</v>
      </c>
      <c r="I248" s="34">
        <v>20898806</v>
      </c>
      <c r="J248" s="214" t="s">
        <v>574</v>
      </c>
      <c r="K248" s="215" t="s">
        <v>25</v>
      </c>
      <c r="L248" s="214" t="s">
        <v>26</v>
      </c>
      <c r="M248" s="22">
        <v>95855255</v>
      </c>
      <c r="N248" s="143">
        <v>45593</v>
      </c>
      <c r="O248" s="156">
        <v>45628</v>
      </c>
      <c r="P248" s="156">
        <v>45658</v>
      </c>
      <c r="Q248" s="36">
        <v>3820</v>
      </c>
      <c r="R248" s="36" t="b">
        <f t="shared" si="43"/>
        <v>1</v>
      </c>
      <c r="S248" s="36" t="s">
        <v>573</v>
      </c>
      <c r="T248" s="36" t="b">
        <f t="shared" si="38"/>
        <v>1</v>
      </c>
      <c r="U248" s="36">
        <v>20898806</v>
      </c>
      <c r="V248" s="36" t="b">
        <f t="shared" si="39"/>
        <v>1</v>
      </c>
      <c r="W248" s="36" t="s">
        <v>574</v>
      </c>
      <c r="X248" s="36" t="b">
        <f t="shared" si="40"/>
        <v>1</v>
      </c>
      <c r="Y248" s="36" t="s">
        <v>26</v>
      </c>
      <c r="Z248" s="36" t="b">
        <f t="shared" si="41"/>
        <v>1</v>
      </c>
    </row>
    <row r="249" spans="1:26" s="36" customFormat="1" hidden="1" x14ac:dyDescent="0.25">
      <c r="A249" s="27">
        <v>246</v>
      </c>
      <c r="B249" s="27">
        <v>3821</v>
      </c>
      <c r="C249" s="28" t="s">
        <v>575</v>
      </c>
      <c r="D249" s="29">
        <v>290.7</v>
      </c>
      <c r="E249" s="30">
        <v>0.4</v>
      </c>
      <c r="F249" s="30">
        <f t="shared" si="42"/>
        <v>116.28</v>
      </c>
      <c r="G249" s="30">
        <f>114.68+1.6</f>
        <v>116.28</v>
      </c>
      <c r="H249" s="30">
        <f t="shared" si="36"/>
        <v>0</v>
      </c>
      <c r="I249" s="32">
        <v>5773746</v>
      </c>
      <c r="J249" s="49" t="s">
        <v>576</v>
      </c>
      <c r="K249" s="31" t="s">
        <v>210</v>
      </c>
      <c r="L249" s="51" t="s">
        <v>211</v>
      </c>
      <c r="M249" s="27">
        <v>96780867</v>
      </c>
      <c r="N249" s="35">
        <v>45587</v>
      </c>
      <c r="O249" s="156">
        <v>45615</v>
      </c>
      <c r="Q249" s="36">
        <v>3821</v>
      </c>
      <c r="R249" s="36" t="b">
        <f t="shared" si="43"/>
        <v>1</v>
      </c>
      <c r="S249" s="36" t="s">
        <v>575</v>
      </c>
      <c r="T249" s="36" t="b">
        <f t="shared" si="38"/>
        <v>1</v>
      </c>
      <c r="U249" s="36">
        <v>5773746</v>
      </c>
      <c r="V249" s="36" t="b">
        <f t="shared" si="39"/>
        <v>1</v>
      </c>
      <c r="W249" s="36" t="s">
        <v>576</v>
      </c>
      <c r="X249" s="36" t="b">
        <f t="shared" si="40"/>
        <v>1</v>
      </c>
      <c r="Y249" s="36" t="s">
        <v>211</v>
      </c>
      <c r="Z249" s="36" t="b">
        <f t="shared" si="41"/>
        <v>1</v>
      </c>
    </row>
    <row r="250" spans="1:26" s="36" customFormat="1" hidden="1" x14ac:dyDescent="0.25">
      <c r="A250" s="27">
        <v>247</v>
      </c>
      <c r="B250" s="27">
        <v>3822</v>
      </c>
      <c r="C250" s="28" t="s">
        <v>577</v>
      </c>
      <c r="D250" s="29">
        <v>1425.1</v>
      </c>
      <c r="E250" s="30">
        <v>0.4</v>
      </c>
      <c r="F250" s="30">
        <f t="shared" si="42"/>
        <v>570.04</v>
      </c>
      <c r="G250" s="30">
        <f>390+180.04</f>
        <v>570.04</v>
      </c>
      <c r="H250" s="30">
        <f t="shared" si="36"/>
        <v>0</v>
      </c>
      <c r="I250" s="32">
        <v>1522824</v>
      </c>
      <c r="J250" s="49" t="s">
        <v>578</v>
      </c>
      <c r="K250" s="31" t="s">
        <v>43</v>
      </c>
      <c r="L250" s="49" t="s">
        <v>44</v>
      </c>
      <c r="M250" s="27">
        <v>92733857</v>
      </c>
      <c r="N250" s="35">
        <v>45578</v>
      </c>
      <c r="O250" s="36" t="s">
        <v>780</v>
      </c>
      <c r="Q250" s="36">
        <v>3822</v>
      </c>
      <c r="R250" s="36" t="b">
        <f t="shared" si="43"/>
        <v>1</v>
      </c>
      <c r="S250" s="36" t="s">
        <v>577</v>
      </c>
      <c r="T250" s="36" t="b">
        <f t="shared" si="38"/>
        <v>1</v>
      </c>
      <c r="U250" s="36">
        <v>1522824</v>
      </c>
      <c r="V250" s="36" t="b">
        <f t="shared" si="39"/>
        <v>1</v>
      </c>
      <c r="W250" s="36" t="s">
        <v>578</v>
      </c>
      <c r="X250" s="36" t="b">
        <f t="shared" si="40"/>
        <v>1</v>
      </c>
      <c r="Y250" s="36" t="s">
        <v>44</v>
      </c>
      <c r="Z250" s="36" t="b">
        <f t="shared" si="41"/>
        <v>1</v>
      </c>
    </row>
    <row r="251" spans="1:26" hidden="1" x14ac:dyDescent="0.25">
      <c r="A251" s="27">
        <v>248</v>
      </c>
      <c r="B251" s="27">
        <v>3823</v>
      </c>
      <c r="C251" s="28" t="s">
        <v>579</v>
      </c>
      <c r="D251" s="29">
        <v>385.1</v>
      </c>
      <c r="E251" s="30">
        <v>0.4</v>
      </c>
      <c r="F251" s="30">
        <f t="shared" si="42"/>
        <v>154.04000000000002</v>
      </c>
      <c r="G251" s="30">
        <f>F251</f>
        <v>154.04000000000002</v>
      </c>
      <c r="H251" s="30">
        <f t="shared" si="36"/>
        <v>0</v>
      </c>
      <c r="I251" s="32">
        <v>865789</v>
      </c>
      <c r="J251" s="49" t="s">
        <v>580</v>
      </c>
      <c r="K251" s="48" t="s">
        <v>25</v>
      </c>
      <c r="L251" s="49" t="s">
        <v>26</v>
      </c>
      <c r="M251" s="27">
        <v>99366841</v>
      </c>
      <c r="N251" s="31"/>
      <c r="O251" s="146">
        <v>45602</v>
      </c>
      <c r="P251" s="146"/>
      <c r="Q251">
        <v>3823</v>
      </c>
      <c r="R251" t="b">
        <f t="shared" si="43"/>
        <v>1</v>
      </c>
      <c r="S251" t="s">
        <v>579</v>
      </c>
      <c r="T251" t="b">
        <f t="shared" si="38"/>
        <v>1</v>
      </c>
      <c r="U251">
        <v>865789</v>
      </c>
      <c r="V251" t="b">
        <f t="shared" si="39"/>
        <v>1</v>
      </c>
      <c r="W251" t="s">
        <v>580</v>
      </c>
      <c r="X251" t="b">
        <f t="shared" si="40"/>
        <v>1</v>
      </c>
      <c r="Y251" t="s">
        <v>26</v>
      </c>
      <c r="Z251" t="b">
        <f t="shared" si="41"/>
        <v>1</v>
      </c>
    </row>
    <row r="252" spans="1:26" hidden="1" x14ac:dyDescent="0.25">
      <c r="A252" s="54">
        <v>249</v>
      </c>
      <c r="B252" s="54">
        <v>3824</v>
      </c>
      <c r="C252" s="55" t="s">
        <v>581</v>
      </c>
      <c r="D252" s="56">
        <v>839.6</v>
      </c>
      <c r="E252" s="57">
        <v>0.4</v>
      </c>
      <c r="F252" s="57">
        <f t="shared" si="42"/>
        <v>335.84000000000003</v>
      </c>
      <c r="G252" s="57">
        <f>F252</f>
        <v>335.84000000000003</v>
      </c>
      <c r="H252" s="57">
        <f t="shared" si="36"/>
        <v>0</v>
      </c>
      <c r="I252" s="84">
        <v>18878869</v>
      </c>
      <c r="J252" s="60" t="s">
        <v>582</v>
      </c>
      <c r="K252" s="59" t="s">
        <v>25</v>
      </c>
      <c r="L252" s="60" t="s">
        <v>26</v>
      </c>
      <c r="M252" s="54">
        <v>91287415</v>
      </c>
      <c r="N252" s="61" t="s">
        <v>161</v>
      </c>
      <c r="Q252">
        <v>3824</v>
      </c>
      <c r="R252" t="b">
        <f t="shared" si="43"/>
        <v>1</v>
      </c>
      <c r="S252" t="s">
        <v>581</v>
      </c>
      <c r="T252" t="b">
        <f t="shared" si="38"/>
        <v>1</v>
      </c>
      <c r="U252">
        <v>18878869</v>
      </c>
      <c r="V252" t="b">
        <f t="shared" si="39"/>
        <v>1</v>
      </c>
      <c r="W252" t="s">
        <v>582</v>
      </c>
      <c r="X252" t="b">
        <f t="shared" si="40"/>
        <v>1</v>
      </c>
      <c r="Y252" t="s">
        <v>26</v>
      </c>
      <c r="Z252" t="b">
        <f t="shared" si="41"/>
        <v>1</v>
      </c>
    </row>
    <row r="253" spans="1:26" hidden="1" x14ac:dyDescent="0.25">
      <c r="A253" s="27">
        <v>250</v>
      </c>
      <c r="B253" s="27">
        <v>3827</v>
      </c>
      <c r="C253" s="28" t="s">
        <v>583</v>
      </c>
      <c r="D253" s="29">
        <v>967.5</v>
      </c>
      <c r="E253" s="30">
        <v>0.4</v>
      </c>
      <c r="F253" s="30">
        <f t="shared" si="42"/>
        <v>387</v>
      </c>
      <c r="G253" s="30">
        <f>F253</f>
        <v>387</v>
      </c>
      <c r="H253" s="30">
        <f t="shared" si="36"/>
        <v>0</v>
      </c>
      <c r="I253" s="32">
        <v>19049113</v>
      </c>
      <c r="J253" s="49" t="s">
        <v>584</v>
      </c>
      <c r="K253" s="48" t="s">
        <v>25</v>
      </c>
      <c r="L253" s="49" t="s">
        <v>26</v>
      </c>
      <c r="M253" s="27">
        <v>97778037</v>
      </c>
      <c r="N253" s="156">
        <v>45609</v>
      </c>
      <c r="O253" s="146" t="s">
        <v>719</v>
      </c>
      <c r="Q253">
        <v>3827</v>
      </c>
      <c r="R253" t="b">
        <f t="shared" si="43"/>
        <v>1</v>
      </c>
      <c r="S253" t="s">
        <v>583</v>
      </c>
      <c r="T253" t="b">
        <f t="shared" si="38"/>
        <v>1</v>
      </c>
      <c r="U253">
        <v>19049113</v>
      </c>
      <c r="V253" t="b">
        <f t="shared" si="39"/>
        <v>1</v>
      </c>
      <c r="W253" t="s">
        <v>584</v>
      </c>
      <c r="X253" t="b">
        <f t="shared" si="40"/>
        <v>1</v>
      </c>
      <c r="Y253" t="s">
        <v>26</v>
      </c>
      <c r="Z253" t="b">
        <f t="shared" si="41"/>
        <v>1</v>
      </c>
    </row>
    <row r="254" spans="1:26" hidden="1" x14ac:dyDescent="0.25">
      <c r="A254" s="27">
        <v>251</v>
      </c>
      <c r="B254" s="27">
        <v>3828</v>
      </c>
      <c r="C254" s="28" t="s">
        <v>585</v>
      </c>
      <c r="D254" s="29">
        <v>393.3</v>
      </c>
      <c r="E254" s="30">
        <v>0.4</v>
      </c>
      <c r="F254" s="30">
        <f t="shared" si="42"/>
        <v>157.32000000000002</v>
      </c>
      <c r="G254" s="30">
        <f>155.6+1.72</f>
        <v>157.32</v>
      </c>
      <c r="H254" s="30">
        <f t="shared" si="36"/>
        <v>0</v>
      </c>
      <c r="I254" s="32">
        <v>5520522</v>
      </c>
      <c r="J254" s="49" t="s">
        <v>586</v>
      </c>
      <c r="K254" s="51" t="s">
        <v>75</v>
      </c>
      <c r="L254" s="31" t="s">
        <v>76</v>
      </c>
      <c r="M254" s="27">
        <v>99589277</v>
      </c>
      <c r="N254" s="35">
        <v>45580</v>
      </c>
      <c r="O254" s="146">
        <v>45602</v>
      </c>
      <c r="P254" s="146"/>
      <c r="Q254" s="50">
        <v>3828</v>
      </c>
      <c r="R254" t="b">
        <f t="shared" si="43"/>
        <v>1</v>
      </c>
      <c r="S254" t="s">
        <v>585</v>
      </c>
      <c r="T254" t="b">
        <f t="shared" si="38"/>
        <v>1</v>
      </c>
      <c r="U254">
        <v>5520522</v>
      </c>
      <c r="V254" t="b">
        <f t="shared" si="39"/>
        <v>1</v>
      </c>
      <c r="W254" s="87" t="s">
        <v>586</v>
      </c>
      <c r="X254" t="b">
        <f t="shared" si="40"/>
        <v>1</v>
      </c>
      <c r="Y254" s="37" t="s">
        <v>76</v>
      </c>
      <c r="Z254" t="b">
        <f t="shared" si="41"/>
        <v>1</v>
      </c>
    </row>
    <row r="255" spans="1:26" hidden="1" x14ac:dyDescent="0.25">
      <c r="A255" s="172">
        <v>252</v>
      </c>
      <c r="B255" s="172">
        <v>3829</v>
      </c>
      <c r="C255" s="173" t="s">
        <v>587</v>
      </c>
      <c r="D255" s="174">
        <v>340.7</v>
      </c>
      <c r="E255" s="175">
        <v>0.4</v>
      </c>
      <c r="F255" s="175">
        <f t="shared" si="42"/>
        <v>136.28</v>
      </c>
      <c r="G255" s="175">
        <f>F255</f>
        <v>136.28</v>
      </c>
      <c r="H255" s="175">
        <f t="shared" si="36"/>
        <v>0</v>
      </c>
      <c r="I255" s="180">
        <v>897384</v>
      </c>
      <c r="J255" s="178" t="s">
        <v>588</v>
      </c>
      <c r="K255" s="179" t="s">
        <v>17</v>
      </c>
      <c r="L255" s="179" t="s">
        <v>18</v>
      </c>
      <c r="M255" s="172"/>
      <c r="N255" s="179"/>
      <c r="Q255" s="50">
        <v>3829</v>
      </c>
      <c r="R255" t="b">
        <f t="shared" si="43"/>
        <v>1</v>
      </c>
      <c r="S255" t="s">
        <v>587</v>
      </c>
      <c r="T255" t="b">
        <f t="shared" si="38"/>
        <v>1</v>
      </c>
      <c r="U255">
        <v>897384</v>
      </c>
      <c r="V255" t="b">
        <f t="shared" si="39"/>
        <v>1</v>
      </c>
      <c r="W255" s="63" t="s">
        <v>588</v>
      </c>
      <c r="X255" t="b">
        <f t="shared" si="40"/>
        <v>1</v>
      </c>
      <c r="Y255" s="43" t="s">
        <v>18</v>
      </c>
      <c r="Z255" t="b">
        <f t="shared" si="41"/>
        <v>1</v>
      </c>
    </row>
    <row r="256" spans="1:26" hidden="1" x14ac:dyDescent="0.25">
      <c r="A256" s="27">
        <v>253</v>
      </c>
      <c r="B256" s="27">
        <v>3830</v>
      </c>
      <c r="C256" s="28" t="s">
        <v>589</v>
      </c>
      <c r="D256" s="29">
        <v>469.4</v>
      </c>
      <c r="E256" s="30">
        <v>0.4</v>
      </c>
      <c r="F256" s="30">
        <f t="shared" si="42"/>
        <v>187.76</v>
      </c>
      <c r="G256" s="30">
        <f>183.95+3.81</f>
        <v>187.76</v>
      </c>
      <c r="H256" s="30">
        <f t="shared" si="36"/>
        <v>0</v>
      </c>
      <c r="I256" s="32">
        <v>2153706</v>
      </c>
      <c r="J256" s="49" t="s">
        <v>590</v>
      </c>
      <c r="K256" s="48" t="s">
        <v>25</v>
      </c>
      <c r="L256" s="49" t="s">
        <v>26</v>
      </c>
      <c r="M256" s="27">
        <v>92740607</v>
      </c>
      <c r="N256" s="35">
        <v>45574</v>
      </c>
      <c r="O256" s="146">
        <v>45630</v>
      </c>
      <c r="Q256">
        <v>3830</v>
      </c>
      <c r="R256" t="b">
        <f t="shared" si="43"/>
        <v>1</v>
      </c>
      <c r="S256" t="s">
        <v>589</v>
      </c>
      <c r="T256" t="b">
        <f t="shared" si="38"/>
        <v>1</v>
      </c>
      <c r="U256">
        <v>2153706</v>
      </c>
      <c r="V256" t="b">
        <f t="shared" si="39"/>
        <v>1</v>
      </c>
      <c r="W256" t="s">
        <v>590</v>
      </c>
      <c r="X256" t="b">
        <f t="shared" si="40"/>
        <v>1</v>
      </c>
      <c r="Y256" t="s">
        <v>26</v>
      </c>
      <c r="Z256" t="b">
        <f t="shared" si="41"/>
        <v>1</v>
      </c>
    </row>
    <row r="257" spans="1:26" hidden="1" x14ac:dyDescent="0.25">
      <c r="A257" s="172">
        <v>254</v>
      </c>
      <c r="B257" s="172">
        <v>3831</v>
      </c>
      <c r="C257" s="173" t="s">
        <v>591</v>
      </c>
      <c r="D257" s="174">
        <v>151.6</v>
      </c>
      <c r="E257" s="175">
        <v>0.4</v>
      </c>
      <c r="F257" s="175">
        <f t="shared" si="42"/>
        <v>60.64</v>
      </c>
      <c r="G257" s="175">
        <f t="shared" ref="G257:G258" si="47">F257</f>
        <v>60.64</v>
      </c>
      <c r="H257" s="175">
        <f t="shared" si="36"/>
        <v>0</v>
      </c>
      <c r="I257" s="180">
        <v>873604</v>
      </c>
      <c r="J257" s="178" t="s">
        <v>592</v>
      </c>
      <c r="K257" s="179" t="s">
        <v>17</v>
      </c>
      <c r="L257" s="179" t="s">
        <v>18</v>
      </c>
      <c r="M257" s="172">
        <v>98145449</v>
      </c>
      <c r="N257" s="179"/>
      <c r="Q257" s="50">
        <v>3831</v>
      </c>
      <c r="R257" t="b">
        <f t="shared" si="43"/>
        <v>1</v>
      </c>
      <c r="S257" t="s">
        <v>591</v>
      </c>
      <c r="T257" t="b">
        <f t="shared" si="38"/>
        <v>1</v>
      </c>
      <c r="U257">
        <v>873604</v>
      </c>
      <c r="V257" t="b">
        <f t="shared" si="39"/>
        <v>1</v>
      </c>
      <c r="W257" s="63" t="s">
        <v>592</v>
      </c>
      <c r="X257" t="b">
        <f t="shared" si="40"/>
        <v>1</v>
      </c>
      <c r="Y257" s="43" t="s">
        <v>18</v>
      </c>
      <c r="Z257" t="b">
        <f t="shared" si="41"/>
        <v>1</v>
      </c>
    </row>
    <row r="258" spans="1:26" hidden="1" x14ac:dyDescent="0.25">
      <c r="A258" s="172">
        <v>255</v>
      </c>
      <c r="B258" s="172">
        <v>3833</v>
      </c>
      <c r="C258" s="173" t="s">
        <v>593</v>
      </c>
      <c r="D258" s="174">
        <v>387.5</v>
      </c>
      <c r="E258" s="175">
        <v>0.4</v>
      </c>
      <c r="F258" s="175">
        <f t="shared" si="42"/>
        <v>155</v>
      </c>
      <c r="G258" s="175">
        <f t="shared" si="47"/>
        <v>155</v>
      </c>
      <c r="H258" s="175">
        <f t="shared" si="36"/>
        <v>0</v>
      </c>
      <c r="I258" s="180">
        <v>19179619</v>
      </c>
      <c r="J258" s="178" t="s">
        <v>594</v>
      </c>
      <c r="K258" s="179" t="s">
        <v>17</v>
      </c>
      <c r="L258" s="179" t="s">
        <v>18</v>
      </c>
      <c r="M258" s="172">
        <v>91133123</v>
      </c>
      <c r="N258" s="179"/>
      <c r="Q258" s="50"/>
      <c r="W258" s="63"/>
    </row>
    <row r="259" spans="1:26" hidden="1" x14ac:dyDescent="0.25">
      <c r="A259" s="54">
        <v>256</v>
      </c>
      <c r="B259" s="54">
        <v>3834</v>
      </c>
      <c r="C259" s="55" t="s">
        <v>595</v>
      </c>
      <c r="D259" s="56">
        <v>680.1</v>
      </c>
      <c r="E259" s="57">
        <v>0.4</v>
      </c>
      <c r="F259" s="57">
        <f t="shared" si="42"/>
        <v>272.04000000000002</v>
      </c>
      <c r="G259" s="57">
        <f>F259</f>
        <v>272.04000000000002</v>
      </c>
      <c r="H259" s="57">
        <f t="shared" si="36"/>
        <v>0</v>
      </c>
      <c r="I259" s="84">
        <v>5544756</v>
      </c>
      <c r="J259" s="60" t="s">
        <v>596</v>
      </c>
      <c r="K259" s="59" t="s">
        <v>25</v>
      </c>
      <c r="L259" s="60" t="s">
        <v>26</v>
      </c>
      <c r="M259" s="54">
        <v>92444788</v>
      </c>
      <c r="N259" s="61" t="s">
        <v>161</v>
      </c>
      <c r="Q259">
        <v>3834</v>
      </c>
      <c r="R259" t="b">
        <f t="shared" si="43"/>
        <v>1</v>
      </c>
      <c r="S259" t="s">
        <v>595</v>
      </c>
      <c r="T259" t="b">
        <f t="shared" si="38"/>
        <v>1</v>
      </c>
      <c r="U259">
        <v>5544756</v>
      </c>
      <c r="V259" t="b">
        <f t="shared" si="39"/>
        <v>1</v>
      </c>
      <c r="W259" t="s">
        <v>596</v>
      </c>
      <c r="X259" t="b">
        <f t="shared" si="40"/>
        <v>1</v>
      </c>
      <c r="Y259" t="s">
        <v>26</v>
      </c>
      <c r="Z259" t="b">
        <f t="shared" si="41"/>
        <v>1</v>
      </c>
    </row>
    <row r="260" spans="1:26" hidden="1" x14ac:dyDescent="0.25">
      <c r="A260" s="27">
        <v>257</v>
      </c>
      <c r="B260" s="27">
        <v>3835</v>
      </c>
      <c r="C260" s="28" t="s">
        <v>598</v>
      </c>
      <c r="D260" s="29">
        <v>366.5</v>
      </c>
      <c r="E260" s="30">
        <v>0.4</v>
      </c>
      <c r="F260" s="30">
        <f t="shared" si="42"/>
        <v>146.6</v>
      </c>
      <c r="G260" s="30">
        <f>142.97+3.63</f>
        <v>146.6</v>
      </c>
      <c r="H260" s="30">
        <f t="shared" si="36"/>
        <v>0</v>
      </c>
      <c r="I260" s="32">
        <v>781845</v>
      </c>
      <c r="J260" s="49" t="s">
        <v>599</v>
      </c>
      <c r="K260" s="31" t="s">
        <v>17</v>
      </c>
      <c r="L260" s="31" t="s">
        <v>18</v>
      </c>
      <c r="M260" s="27">
        <v>99297720</v>
      </c>
      <c r="N260" s="35">
        <v>45567</v>
      </c>
      <c r="O260" s="146">
        <v>45602</v>
      </c>
      <c r="P260" s="146"/>
      <c r="Q260" s="50">
        <v>3835</v>
      </c>
      <c r="R260" t="b">
        <f t="shared" si="43"/>
        <v>1</v>
      </c>
      <c r="S260" t="s">
        <v>598</v>
      </c>
      <c r="T260" t="b">
        <f t="shared" si="38"/>
        <v>1</v>
      </c>
      <c r="U260">
        <v>781845</v>
      </c>
      <c r="V260" t="b">
        <f t="shared" si="39"/>
        <v>1</v>
      </c>
      <c r="W260" t="s">
        <v>599</v>
      </c>
      <c r="X260" t="b">
        <f t="shared" si="40"/>
        <v>1</v>
      </c>
      <c r="Y260" t="s">
        <v>18</v>
      </c>
      <c r="Z260" t="b">
        <f t="shared" si="41"/>
        <v>1</v>
      </c>
    </row>
    <row r="261" spans="1:26" hidden="1" x14ac:dyDescent="0.25">
      <c r="A261" s="27">
        <v>258</v>
      </c>
      <c r="B261" s="27">
        <v>3836</v>
      </c>
      <c r="C261" s="28" t="s">
        <v>600</v>
      </c>
      <c r="D261" s="29">
        <v>452.5</v>
      </c>
      <c r="E261" s="30">
        <v>0.4</v>
      </c>
      <c r="F261" s="30">
        <f t="shared" si="42"/>
        <v>181</v>
      </c>
      <c r="G261" s="30">
        <f>F261</f>
        <v>181</v>
      </c>
      <c r="H261" s="30">
        <f t="shared" ref="H261:H311" si="48">F261-G261</f>
        <v>0</v>
      </c>
      <c r="I261" s="32">
        <v>20264434</v>
      </c>
      <c r="J261" s="49" t="s">
        <v>601</v>
      </c>
      <c r="K261" s="48" t="s">
        <v>25</v>
      </c>
      <c r="L261" s="49" t="s">
        <v>26</v>
      </c>
      <c r="M261" s="27"/>
      <c r="N261" s="35">
        <v>45602</v>
      </c>
      <c r="Q261">
        <v>3836</v>
      </c>
      <c r="R261" t="b">
        <f t="shared" si="43"/>
        <v>1</v>
      </c>
      <c r="S261" t="s">
        <v>600</v>
      </c>
      <c r="T261" t="b">
        <f t="shared" si="38"/>
        <v>1</v>
      </c>
      <c r="U261">
        <v>20264434</v>
      </c>
      <c r="V261" t="b">
        <f t="shared" si="39"/>
        <v>1</v>
      </c>
      <c r="W261" t="s">
        <v>601</v>
      </c>
      <c r="X261" t="b">
        <f t="shared" si="40"/>
        <v>1</v>
      </c>
      <c r="Y261" t="s">
        <v>26</v>
      </c>
      <c r="Z261" t="b">
        <f t="shared" si="41"/>
        <v>1</v>
      </c>
    </row>
    <row r="262" spans="1:26" hidden="1" x14ac:dyDescent="0.25">
      <c r="A262" s="172">
        <v>259</v>
      </c>
      <c r="B262" s="172">
        <v>3837</v>
      </c>
      <c r="C262" s="173" t="s">
        <v>602</v>
      </c>
      <c r="D262" s="174">
        <v>526.70000000000005</v>
      </c>
      <c r="E262" s="175">
        <v>0.4</v>
      </c>
      <c r="F262" s="175">
        <f t="shared" si="42"/>
        <v>210.68000000000004</v>
      </c>
      <c r="G262" s="175">
        <f t="shared" ref="G262:G263" si="49">F262</f>
        <v>210.68000000000004</v>
      </c>
      <c r="H262" s="175">
        <f t="shared" si="48"/>
        <v>0</v>
      </c>
      <c r="I262" s="180">
        <v>1935947</v>
      </c>
      <c r="J262" s="178" t="s">
        <v>603</v>
      </c>
      <c r="K262" s="177" t="s">
        <v>25</v>
      </c>
      <c r="L262" s="178" t="s">
        <v>26</v>
      </c>
      <c r="M262" s="172">
        <v>99499566</v>
      </c>
      <c r="N262" s="179"/>
    </row>
    <row r="263" spans="1:26" hidden="1" x14ac:dyDescent="0.25">
      <c r="A263" s="172">
        <v>260</v>
      </c>
      <c r="B263" s="172">
        <v>3838</v>
      </c>
      <c r="C263" s="173" t="s">
        <v>604</v>
      </c>
      <c r="D263" s="174">
        <v>424</v>
      </c>
      <c r="E263" s="175">
        <v>0.4</v>
      </c>
      <c r="F263" s="175">
        <f t="shared" si="42"/>
        <v>169.60000000000002</v>
      </c>
      <c r="G263" s="175">
        <f t="shared" si="49"/>
        <v>169.60000000000002</v>
      </c>
      <c r="H263" s="175">
        <f t="shared" si="48"/>
        <v>0</v>
      </c>
      <c r="I263" s="180">
        <v>18553115</v>
      </c>
      <c r="J263" s="178" t="s">
        <v>605</v>
      </c>
      <c r="K263" s="177" t="s">
        <v>25</v>
      </c>
      <c r="L263" s="178" t="s">
        <v>26</v>
      </c>
      <c r="M263" s="172"/>
      <c r="N263" s="179"/>
      <c r="Q263">
        <v>3838</v>
      </c>
      <c r="R263" t="b">
        <f t="shared" ref="R263:R311" si="50">Q263=B263</f>
        <v>1</v>
      </c>
      <c r="S263" t="s">
        <v>604</v>
      </c>
      <c r="T263" t="b">
        <f t="shared" si="38"/>
        <v>1</v>
      </c>
      <c r="U263">
        <v>18553115</v>
      </c>
      <c r="V263" t="b">
        <f t="shared" si="39"/>
        <v>1</v>
      </c>
      <c r="W263" t="s">
        <v>605</v>
      </c>
      <c r="X263" t="b">
        <f t="shared" si="40"/>
        <v>1</v>
      </c>
      <c r="Y263" t="s">
        <v>26</v>
      </c>
      <c r="Z263" t="b">
        <f t="shared" si="41"/>
        <v>1</v>
      </c>
    </row>
    <row r="264" spans="1:26" hidden="1" x14ac:dyDescent="0.25">
      <c r="A264" s="27">
        <v>261</v>
      </c>
      <c r="B264" s="27">
        <v>3839</v>
      </c>
      <c r="C264" s="28" t="s">
        <v>606</v>
      </c>
      <c r="D264" s="29">
        <v>1587.3</v>
      </c>
      <c r="E264" s="30">
        <v>0.4</v>
      </c>
      <c r="F264" s="30">
        <f t="shared" si="42"/>
        <v>634.92000000000007</v>
      </c>
      <c r="G264" s="30">
        <f>634.82+0.1</f>
        <v>634.92000000000007</v>
      </c>
      <c r="H264" s="30">
        <f t="shared" si="48"/>
        <v>0</v>
      </c>
      <c r="I264" s="32">
        <v>22799311</v>
      </c>
      <c r="J264" s="49" t="s">
        <v>607</v>
      </c>
      <c r="K264" s="48" t="s">
        <v>25</v>
      </c>
      <c r="L264" s="49" t="s">
        <v>26</v>
      </c>
      <c r="M264" s="27"/>
      <c r="N264" s="35">
        <v>45567</v>
      </c>
      <c r="O264" s="146">
        <v>45602</v>
      </c>
      <c r="P264" s="146"/>
      <c r="Q264">
        <v>3839</v>
      </c>
      <c r="R264" t="b">
        <f t="shared" si="50"/>
        <v>1</v>
      </c>
      <c r="S264" t="s">
        <v>606</v>
      </c>
      <c r="T264" t="b">
        <f t="shared" ref="T264:T311" si="51">S264=C264</f>
        <v>1</v>
      </c>
      <c r="U264">
        <v>22799311</v>
      </c>
      <c r="V264" t="b">
        <f t="shared" ref="V264:V311" si="52">U264=I264</f>
        <v>1</v>
      </c>
      <c r="W264" t="s">
        <v>607</v>
      </c>
      <c r="X264" t="b">
        <f t="shared" ref="X264:X311" si="53">W264=J264</f>
        <v>1</v>
      </c>
      <c r="Y264" t="s">
        <v>26</v>
      </c>
      <c r="Z264" t="b">
        <f t="shared" ref="Z264:Z311" si="54">Y264=L264</f>
        <v>1</v>
      </c>
    </row>
    <row r="265" spans="1:26" hidden="1" x14ac:dyDescent="0.25">
      <c r="A265" s="27">
        <v>262</v>
      </c>
      <c r="B265" s="27">
        <v>3840</v>
      </c>
      <c r="C265" s="28" t="s">
        <v>608</v>
      </c>
      <c r="D265" s="29">
        <v>563.6</v>
      </c>
      <c r="E265" s="30">
        <v>0.4</v>
      </c>
      <c r="F265" s="30">
        <f t="shared" ref="F265:F311" si="55">E265*D265</f>
        <v>225.44000000000003</v>
      </c>
      <c r="G265" s="30">
        <f>221.16+4.28</f>
        <v>225.44</v>
      </c>
      <c r="H265" s="30">
        <f t="shared" si="48"/>
        <v>0</v>
      </c>
      <c r="I265" s="32">
        <v>19777334</v>
      </c>
      <c r="J265" s="49" t="s">
        <v>609</v>
      </c>
      <c r="K265" s="48" t="s">
        <v>25</v>
      </c>
      <c r="L265" s="49" t="s">
        <v>26</v>
      </c>
      <c r="M265" s="27"/>
      <c r="N265" s="35">
        <v>45567</v>
      </c>
      <c r="O265" s="146">
        <v>45602</v>
      </c>
      <c r="P265" s="146"/>
      <c r="Q265">
        <v>3840</v>
      </c>
      <c r="R265" t="b">
        <f t="shared" si="50"/>
        <v>1</v>
      </c>
      <c r="S265" t="s">
        <v>608</v>
      </c>
      <c r="T265" t="b">
        <f t="shared" si="51"/>
        <v>1</v>
      </c>
      <c r="U265">
        <v>19777334</v>
      </c>
      <c r="V265" t="b">
        <f t="shared" si="52"/>
        <v>1</v>
      </c>
      <c r="W265" t="s">
        <v>609</v>
      </c>
      <c r="X265" t="b">
        <f t="shared" si="53"/>
        <v>1</v>
      </c>
      <c r="Y265" t="s">
        <v>26</v>
      </c>
      <c r="Z265" t="b">
        <f t="shared" si="54"/>
        <v>1</v>
      </c>
    </row>
    <row r="266" spans="1:26" hidden="1" x14ac:dyDescent="0.25">
      <c r="A266" s="172">
        <v>263</v>
      </c>
      <c r="B266" s="172">
        <v>3841</v>
      </c>
      <c r="C266" s="173" t="s">
        <v>610</v>
      </c>
      <c r="D266" s="174">
        <v>750</v>
      </c>
      <c r="E266" s="175">
        <v>0.4</v>
      </c>
      <c r="F266" s="175">
        <f t="shared" si="55"/>
        <v>300</v>
      </c>
      <c r="G266" s="175">
        <f t="shared" ref="G266:G267" si="56">F266</f>
        <v>300</v>
      </c>
      <c r="H266" s="175">
        <f t="shared" si="48"/>
        <v>0</v>
      </c>
      <c r="I266" s="180">
        <v>2538202</v>
      </c>
      <c r="J266" s="178" t="s">
        <v>611</v>
      </c>
      <c r="K266" s="181" t="s">
        <v>75</v>
      </c>
      <c r="L266" s="179" t="s">
        <v>76</v>
      </c>
      <c r="M266" s="172">
        <v>92735668</v>
      </c>
      <c r="N266" s="179"/>
    </row>
    <row r="267" spans="1:26" hidden="1" x14ac:dyDescent="0.25">
      <c r="A267" s="172">
        <v>264</v>
      </c>
      <c r="B267" s="172">
        <v>3843</v>
      </c>
      <c r="C267" s="173" t="s">
        <v>612</v>
      </c>
      <c r="D267" s="174">
        <v>1072.5</v>
      </c>
      <c r="E267" s="175">
        <v>0.4</v>
      </c>
      <c r="F267" s="175">
        <f t="shared" si="55"/>
        <v>429</v>
      </c>
      <c r="G267" s="175">
        <f t="shared" si="56"/>
        <v>429</v>
      </c>
      <c r="H267" s="175">
        <f t="shared" si="48"/>
        <v>0</v>
      </c>
      <c r="I267" s="180">
        <v>19564247</v>
      </c>
      <c r="J267" s="178" t="s">
        <v>613</v>
      </c>
      <c r="K267" s="177" t="s">
        <v>25</v>
      </c>
      <c r="L267" s="178" t="s">
        <v>26</v>
      </c>
      <c r="M267" s="172"/>
      <c r="N267" s="179"/>
      <c r="Q267">
        <v>3843</v>
      </c>
      <c r="R267" t="b">
        <f t="shared" si="50"/>
        <v>1</v>
      </c>
      <c r="S267" t="s">
        <v>612</v>
      </c>
      <c r="T267" t="b">
        <f t="shared" si="51"/>
        <v>1</v>
      </c>
      <c r="U267">
        <v>19564247</v>
      </c>
      <c r="V267" t="b">
        <f t="shared" si="52"/>
        <v>1</v>
      </c>
      <c r="W267" t="s">
        <v>613</v>
      </c>
      <c r="X267" t="b">
        <f t="shared" si="53"/>
        <v>1</v>
      </c>
      <c r="Y267" t="s">
        <v>26</v>
      </c>
      <c r="Z267" t="b">
        <f t="shared" si="54"/>
        <v>1</v>
      </c>
    </row>
    <row r="268" spans="1:26" hidden="1" x14ac:dyDescent="0.25">
      <c r="A268" s="27">
        <v>265</v>
      </c>
      <c r="B268" s="27">
        <v>3844</v>
      </c>
      <c r="C268" s="28" t="s">
        <v>614</v>
      </c>
      <c r="D268" s="29">
        <v>1620</v>
      </c>
      <c r="E268" s="30">
        <v>0.4</v>
      </c>
      <c r="F268" s="30">
        <f t="shared" si="55"/>
        <v>648</v>
      </c>
      <c r="G268" s="30">
        <f>645.05+2.95</f>
        <v>648</v>
      </c>
      <c r="H268" s="30">
        <f t="shared" si="48"/>
        <v>0</v>
      </c>
      <c r="I268" s="32">
        <v>1036602</v>
      </c>
      <c r="J268" s="49" t="s">
        <v>615</v>
      </c>
      <c r="K268" s="31" t="s">
        <v>43</v>
      </c>
      <c r="L268" s="49" t="s">
        <v>44</v>
      </c>
      <c r="M268" s="27">
        <v>98112999</v>
      </c>
      <c r="N268" s="35">
        <v>45567</v>
      </c>
      <c r="O268" s="146">
        <v>45602</v>
      </c>
      <c r="P268" s="146"/>
      <c r="Q268">
        <v>3844</v>
      </c>
      <c r="R268" t="b">
        <f t="shared" si="50"/>
        <v>1</v>
      </c>
      <c r="S268" t="s">
        <v>614</v>
      </c>
      <c r="T268" t="b">
        <f t="shared" si="51"/>
        <v>1</v>
      </c>
      <c r="U268">
        <v>1036602</v>
      </c>
      <c r="V268" t="b">
        <f t="shared" si="52"/>
        <v>1</v>
      </c>
      <c r="W268" t="s">
        <v>615</v>
      </c>
      <c r="X268" t="b">
        <f t="shared" si="53"/>
        <v>1</v>
      </c>
      <c r="Y268" t="s">
        <v>44</v>
      </c>
      <c r="Z268" t="b">
        <f t="shared" si="54"/>
        <v>1</v>
      </c>
    </row>
    <row r="269" spans="1:26" hidden="1" x14ac:dyDescent="0.25">
      <c r="A269" s="54">
        <v>266</v>
      </c>
      <c r="B269" s="54">
        <v>3845</v>
      </c>
      <c r="C269" s="55" t="s">
        <v>616</v>
      </c>
      <c r="D269" s="56">
        <v>1588.9</v>
      </c>
      <c r="E269" s="57">
        <v>0.4</v>
      </c>
      <c r="F269" s="57">
        <f t="shared" si="55"/>
        <v>635.56000000000006</v>
      </c>
      <c r="G269" s="57">
        <f>F269</f>
        <v>635.56000000000006</v>
      </c>
      <c r="H269" s="57">
        <f t="shared" si="48"/>
        <v>0</v>
      </c>
      <c r="I269" s="84">
        <v>1432563</v>
      </c>
      <c r="J269" s="60" t="s">
        <v>617</v>
      </c>
      <c r="K269" s="61" t="s">
        <v>17</v>
      </c>
      <c r="L269" s="61" t="s">
        <v>18</v>
      </c>
      <c r="M269" s="54"/>
      <c r="N269" s="61" t="s">
        <v>161</v>
      </c>
      <c r="Q269">
        <v>3845</v>
      </c>
      <c r="R269" t="b">
        <f t="shared" si="50"/>
        <v>1</v>
      </c>
      <c r="S269" t="s">
        <v>616</v>
      </c>
      <c r="T269" t="b">
        <f t="shared" si="51"/>
        <v>1</v>
      </c>
      <c r="U269">
        <v>1432563</v>
      </c>
      <c r="V269" t="b">
        <f t="shared" si="52"/>
        <v>1</v>
      </c>
      <c r="W269" t="s">
        <v>617</v>
      </c>
      <c r="X269" t="b">
        <f t="shared" si="53"/>
        <v>1</v>
      </c>
      <c r="Y269" t="s">
        <v>18</v>
      </c>
      <c r="Z269" t="b">
        <f t="shared" si="54"/>
        <v>1</v>
      </c>
    </row>
    <row r="270" spans="1:26" s="36" customFormat="1" hidden="1" x14ac:dyDescent="0.25">
      <c r="A270" s="27">
        <v>267</v>
      </c>
      <c r="B270" s="27">
        <v>3846</v>
      </c>
      <c r="C270" s="28" t="s">
        <v>618</v>
      </c>
      <c r="D270" s="29">
        <v>355.9</v>
      </c>
      <c r="E270" s="30">
        <v>0.4</v>
      </c>
      <c r="F270" s="30">
        <f t="shared" si="55"/>
        <v>142.35999999999999</v>
      </c>
      <c r="G270" s="30">
        <f>14.7+127.66</f>
        <v>142.35999999999999</v>
      </c>
      <c r="H270" s="30">
        <f t="shared" si="48"/>
        <v>0</v>
      </c>
      <c r="I270" s="32">
        <v>8115103</v>
      </c>
      <c r="J270" s="49" t="s">
        <v>619</v>
      </c>
      <c r="K270" s="51" t="s">
        <v>75</v>
      </c>
      <c r="L270" s="31" t="s">
        <v>76</v>
      </c>
      <c r="M270" s="27">
        <v>99298488</v>
      </c>
      <c r="N270" s="35">
        <v>45593</v>
      </c>
      <c r="O270" s="156">
        <v>45609</v>
      </c>
      <c r="Q270" s="36">
        <v>3846</v>
      </c>
      <c r="R270" s="36" t="b">
        <f t="shared" si="50"/>
        <v>1</v>
      </c>
      <c r="S270" s="36" t="s">
        <v>618</v>
      </c>
      <c r="T270" s="36" t="b">
        <f t="shared" si="51"/>
        <v>1</v>
      </c>
      <c r="U270" s="36">
        <v>8115103</v>
      </c>
      <c r="V270" s="36" t="b">
        <f t="shared" si="52"/>
        <v>1</v>
      </c>
      <c r="W270" s="36" t="s">
        <v>619</v>
      </c>
      <c r="X270" s="36" t="b">
        <f t="shared" si="53"/>
        <v>1</v>
      </c>
      <c r="Y270" s="36" t="s">
        <v>76</v>
      </c>
      <c r="Z270" s="36" t="b">
        <f t="shared" si="54"/>
        <v>1</v>
      </c>
    </row>
    <row r="271" spans="1:26" hidden="1" x14ac:dyDescent="0.25">
      <c r="A271" s="172">
        <v>268</v>
      </c>
      <c r="B271" s="172">
        <v>3847</v>
      </c>
      <c r="C271" s="173" t="s">
        <v>620</v>
      </c>
      <c r="D271" s="174">
        <v>1617.2</v>
      </c>
      <c r="E271" s="175">
        <v>0.4</v>
      </c>
      <c r="F271" s="175">
        <f t="shared" si="55"/>
        <v>646.88000000000011</v>
      </c>
      <c r="G271" s="175">
        <f t="shared" ref="G271:G274" si="57">F271</f>
        <v>646.88000000000011</v>
      </c>
      <c r="H271" s="175">
        <f t="shared" si="48"/>
        <v>0</v>
      </c>
      <c r="I271" s="180">
        <v>238234</v>
      </c>
      <c r="J271" s="178" t="s">
        <v>621</v>
      </c>
      <c r="K271" s="177" t="s">
        <v>25</v>
      </c>
      <c r="L271" s="178" t="s">
        <v>26</v>
      </c>
      <c r="M271" s="172">
        <v>99495154</v>
      </c>
      <c r="N271" s="179"/>
      <c r="Q271">
        <v>3847</v>
      </c>
      <c r="R271" t="b">
        <f t="shared" si="50"/>
        <v>1</v>
      </c>
      <c r="S271" t="s">
        <v>620</v>
      </c>
      <c r="T271" t="b">
        <f t="shared" si="51"/>
        <v>1</v>
      </c>
      <c r="U271">
        <v>238234</v>
      </c>
      <c r="V271" t="b">
        <f t="shared" si="52"/>
        <v>1</v>
      </c>
      <c r="W271" t="s">
        <v>621</v>
      </c>
      <c r="X271" t="b">
        <f t="shared" si="53"/>
        <v>1</v>
      </c>
      <c r="Y271" t="s">
        <v>26</v>
      </c>
      <c r="Z271" t="b">
        <f t="shared" si="54"/>
        <v>1</v>
      </c>
    </row>
    <row r="272" spans="1:26" hidden="1" x14ac:dyDescent="0.25">
      <c r="A272" s="172">
        <v>269</v>
      </c>
      <c r="B272" s="172">
        <v>3848</v>
      </c>
      <c r="C272" s="173" t="s">
        <v>622</v>
      </c>
      <c r="D272" s="174">
        <v>1578.9</v>
      </c>
      <c r="E272" s="175">
        <v>0.4</v>
      </c>
      <c r="F272" s="175">
        <f t="shared" si="55"/>
        <v>631.56000000000006</v>
      </c>
      <c r="G272" s="175">
        <f t="shared" si="57"/>
        <v>631.56000000000006</v>
      </c>
      <c r="H272" s="175">
        <f t="shared" si="48"/>
        <v>0</v>
      </c>
      <c r="I272" s="180">
        <v>19231852</v>
      </c>
      <c r="J272" s="178" t="s">
        <v>623</v>
      </c>
      <c r="K272" s="179" t="s">
        <v>43</v>
      </c>
      <c r="L272" s="178" t="s">
        <v>44</v>
      </c>
      <c r="M272" s="172">
        <v>92341000</v>
      </c>
      <c r="N272" s="179"/>
      <c r="Q272">
        <v>3848</v>
      </c>
      <c r="R272" t="b">
        <f t="shared" si="50"/>
        <v>1</v>
      </c>
      <c r="S272" t="s">
        <v>622</v>
      </c>
      <c r="T272" t="b">
        <f t="shared" si="51"/>
        <v>1</v>
      </c>
      <c r="U272">
        <v>19231852</v>
      </c>
      <c r="V272" t="b">
        <f t="shared" si="52"/>
        <v>1</v>
      </c>
      <c r="W272" t="s">
        <v>623</v>
      </c>
      <c r="X272" t="b">
        <f t="shared" si="53"/>
        <v>1</v>
      </c>
      <c r="Y272" t="s">
        <v>44</v>
      </c>
      <c r="Z272" t="b">
        <f t="shared" si="54"/>
        <v>1</v>
      </c>
    </row>
    <row r="273" spans="1:26" hidden="1" x14ac:dyDescent="0.25">
      <c r="A273" s="172">
        <v>270</v>
      </c>
      <c r="B273" s="172">
        <v>3849</v>
      </c>
      <c r="C273" s="173" t="s">
        <v>624</v>
      </c>
      <c r="D273" s="174">
        <v>470.5</v>
      </c>
      <c r="E273" s="175">
        <v>0.4</v>
      </c>
      <c r="F273" s="175">
        <f t="shared" si="55"/>
        <v>188.20000000000002</v>
      </c>
      <c r="G273" s="175">
        <f t="shared" si="57"/>
        <v>188.20000000000002</v>
      </c>
      <c r="H273" s="175">
        <f t="shared" si="48"/>
        <v>0</v>
      </c>
      <c r="I273" s="206">
        <v>18693727</v>
      </c>
      <c r="J273" s="207" t="s">
        <v>625</v>
      </c>
      <c r="K273" s="179" t="s">
        <v>17</v>
      </c>
      <c r="L273" s="179" t="s">
        <v>18</v>
      </c>
      <c r="M273" s="172">
        <v>93264185</v>
      </c>
      <c r="N273" s="179"/>
      <c r="Q273">
        <v>3849</v>
      </c>
      <c r="R273" t="b">
        <f t="shared" si="50"/>
        <v>1</v>
      </c>
      <c r="S273" t="s">
        <v>624</v>
      </c>
      <c r="T273" t="b">
        <f t="shared" si="51"/>
        <v>1</v>
      </c>
      <c r="U273">
        <v>18693727</v>
      </c>
      <c r="V273" t="b">
        <f t="shared" si="52"/>
        <v>1</v>
      </c>
      <c r="W273" t="s">
        <v>625</v>
      </c>
      <c r="X273" t="b">
        <f t="shared" si="53"/>
        <v>1</v>
      </c>
      <c r="Y273" t="s">
        <v>18</v>
      </c>
      <c r="Z273" t="b">
        <f t="shared" si="54"/>
        <v>1</v>
      </c>
    </row>
    <row r="274" spans="1:26" hidden="1" x14ac:dyDescent="0.25">
      <c r="A274" s="172">
        <v>271</v>
      </c>
      <c r="B274" s="172">
        <v>3850</v>
      </c>
      <c r="C274" s="173" t="s">
        <v>626</v>
      </c>
      <c r="D274" s="174">
        <v>832.4</v>
      </c>
      <c r="E274" s="175">
        <v>0.4</v>
      </c>
      <c r="F274" s="175">
        <f t="shared" si="55"/>
        <v>332.96000000000004</v>
      </c>
      <c r="G274" s="175">
        <f t="shared" si="57"/>
        <v>332.96000000000004</v>
      </c>
      <c r="H274" s="175">
        <f t="shared" si="48"/>
        <v>0</v>
      </c>
      <c r="I274" s="180">
        <v>5742985</v>
      </c>
      <c r="J274" s="178" t="s">
        <v>627</v>
      </c>
      <c r="K274" s="177" t="s">
        <v>25</v>
      </c>
      <c r="L274" s="178" t="s">
        <v>26</v>
      </c>
      <c r="M274" s="172">
        <v>93693543</v>
      </c>
      <c r="N274" s="179"/>
      <c r="Q274">
        <v>3850</v>
      </c>
      <c r="R274" t="b">
        <f t="shared" si="50"/>
        <v>1</v>
      </c>
      <c r="S274" t="s">
        <v>626</v>
      </c>
      <c r="T274" t="b">
        <f t="shared" si="51"/>
        <v>1</v>
      </c>
      <c r="U274">
        <v>5742985</v>
      </c>
      <c r="V274" t="b">
        <f t="shared" si="52"/>
        <v>1</v>
      </c>
      <c r="W274" t="s">
        <v>627</v>
      </c>
      <c r="X274" t="b">
        <f t="shared" si="53"/>
        <v>1</v>
      </c>
      <c r="Y274" t="s">
        <v>26</v>
      </c>
      <c r="Z274" t="b">
        <f t="shared" si="54"/>
        <v>1</v>
      </c>
    </row>
    <row r="275" spans="1:26" hidden="1" x14ac:dyDescent="0.25">
      <c r="A275" s="27">
        <v>272</v>
      </c>
      <c r="B275" s="27">
        <v>3851</v>
      </c>
      <c r="C275" s="28" t="s">
        <v>629</v>
      </c>
      <c r="D275" s="29">
        <v>104.6</v>
      </c>
      <c r="E275" s="30">
        <v>0.4</v>
      </c>
      <c r="F275" s="30">
        <f t="shared" si="55"/>
        <v>41.84</v>
      </c>
      <c r="G275" s="30">
        <f>F275</f>
        <v>41.84</v>
      </c>
      <c r="H275" s="30">
        <f t="shared" si="48"/>
        <v>0</v>
      </c>
      <c r="I275" s="32">
        <v>22766611</v>
      </c>
      <c r="J275" s="49" t="s">
        <v>630</v>
      </c>
      <c r="K275" s="49" t="s">
        <v>257</v>
      </c>
      <c r="L275" s="49" t="s">
        <v>258</v>
      </c>
      <c r="M275" s="27">
        <v>92688007</v>
      </c>
      <c r="N275" s="35">
        <v>45635</v>
      </c>
      <c r="Q275">
        <v>3851</v>
      </c>
      <c r="R275" t="b">
        <f t="shared" si="50"/>
        <v>1</v>
      </c>
      <c r="S275" t="s">
        <v>629</v>
      </c>
      <c r="T275" t="b">
        <f t="shared" si="51"/>
        <v>1</v>
      </c>
      <c r="U275">
        <v>22766611</v>
      </c>
      <c r="V275" t="b">
        <f t="shared" si="52"/>
        <v>1</v>
      </c>
      <c r="W275" t="s">
        <v>630</v>
      </c>
      <c r="X275" t="b">
        <f t="shared" si="53"/>
        <v>1</v>
      </c>
      <c r="Y275" t="s">
        <v>258</v>
      </c>
      <c r="Z275" t="b">
        <f t="shared" si="54"/>
        <v>1</v>
      </c>
    </row>
    <row r="276" spans="1:26" hidden="1" x14ac:dyDescent="0.25">
      <c r="A276" s="27">
        <v>273</v>
      </c>
      <c r="B276" s="27">
        <v>3852</v>
      </c>
      <c r="C276" s="28" t="s">
        <v>631</v>
      </c>
      <c r="D276" s="29">
        <v>707</v>
      </c>
      <c r="E276" s="30">
        <v>0.4</v>
      </c>
      <c r="F276" s="30">
        <f t="shared" si="55"/>
        <v>282.8</v>
      </c>
      <c r="G276" s="30">
        <f>166.31+116.4+0.09</f>
        <v>282.8</v>
      </c>
      <c r="H276" s="30">
        <f t="shared" si="48"/>
        <v>0</v>
      </c>
      <c r="I276" s="32">
        <v>8827979</v>
      </c>
      <c r="J276" s="49" t="s">
        <v>632</v>
      </c>
      <c r="K276" s="48" t="s">
        <v>25</v>
      </c>
      <c r="L276" s="49" t="s">
        <v>26</v>
      </c>
      <c r="M276" s="27">
        <v>92698971</v>
      </c>
      <c r="N276" s="35" t="s">
        <v>729</v>
      </c>
      <c r="O276" t="s">
        <v>783</v>
      </c>
      <c r="Q276">
        <v>3852</v>
      </c>
      <c r="R276" t="b">
        <f t="shared" si="50"/>
        <v>1</v>
      </c>
      <c r="S276" t="s">
        <v>631</v>
      </c>
      <c r="T276" t="b">
        <f t="shared" si="51"/>
        <v>1</v>
      </c>
      <c r="U276">
        <v>8827979</v>
      </c>
      <c r="V276" t="b">
        <f t="shared" si="52"/>
        <v>1</v>
      </c>
      <c r="W276" t="s">
        <v>632</v>
      </c>
      <c r="X276" t="b">
        <f t="shared" si="53"/>
        <v>1</v>
      </c>
      <c r="Y276" t="s">
        <v>26</v>
      </c>
      <c r="Z276" t="b">
        <f t="shared" si="54"/>
        <v>1</v>
      </c>
    </row>
    <row r="277" spans="1:26" hidden="1" x14ac:dyDescent="0.25">
      <c r="A277" s="54">
        <v>274</v>
      </c>
      <c r="B277" s="54">
        <v>3853</v>
      </c>
      <c r="C277" s="55" t="s">
        <v>633</v>
      </c>
      <c r="D277" s="56">
        <v>360.3</v>
      </c>
      <c r="E277" s="57">
        <v>0.4</v>
      </c>
      <c r="F277" s="57">
        <f t="shared" si="55"/>
        <v>144.12</v>
      </c>
      <c r="G277" s="57">
        <f>F277</f>
        <v>144.12</v>
      </c>
      <c r="H277" s="57">
        <f t="shared" si="48"/>
        <v>0</v>
      </c>
      <c r="I277" s="84">
        <v>5857446</v>
      </c>
      <c r="J277" s="60" t="s">
        <v>634</v>
      </c>
      <c r="K277" s="59" t="s">
        <v>25</v>
      </c>
      <c r="L277" s="60" t="s">
        <v>26</v>
      </c>
      <c r="M277" s="54">
        <v>97799611</v>
      </c>
      <c r="N277" s="61" t="s">
        <v>161</v>
      </c>
      <c r="Q277">
        <v>3853</v>
      </c>
      <c r="R277" t="b">
        <f t="shared" si="50"/>
        <v>1</v>
      </c>
      <c r="S277" t="s">
        <v>633</v>
      </c>
      <c r="T277" t="b">
        <f t="shared" si="51"/>
        <v>1</v>
      </c>
      <c r="U277">
        <v>5857446</v>
      </c>
      <c r="V277" t="b">
        <f t="shared" si="52"/>
        <v>1</v>
      </c>
      <c r="W277" t="s">
        <v>634</v>
      </c>
      <c r="X277" t="b">
        <f t="shared" si="53"/>
        <v>1</v>
      </c>
      <c r="Y277" t="s">
        <v>26</v>
      </c>
      <c r="Z277" t="b">
        <f t="shared" si="54"/>
        <v>1</v>
      </c>
    </row>
    <row r="278" spans="1:26" hidden="1" x14ac:dyDescent="0.25">
      <c r="A278" s="172">
        <v>275</v>
      </c>
      <c r="B278" s="172">
        <v>3854</v>
      </c>
      <c r="C278" s="173" t="s">
        <v>635</v>
      </c>
      <c r="D278" s="174">
        <v>308.39999999999998</v>
      </c>
      <c r="E278" s="175">
        <v>0.4</v>
      </c>
      <c r="F278" s="175">
        <f t="shared" si="55"/>
        <v>123.36</v>
      </c>
      <c r="G278" s="175">
        <f t="shared" ref="G278:G279" si="58">F278</f>
        <v>123.36</v>
      </c>
      <c r="H278" s="175">
        <f t="shared" si="48"/>
        <v>0</v>
      </c>
      <c r="I278" s="180">
        <v>1085838</v>
      </c>
      <c r="J278" s="178" t="s">
        <v>636</v>
      </c>
      <c r="K278" s="178" t="s">
        <v>166</v>
      </c>
      <c r="L278" s="179" t="s">
        <v>129</v>
      </c>
      <c r="M278" s="172">
        <v>92928848</v>
      </c>
      <c r="N278" s="179"/>
      <c r="Q278">
        <v>3854</v>
      </c>
      <c r="R278" t="b">
        <f t="shared" si="50"/>
        <v>1</v>
      </c>
      <c r="S278" t="s">
        <v>635</v>
      </c>
      <c r="T278" t="b">
        <f t="shared" si="51"/>
        <v>1</v>
      </c>
      <c r="U278">
        <v>1085838</v>
      </c>
      <c r="V278" t="b">
        <f t="shared" si="52"/>
        <v>1</v>
      </c>
      <c r="W278" t="s">
        <v>636</v>
      </c>
      <c r="X278" t="b">
        <f t="shared" si="53"/>
        <v>1</v>
      </c>
      <c r="Y278" t="s">
        <v>129</v>
      </c>
      <c r="Z278" t="b">
        <f t="shared" si="54"/>
        <v>1</v>
      </c>
    </row>
    <row r="279" spans="1:26" hidden="1" x14ac:dyDescent="0.25">
      <c r="A279" s="172">
        <v>276</v>
      </c>
      <c r="B279" s="172">
        <v>3855</v>
      </c>
      <c r="C279" s="173" t="s">
        <v>637</v>
      </c>
      <c r="D279" s="174">
        <v>438.2</v>
      </c>
      <c r="E279" s="175">
        <v>0.4</v>
      </c>
      <c r="F279" s="175">
        <f t="shared" si="55"/>
        <v>175.28</v>
      </c>
      <c r="G279" s="175">
        <f t="shared" si="58"/>
        <v>175.28</v>
      </c>
      <c r="H279" s="175">
        <f t="shared" si="48"/>
        <v>0</v>
      </c>
      <c r="I279" s="180">
        <v>4948259</v>
      </c>
      <c r="J279" s="178" t="s">
        <v>638</v>
      </c>
      <c r="K279" s="177" t="s">
        <v>25</v>
      </c>
      <c r="L279" s="178" t="s">
        <v>26</v>
      </c>
      <c r="M279" s="172">
        <v>98252880</v>
      </c>
      <c r="N279" s="179"/>
      <c r="Q279">
        <v>3855</v>
      </c>
      <c r="R279" t="b">
        <f t="shared" si="50"/>
        <v>1</v>
      </c>
      <c r="S279" t="s">
        <v>637</v>
      </c>
      <c r="T279" t="b">
        <f t="shared" si="51"/>
        <v>1</v>
      </c>
      <c r="U279">
        <v>4948259</v>
      </c>
      <c r="V279" t="b">
        <f t="shared" si="52"/>
        <v>1</v>
      </c>
      <c r="W279" t="s">
        <v>638</v>
      </c>
      <c r="X279" t="b">
        <f t="shared" si="53"/>
        <v>1</v>
      </c>
      <c r="Y279" t="s">
        <v>26</v>
      </c>
      <c r="Z279" t="b">
        <f t="shared" si="54"/>
        <v>1</v>
      </c>
    </row>
    <row r="280" spans="1:26" s="36" customFormat="1" hidden="1" x14ac:dyDescent="0.25">
      <c r="A280" s="27">
        <v>277</v>
      </c>
      <c r="B280" s="27">
        <v>3856</v>
      </c>
      <c r="C280" s="28" t="s">
        <v>639</v>
      </c>
      <c r="D280" s="29">
        <v>288.8</v>
      </c>
      <c r="E280" s="30">
        <v>0.4</v>
      </c>
      <c r="F280" s="30">
        <f t="shared" si="55"/>
        <v>115.52000000000001</v>
      </c>
      <c r="G280" s="30">
        <f>114.77+0.75</f>
        <v>115.52</v>
      </c>
      <c r="H280" s="30">
        <f t="shared" si="48"/>
        <v>0</v>
      </c>
      <c r="I280" s="32">
        <v>15097631</v>
      </c>
      <c r="J280" s="49" t="s">
        <v>640</v>
      </c>
      <c r="K280" s="48" t="s">
        <v>25</v>
      </c>
      <c r="L280" s="49" t="s">
        <v>26</v>
      </c>
      <c r="M280" s="27">
        <v>93262015</v>
      </c>
      <c r="N280" s="35">
        <v>45588</v>
      </c>
      <c r="O280" s="156">
        <v>45621</v>
      </c>
      <c r="Q280" s="36">
        <v>3856</v>
      </c>
      <c r="R280" s="36" t="b">
        <f t="shared" si="50"/>
        <v>1</v>
      </c>
      <c r="S280" s="36" t="s">
        <v>639</v>
      </c>
      <c r="T280" s="36" t="b">
        <f t="shared" si="51"/>
        <v>1</v>
      </c>
      <c r="U280" s="36">
        <v>15097631</v>
      </c>
      <c r="V280" s="36" t="b">
        <f t="shared" si="52"/>
        <v>1</v>
      </c>
      <c r="W280" s="36" t="s">
        <v>640</v>
      </c>
      <c r="X280" s="36" t="b">
        <f t="shared" si="53"/>
        <v>1</v>
      </c>
      <c r="Y280" s="36" t="s">
        <v>26</v>
      </c>
      <c r="Z280" s="36" t="b">
        <f t="shared" si="54"/>
        <v>1</v>
      </c>
    </row>
    <row r="281" spans="1:26" hidden="1" x14ac:dyDescent="0.25">
      <c r="A281" s="54">
        <v>278</v>
      </c>
      <c r="B281" s="54">
        <v>3857</v>
      </c>
      <c r="C281" s="55" t="s">
        <v>36</v>
      </c>
      <c r="D281" s="56">
        <v>960.1</v>
      </c>
      <c r="E281" s="57">
        <v>0.4</v>
      </c>
      <c r="F281" s="57">
        <f t="shared" si="55"/>
        <v>384.04</v>
      </c>
      <c r="G281" s="57">
        <f>F281</f>
        <v>384.04</v>
      </c>
      <c r="H281" s="57">
        <f t="shared" si="48"/>
        <v>0</v>
      </c>
      <c r="I281" s="84">
        <v>28903474</v>
      </c>
      <c r="J281" s="60" t="s">
        <v>37</v>
      </c>
      <c r="K281" s="61" t="s">
        <v>17</v>
      </c>
      <c r="L281" s="61" t="s">
        <v>18</v>
      </c>
      <c r="M281" s="54">
        <v>77588901</v>
      </c>
      <c r="N281" s="61" t="s">
        <v>161</v>
      </c>
      <c r="Q281">
        <v>3857</v>
      </c>
      <c r="R281" t="b">
        <f t="shared" si="50"/>
        <v>1</v>
      </c>
      <c r="S281" t="s">
        <v>36</v>
      </c>
      <c r="T281" t="b">
        <f t="shared" si="51"/>
        <v>1</v>
      </c>
      <c r="U281">
        <v>28903474</v>
      </c>
      <c r="V281" t="b">
        <f t="shared" si="52"/>
        <v>1</v>
      </c>
      <c r="W281" t="s">
        <v>37</v>
      </c>
      <c r="X281" t="b">
        <f t="shared" si="53"/>
        <v>1</v>
      </c>
      <c r="Y281" t="s">
        <v>18</v>
      </c>
      <c r="Z281" t="b">
        <f t="shared" si="54"/>
        <v>1</v>
      </c>
    </row>
    <row r="282" spans="1:26" s="36" customFormat="1" hidden="1" x14ac:dyDescent="0.25">
      <c r="A282" s="27">
        <v>279</v>
      </c>
      <c r="B282" s="27">
        <v>3858</v>
      </c>
      <c r="C282" s="28" t="s">
        <v>641</v>
      </c>
      <c r="D282" s="29">
        <v>384.4</v>
      </c>
      <c r="E282" s="30">
        <v>0.4</v>
      </c>
      <c r="F282" s="30">
        <f t="shared" si="55"/>
        <v>153.76</v>
      </c>
      <c r="G282" s="30">
        <f>153.21+0.55</f>
        <v>153.76000000000002</v>
      </c>
      <c r="H282" s="30">
        <f t="shared" si="48"/>
        <v>0</v>
      </c>
      <c r="I282" s="32">
        <v>18451569</v>
      </c>
      <c r="J282" s="49" t="s">
        <v>642</v>
      </c>
      <c r="K282" s="48" t="s">
        <v>25</v>
      </c>
      <c r="L282" s="49" t="s">
        <v>26</v>
      </c>
      <c r="M282" s="27">
        <v>99298699</v>
      </c>
      <c r="N282" s="35">
        <v>45593</v>
      </c>
      <c r="O282" s="156">
        <v>45624</v>
      </c>
      <c r="Q282" s="36">
        <v>3858</v>
      </c>
      <c r="R282" s="36" t="b">
        <f t="shared" si="50"/>
        <v>1</v>
      </c>
      <c r="S282" s="36" t="s">
        <v>641</v>
      </c>
      <c r="T282" s="36" t="b">
        <f t="shared" si="51"/>
        <v>1</v>
      </c>
      <c r="U282" s="36">
        <v>18451569</v>
      </c>
      <c r="V282" s="36" t="b">
        <f t="shared" si="52"/>
        <v>1</v>
      </c>
      <c r="W282" s="36" t="s">
        <v>642</v>
      </c>
      <c r="X282" s="36" t="b">
        <f t="shared" si="53"/>
        <v>1</v>
      </c>
      <c r="Y282" s="36" t="s">
        <v>26</v>
      </c>
      <c r="Z282" s="36" t="b">
        <f t="shared" si="54"/>
        <v>1</v>
      </c>
    </row>
    <row r="283" spans="1:26" s="36" customFormat="1" hidden="1" x14ac:dyDescent="0.25">
      <c r="A283" s="27">
        <v>280</v>
      </c>
      <c r="B283" s="27">
        <v>3859</v>
      </c>
      <c r="C283" s="28" t="s">
        <v>442</v>
      </c>
      <c r="D283" s="29">
        <v>740.3</v>
      </c>
      <c r="E283" s="30">
        <v>0.4</v>
      </c>
      <c r="F283" s="30">
        <f t="shared" si="55"/>
        <v>296.12</v>
      </c>
      <c r="G283" s="30">
        <f>51.33+244.79</f>
        <v>296.12</v>
      </c>
      <c r="H283" s="30">
        <f t="shared" si="48"/>
        <v>0</v>
      </c>
      <c r="I283" s="32">
        <v>6038764</v>
      </c>
      <c r="J283" s="49" t="s">
        <v>643</v>
      </c>
      <c r="K283" s="31" t="s">
        <v>17</v>
      </c>
      <c r="L283" s="31" t="s">
        <v>18</v>
      </c>
      <c r="M283" s="27">
        <v>98525646</v>
      </c>
      <c r="N283" s="35">
        <v>45593</v>
      </c>
      <c r="Q283" s="36">
        <v>3859</v>
      </c>
      <c r="R283" s="36" t="b">
        <f t="shared" si="50"/>
        <v>1</v>
      </c>
      <c r="S283" s="36" t="s">
        <v>442</v>
      </c>
      <c r="T283" s="36" t="b">
        <f t="shared" si="51"/>
        <v>1</v>
      </c>
      <c r="U283" s="36">
        <v>6038764</v>
      </c>
      <c r="V283" s="36" t="b">
        <f t="shared" si="52"/>
        <v>1</v>
      </c>
      <c r="W283" s="36" t="s">
        <v>643</v>
      </c>
      <c r="X283" s="36" t="b">
        <f t="shared" si="53"/>
        <v>1</v>
      </c>
      <c r="Y283" s="36" t="s">
        <v>18</v>
      </c>
      <c r="Z283" s="36" t="b">
        <f t="shared" si="54"/>
        <v>1</v>
      </c>
    </row>
    <row r="284" spans="1:26" hidden="1" x14ac:dyDescent="0.25">
      <c r="A284" s="172">
        <v>281</v>
      </c>
      <c r="B284" s="172">
        <v>3860</v>
      </c>
      <c r="C284" s="173" t="s">
        <v>644</v>
      </c>
      <c r="D284" s="174">
        <v>355</v>
      </c>
      <c r="E284" s="175">
        <v>0.4</v>
      </c>
      <c r="F284" s="175">
        <f t="shared" si="55"/>
        <v>142</v>
      </c>
      <c r="G284" s="175">
        <f>F284</f>
        <v>142</v>
      </c>
      <c r="H284" s="175">
        <f t="shared" si="48"/>
        <v>0</v>
      </c>
      <c r="I284" s="180">
        <v>6132261</v>
      </c>
      <c r="J284" s="178" t="s">
        <v>645</v>
      </c>
      <c r="K284" s="177" t="s">
        <v>25</v>
      </c>
      <c r="L284" s="178" t="s">
        <v>26</v>
      </c>
      <c r="M284" s="172">
        <v>92527857</v>
      </c>
      <c r="N284" s="179"/>
      <c r="Q284">
        <v>3860</v>
      </c>
      <c r="R284" t="b">
        <f t="shared" si="50"/>
        <v>1</v>
      </c>
      <c r="S284" t="s">
        <v>644</v>
      </c>
      <c r="T284" t="b">
        <f t="shared" si="51"/>
        <v>1</v>
      </c>
      <c r="U284">
        <v>6132261</v>
      </c>
      <c r="V284" t="b">
        <f t="shared" si="52"/>
        <v>1</v>
      </c>
      <c r="W284" t="s">
        <v>645</v>
      </c>
      <c r="X284" t="b">
        <f t="shared" si="53"/>
        <v>1</v>
      </c>
      <c r="Y284" t="s">
        <v>26</v>
      </c>
      <c r="Z284" t="b">
        <f t="shared" si="54"/>
        <v>1</v>
      </c>
    </row>
    <row r="285" spans="1:26" hidden="1" x14ac:dyDescent="0.25">
      <c r="A285" s="27">
        <v>282</v>
      </c>
      <c r="B285" s="27">
        <v>3861</v>
      </c>
      <c r="C285" s="28" t="s">
        <v>646</v>
      </c>
      <c r="D285" s="29">
        <v>470.5</v>
      </c>
      <c r="E285" s="30">
        <v>0.4</v>
      </c>
      <c r="F285" s="30">
        <f t="shared" si="55"/>
        <v>188.20000000000002</v>
      </c>
      <c r="G285" s="30">
        <f>187.3+0.9</f>
        <v>188.20000000000002</v>
      </c>
      <c r="H285" s="30">
        <f t="shared" si="48"/>
        <v>0</v>
      </c>
      <c r="I285" s="32">
        <v>14330506</v>
      </c>
      <c r="J285" s="49" t="s">
        <v>647</v>
      </c>
      <c r="K285" s="31" t="s">
        <v>17</v>
      </c>
      <c r="L285" s="31" t="s">
        <v>18</v>
      </c>
      <c r="M285" s="27">
        <v>98187484</v>
      </c>
      <c r="N285" s="35">
        <v>45567</v>
      </c>
      <c r="O285" s="146">
        <v>45602</v>
      </c>
      <c r="P285" s="146"/>
      <c r="Q285">
        <v>3861</v>
      </c>
      <c r="R285" t="b">
        <f t="shared" si="50"/>
        <v>1</v>
      </c>
      <c r="S285" t="s">
        <v>646</v>
      </c>
      <c r="T285" t="b">
        <f t="shared" si="51"/>
        <v>1</v>
      </c>
      <c r="U285">
        <v>14330506</v>
      </c>
      <c r="V285" t="b">
        <f t="shared" si="52"/>
        <v>1</v>
      </c>
      <c r="W285" t="s">
        <v>647</v>
      </c>
      <c r="X285" t="b">
        <f t="shared" si="53"/>
        <v>1</v>
      </c>
      <c r="Y285" t="s">
        <v>18</v>
      </c>
      <c r="Z285" t="b">
        <f t="shared" si="54"/>
        <v>1</v>
      </c>
    </row>
    <row r="286" spans="1:26" hidden="1" x14ac:dyDescent="0.25">
      <c r="A286" s="54">
        <v>283</v>
      </c>
      <c r="B286" s="54">
        <v>3862</v>
      </c>
      <c r="C286" s="55" t="s">
        <v>648</v>
      </c>
      <c r="D286" s="56">
        <v>679</v>
      </c>
      <c r="E286" s="57">
        <v>0.4</v>
      </c>
      <c r="F286" s="57">
        <f t="shared" si="55"/>
        <v>271.60000000000002</v>
      </c>
      <c r="G286" s="57">
        <f>F286</f>
        <v>271.60000000000002</v>
      </c>
      <c r="H286" s="57">
        <f t="shared" si="48"/>
        <v>0</v>
      </c>
      <c r="I286" s="84">
        <v>5892019</v>
      </c>
      <c r="J286" s="60" t="s">
        <v>649</v>
      </c>
      <c r="K286" s="59" t="s">
        <v>25</v>
      </c>
      <c r="L286" s="60" t="s">
        <v>26</v>
      </c>
      <c r="M286" s="54"/>
      <c r="N286" s="61" t="s">
        <v>161</v>
      </c>
      <c r="Q286">
        <v>3862</v>
      </c>
      <c r="R286" t="b">
        <f t="shared" si="50"/>
        <v>1</v>
      </c>
      <c r="S286" t="s">
        <v>648</v>
      </c>
      <c r="T286" t="b">
        <f t="shared" si="51"/>
        <v>1</v>
      </c>
      <c r="U286">
        <v>5892019</v>
      </c>
      <c r="V286" t="b">
        <f t="shared" si="52"/>
        <v>1</v>
      </c>
      <c r="W286" t="s">
        <v>649</v>
      </c>
      <c r="X286" t="b">
        <f t="shared" si="53"/>
        <v>1</v>
      </c>
      <c r="Y286" t="s">
        <v>26</v>
      </c>
      <c r="Z286" t="b">
        <f t="shared" si="54"/>
        <v>1</v>
      </c>
    </row>
    <row r="287" spans="1:26" hidden="1" x14ac:dyDescent="0.25">
      <c r="A287" s="172">
        <v>284</v>
      </c>
      <c r="B287" s="172">
        <v>3863</v>
      </c>
      <c r="C287" s="173" t="s">
        <v>650</v>
      </c>
      <c r="D287" s="174">
        <v>310</v>
      </c>
      <c r="E287" s="175">
        <v>0.4</v>
      </c>
      <c r="F287" s="175">
        <f t="shared" si="55"/>
        <v>124</v>
      </c>
      <c r="G287" s="175">
        <f>F287</f>
        <v>124</v>
      </c>
      <c r="H287" s="175">
        <f t="shared" si="48"/>
        <v>0</v>
      </c>
      <c r="I287" s="180">
        <v>10772417</v>
      </c>
      <c r="J287" s="178" t="s">
        <v>651</v>
      </c>
      <c r="K287" s="177" t="s">
        <v>25</v>
      </c>
      <c r="L287" s="178" t="s">
        <v>26</v>
      </c>
      <c r="M287" s="172"/>
      <c r="N287" s="179"/>
      <c r="Q287">
        <v>3863</v>
      </c>
      <c r="R287" t="b">
        <f t="shared" si="50"/>
        <v>1</v>
      </c>
      <c r="S287" t="s">
        <v>650</v>
      </c>
      <c r="T287" t="b">
        <f t="shared" si="51"/>
        <v>1</v>
      </c>
      <c r="U287">
        <v>10772417</v>
      </c>
      <c r="V287" t="b">
        <f t="shared" si="52"/>
        <v>1</v>
      </c>
      <c r="W287" t="s">
        <v>651</v>
      </c>
      <c r="X287" t="b">
        <f t="shared" si="53"/>
        <v>1</v>
      </c>
      <c r="Y287" t="s">
        <v>26</v>
      </c>
      <c r="Z287" t="b">
        <f t="shared" si="54"/>
        <v>1</v>
      </c>
    </row>
    <row r="288" spans="1:26" hidden="1" x14ac:dyDescent="0.25">
      <c r="A288" s="54">
        <v>285</v>
      </c>
      <c r="B288" s="54">
        <v>3864</v>
      </c>
      <c r="C288" s="55" t="s">
        <v>652</v>
      </c>
      <c r="D288" s="56">
        <v>705.7</v>
      </c>
      <c r="E288" s="57">
        <v>0.4</v>
      </c>
      <c r="F288" s="57">
        <f t="shared" si="55"/>
        <v>282.28000000000003</v>
      </c>
      <c r="G288" s="57">
        <f>F288</f>
        <v>282.28000000000003</v>
      </c>
      <c r="H288" s="57">
        <f t="shared" si="48"/>
        <v>0</v>
      </c>
      <c r="I288" s="84">
        <v>6493803</v>
      </c>
      <c r="J288" s="60" t="s">
        <v>653</v>
      </c>
      <c r="K288" s="61" t="s">
        <v>17</v>
      </c>
      <c r="L288" s="61" t="s">
        <v>18</v>
      </c>
      <c r="M288" s="54">
        <v>99810408</v>
      </c>
      <c r="N288" s="61" t="s">
        <v>161</v>
      </c>
      <c r="Q288">
        <v>3864</v>
      </c>
      <c r="R288" t="b">
        <f t="shared" si="50"/>
        <v>1</v>
      </c>
      <c r="S288" t="s">
        <v>652</v>
      </c>
      <c r="T288" t="b">
        <f t="shared" si="51"/>
        <v>1</v>
      </c>
      <c r="U288">
        <v>6493803</v>
      </c>
      <c r="V288" t="b">
        <f t="shared" si="52"/>
        <v>1</v>
      </c>
      <c r="W288" t="s">
        <v>653</v>
      </c>
      <c r="X288" t="b">
        <f t="shared" si="53"/>
        <v>1</v>
      </c>
      <c r="Y288" t="s">
        <v>18</v>
      </c>
      <c r="Z288" t="b">
        <f t="shared" si="54"/>
        <v>1</v>
      </c>
    </row>
    <row r="289" spans="1:26" hidden="1" x14ac:dyDescent="0.25">
      <c r="A289" s="54">
        <v>286</v>
      </c>
      <c r="B289" s="54">
        <v>3865</v>
      </c>
      <c r="C289" s="55" t="s">
        <v>654</v>
      </c>
      <c r="D289" s="56">
        <v>934.4</v>
      </c>
      <c r="E289" s="57">
        <v>0.4</v>
      </c>
      <c r="F289" s="57">
        <f t="shared" si="55"/>
        <v>373.76</v>
      </c>
      <c r="G289" s="57">
        <f>F289</f>
        <v>373.76</v>
      </c>
      <c r="H289" s="57">
        <f t="shared" si="48"/>
        <v>0</v>
      </c>
      <c r="I289" s="84">
        <v>15219317</v>
      </c>
      <c r="J289" s="60" t="s">
        <v>655</v>
      </c>
      <c r="K289" s="59" t="s">
        <v>25</v>
      </c>
      <c r="L289" s="60" t="s">
        <v>26</v>
      </c>
      <c r="M289" s="54"/>
      <c r="N289" s="61" t="s">
        <v>161</v>
      </c>
      <c r="Q289">
        <v>3865</v>
      </c>
      <c r="R289" t="b">
        <f t="shared" si="50"/>
        <v>1</v>
      </c>
      <c r="S289" t="s">
        <v>654</v>
      </c>
      <c r="T289" t="b">
        <f t="shared" si="51"/>
        <v>1</v>
      </c>
      <c r="U289">
        <v>15219317</v>
      </c>
      <c r="V289" t="b">
        <f t="shared" si="52"/>
        <v>1</v>
      </c>
      <c r="W289" t="s">
        <v>655</v>
      </c>
      <c r="X289" t="b">
        <f t="shared" si="53"/>
        <v>1</v>
      </c>
      <c r="Y289" t="s">
        <v>26</v>
      </c>
      <c r="Z289" t="b">
        <f t="shared" si="54"/>
        <v>1</v>
      </c>
    </row>
    <row r="290" spans="1:26" hidden="1" x14ac:dyDescent="0.25">
      <c r="A290" s="172">
        <v>287</v>
      </c>
      <c r="B290" s="172">
        <v>3866</v>
      </c>
      <c r="C290" s="173" t="s">
        <v>656</v>
      </c>
      <c r="D290" s="174">
        <v>540</v>
      </c>
      <c r="E290" s="175">
        <v>0.4</v>
      </c>
      <c r="F290" s="175">
        <f t="shared" si="55"/>
        <v>216</v>
      </c>
      <c r="G290" s="175">
        <f>F290</f>
        <v>216</v>
      </c>
      <c r="H290" s="175">
        <f t="shared" si="48"/>
        <v>0</v>
      </c>
      <c r="I290" s="180">
        <v>11772662</v>
      </c>
      <c r="J290" s="178" t="s">
        <v>657</v>
      </c>
      <c r="K290" s="177" t="s">
        <v>25</v>
      </c>
      <c r="L290" s="178" t="s">
        <v>26</v>
      </c>
      <c r="M290" s="172"/>
      <c r="N290" s="179"/>
      <c r="Q290">
        <v>3866</v>
      </c>
      <c r="R290" t="b">
        <f t="shared" si="50"/>
        <v>1</v>
      </c>
      <c r="S290" t="s">
        <v>656</v>
      </c>
      <c r="T290" t="b">
        <f t="shared" si="51"/>
        <v>1</v>
      </c>
      <c r="U290">
        <v>11772662</v>
      </c>
      <c r="V290" t="b">
        <f t="shared" si="52"/>
        <v>1</v>
      </c>
      <c r="W290" t="s">
        <v>657</v>
      </c>
      <c r="X290" t="b">
        <f t="shared" si="53"/>
        <v>1</v>
      </c>
      <c r="Y290" t="s">
        <v>26</v>
      </c>
      <c r="Z290" t="b">
        <f t="shared" si="54"/>
        <v>1</v>
      </c>
    </row>
    <row r="291" spans="1:26" hidden="1" x14ac:dyDescent="0.25">
      <c r="A291" s="27">
        <v>288</v>
      </c>
      <c r="B291" s="27">
        <v>3867</v>
      </c>
      <c r="C291" s="28" t="s">
        <v>658</v>
      </c>
      <c r="D291" s="29">
        <v>390.7</v>
      </c>
      <c r="E291" s="30">
        <v>0.4</v>
      </c>
      <c r="F291" s="30">
        <f t="shared" si="55"/>
        <v>156.28</v>
      </c>
      <c r="G291" s="30">
        <f>134.75+21.53</f>
        <v>156.28</v>
      </c>
      <c r="H291" s="30">
        <f t="shared" si="48"/>
        <v>0</v>
      </c>
      <c r="I291" s="32">
        <v>18189491</v>
      </c>
      <c r="J291" s="49" t="s">
        <v>659</v>
      </c>
      <c r="K291" s="48" t="s">
        <v>25</v>
      </c>
      <c r="L291" s="49" t="s">
        <v>26</v>
      </c>
      <c r="M291" s="27">
        <v>92236482</v>
      </c>
      <c r="N291" s="35">
        <v>45630</v>
      </c>
      <c r="O291" s="170" t="s">
        <v>813</v>
      </c>
      <c r="Q291">
        <v>3867</v>
      </c>
      <c r="R291" t="b">
        <f t="shared" si="50"/>
        <v>1</v>
      </c>
      <c r="S291" t="s">
        <v>658</v>
      </c>
      <c r="T291" t="b">
        <f t="shared" si="51"/>
        <v>1</v>
      </c>
      <c r="U291">
        <v>18189491</v>
      </c>
      <c r="V291" t="b">
        <f t="shared" si="52"/>
        <v>1</v>
      </c>
      <c r="W291" t="s">
        <v>659</v>
      </c>
      <c r="X291" t="b">
        <f t="shared" si="53"/>
        <v>1</v>
      </c>
      <c r="Y291" t="s">
        <v>26</v>
      </c>
      <c r="Z291" t="b">
        <f t="shared" si="54"/>
        <v>1</v>
      </c>
    </row>
    <row r="292" spans="1:26" hidden="1" x14ac:dyDescent="0.25">
      <c r="A292" s="172">
        <v>289</v>
      </c>
      <c r="B292" s="172">
        <v>3868</v>
      </c>
      <c r="C292" s="173" t="s">
        <v>660</v>
      </c>
      <c r="D292" s="174">
        <v>271</v>
      </c>
      <c r="E292" s="175">
        <v>0.4</v>
      </c>
      <c r="F292" s="175">
        <f t="shared" si="55"/>
        <v>108.4</v>
      </c>
      <c r="G292" s="175">
        <f>F292</f>
        <v>108.4</v>
      </c>
      <c r="H292" s="175">
        <f t="shared" si="48"/>
        <v>0</v>
      </c>
      <c r="I292" s="180">
        <v>23619706</v>
      </c>
      <c r="J292" s="178" t="s">
        <v>661</v>
      </c>
      <c r="K292" s="177" t="s">
        <v>25</v>
      </c>
      <c r="L292" s="178" t="s">
        <v>26</v>
      </c>
      <c r="M292" s="172">
        <v>93392527</v>
      </c>
      <c r="N292" s="179"/>
      <c r="Q292">
        <v>3868</v>
      </c>
      <c r="R292" t="b">
        <f t="shared" si="50"/>
        <v>1</v>
      </c>
      <c r="S292" t="s">
        <v>660</v>
      </c>
      <c r="T292" t="b">
        <f t="shared" si="51"/>
        <v>1</v>
      </c>
      <c r="U292">
        <v>23619706</v>
      </c>
      <c r="V292" t="b">
        <f t="shared" si="52"/>
        <v>1</v>
      </c>
      <c r="W292" t="s">
        <v>661</v>
      </c>
      <c r="X292" t="b">
        <f t="shared" si="53"/>
        <v>1</v>
      </c>
      <c r="Y292" t="s">
        <v>26</v>
      </c>
      <c r="Z292" t="b">
        <f t="shared" si="54"/>
        <v>1</v>
      </c>
    </row>
    <row r="293" spans="1:26" hidden="1" x14ac:dyDescent="0.25">
      <c r="A293" s="172">
        <v>290</v>
      </c>
      <c r="B293" s="172">
        <v>3869</v>
      </c>
      <c r="C293" s="173" t="s">
        <v>662</v>
      </c>
      <c r="D293" s="174">
        <v>266.39999999999998</v>
      </c>
      <c r="E293" s="175">
        <v>0.4</v>
      </c>
      <c r="F293" s="175">
        <f t="shared" si="55"/>
        <v>106.56</v>
      </c>
      <c r="G293" s="175">
        <f>F293</f>
        <v>106.56</v>
      </c>
      <c r="H293" s="175">
        <f t="shared" si="48"/>
        <v>0</v>
      </c>
      <c r="I293" s="180">
        <v>1265569</v>
      </c>
      <c r="J293" s="178" t="s">
        <v>663</v>
      </c>
      <c r="K293" s="177" t="s">
        <v>25</v>
      </c>
      <c r="L293" s="178" t="s">
        <v>26</v>
      </c>
      <c r="M293" s="172">
        <v>93392527</v>
      </c>
      <c r="N293" s="179"/>
      <c r="Q293">
        <v>3869</v>
      </c>
      <c r="R293" t="b">
        <f t="shared" si="50"/>
        <v>1</v>
      </c>
      <c r="S293" t="s">
        <v>662</v>
      </c>
      <c r="T293" t="b">
        <f t="shared" si="51"/>
        <v>1</v>
      </c>
      <c r="U293">
        <v>1265569</v>
      </c>
      <c r="V293" t="b">
        <f t="shared" si="52"/>
        <v>1</v>
      </c>
      <c r="W293" t="s">
        <v>663</v>
      </c>
      <c r="X293" t="b">
        <f t="shared" si="53"/>
        <v>1</v>
      </c>
      <c r="Y293" t="s">
        <v>26</v>
      </c>
      <c r="Z293" t="b">
        <f t="shared" si="54"/>
        <v>1</v>
      </c>
    </row>
    <row r="294" spans="1:26" hidden="1" x14ac:dyDescent="0.25">
      <c r="A294" s="54">
        <v>291</v>
      </c>
      <c r="B294" s="54">
        <v>3870</v>
      </c>
      <c r="C294" s="55" t="s">
        <v>664</v>
      </c>
      <c r="D294" s="56">
        <v>1187</v>
      </c>
      <c r="E294" s="57">
        <v>0.4</v>
      </c>
      <c r="F294" s="57">
        <f t="shared" si="55"/>
        <v>474.8</v>
      </c>
      <c r="G294" s="57">
        <f>F294</f>
        <v>474.8</v>
      </c>
      <c r="H294" s="57">
        <f t="shared" si="48"/>
        <v>0</v>
      </c>
      <c r="I294" s="84">
        <v>7138058</v>
      </c>
      <c r="J294" s="60" t="s">
        <v>665</v>
      </c>
      <c r="K294" s="61" t="s">
        <v>17</v>
      </c>
      <c r="L294" s="61" t="s">
        <v>18</v>
      </c>
      <c r="M294" s="54">
        <v>98187475</v>
      </c>
      <c r="N294" s="61" t="s">
        <v>161</v>
      </c>
      <c r="Q294">
        <v>3870</v>
      </c>
      <c r="R294" t="b">
        <f t="shared" si="50"/>
        <v>1</v>
      </c>
      <c r="S294" t="s">
        <v>664</v>
      </c>
      <c r="T294" t="b">
        <f t="shared" si="51"/>
        <v>1</v>
      </c>
      <c r="U294">
        <v>7138058</v>
      </c>
      <c r="V294" t="b">
        <f t="shared" si="52"/>
        <v>1</v>
      </c>
      <c r="W294" t="s">
        <v>665</v>
      </c>
      <c r="X294" t="b">
        <f t="shared" si="53"/>
        <v>1</v>
      </c>
      <c r="Y294" t="s">
        <v>18</v>
      </c>
      <c r="Z294" t="b">
        <f t="shared" si="54"/>
        <v>1</v>
      </c>
    </row>
    <row r="295" spans="1:26" hidden="1" x14ac:dyDescent="0.25">
      <c r="A295" s="172">
        <v>292</v>
      </c>
      <c r="B295" s="172">
        <v>3871</v>
      </c>
      <c r="C295" s="173" t="s">
        <v>38</v>
      </c>
      <c r="D295" s="174">
        <v>913</v>
      </c>
      <c r="E295" s="175">
        <v>0.4</v>
      </c>
      <c r="F295" s="175">
        <f t="shared" si="55"/>
        <v>365.20000000000005</v>
      </c>
      <c r="G295" s="175">
        <f>F295</f>
        <v>365.20000000000005</v>
      </c>
      <c r="H295" s="175">
        <f t="shared" si="48"/>
        <v>0</v>
      </c>
      <c r="I295" s="180">
        <v>6920684</v>
      </c>
      <c r="J295" s="178" t="s">
        <v>39</v>
      </c>
      <c r="K295" s="179" t="s">
        <v>17</v>
      </c>
      <c r="L295" s="179" t="s">
        <v>18</v>
      </c>
      <c r="M295" s="172"/>
      <c r="N295" s="179"/>
      <c r="Q295">
        <v>3871</v>
      </c>
      <c r="R295" t="b">
        <f t="shared" si="50"/>
        <v>1</v>
      </c>
      <c r="S295" t="s">
        <v>38</v>
      </c>
      <c r="T295" t="b">
        <f t="shared" si="51"/>
        <v>1</v>
      </c>
      <c r="U295">
        <v>6920684</v>
      </c>
      <c r="V295" t="b">
        <f t="shared" si="52"/>
        <v>1</v>
      </c>
      <c r="W295" t="s">
        <v>39</v>
      </c>
      <c r="X295" t="b">
        <f t="shared" si="53"/>
        <v>1</v>
      </c>
      <c r="Y295" t="s">
        <v>18</v>
      </c>
      <c r="Z295" t="b">
        <f t="shared" si="54"/>
        <v>1</v>
      </c>
    </row>
    <row r="296" spans="1:26" hidden="1" x14ac:dyDescent="0.25">
      <c r="A296" s="27">
        <v>293</v>
      </c>
      <c r="B296" s="27">
        <v>3872</v>
      </c>
      <c r="C296" s="28" t="s">
        <v>666</v>
      </c>
      <c r="D296" s="29">
        <v>860.5</v>
      </c>
      <c r="E296" s="30">
        <v>0.4</v>
      </c>
      <c r="F296" s="30">
        <f t="shared" si="55"/>
        <v>344.20000000000005</v>
      </c>
      <c r="G296" s="30">
        <f>F296</f>
        <v>344.20000000000005</v>
      </c>
      <c r="H296" s="30">
        <f t="shared" si="48"/>
        <v>0</v>
      </c>
      <c r="I296" s="32">
        <v>5546892</v>
      </c>
      <c r="J296" s="49" t="s">
        <v>667</v>
      </c>
      <c r="K296" s="31" t="s">
        <v>17</v>
      </c>
      <c r="L296" s="31" t="s">
        <v>18</v>
      </c>
      <c r="M296" s="27">
        <v>93117757</v>
      </c>
      <c r="N296" s="35">
        <v>45602</v>
      </c>
      <c r="Q296">
        <v>3872</v>
      </c>
      <c r="R296" t="b">
        <f t="shared" si="50"/>
        <v>1</v>
      </c>
      <c r="S296" t="s">
        <v>666</v>
      </c>
      <c r="T296" t="b">
        <f t="shared" si="51"/>
        <v>1</v>
      </c>
      <c r="U296">
        <v>5546892</v>
      </c>
      <c r="V296" t="b">
        <f t="shared" si="52"/>
        <v>1</v>
      </c>
      <c r="W296" t="s">
        <v>667</v>
      </c>
      <c r="X296" t="b">
        <f t="shared" si="53"/>
        <v>1</v>
      </c>
      <c r="Y296" t="s">
        <v>18</v>
      </c>
      <c r="Z296" t="b">
        <f t="shared" si="54"/>
        <v>1</v>
      </c>
    </row>
    <row r="297" spans="1:26" s="36" customFormat="1" hidden="1" x14ac:dyDescent="0.25">
      <c r="A297" s="27">
        <v>294</v>
      </c>
      <c r="B297" s="27">
        <v>3873</v>
      </c>
      <c r="C297" s="28" t="s">
        <v>668</v>
      </c>
      <c r="D297" s="29">
        <v>1074</v>
      </c>
      <c r="E297" s="30">
        <v>0.4</v>
      </c>
      <c r="F297" s="30">
        <f t="shared" si="55"/>
        <v>429.6</v>
      </c>
      <c r="G297" s="30">
        <f>426.37+3.23</f>
        <v>429.6</v>
      </c>
      <c r="H297" s="30">
        <f t="shared" si="48"/>
        <v>0</v>
      </c>
      <c r="I297" s="32">
        <v>6560744</v>
      </c>
      <c r="J297" s="49" t="s">
        <v>669</v>
      </c>
      <c r="K297" s="48" t="s">
        <v>25</v>
      </c>
      <c r="L297" s="49" t="s">
        <v>26</v>
      </c>
      <c r="M297" s="27">
        <v>99291997</v>
      </c>
      <c r="N297" s="35">
        <v>45588</v>
      </c>
      <c r="O297" s="156">
        <v>45609</v>
      </c>
      <c r="Q297" s="36">
        <v>3873</v>
      </c>
      <c r="R297" s="36" t="b">
        <f t="shared" si="50"/>
        <v>1</v>
      </c>
      <c r="S297" s="36" t="s">
        <v>668</v>
      </c>
      <c r="T297" s="36" t="b">
        <f t="shared" si="51"/>
        <v>1</v>
      </c>
      <c r="U297" s="36">
        <v>6560744</v>
      </c>
      <c r="V297" s="36" t="b">
        <f t="shared" si="52"/>
        <v>1</v>
      </c>
      <c r="W297" s="36" t="s">
        <v>669</v>
      </c>
      <c r="X297" s="36" t="b">
        <f t="shared" si="53"/>
        <v>1</v>
      </c>
      <c r="Y297" s="36" t="s">
        <v>26</v>
      </c>
      <c r="Z297" s="36" t="b">
        <f t="shared" si="54"/>
        <v>1</v>
      </c>
    </row>
    <row r="298" spans="1:26" hidden="1" x14ac:dyDescent="0.25">
      <c r="A298" s="172">
        <v>295</v>
      </c>
      <c r="B298" s="172">
        <v>3874</v>
      </c>
      <c r="C298" s="173" t="s">
        <v>670</v>
      </c>
      <c r="D298" s="174">
        <v>450</v>
      </c>
      <c r="E298" s="175">
        <v>0.4</v>
      </c>
      <c r="F298" s="175">
        <f t="shared" si="55"/>
        <v>180</v>
      </c>
      <c r="G298" s="175">
        <f t="shared" ref="G298:G299" si="59">F298</f>
        <v>180</v>
      </c>
      <c r="H298" s="175">
        <f t="shared" si="48"/>
        <v>0</v>
      </c>
      <c r="I298" s="180">
        <v>8105354</v>
      </c>
      <c r="J298" s="178" t="s">
        <v>671</v>
      </c>
      <c r="K298" s="177" t="s">
        <v>25</v>
      </c>
      <c r="L298" s="178" t="s">
        <v>26</v>
      </c>
      <c r="M298" s="172">
        <v>96249000</v>
      </c>
      <c r="N298" s="179"/>
      <c r="Q298">
        <v>3874</v>
      </c>
      <c r="R298" t="b">
        <f t="shared" si="50"/>
        <v>1</v>
      </c>
      <c r="S298" t="s">
        <v>670</v>
      </c>
      <c r="T298" t="b">
        <f t="shared" si="51"/>
        <v>1</v>
      </c>
      <c r="U298">
        <v>8105354</v>
      </c>
      <c r="V298" t="b">
        <f t="shared" si="52"/>
        <v>1</v>
      </c>
      <c r="W298" t="s">
        <v>671</v>
      </c>
      <c r="X298" t="b">
        <f t="shared" si="53"/>
        <v>1</v>
      </c>
      <c r="Y298" t="s">
        <v>26</v>
      </c>
      <c r="Z298" t="b">
        <f t="shared" si="54"/>
        <v>1</v>
      </c>
    </row>
    <row r="299" spans="1:26" hidden="1" x14ac:dyDescent="0.25">
      <c r="A299" s="172">
        <v>296</v>
      </c>
      <c r="B299" s="172">
        <v>3875</v>
      </c>
      <c r="C299" s="173" t="s">
        <v>672</v>
      </c>
      <c r="D299" s="174">
        <v>567</v>
      </c>
      <c r="E299" s="175">
        <v>0.4</v>
      </c>
      <c r="F299" s="175">
        <f t="shared" si="55"/>
        <v>226.8</v>
      </c>
      <c r="G299" s="175">
        <f t="shared" si="59"/>
        <v>226.8</v>
      </c>
      <c r="H299" s="175">
        <f t="shared" si="48"/>
        <v>0</v>
      </c>
      <c r="I299" s="180">
        <v>1345289</v>
      </c>
      <c r="J299" s="178" t="s">
        <v>673</v>
      </c>
      <c r="K299" s="177" t="s">
        <v>25</v>
      </c>
      <c r="L299" s="178" t="s">
        <v>26</v>
      </c>
      <c r="M299" s="172">
        <v>99495936</v>
      </c>
      <c r="N299" s="179"/>
      <c r="Q299">
        <v>3875</v>
      </c>
      <c r="R299" t="b">
        <f t="shared" si="50"/>
        <v>1</v>
      </c>
      <c r="S299" t="s">
        <v>672</v>
      </c>
      <c r="T299" t="b">
        <f t="shared" si="51"/>
        <v>1</v>
      </c>
      <c r="U299">
        <v>1345289</v>
      </c>
      <c r="V299" t="b">
        <f t="shared" si="52"/>
        <v>1</v>
      </c>
      <c r="W299" t="s">
        <v>673</v>
      </c>
      <c r="X299" t="b">
        <f t="shared" si="53"/>
        <v>1</v>
      </c>
      <c r="Y299" t="s">
        <v>26</v>
      </c>
      <c r="Z299" t="b">
        <f t="shared" si="54"/>
        <v>1</v>
      </c>
    </row>
    <row r="300" spans="1:26" hidden="1" x14ac:dyDescent="0.25">
      <c r="A300" s="54">
        <v>297</v>
      </c>
      <c r="B300" s="54">
        <v>3876</v>
      </c>
      <c r="C300" s="55" t="s">
        <v>674</v>
      </c>
      <c r="D300" s="56">
        <v>567</v>
      </c>
      <c r="E300" s="57">
        <v>0.4</v>
      </c>
      <c r="F300" s="57">
        <f t="shared" si="55"/>
        <v>226.8</v>
      </c>
      <c r="G300" s="57">
        <f>F300</f>
        <v>226.8</v>
      </c>
      <c r="H300" s="57">
        <f t="shared" si="48"/>
        <v>0</v>
      </c>
      <c r="I300" s="84">
        <v>4767948</v>
      </c>
      <c r="J300" s="60" t="s">
        <v>675</v>
      </c>
      <c r="K300" s="61" t="s">
        <v>17</v>
      </c>
      <c r="L300" s="61" t="s">
        <v>18</v>
      </c>
      <c r="M300" s="54"/>
      <c r="N300" s="61" t="s">
        <v>161</v>
      </c>
      <c r="Q300">
        <v>3876</v>
      </c>
      <c r="R300" t="b">
        <f t="shared" si="50"/>
        <v>1</v>
      </c>
      <c r="S300" t="s">
        <v>674</v>
      </c>
      <c r="T300" t="b">
        <f t="shared" si="51"/>
        <v>1</v>
      </c>
      <c r="U300">
        <v>4767948</v>
      </c>
      <c r="V300" t="b">
        <f t="shared" si="52"/>
        <v>1</v>
      </c>
      <c r="W300" t="s">
        <v>675</v>
      </c>
      <c r="X300" t="b">
        <f t="shared" si="53"/>
        <v>1</v>
      </c>
      <c r="Y300" t="s">
        <v>18</v>
      </c>
      <c r="Z300" t="b">
        <f t="shared" si="54"/>
        <v>1</v>
      </c>
    </row>
    <row r="301" spans="1:26" hidden="1" x14ac:dyDescent="0.25">
      <c r="A301" s="172">
        <v>298</v>
      </c>
      <c r="B301" s="172">
        <v>3877</v>
      </c>
      <c r="C301" s="173" t="s">
        <v>41</v>
      </c>
      <c r="D301" s="174">
        <v>400.6</v>
      </c>
      <c r="E301" s="175">
        <v>0.4</v>
      </c>
      <c r="F301" s="175">
        <f t="shared" si="55"/>
        <v>160.24</v>
      </c>
      <c r="G301" s="175">
        <f t="shared" ref="G301:G302" si="60">F301</f>
        <v>160.24</v>
      </c>
      <c r="H301" s="175">
        <f t="shared" si="48"/>
        <v>0</v>
      </c>
      <c r="I301" s="180">
        <v>14897254</v>
      </c>
      <c r="J301" s="178" t="s">
        <v>42</v>
      </c>
      <c r="K301" s="179" t="s">
        <v>43</v>
      </c>
      <c r="L301" s="178" t="s">
        <v>44</v>
      </c>
      <c r="M301" s="172">
        <v>92226297</v>
      </c>
      <c r="N301" s="179"/>
      <c r="Q301">
        <v>3877</v>
      </c>
      <c r="R301" t="b">
        <f t="shared" si="50"/>
        <v>1</v>
      </c>
      <c r="S301" t="s">
        <v>41</v>
      </c>
      <c r="T301" t="b">
        <f t="shared" si="51"/>
        <v>1</v>
      </c>
      <c r="U301">
        <v>14897254</v>
      </c>
      <c r="V301" t="b">
        <f t="shared" si="52"/>
        <v>1</v>
      </c>
      <c r="W301" t="s">
        <v>42</v>
      </c>
      <c r="X301" t="b">
        <f t="shared" si="53"/>
        <v>1</v>
      </c>
      <c r="Y301" t="s">
        <v>44</v>
      </c>
      <c r="Z301" t="b">
        <f t="shared" si="54"/>
        <v>1</v>
      </c>
    </row>
    <row r="302" spans="1:26" hidden="1" x14ac:dyDescent="0.25">
      <c r="A302" s="172">
        <v>299</v>
      </c>
      <c r="B302" s="172">
        <v>3878</v>
      </c>
      <c r="C302" s="173" t="s">
        <v>676</v>
      </c>
      <c r="D302" s="174">
        <v>403.8</v>
      </c>
      <c r="E302" s="175">
        <v>0.4</v>
      </c>
      <c r="F302" s="175">
        <f t="shared" si="55"/>
        <v>161.52000000000001</v>
      </c>
      <c r="G302" s="175">
        <f t="shared" si="60"/>
        <v>161.52000000000001</v>
      </c>
      <c r="H302" s="175">
        <f t="shared" si="48"/>
        <v>0</v>
      </c>
      <c r="I302" s="180">
        <v>22687078</v>
      </c>
      <c r="J302" s="178" t="s">
        <v>677</v>
      </c>
      <c r="K302" s="181" t="s">
        <v>75</v>
      </c>
      <c r="L302" s="179" t="s">
        <v>76</v>
      </c>
      <c r="M302" s="172">
        <v>92338070</v>
      </c>
      <c r="N302" s="179"/>
      <c r="Q302">
        <v>3878</v>
      </c>
      <c r="R302" t="b">
        <f t="shared" si="50"/>
        <v>1</v>
      </c>
      <c r="S302" t="s">
        <v>676</v>
      </c>
      <c r="T302" t="b">
        <f t="shared" si="51"/>
        <v>1</v>
      </c>
      <c r="U302">
        <v>22687078</v>
      </c>
      <c r="V302" t="b">
        <f t="shared" si="52"/>
        <v>1</v>
      </c>
      <c r="W302" t="s">
        <v>677</v>
      </c>
      <c r="X302" t="b">
        <f t="shared" si="53"/>
        <v>1</v>
      </c>
      <c r="Y302" t="s">
        <v>76</v>
      </c>
      <c r="Z302" t="b">
        <f t="shared" si="54"/>
        <v>1</v>
      </c>
    </row>
    <row r="303" spans="1:26" s="36" customFormat="1" hidden="1" x14ac:dyDescent="0.25">
      <c r="A303" s="27">
        <v>300</v>
      </c>
      <c r="B303" s="27">
        <v>3879</v>
      </c>
      <c r="C303" s="28" t="s">
        <v>678</v>
      </c>
      <c r="D303" s="29">
        <v>117.5</v>
      </c>
      <c r="E303" s="30">
        <v>0.4</v>
      </c>
      <c r="F303" s="30">
        <f t="shared" si="55"/>
        <v>47</v>
      </c>
      <c r="G303" s="30">
        <f>44.79+2.21</f>
        <v>47</v>
      </c>
      <c r="H303" s="30">
        <f t="shared" si="48"/>
        <v>0</v>
      </c>
      <c r="I303" s="32">
        <v>23178497</v>
      </c>
      <c r="J303" s="49" t="s">
        <v>679</v>
      </c>
      <c r="K303" s="48" t="s">
        <v>25</v>
      </c>
      <c r="L303" s="49" t="s">
        <v>26</v>
      </c>
      <c r="M303" s="27"/>
      <c r="N303" s="35">
        <v>45580</v>
      </c>
      <c r="O303" s="156">
        <v>45630</v>
      </c>
      <c r="Q303" s="36">
        <v>3879</v>
      </c>
      <c r="R303" s="36" t="b">
        <f t="shared" si="50"/>
        <v>1</v>
      </c>
      <c r="S303" s="36" t="s">
        <v>678</v>
      </c>
      <c r="T303" s="36" t="b">
        <f t="shared" si="51"/>
        <v>1</v>
      </c>
      <c r="U303" s="36">
        <v>23178497</v>
      </c>
      <c r="V303" s="36" t="b">
        <f t="shared" si="52"/>
        <v>1</v>
      </c>
      <c r="W303" s="36" t="s">
        <v>679</v>
      </c>
      <c r="X303" s="36" t="b">
        <f t="shared" si="53"/>
        <v>1</v>
      </c>
      <c r="Y303" s="36" t="s">
        <v>26</v>
      </c>
      <c r="Z303" s="36" t="b">
        <f t="shared" si="54"/>
        <v>1</v>
      </c>
    </row>
    <row r="304" spans="1:26" hidden="1" x14ac:dyDescent="0.25">
      <c r="A304" s="172">
        <v>301</v>
      </c>
      <c r="B304" s="172">
        <v>3880</v>
      </c>
      <c r="C304" s="173" t="s">
        <v>680</v>
      </c>
      <c r="D304" s="174">
        <v>939.5</v>
      </c>
      <c r="E304" s="175">
        <v>0.4</v>
      </c>
      <c r="F304" s="175">
        <f t="shared" si="55"/>
        <v>375.8</v>
      </c>
      <c r="G304" s="175">
        <f>F304</f>
        <v>375.8</v>
      </c>
      <c r="H304" s="175">
        <f t="shared" si="48"/>
        <v>0</v>
      </c>
      <c r="I304" s="180">
        <v>6370697</v>
      </c>
      <c r="J304" s="178" t="s">
        <v>681</v>
      </c>
      <c r="K304" s="177" t="s">
        <v>25</v>
      </c>
      <c r="L304" s="178" t="s">
        <v>26</v>
      </c>
      <c r="M304" s="172">
        <v>99239896</v>
      </c>
      <c r="N304" s="179"/>
    </row>
    <row r="305" spans="1:26" hidden="1" x14ac:dyDescent="0.25">
      <c r="A305" s="54">
        <v>302</v>
      </c>
      <c r="B305" s="54">
        <v>3882</v>
      </c>
      <c r="C305" s="55" t="s">
        <v>684</v>
      </c>
      <c r="D305" s="56">
        <v>505</v>
      </c>
      <c r="E305" s="57">
        <v>0.4</v>
      </c>
      <c r="F305" s="57">
        <f t="shared" si="55"/>
        <v>202</v>
      </c>
      <c r="G305" s="57">
        <f>F305</f>
        <v>202</v>
      </c>
      <c r="H305" s="57">
        <f t="shared" si="48"/>
        <v>0</v>
      </c>
      <c r="I305" s="84">
        <v>26752992</v>
      </c>
      <c r="J305" s="60" t="s">
        <v>685</v>
      </c>
      <c r="K305" s="59" t="s">
        <v>210</v>
      </c>
      <c r="L305" s="60" t="s">
        <v>211</v>
      </c>
      <c r="M305" s="54"/>
      <c r="N305" s="61" t="s">
        <v>161</v>
      </c>
    </row>
    <row r="306" spans="1:26" hidden="1" x14ac:dyDescent="0.25">
      <c r="A306" s="27">
        <v>303</v>
      </c>
      <c r="B306" s="27">
        <v>3884</v>
      </c>
      <c r="C306" s="28" t="s">
        <v>688</v>
      </c>
      <c r="D306" s="29">
        <v>243.8</v>
      </c>
      <c r="E306" s="30">
        <v>0.4</v>
      </c>
      <c r="F306" s="30">
        <f t="shared" si="55"/>
        <v>97.52000000000001</v>
      </c>
      <c r="G306" s="30">
        <f>F306</f>
        <v>97.52000000000001</v>
      </c>
      <c r="H306" s="30">
        <f t="shared" si="48"/>
        <v>0</v>
      </c>
      <c r="I306" s="32">
        <v>22716378</v>
      </c>
      <c r="J306" s="49" t="s">
        <v>689</v>
      </c>
      <c r="K306" s="48" t="s">
        <v>25</v>
      </c>
      <c r="L306" s="49" t="s">
        <v>26</v>
      </c>
      <c r="M306" s="27"/>
      <c r="N306" s="35">
        <v>45630</v>
      </c>
    </row>
    <row r="307" spans="1:26" s="36" customFormat="1" hidden="1" x14ac:dyDescent="0.25">
      <c r="A307" s="27">
        <v>304</v>
      </c>
      <c r="B307" s="27">
        <v>3885</v>
      </c>
      <c r="C307" s="28" t="s">
        <v>690</v>
      </c>
      <c r="D307" s="29">
        <v>365.7</v>
      </c>
      <c r="E307" s="30">
        <v>0.4</v>
      </c>
      <c r="F307" s="30">
        <f t="shared" si="55"/>
        <v>146.28</v>
      </c>
      <c r="G307" s="30">
        <f>143.74+2.54</f>
        <v>146.28</v>
      </c>
      <c r="H307" s="30">
        <f t="shared" si="48"/>
        <v>0</v>
      </c>
      <c r="I307" s="32">
        <v>9920479</v>
      </c>
      <c r="J307" s="49" t="s">
        <v>691</v>
      </c>
      <c r="K307" s="48" t="s">
        <v>326</v>
      </c>
      <c r="L307" s="49" t="s">
        <v>327</v>
      </c>
      <c r="M307" s="27"/>
      <c r="N307" s="35">
        <v>45593</v>
      </c>
      <c r="O307" s="156">
        <v>45615</v>
      </c>
    </row>
    <row r="308" spans="1:26" hidden="1" x14ac:dyDescent="0.25">
      <c r="A308" s="27">
        <v>305</v>
      </c>
      <c r="B308" s="27">
        <v>3886</v>
      </c>
      <c r="C308" s="28" t="s">
        <v>692</v>
      </c>
      <c r="D308" s="29">
        <v>517.29999999999995</v>
      </c>
      <c r="E308" s="30">
        <v>0.4</v>
      </c>
      <c r="F308" s="30">
        <f t="shared" si="55"/>
        <v>206.92</v>
      </c>
      <c r="G308" s="30">
        <f>202.94+3.98</f>
        <v>206.92</v>
      </c>
      <c r="H308" s="30">
        <f t="shared" si="48"/>
        <v>0</v>
      </c>
      <c r="I308" s="32">
        <v>21941594</v>
      </c>
      <c r="J308" s="49" t="s">
        <v>693</v>
      </c>
      <c r="K308" s="48" t="s">
        <v>25</v>
      </c>
      <c r="L308" s="49" t="s">
        <v>26</v>
      </c>
      <c r="M308" s="27">
        <v>92094818</v>
      </c>
      <c r="N308" s="35">
        <v>45574</v>
      </c>
      <c r="O308" s="146">
        <v>45615</v>
      </c>
      <c r="Q308">
        <v>3880</v>
      </c>
      <c r="R308" t="b">
        <f t="shared" si="50"/>
        <v>0</v>
      </c>
      <c r="S308" t="s">
        <v>680</v>
      </c>
      <c r="T308" t="b">
        <f t="shared" si="51"/>
        <v>0</v>
      </c>
      <c r="U308">
        <v>6370697</v>
      </c>
      <c r="V308" t="b">
        <f t="shared" si="52"/>
        <v>0</v>
      </c>
      <c r="W308" t="s">
        <v>681</v>
      </c>
      <c r="X308" t="b">
        <f t="shared" si="53"/>
        <v>0</v>
      </c>
      <c r="Y308" t="s">
        <v>26</v>
      </c>
      <c r="Z308" t="b">
        <f t="shared" si="54"/>
        <v>1</v>
      </c>
    </row>
    <row r="309" spans="1:26" hidden="1" x14ac:dyDescent="0.25">
      <c r="A309" s="54">
        <v>306</v>
      </c>
      <c r="B309" s="54">
        <v>3887</v>
      </c>
      <c r="C309" s="55" t="s">
        <v>694</v>
      </c>
      <c r="D309" s="56">
        <v>273.60000000000002</v>
      </c>
      <c r="E309" s="57">
        <v>0.4</v>
      </c>
      <c r="F309" s="57">
        <f t="shared" si="55"/>
        <v>109.44000000000001</v>
      </c>
      <c r="G309" s="57">
        <f>F309</f>
        <v>109.44000000000001</v>
      </c>
      <c r="H309" s="57">
        <f t="shared" si="48"/>
        <v>0</v>
      </c>
      <c r="I309" s="84">
        <v>13204809</v>
      </c>
      <c r="J309" s="60" t="s">
        <v>695</v>
      </c>
      <c r="K309" s="59" t="s">
        <v>25</v>
      </c>
      <c r="L309" s="60" t="s">
        <v>26</v>
      </c>
      <c r="M309" s="54">
        <v>93332329</v>
      </c>
      <c r="N309" s="61"/>
      <c r="Q309">
        <v>3881</v>
      </c>
      <c r="R309" t="b">
        <f t="shared" si="50"/>
        <v>0</v>
      </c>
      <c r="S309" t="s">
        <v>682</v>
      </c>
      <c r="T309" t="b">
        <f t="shared" si="51"/>
        <v>0</v>
      </c>
      <c r="U309">
        <v>5335138</v>
      </c>
      <c r="V309" t="b">
        <f t="shared" si="52"/>
        <v>0</v>
      </c>
      <c r="W309" t="s">
        <v>683</v>
      </c>
      <c r="X309" t="b">
        <f t="shared" si="53"/>
        <v>0</v>
      </c>
      <c r="Y309" t="s">
        <v>26</v>
      </c>
      <c r="Z309" t="b">
        <f t="shared" si="54"/>
        <v>1</v>
      </c>
    </row>
    <row r="310" spans="1:26" hidden="1" x14ac:dyDescent="0.25">
      <c r="A310" s="27">
        <v>307</v>
      </c>
      <c r="B310" s="27">
        <v>3888</v>
      </c>
      <c r="C310" s="28" t="s">
        <v>696</v>
      </c>
      <c r="D310" s="29">
        <v>500</v>
      </c>
      <c r="E310" s="30">
        <v>0.4</v>
      </c>
      <c r="F310" s="30">
        <f t="shared" si="55"/>
        <v>200</v>
      </c>
      <c r="G310" s="30">
        <f>F310</f>
        <v>200</v>
      </c>
      <c r="H310" s="30">
        <f t="shared" si="48"/>
        <v>0</v>
      </c>
      <c r="I310" s="32">
        <v>1808869</v>
      </c>
      <c r="J310" s="49" t="s">
        <v>697</v>
      </c>
      <c r="K310" s="31" t="s">
        <v>17</v>
      </c>
      <c r="L310" s="31" t="s">
        <v>18</v>
      </c>
      <c r="M310" s="27">
        <v>98003381</v>
      </c>
      <c r="N310" s="35">
        <v>45602</v>
      </c>
      <c r="Q310">
        <v>3882</v>
      </c>
      <c r="R310" t="b">
        <f t="shared" si="50"/>
        <v>0</v>
      </c>
      <c r="S310" t="s">
        <v>684</v>
      </c>
      <c r="T310" t="b">
        <f t="shared" si="51"/>
        <v>0</v>
      </c>
      <c r="U310">
        <v>26752992</v>
      </c>
      <c r="V310" t="b">
        <f t="shared" si="52"/>
        <v>0</v>
      </c>
      <c r="W310" t="s">
        <v>685</v>
      </c>
      <c r="X310" t="b">
        <f t="shared" si="53"/>
        <v>0</v>
      </c>
      <c r="Y310" t="s">
        <v>211</v>
      </c>
      <c r="Z310" t="b">
        <f t="shared" si="54"/>
        <v>0</v>
      </c>
    </row>
    <row r="311" spans="1:26" hidden="1" x14ac:dyDescent="0.25">
      <c r="A311" s="27">
        <v>308</v>
      </c>
      <c r="B311" s="27">
        <v>3889</v>
      </c>
      <c r="C311" s="28" t="s">
        <v>698</v>
      </c>
      <c r="D311" s="29">
        <v>506.6</v>
      </c>
      <c r="E311" s="30">
        <v>0.4</v>
      </c>
      <c r="F311" s="30">
        <f t="shared" si="55"/>
        <v>202.64000000000001</v>
      </c>
      <c r="G311" s="30">
        <f>198.16+4.48</f>
        <v>202.64</v>
      </c>
      <c r="H311" s="30">
        <f t="shared" si="48"/>
        <v>0</v>
      </c>
      <c r="I311" s="32">
        <v>6499103</v>
      </c>
      <c r="J311" s="49" t="s">
        <v>699</v>
      </c>
      <c r="K311" s="48" t="s">
        <v>25</v>
      </c>
      <c r="L311" s="49" t="s">
        <v>26</v>
      </c>
      <c r="M311" s="27">
        <v>98200299</v>
      </c>
      <c r="N311" s="35">
        <v>45586</v>
      </c>
      <c r="O311" s="146">
        <v>45607</v>
      </c>
      <c r="Q311">
        <v>3883</v>
      </c>
      <c r="R311" t="b">
        <f t="shared" si="50"/>
        <v>0</v>
      </c>
      <c r="S311" t="s">
        <v>686</v>
      </c>
      <c r="T311" t="b">
        <f t="shared" si="51"/>
        <v>0</v>
      </c>
      <c r="U311">
        <v>18636502</v>
      </c>
      <c r="V311" t="b">
        <f t="shared" si="52"/>
        <v>0</v>
      </c>
      <c r="W311" t="s">
        <v>687</v>
      </c>
      <c r="X311" t="b">
        <f t="shared" si="53"/>
        <v>0</v>
      </c>
      <c r="Y311" t="s">
        <v>26</v>
      </c>
      <c r="Z311" t="b">
        <f t="shared" si="54"/>
        <v>1</v>
      </c>
    </row>
    <row r="312" spans="1:26" x14ac:dyDescent="0.25">
      <c r="A312" s="208"/>
      <c r="B312" s="208"/>
      <c r="C312" s="209" t="s">
        <v>45</v>
      </c>
      <c r="D312" s="210">
        <f>SUM(D4:D311)</f>
        <v>181312.30000000005</v>
      </c>
      <c r="E312" s="211"/>
      <c r="F312" s="212">
        <f>SUM(F4:F311)</f>
        <v>72524.919999999984</v>
      </c>
      <c r="G312" s="212">
        <f t="shared" ref="G312:H312" si="61">SUM(G4:G311)</f>
        <v>72520.919999999984</v>
      </c>
      <c r="H312" s="212">
        <f t="shared" si="61"/>
        <v>0</v>
      </c>
      <c r="I312" s="208"/>
      <c r="J312" s="213"/>
      <c r="K312" s="213"/>
      <c r="L312" s="213"/>
      <c r="M312" s="200"/>
      <c r="N312" s="200"/>
    </row>
    <row r="314" spans="1:26" x14ac:dyDescent="0.25">
      <c r="G314" s="114">
        <f>G312/F312</f>
        <v>0.99994484654378113</v>
      </c>
    </row>
    <row r="317" spans="1:26" x14ac:dyDescent="0.25">
      <c r="G317">
        <f>45800.95</f>
        <v>45800.95</v>
      </c>
    </row>
    <row r="318" spans="1:26" x14ac:dyDescent="0.25">
      <c r="G318" s="148">
        <f>G312-G317</f>
        <v>26719.969999999987</v>
      </c>
      <c r="H318">
        <v>1.61</v>
      </c>
      <c r="I318">
        <v>3225</v>
      </c>
    </row>
    <row r="319" spans="1:26" x14ac:dyDescent="0.25">
      <c r="H319">
        <v>0.98</v>
      </c>
      <c r="I319">
        <v>3232</v>
      </c>
    </row>
    <row r="320" spans="1:26" x14ac:dyDescent="0.25">
      <c r="H320">
        <v>384.04</v>
      </c>
      <c r="I320">
        <v>3857</v>
      </c>
    </row>
    <row r="321" spans="7:7" x14ac:dyDescent="0.25">
      <c r="G321" s="148">
        <f>G318-H320</f>
        <v>26335.929999999986</v>
      </c>
    </row>
  </sheetData>
  <autoFilter ref="A3:N312" xr:uid="{96D7E9D7-D4D0-457F-BE3D-A91A685DFF07}">
    <filterColumn colId="7">
      <filters>
        <filter val="0.200"/>
        <filter val="2.660"/>
        <filter val="2.86"/>
      </filters>
    </filterColumn>
  </autoFilter>
  <mergeCells count="1">
    <mergeCell ref="A1:N2"/>
  </mergeCells>
  <conditionalFormatting sqref="J24">
    <cfRule type="duplicateValues" dxfId="148" priority="17"/>
  </conditionalFormatting>
  <conditionalFormatting sqref="J31">
    <cfRule type="duplicateValues" dxfId="147" priority="18"/>
  </conditionalFormatting>
  <conditionalFormatting sqref="J37">
    <cfRule type="duplicateValues" dxfId="146" priority="19"/>
  </conditionalFormatting>
  <conditionalFormatting sqref="J47">
    <cfRule type="duplicateValues" dxfId="145" priority="10"/>
  </conditionalFormatting>
  <conditionalFormatting sqref="J48">
    <cfRule type="duplicateValues" dxfId="144" priority="11"/>
  </conditionalFormatting>
  <conditionalFormatting sqref="J49">
    <cfRule type="duplicateValues" dxfId="143" priority="12"/>
  </conditionalFormatting>
  <conditionalFormatting sqref="J56">
    <cfRule type="duplicateValues" dxfId="142" priority="13"/>
  </conditionalFormatting>
  <conditionalFormatting sqref="J59">
    <cfRule type="duplicateValues" dxfId="141" priority="14"/>
  </conditionalFormatting>
  <conditionalFormatting sqref="J69">
    <cfRule type="duplicateValues" dxfId="140" priority="15"/>
  </conditionalFormatting>
  <conditionalFormatting sqref="J95">
    <cfRule type="duplicateValues" dxfId="139" priority="16"/>
  </conditionalFormatting>
  <conditionalFormatting sqref="J105">
    <cfRule type="duplicateValues" dxfId="138" priority="2"/>
  </conditionalFormatting>
  <conditionalFormatting sqref="J106">
    <cfRule type="duplicateValues" dxfId="137" priority="3"/>
  </conditionalFormatting>
  <conditionalFormatting sqref="J112">
    <cfRule type="duplicateValues" dxfId="136" priority="4"/>
  </conditionalFormatting>
  <conditionalFormatting sqref="J131">
    <cfRule type="duplicateValues" dxfId="135" priority="5"/>
  </conditionalFormatting>
  <conditionalFormatting sqref="J132">
    <cfRule type="duplicateValues" dxfId="134" priority="6"/>
  </conditionalFormatting>
  <conditionalFormatting sqref="K60">
    <cfRule type="duplicateValues" dxfId="133" priority="7"/>
  </conditionalFormatting>
  <conditionalFormatting sqref="K96">
    <cfRule type="duplicateValues" dxfId="132" priority="9"/>
  </conditionalFormatting>
  <conditionalFormatting sqref="M60">
    <cfRule type="duplicateValues" dxfId="131" priority="8"/>
  </conditionalFormatting>
  <conditionalFormatting sqref="N96">
    <cfRule type="duplicateValues" dxfId="130" priority="1"/>
  </conditionalFormatting>
  <pageMargins left="0.7" right="0.7" top="0.75" bottom="0.75" header="0.3" footer="0.3"/>
  <pageSetup paperSize="9" scale="38" orientation="portrait" r:id="rId1"/>
  <colBreaks count="1" manualBreakCount="1">
    <brk id="14" max="31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65F1-6771-4543-974D-C332BF3C0016}">
  <sheetPr codeName="Sheet6"/>
  <dimension ref="A1:P311"/>
  <sheetViews>
    <sheetView view="pageBreakPreview" topLeftCell="A238" zoomScale="121" zoomScaleNormal="100" zoomScaleSheetLayoutView="85" workbookViewId="0">
      <pane xSplit="2" topLeftCell="C1" activePane="topRight" state="frozen"/>
      <selection activeCell="N149" sqref="N149"/>
      <selection pane="topRight" activeCell="N149" sqref="N149"/>
    </sheetView>
  </sheetViews>
  <sheetFormatPr defaultColWidth="9.28515625" defaultRowHeight="11.25" x14ac:dyDescent="0.2"/>
  <cols>
    <col min="1" max="2" width="9.28515625" style="219" bestFit="1" customWidth="1"/>
    <col min="3" max="3" width="36.5703125" style="219" customWidth="1"/>
    <col min="4" max="4" width="12.28515625" style="219" customWidth="1"/>
    <col min="5" max="5" width="9.28515625" style="219" bestFit="1" customWidth="1"/>
    <col min="6" max="8" width="13.5703125" style="219" customWidth="1"/>
    <col min="9" max="9" width="13" style="219" bestFit="1" customWidth="1"/>
    <col min="10" max="10" width="24.7109375" style="294" customWidth="1"/>
    <col min="11" max="13" width="11" style="219" bestFit="1" customWidth="1"/>
    <col min="14" max="16384" width="9.28515625" style="219"/>
  </cols>
  <sheetData>
    <row r="1" spans="1:11" x14ac:dyDescent="0.2">
      <c r="A1" s="602" t="s">
        <v>772</v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1" ht="12" thickBot="1" x14ac:dyDescent="0.25">
      <c r="A2" s="602"/>
      <c r="B2" s="602"/>
      <c r="C2" s="602"/>
      <c r="D2" s="602"/>
      <c r="E2" s="602"/>
      <c r="F2" s="602"/>
      <c r="G2" s="602"/>
      <c r="H2" s="602"/>
      <c r="I2" s="602"/>
      <c r="J2" s="602"/>
    </row>
    <row r="3" spans="1:11" ht="22.5" x14ac:dyDescent="0.2">
      <c r="A3" s="220" t="s">
        <v>1</v>
      </c>
      <c r="B3" s="221" t="s">
        <v>2</v>
      </c>
      <c r="C3" s="222" t="s">
        <v>3</v>
      </c>
      <c r="D3" s="223" t="s">
        <v>4</v>
      </c>
      <c r="E3" s="221" t="s">
        <v>5</v>
      </c>
      <c r="F3" s="221" t="s">
        <v>6</v>
      </c>
      <c r="G3" s="221" t="s">
        <v>703</v>
      </c>
      <c r="H3" s="221" t="s">
        <v>704</v>
      </c>
      <c r="I3" s="224" t="s">
        <v>9</v>
      </c>
      <c r="J3" s="228" t="s">
        <v>14</v>
      </c>
    </row>
    <row r="4" spans="1:11" x14ac:dyDescent="0.2">
      <c r="A4" s="229">
        <v>1</v>
      </c>
      <c r="B4" s="230">
        <v>1108</v>
      </c>
      <c r="C4" s="231" t="s">
        <v>49</v>
      </c>
      <c r="D4" s="232">
        <v>1077</v>
      </c>
      <c r="E4" s="233">
        <v>0.4</v>
      </c>
      <c r="F4" s="233">
        <f>E4*D4</f>
        <v>430.8</v>
      </c>
      <c r="G4" s="233">
        <f>F4</f>
        <v>430.8</v>
      </c>
      <c r="H4" s="233">
        <f>F4-G4</f>
        <v>0</v>
      </c>
      <c r="I4" s="234">
        <v>15218386</v>
      </c>
      <c r="J4" s="237"/>
    </row>
    <row r="5" spans="1:11" x14ac:dyDescent="0.2">
      <c r="A5" s="251">
        <v>2</v>
      </c>
      <c r="B5" s="251">
        <v>1390</v>
      </c>
      <c r="C5" s="252" t="s">
        <v>51</v>
      </c>
      <c r="D5" s="253">
        <v>373.5</v>
      </c>
      <c r="E5" s="254">
        <v>0.4</v>
      </c>
      <c r="F5" s="254">
        <f t="shared" ref="F5:F68" si="0">E5*D5</f>
        <v>149.4</v>
      </c>
      <c r="G5" s="254">
        <f>145.5+3.9</f>
        <v>149.4</v>
      </c>
      <c r="H5" s="254">
        <f t="shared" ref="H5:H68" si="1">F5-G5</f>
        <v>0</v>
      </c>
      <c r="I5" s="251">
        <v>12181822</v>
      </c>
      <c r="J5" s="258">
        <v>45609</v>
      </c>
      <c r="K5" s="294">
        <v>45635</v>
      </c>
    </row>
    <row r="6" spans="1:11" x14ac:dyDescent="0.2">
      <c r="A6" s="251">
        <v>3</v>
      </c>
      <c r="B6" s="251">
        <v>1399</v>
      </c>
      <c r="C6" s="252" t="s">
        <v>53</v>
      </c>
      <c r="D6" s="253">
        <v>245.8</v>
      </c>
      <c r="E6" s="254">
        <v>0.4</v>
      </c>
      <c r="F6" s="254">
        <f t="shared" si="0"/>
        <v>98.320000000000007</v>
      </c>
      <c r="G6" s="254">
        <f>98.2+0.12</f>
        <v>98.320000000000007</v>
      </c>
      <c r="H6" s="254">
        <f t="shared" si="1"/>
        <v>0</v>
      </c>
      <c r="I6" s="255">
        <v>10065546</v>
      </c>
      <c r="J6" s="258">
        <v>45615</v>
      </c>
      <c r="K6" s="219" t="s">
        <v>802</v>
      </c>
    </row>
    <row r="7" spans="1:11" x14ac:dyDescent="0.2">
      <c r="A7" s="251">
        <v>4</v>
      </c>
      <c r="B7" s="251">
        <v>1422</v>
      </c>
      <c r="C7" s="252" t="s">
        <v>56</v>
      </c>
      <c r="D7" s="253">
        <v>286.7</v>
      </c>
      <c r="E7" s="254">
        <v>0.4</v>
      </c>
      <c r="F7" s="254">
        <f t="shared" si="0"/>
        <v>114.68</v>
      </c>
      <c r="G7" s="254">
        <f>111.2+3.48</f>
        <v>114.68</v>
      </c>
      <c r="H7" s="254">
        <f t="shared" si="1"/>
        <v>0</v>
      </c>
      <c r="I7" s="264">
        <v>3280016</v>
      </c>
      <c r="J7" s="332">
        <v>45602</v>
      </c>
      <c r="K7" s="294">
        <v>45628</v>
      </c>
    </row>
    <row r="8" spans="1:11" s="269" customFormat="1" x14ac:dyDescent="0.2">
      <c r="A8" s="251">
        <v>5</v>
      </c>
      <c r="B8" s="251">
        <v>1424</v>
      </c>
      <c r="C8" s="252" t="s">
        <v>58</v>
      </c>
      <c r="D8" s="253">
        <v>403.6</v>
      </c>
      <c r="E8" s="254">
        <v>0.4</v>
      </c>
      <c r="F8" s="254">
        <f t="shared" si="0"/>
        <v>161.44000000000003</v>
      </c>
      <c r="G8" s="254">
        <f>158.95+2.49</f>
        <v>161.44</v>
      </c>
      <c r="H8" s="254">
        <f t="shared" si="1"/>
        <v>0</v>
      </c>
      <c r="I8" s="264">
        <v>748395</v>
      </c>
      <c r="J8" s="258">
        <v>45609</v>
      </c>
      <c r="K8" s="343">
        <v>45624</v>
      </c>
    </row>
    <row r="9" spans="1:11" x14ac:dyDescent="0.2">
      <c r="A9" s="229">
        <v>6</v>
      </c>
      <c r="B9" s="229">
        <v>1429</v>
      </c>
      <c r="C9" s="231" t="s">
        <v>60</v>
      </c>
      <c r="D9" s="239">
        <v>500</v>
      </c>
      <c r="E9" s="233">
        <v>0.4</v>
      </c>
      <c r="F9" s="233">
        <f t="shared" si="0"/>
        <v>200</v>
      </c>
      <c r="G9" s="233">
        <f>F9</f>
        <v>200</v>
      </c>
      <c r="H9" s="233">
        <f t="shared" si="1"/>
        <v>0</v>
      </c>
      <c r="I9" s="240">
        <v>339725</v>
      </c>
      <c r="J9" s="237"/>
    </row>
    <row r="10" spans="1:11" s="269" customFormat="1" x14ac:dyDescent="0.2">
      <c r="A10" s="251">
        <v>7</v>
      </c>
      <c r="B10" s="251">
        <v>1431</v>
      </c>
      <c r="C10" s="252" t="s">
        <v>62</v>
      </c>
      <c r="D10" s="253">
        <v>347</v>
      </c>
      <c r="E10" s="254">
        <v>0.4</v>
      </c>
      <c r="F10" s="254">
        <f t="shared" si="0"/>
        <v>138.80000000000001</v>
      </c>
      <c r="G10" s="254">
        <f>134.09+4.71</f>
        <v>138.80000000000001</v>
      </c>
      <c r="H10" s="254">
        <f t="shared" si="1"/>
        <v>0</v>
      </c>
      <c r="I10" s="264">
        <v>721445</v>
      </c>
      <c r="J10" s="258">
        <v>45628</v>
      </c>
      <c r="K10" s="343">
        <v>45642</v>
      </c>
    </row>
    <row r="11" spans="1:11" x14ac:dyDescent="0.2">
      <c r="A11" s="229">
        <v>8</v>
      </c>
      <c r="B11" s="229">
        <v>1443</v>
      </c>
      <c r="C11" s="231" t="s">
        <v>65</v>
      </c>
      <c r="D11" s="232">
        <v>1354.3</v>
      </c>
      <c r="E11" s="233">
        <v>0.4</v>
      </c>
      <c r="F11" s="233">
        <f t="shared" si="0"/>
        <v>541.72</v>
      </c>
      <c r="G11" s="233">
        <f>F11</f>
        <v>541.72</v>
      </c>
      <c r="H11" s="233">
        <f t="shared" si="1"/>
        <v>0</v>
      </c>
      <c r="I11" s="242">
        <v>6026992</v>
      </c>
      <c r="J11" s="237"/>
    </row>
    <row r="12" spans="1:11" x14ac:dyDescent="0.2">
      <c r="A12" s="251">
        <v>9</v>
      </c>
      <c r="B12" s="251">
        <v>1452</v>
      </c>
      <c r="C12" s="252" t="s">
        <v>67</v>
      </c>
      <c r="D12" s="253">
        <v>319.39999999999998</v>
      </c>
      <c r="E12" s="254">
        <v>0.4</v>
      </c>
      <c r="F12" s="254">
        <f t="shared" si="0"/>
        <v>127.75999999999999</v>
      </c>
      <c r="G12" s="254">
        <f>126.95+0.81</f>
        <v>127.76</v>
      </c>
      <c r="H12" s="254">
        <f t="shared" si="1"/>
        <v>0</v>
      </c>
      <c r="I12" s="330">
        <v>20917176</v>
      </c>
      <c r="J12" s="332">
        <v>45602</v>
      </c>
      <c r="K12" s="294">
        <v>45628</v>
      </c>
    </row>
    <row r="13" spans="1:11" x14ac:dyDescent="0.2">
      <c r="A13" s="229">
        <v>10</v>
      </c>
      <c r="B13" s="229">
        <v>1458</v>
      </c>
      <c r="C13" s="231" t="s">
        <v>69</v>
      </c>
      <c r="D13" s="232">
        <v>348.6</v>
      </c>
      <c r="E13" s="233">
        <v>0.4</v>
      </c>
      <c r="F13" s="233">
        <f t="shared" si="0"/>
        <v>139.44000000000003</v>
      </c>
      <c r="G13" s="233">
        <f>F13</f>
        <v>139.44000000000003</v>
      </c>
      <c r="H13" s="233">
        <f t="shared" si="1"/>
        <v>0</v>
      </c>
      <c r="I13" s="242">
        <v>77628</v>
      </c>
      <c r="J13" s="237"/>
    </row>
    <row r="14" spans="1:11" x14ac:dyDescent="0.2">
      <c r="A14" s="229">
        <v>11</v>
      </c>
      <c r="B14" s="229">
        <v>1461</v>
      </c>
      <c r="C14" s="231" t="s">
        <v>71</v>
      </c>
      <c r="D14" s="232">
        <v>358.1</v>
      </c>
      <c r="E14" s="233">
        <v>0.4</v>
      </c>
      <c r="F14" s="233">
        <f t="shared" si="0"/>
        <v>143.24</v>
      </c>
      <c r="G14" s="233">
        <f>F14</f>
        <v>143.24</v>
      </c>
      <c r="H14" s="233">
        <f t="shared" si="1"/>
        <v>0</v>
      </c>
      <c r="I14" s="242">
        <v>6828806</v>
      </c>
      <c r="J14" s="237"/>
    </row>
    <row r="15" spans="1:11" x14ac:dyDescent="0.2">
      <c r="A15" s="284">
        <v>12</v>
      </c>
      <c r="B15" s="284">
        <v>1465</v>
      </c>
      <c r="C15" s="285" t="s">
        <v>73</v>
      </c>
      <c r="D15" s="286">
        <v>360.8</v>
      </c>
      <c r="E15" s="287">
        <v>0.4</v>
      </c>
      <c r="F15" s="287">
        <f t="shared" si="0"/>
        <v>144.32000000000002</v>
      </c>
      <c r="G15" s="287">
        <f>F15</f>
        <v>144.32000000000002</v>
      </c>
      <c r="H15" s="287">
        <f t="shared" si="1"/>
        <v>0</v>
      </c>
      <c r="I15" s="284">
        <v>757601</v>
      </c>
      <c r="J15" s="291" t="s">
        <v>775</v>
      </c>
    </row>
    <row r="16" spans="1:11" x14ac:dyDescent="0.2">
      <c r="A16" s="251">
        <v>13</v>
      </c>
      <c r="B16" s="251">
        <v>1474</v>
      </c>
      <c r="C16" s="252" t="s">
        <v>15</v>
      </c>
      <c r="D16" s="253">
        <v>850.2</v>
      </c>
      <c r="E16" s="254">
        <v>0.4</v>
      </c>
      <c r="F16" s="254">
        <f t="shared" si="0"/>
        <v>340.08000000000004</v>
      </c>
      <c r="G16" s="254">
        <f>334.16+5.92</f>
        <v>340.08000000000004</v>
      </c>
      <c r="H16" s="254">
        <f t="shared" si="1"/>
        <v>0</v>
      </c>
      <c r="I16" s="251">
        <v>4603773</v>
      </c>
      <c r="J16" s="258">
        <v>45658</v>
      </c>
      <c r="K16" s="294">
        <v>45691</v>
      </c>
    </row>
    <row r="17" spans="1:11" x14ac:dyDescent="0.2">
      <c r="A17" s="251">
        <v>14</v>
      </c>
      <c r="B17" s="251">
        <v>1479</v>
      </c>
      <c r="C17" s="334" t="s">
        <v>77</v>
      </c>
      <c r="D17" s="253">
        <v>389.5</v>
      </c>
      <c r="E17" s="254">
        <v>0.4</v>
      </c>
      <c r="F17" s="254">
        <f t="shared" si="0"/>
        <v>155.80000000000001</v>
      </c>
      <c r="G17" s="254">
        <f>152.07+3.73</f>
        <v>155.79999999999998</v>
      </c>
      <c r="H17" s="254">
        <f t="shared" si="1"/>
        <v>0</v>
      </c>
      <c r="I17" s="335">
        <v>5217726</v>
      </c>
      <c r="J17" s="387">
        <v>45602</v>
      </c>
      <c r="K17" s="294">
        <v>45637</v>
      </c>
    </row>
    <row r="18" spans="1:11" s="269" customFormat="1" x14ac:dyDescent="0.2">
      <c r="A18" s="251">
        <v>15</v>
      </c>
      <c r="B18" s="251">
        <v>1483</v>
      </c>
      <c r="C18" s="252" t="s">
        <v>79</v>
      </c>
      <c r="D18" s="253">
        <v>896.9</v>
      </c>
      <c r="E18" s="254">
        <v>0.4</v>
      </c>
      <c r="F18" s="254">
        <f t="shared" si="0"/>
        <v>358.76</v>
      </c>
      <c r="G18" s="254">
        <f>354.79+3.97</f>
        <v>358.76000000000005</v>
      </c>
      <c r="H18" s="254">
        <f t="shared" si="1"/>
        <v>0</v>
      </c>
      <c r="I18" s="251">
        <v>1567826</v>
      </c>
      <c r="J18" s="258">
        <v>45607</v>
      </c>
      <c r="K18" s="343">
        <v>45635</v>
      </c>
    </row>
    <row r="19" spans="1:11" x14ac:dyDescent="0.2">
      <c r="A19" s="251">
        <v>16</v>
      </c>
      <c r="B19" s="251">
        <v>1486</v>
      </c>
      <c r="C19" s="252" t="s">
        <v>714</v>
      </c>
      <c r="D19" s="253">
        <v>387.8</v>
      </c>
      <c r="E19" s="254">
        <v>0.4</v>
      </c>
      <c r="F19" s="254">
        <f t="shared" si="0"/>
        <v>155.12</v>
      </c>
      <c r="G19" s="254">
        <f>F19</f>
        <v>155.12</v>
      </c>
      <c r="H19" s="254">
        <f t="shared" si="1"/>
        <v>0</v>
      </c>
      <c r="I19" s="251">
        <v>22792564</v>
      </c>
      <c r="J19" s="258">
        <v>45685</v>
      </c>
    </row>
    <row r="20" spans="1:11" x14ac:dyDescent="0.2">
      <c r="A20" s="251">
        <v>17</v>
      </c>
      <c r="B20" s="251">
        <v>1762</v>
      </c>
      <c r="C20" s="252" t="s">
        <v>82</v>
      </c>
      <c r="D20" s="253">
        <v>1237</v>
      </c>
      <c r="E20" s="254">
        <v>0.4</v>
      </c>
      <c r="F20" s="254">
        <f t="shared" si="0"/>
        <v>494.8</v>
      </c>
      <c r="G20" s="254">
        <f>F20</f>
        <v>494.8</v>
      </c>
      <c r="H20" s="254">
        <f t="shared" si="1"/>
        <v>0</v>
      </c>
      <c r="I20" s="255">
        <v>1409527</v>
      </c>
      <c r="J20" s="258" t="s">
        <v>773</v>
      </c>
    </row>
    <row r="21" spans="1:11" x14ac:dyDescent="0.2">
      <c r="A21" s="251">
        <v>18</v>
      </c>
      <c r="B21" s="251">
        <v>1792</v>
      </c>
      <c r="C21" s="252" t="s">
        <v>85</v>
      </c>
      <c r="D21" s="253">
        <v>357.4</v>
      </c>
      <c r="E21" s="254">
        <v>0.4</v>
      </c>
      <c r="F21" s="254">
        <f t="shared" si="0"/>
        <v>142.96</v>
      </c>
      <c r="G21" s="254">
        <f>F21</f>
        <v>142.96</v>
      </c>
      <c r="H21" s="254">
        <f t="shared" si="1"/>
        <v>0</v>
      </c>
      <c r="I21" s="321">
        <v>9545556</v>
      </c>
      <c r="J21" s="258">
        <v>45658</v>
      </c>
    </row>
    <row r="22" spans="1:11" x14ac:dyDescent="0.2">
      <c r="A22" s="229">
        <v>19</v>
      </c>
      <c r="B22" s="229">
        <v>3009</v>
      </c>
      <c r="C22" s="231" t="s">
        <v>87</v>
      </c>
      <c r="D22" s="232">
        <v>311.8</v>
      </c>
      <c r="E22" s="233">
        <v>0.4</v>
      </c>
      <c r="F22" s="233">
        <f t="shared" si="0"/>
        <v>124.72000000000001</v>
      </c>
      <c r="G22" s="233">
        <f>F22</f>
        <v>124.72000000000001</v>
      </c>
      <c r="H22" s="233">
        <f t="shared" si="1"/>
        <v>0</v>
      </c>
      <c r="I22" s="229">
        <v>1448391</v>
      </c>
      <c r="J22" s="237"/>
    </row>
    <row r="23" spans="1:11" x14ac:dyDescent="0.2">
      <c r="A23" s="251">
        <v>20</v>
      </c>
      <c r="B23" s="251">
        <v>3012</v>
      </c>
      <c r="C23" s="252" t="s">
        <v>90</v>
      </c>
      <c r="D23" s="253">
        <v>350</v>
      </c>
      <c r="E23" s="254">
        <v>0.4</v>
      </c>
      <c r="F23" s="254">
        <f t="shared" si="0"/>
        <v>140</v>
      </c>
      <c r="G23" s="254">
        <f>134.57+5.43</f>
        <v>140</v>
      </c>
      <c r="H23" s="254">
        <f t="shared" si="1"/>
        <v>0</v>
      </c>
      <c r="I23" s="251">
        <v>5634422</v>
      </c>
      <c r="J23" s="258">
        <v>45624</v>
      </c>
      <c r="K23" s="294">
        <v>45637</v>
      </c>
    </row>
    <row r="24" spans="1:11" x14ac:dyDescent="0.2">
      <c r="A24" s="251">
        <v>21</v>
      </c>
      <c r="B24" s="251">
        <v>3014</v>
      </c>
      <c r="C24" s="252" t="s">
        <v>92</v>
      </c>
      <c r="D24" s="253">
        <v>307.3</v>
      </c>
      <c r="E24" s="254">
        <v>0.4</v>
      </c>
      <c r="F24" s="254">
        <f t="shared" si="0"/>
        <v>122.92000000000002</v>
      </c>
      <c r="G24" s="254">
        <f>118.81+4.11</f>
        <v>122.92</v>
      </c>
      <c r="H24" s="254">
        <f t="shared" si="1"/>
        <v>0</v>
      </c>
      <c r="I24" s="251">
        <v>648421</v>
      </c>
      <c r="J24" s="258">
        <v>45602</v>
      </c>
      <c r="K24" s="294">
        <v>45624</v>
      </c>
    </row>
    <row r="25" spans="1:11" x14ac:dyDescent="0.2">
      <c r="A25" s="251">
        <v>22</v>
      </c>
      <c r="B25" s="251">
        <v>3015</v>
      </c>
      <c r="C25" s="252" t="s">
        <v>94</v>
      </c>
      <c r="D25" s="253">
        <v>353.4</v>
      </c>
      <c r="E25" s="254">
        <v>0.4</v>
      </c>
      <c r="F25" s="254">
        <f t="shared" si="0"/>
        <v>141.35999999999999</v>
      </c>
      <c r="G25" s="254">
        <f>F25</f>
        <v>141.35999999999999</v>
      </c>
      <c r="H25" s="254">
        <f t="shared" si="1"/>
        <v>0</v>
      </c>
      <c r="I25" s="251">
        <v>5753033</v>
      </c>
      <c r="J25" s="258">
        <v>45779</v>
      </c>
    </row>
    <row r="26" spans="1:11" x14ac:dyDescent="0.2">
      <c r="A26" s="251">
        <v>23</v>
      </c>
      <c r="B26" s="251">
        <v>3018</v>
      </c>
      <c r="C26" s="252" t="s">
        <v>96</v>
      </c>
      <c r="D26" s="253">
        <v>256.89999999999998</v>
      </c>
      <c r="E26" s="254">
        <v>0.4</v>
      </c>
      <c r="F26" s="254">
        <f t="shared" si="0"/>
        <v>102.75999999999999</v>
      </c>
      <c r="G26" s="254">
        <f>100.85+1.91</f>
        <v>102.75999999999999</v>
      </c>
      <c r="H26" s="254">
        <f t="shared" si="1"/>
        <v>0</v>
      </c>
      <c r="I26" s="255">
        <v>1528087</v>
      </c>
      <c r="J26" s="258">
        <v>45602</v>
      </c>
      <c r="K26" s="294">
        <v>45629</v>
      </c>
    </row>
    <row r="27" spans="1:11" x14ac:dyDescent="0.2">
      <c r="A27" s="251">
        <v>24</v>
      </c>
      <c r="B27" s="251">
        <v>3020</v>
      </c>
      <c r="C27" s="252" t="s">
        <v>98</v>
      </c>
      <c r="D27" s="253">
        <v>298.10000000000002</v>
      </c>
      <c r="E27" s="254">
        <v>0.4</v>
      </c>
      <c r="F27" s="254">
        <f t="shared" si="0"/>
        <v>119.24000000000001</v>
      </c>
      <c r="G27" s="254">
        <f>115.53+3.71</f>
        <v>119.24</v>
      </c>
      <c r="H27" s="254">
        <f t="shared" si="1"/>
        <v>0</v>
      </c>
      <c r="I27" s="251">
        <v>5418422</v>
      </c>
      <c r="J27" s="343">
        <v>45602</v>
      </c>
      <c r="K27" s="294">
        <v>45624</v>
      </c>
    </row>
    <row r="28" spans="1:11" x14ac:dyDescent="0.2">
      <c r="A28" s="251">
        <v>25</v>
      </c>
      <c r="B28" s="251">
        <v>3022</v>
      </c>
      <c r="C28" s="252" t="s">
        <v>100</v>
      </c>
      <c r="D28" s="253">
        <v>907.2</v>
      </c>
      <c r="E28" s="254">
        <v>0.4</v>
      </c>
      <c r="F28" s="254">
        <f t="shared" si="0"/>
        <v>362.88000000000005</v>
      </c>
      <c r="G28" s="254">
        <f>358.04+4.84</f>
        <v>362.88</v>
      </c>
      <c r="H28" s="254">
        <f t="shared" si="1"/>
        <v>0</v>
      </c>
      <c r="I28" s="251">
        <v>5360253</v>
      </c>
      <c r="J28" s="258">
        <v>45637</v>
      </c>
      <c r="K28" s="294">
        <v>45656</v>
      </c>
    </row>
    <row r="29" spans="1:11" x14ac:dyDescent="0.2">
      <c r="A29" s="229">
        <v>26</v>
      </c>
      <c r="B29" s="229">
        <v>3025</v>
      </c>
      <c r="C29" s="231" t="s">
        <v>102</v>
      </c>
      <c r="D29" s="232">
        <v>661.1</v>
      </c>
      <c r="E29" s="233">
        <v>0.4</v>
      </c>
      <c r="F29" s="233">
        <f t="shared" si="0"/>
        <v>264.44</v>
      </c>
      <c r="G29" s="233">
        <f>F29</f>
        <v>264.44</v>
      </c>
      <c r="H29" s="233">
        <f t="shared" si="1"/>
        <v>0</v>
      </c>
      <c r="I29" s="229">
        <v>7542172</v>
      </c>
      <c r="J29" s="237"/>
    </row>
    <row r="30" spans="1:11" x14ac:dyDescent="0.2">
      <c r="A30" s="229">
        <v>27</v>
      </c>
      <c r="B30" s="229">
        <v>3026</v>
      </c>
      <c r="C30" s="231" t="s">
        <v>105</v>
      </c>
      <c r="D30" s="232">
        <v>336</v>
      </c>
      <c r="E30" s="233">
        <v>0.4</v>
      </c>
      <c r="F30" s="233">
        <f t="shared" si="0"/>
        <v>134.4</v>
      </c>
      <c r="G30" s="233">
        <f>F30</f>
        <v>134.4</v>
      </c>
      <c r="H30" s="233">
        <f t="shared" si="1"/>
        <v>0</v>
      </c>
      <c r="I30" s="229">
        <v>7033819</v>
      </c>
      <c r="J30" s="237"/>
    </row>
    <row r="31" spans="1:11" x14ac:dyDescent="0.2">
      <c r="A31" s="251">
        <v>28</v>
      </c>
      <c r="B31" s="251">
        <v>3027</v>
      </c>
      <c r="C31" s="252" t="s">
        <v>107</v>
      </c>
      <c r="D31" s="253">
        <v>703.4</v>
      </c>
      <c r="E31" s="254">
        <v>0.4</v>
      </c>
      <c r="F31" s="254">
        <f t="shared" si="0"/>
        <v>281.36</v>
      </c>
      <c r="G31" s="254">
        <f>F31</f>
        <v>281.36</v>
      </c>
      <c r="H31" s="254">
        <f t="shared" si="1"/>
        <v>0</v>
      </c>
      <c r="I31" s="251">
        <v>6420643</v>
      </c>
      <c r="J31" s="258">
        <v>45685</v>
      </c>
      <c r="K31" s="269"/>
    </row>
    <row r="32" spans="1:11" x14ac:dyDescent="0.2">
      <c r="A32" s="251">
        <v>29</v>
      </c>
      <c r="B32" s="251">
        <v>3030</v>
      </c>
      <c r="C32" s="252" t="s">
        <v>109</v>
      </c>
      <c r="D32" s="253">
        <v>375</v>
      </c>
      <c r="E32" s="254">
        <v>0.4</v>
      </c>
      <c r="F32" s="254">
        <f t="shared" si="0"/>
        <v>150</v>
      </c>
      <c r="G32" s="254">
        <f>F32</f>
        <v>150</v>
      </c>
      <c r="H32" s="254">
        <f t="shared" si="1"/>
        <v>0</v>
      </c>
      <c r="I32" s="251">
        <v>6021175</v>
      </c>
      <c r="J32" s="258">
        <v>45650</v>
      </c>
    </row>
    <row r="33" spans="1:11" x14ac:dyDescent="0.2">
      <c r="A33" s="251">
        <v>30</v>
      </c>
      <c r="B33" s="251">
        <v>3038</v>
      </c>
      <c r="C33" s="252" t="s">
        <v>111</v>
      </c>
      <c r="D33" s="253">
        <v>714.2</v>
      </c>
      <c r="E33" s="254">
        <v>0.4</v>
      </c>
      <c r="F33" s="254">
        <f t="shared" si="0"/>
        <v>285.68</v>
      </c>
      <c r="G33" s="254">
        <f>282.6+3.08</f>
        <v>285.68</v>
      </c>
      <c r="H33" s="254">
        <f t="shared" si="1"/>
        <v>0</v>
      </c>
      <c r="I33" s="251">
        <v>7976</v>
      </c>
      <c r="J33" s="258">
        <v>45621</v>
      </c>
      <c r="K33" s="294">
        <v>45637</v>
      </c>
    </row>
    <row r="34" spans="1:11" x14ac:dyDescent="0.2">
      <c r="A34" s="251">
        <v>31</v>
      </c>
      <c r="B34" s="251">
        <v>3043</v>
      </c>
      <c r="C34" s="252" t="s">
        <v>113</v>
      </c>
      <c r="D34" s="253">
        <v>321.8</v>
      </c>
      <c r="E34" s="254">
        <v>0.4</v>
      </c>
      <c r="F34" s="254">
        <f t="shared" si="0"/>
        <v>128.72</v>
      </c>
      <c r="G34" s="254">
        <f>125.76+2.96</f>
        <v>128.72</v>
      </c>
      <c r="H34" s="254">
        <f t="shared" si="1"/>
        <v>0</v>
      </c>
      <c r="I34" s="251">
        <v>396336</v>
      </c>
      <c r="J34" s="258">
        <v>45642</v>
      </c>
      <c r="K34" s="294">
        <v>45656</v>
      </c>
    </row>
    <row r="35" spans="1:11" x14ac:dyDescent="0.2">
      <c r="A35" s="229">
        <v>32</v>
      </c>
      <c r="B35" s="229">
        <v>3058</v>
      </c>
      <c r="C35" s="231" t="s">
        <v>115</v>
      </c>
      <c r="D35" s="232">
        <v>1071.7</v>
      </c>
      <c r="E35" s="233">
        <v>0.4</v>
      </c>
      <c r="F35" s="233">
        <f t="shared" si="0"/>
        <v>428.68000000000006</v>
      </c>
      <c r="G35" s="233">
        <f>F35</f>
        <v>428.68000000000006</v>
      </c>
      <c r="H35" s="233">
        <f t="shared" si="1"/>
        <v>0</v>
      </c>
      <c r="I35" s="229">
        <v>965148</v>
      </c>
      <c r="J35" s="237"/>
    </row>
    <row r="36" spans="1:11" x14ac:dyDescent="0.2">
      <c r="A36" s="360">
        <v>33</v>
      </c>
      <c r="B36" s="360">
        <v>3070</v>
      </c>
      <c r="C36" s="361" t="s">
        <v>117</v>
      </c>
      <c r="D36" s="362">
        <v>1116.5</v>
      </c>
      <c r="E36" s="363">
        <v>0.4</v>
      </c>
      <c r="F36" s="363">
        <f t="shared" si="0"/>
        <v>446.6</v>
      </c>
      <c r="G36" s="363">
        <f>F36</f>
        <v>446.6</v>
      </c>
      <c r="H36" s="363">
        <f t="shared" si="1"/>
        <v>0</v>
      </c>
      <c r="I36" s="400">
        <v>1918001</v>
      </c>
      <c r="J36" s="401">
        <v>45627</v>
      </c>
    </row>
    <row r="37" spans="1:11" x14ac:dyDescent="0.2">
      <c r="A37" s="251">
        <v>34</v>
      </c>
      <c r="B37" s="251">
        <v>3072</v>
      </c>
      <c r="C37" s="252" t="s">
        <v>119</v>
      </c>
      <c r="D37" s="253">
        <v>350</v>
      </c>
      <c r="E37" s="254">
        <v>0.4</v>
      </c>
      <c r="F37" s="254">
        <f t="shared" si="0"/>
        <v>140</v>
      </c>
      <c r="G37" s="254">
        <f>138.3+1.7</f>
        <v>140</v>
      </c>
      <c r="H37" s="254">
        <f t="shared" si="1"/>
        <v>0</v>
      </c>
      <c r="I37" s="251">
        <v>993077</v>
      </c>
      <c r="J37" s="258">
        <v>45665</v>
      </c>
      <c r="K37" s="294">
        <v>45779</v>
      </c>
    </row>
    <row r="38" spans="1:11" x14ac:dyDescent="0.2">
      <c r="A38" s="251">
        <v>35</v>
      </c>
      <c r="B38" s="251">
        <v>3077</v>
      </c>
      <c r="C38" s="252" t="s">
        <v>123</v>
      </c>
      <c r="D38" s="253">
        <v>640</v>
      </c>
      <c r="E38" s="254">
        <v>0.4</v>
      </c>
      <c r="F38" s="254">
        <f t="shared" si="0"/>
        <v>256</v>
      </c>
      <c r="G38" s="254">
        <f>F38</f>
        <v>256</v>
      </c>
      <c r="H38" s="254">
        <f t="shared" si="1"/>
        <v>0</v>
      </c>
      <c r="I38" s="251">
        <v>21978752</v>
      </c>
      <c r="J38" s="258">
        <v>45635</v>
      </c>
    </row>
    <row r="39" spans="1:11" x14ac:dyDescent="0.2">
      <c r="A39" s="251">
        <v>36</v>
      </c>
      <c r="B39" s="251">
        <v>3081</v>
      </c>
      <c r="C39" s="252" t="s">
        <v>126</v>
      </c>
      <c r="D39" s="253">
        <v>478.2</v>
      </c>
      <c r="E39" s="254">
        <v>0.4</v>
      </c>
      <c r="F39" s="254">
        <f t="shared" si="0"/>
        <v>191.28</v>
      </c>
      <c r="G39" s="254">
        <f>96.55+94.73</f>
        <v>191.28</v>
      </c>
      <c r="H39" s="254">
        <f t="shared" si="1"/>
        <v>0</v>
      </c>
      <c r="I39" s="251">
        <v>21219868</v>
      </c>
      <c r="J39" s="258">
        <v>45635</v>
      </c>
      <c r="K39" s="292" t="s">
        <v>815</v>
      </c>
    </row>
    <row r="40" spans="1:11" x14ac:dyDescent="0.2">
      <c r="A40" s="251">
        <v>37</v>
      </c>
      <c r="B40" s="251">
        <v>3089</v>
      </c>
      <c r="C40" s="252" t="s">
        <v>130</v>
      </c>
      <c r="D40" s="253">
        <v>336.4</v>
      </c>
      <c r="E40" s="254">
        <v>0.4</v>
      </c>
      <c r="F40" s="254">
        <f t="shared" si="0"/>
        <v>134.56</v>
      </c>
      <c r="G40" s="254">
        <f>F40</f>
        <v>134.56</v>
      </c>
      <c r="H40" s="254">
        <f t="shared" si="1"/>
        <v>0</v>
      </c>
      <c r="I40" s="251">
        <v>18790484</v>
      </c>
      <c r="J40" s="258">
        <v>45656</v>
      </c>
    </row>
    <row r="41" spans="1:11" x14ac:dyDescent="0.2">
      <c r="A41" s="229">
        <v>38</v>
      </c>
      <c r="B41" s="229">
        <v>3093</v>
      </c>
      <c r="C41" s="231" t="s">
        <v>132</v>
      </c>
      <c r="D41" s="232">
        <v>518.1</v>
      </c>
      <c r="E41" s="233">
        <v>0.4</v>
      </c>
      <c r="F41" s="233">
        <f t="shared" si="0"/>
        <v>207.24</v>
      </c>
      <c r="G41" s="233">
        <f>F41</f>
        <v>207.24</v>
      </c>
      <c r="H41" s="233">
        <f t="shared" si="1"/>
        <v>0</v>
      </c>
      <c r="I41" s="229">
        <v>6361035</v>
      </c>
      <c r="J41" s="237"/>
    </row>
    <row r="42" spans="1:11" x14ac:dyDescent="0.2">
      <c r="A42" s="251">
        <v>39</v>
      </c>
      <c r="B42" s="251">
        <v>3094</v>
      </c>
      <c r="C42" s="252" t="s">
        <v>136</v>
      </c>
      <c r="D42" s="253">
        <v>1043.4000000000001</v>
      </c>
      <c r="E42" s="254">
        <v>0.4</v>
      </c>
      <c r="F42" s="254">
        <f t="shared" si="0"/>
        <v>417.36000000000007</v>
      </c>
      <c r="G42" s="254">
        <f>312+105.36</f>
        <v>417.36</v>
      </c>
      <c r="H42" s="254">
        <f t="shared" si="1"/>
        <v>0</v>
      </c>
      <c r="I42" s="251">
        <v>26343985</v>
      </c>
      <c r="J42" s="258">
        <v>45691</v>
      </c>
    </row>
    <row r="43" spans="1:11" x14ac:dyDescent="0.2">
      <c r="A43" s="229">
        <v>40</v>
      </c>
      <c r="B43" s="229">
        <v>3100</v>
      </c>
      <c r="C43" s="231" t="s">
        <v>138</v>
      </c>
      <c r="D43" s="232">
        <v>1460</v>
      </c>
      <c r="E43" s="233">
        <v>0.4</v>
      </c>
      <c r="F43" s="233">
        <f t="shared" si="0"/>
        <v>584</v>
      </c>
      <c r="G43" s="233">
        <f>F43</f>
        <v>584</v>
      </c>
      <c r="H43" s="233">
        <f t="shared" si="1"/>
        <v>0</v>
      </c>
      <c r="I43" s="229">
        <v>1278615</v>
      </c>
      <c r="J43" s="237"/>
    </row>
    <row r="44" spans="1:11" x14ac:dyDescent="0.2">
      <c r="A44" s="229">
        <v>41</v>
      </c>
      <c r="B44" s="229">
        <v>3101</v>
      </c>
      <c r="C44" s="231" t="s">
        <v>140</v>
      </c>
      <c r="D44" s="232">
        <v>360.4</v>
      </c>
      <c r="E44" s="233">
        <v>0.4</v>
      </c>
      <c r="F44" s="233">
        <f t="shared" si="0"/>
        <v>144.16</v>
      </c>
      <c r="G44" s="233">
        <f>F44</f>
        <v>144.16</v>
      </c>
      <c r="H44" s="233">
        <f t="shared" si="1"/>
        <v>0</v>
      </c>
      <c r="I44" s="229">
        <v>6767598</v>
      </c>
      <c r="J44" s="237"/>
    </row>
    <row r="45" spans="1:11" x14ac:dyDescent="0.2">
      <c r="A45" s="251">
        <v>42</v>
      </c>
      <c r="B45" s="251">
        <v>3102</v>
      </c>
      <c r="C45" s="252" t="s">
        <v>142</v>
      </c>
      <c r="D45" s="253">
        <v>685.7</v>
      </c>
      <c r="E45" s="254">
        <v>0.4</v>
      </c>
      <c r="F45" s="254">
        <f t="shared" si="0"/>
        <v>274.28000000000003</v>
      </c>
      <c r="G45" s="254">
        <f>272.28+2</f>
        <v>274.27999999999997</v>
      </c>
      <c r="H45" s="254">
        <f t="shared" si="1"/>
        <v>0</v>
      </c>
      <c r="I45" s="251">
        <v>5916838</v>
      </c>
      <c r="J45" s="258">
        <v>45602</v>
      </c>
      <c r="K45" s="294">
        <v>45629</v>
      </c>
    </row>
    <row r="46" spans="1:11" x14ac:dyDescent="0.2">
      <c r="A46" s="251">
        <v>43</v>
      </c>
      <c r="B46" s="251">
        <v>3119</v>
      </c>
      <c r="C46" s="252" t="s">
        <v>144</v>
      </c>
      <c r="D46" s="253">
        <v>765.5</v>
      </c>
      <c r="E46" s="254">
        <v>0.4</v>
      </c>
      <c r="F46" s="254">
        <f t="shared" si="0"/>
        <v>306.2</v>
      </c>
      <c r="G46" s="254">
        <f>304.12+2.08</f>
        <v>306.2</v>
      </c>
      <c r="H46" s="254">
        <f t="shared" si="1"/>
        <v>0</v>
      </c>
      <c r="I46" s="251">
        <v>5903061</v>
      </c>
      <c r="J46" s="258">
        <v>45602</v>
      </c>
      <c r="K46" s="294">
        <v>45629</v>
      </c>
    </row>
    <row r="47" spans="1:11" x14ac:dyDescent="0.2">
      <c r="A47" s="251">
        <v>44</v>
      </c>
      <c r="B47" s="251">
        <v>3122</v>
      </c>
      <c r="C47" s="252" t="s">
        <v>146</v>
      </c>
      <c r="D47" s="253">
        <v>375</v>
      </c>
      <c r="E47" s="254">
        <v>0.4</v>
      </c>
      <c r="F47" s="254">
        <f t="shared" si="0"/>
        <v>150</v>
      </c>
      <c r="G47" s="254">
        <f>147.75+2.25</f>
        <v>150</v>
      </c>
      <c r="H47" s="254">
        <f t="shared" si="1"/>
        <v>0</v>
      </c>
      <c r="I47" s="251">
        <v>12415718</v>
      </c>
      <c r="J47" s="258">
        <v>45615</v>
      </c>
      <c r="K47" s="294">
        <v>45644</v>
      </c>
    </row>
    <row r="48" spans="1:11" x14ac:dyDescent="0.2">
      <c r="A48" s="251">
        <v>45</v>
      </c>
      <c r="B48" s="251">
        <v>3136</v>
      </c>
      <c r="C48" s="252" t="s">
        <v>20</v>
      </c>
      <c r="D48" s="253">
        <v>676.2</v>
      </c>
      <c r="E48" s="254">
        <v>0.4</v>
      </c>
      <c r="F48" s="254">
        <f t="shared" si="0"/>
        <v>270.48</v>
      </c>
      <c r="G48" s="254">
        <f>F48</f>
        <v>270.48</v>
      </c>
      <c r="H48" s="254">
        <f t="shared" si="1"/>
        <v>0</v>
      </c>
      <c r="I48" s="251">
        <v>183498</v>
      </c>
      <c r="J48" s="258">
        <v>45624</v>
      </c>
    </row>
    <row r="49" spans="1:12" x14ac:dyDescent="0.2">
      <c r="A49" s="229">
        <v>46</v>
      </c>
      <c r="B49" s="229">
        <v>3178</v>
      </c>
      <c r="C49" s="231" t="s">
        <v>147</v>
      </c>
      <c r="D49" s="232">
        <v>2264.9</v>
      </c>
      <c r="E49" s="233">
        <v>0.4</v>
      </c>
      <c r="F49" s="233">
        <f t="shared" si="0"/>
        <v>905.96</v>
      </c>
      <c r="G49" s="233">
        <f>F49</f>
        <v>905.96</v>
      </c>
      <c r="H49" s="233">
        <f t="shared" si="1"/>
        <v>0</v>
      </c>
      <c r="I49" s="229">
        <v>1511754</v>
      </c>
      <c r="J49" s="237"/>
    </row>
    <row r="50" spans="1:12" x14ac:dyDescent="0.2">
      <c r="A50" s="251">
        <v>47</v>
      </c>
      <c r="B50" s="251">
        <v>3199</v>
      </c>
      <c r="C50" s="252" t="s">
        <v>149</v>
      </c>
      <c r="D50" s="253">
        <v>342.5</v>
      </c>
      <c r="E50" s="254">
        <v>0.4</v>
      </c>
      <c r="F50" s="254">
        <f t="shared" si="0"/>
        <v>137</v>
      </c>
      <c r="G50" s="254">
        <f>F50</f>
        <v>137</v>
      </c>
      <c r="H50" s="254">
        <f t="shared" si="1"/>
        <v>0</v>
      </c>
      <c r="I50" s="251">
        <v>5168327</v>
      </c>
      <c r="J50" s="258">
        <v>45637</v>
      </c>
    </row>
    <row r="51" spans="1:12" x14ac:dyDescent="0.2">
      <c r="A51" s="251">
        <v>48</v>
      </c>
      <c r="B51" s="251">
        <v>3200</v>
      </c>
      <c r="C51" s="252" t="s">
        <v>151</v>
      </c>
      <c r="D51" s="253">
        <v>289.89999999999998</v>
      </c>
      <c r="E51" s="254">
        <v>0.4</v>
      </c>
      <c r="F51" s="254">
        <f t="shared" si="0"/>
        <v>115.96</v>
      </c>
      <c r="G51" s="254">
        <f>111.75+4.21</f>
        <v>115.96</v>
      </c>
      <c r="H51" s="254">
        <f t="shared" si="1"/>
        <v>0</v>
      </c>
      <c r="I51" s="255">
        <v>21947578</v>
      </c>
      <c r="J51" s="258">
        <v>45656</v>
      </c>
      <c r="K51" s="294">
        <v>45677</v>
      </c>
    </row>
    <row r="52" spans="1:12" x14ac:dyDescent="0.2">
      <c r="A52" s="229">
        <v>49</v>
      </c>
      <c r="B52" s="229">
        <v>3201</v>
      </c>
      <c r="C52" s="231" t="s">
        <v>153</v>
      </c>
      <c r="D52" s="232">
        <v>290.60000000000002</v>
      </c>
      <c r="E52" s="233">
        <v>0.4</v>
      </c>
      <c r="F52" s="233">
        <f t="shared" si="0"/>
        <v>116.24000000000001</v>
      </c>
      <c r="G52" s="233">
        <f>F52</f>
        <v>116.24000000000001</v>
      </c>
      <c r="H52" s="233">
        <f t="shared" si="1"/>
        <v>0</v>
      </c>
      <c r="I52" s="229">
        <v>7048401</v>
      </c>
      <c r="J52" s="237"/>
    </row>
    <row r="53" spans="1:12" x14ac:dyDescent="0.2">
      <c r="A53" s="251">
        <v>50</v>
      </c>
      <c r="B53" s="251">
        <v>3202</v>
      </c>
      <c r="C53" s="252" t="s">
        <v>155</v>
      </c>
      <c r="D53" s="253">
        <v>350.5</v>
      </c>
      <c r="E53" s="254">
        <v>0.4</v>
      </c>
      <c r="F53" s="254">
        <f t="shared" si="0"/>
        <v>140.20000000000002</v>
      </c>
      <c r="G53" s="254">
        <f>F53</f>
        <v>140.20000000000002</v>
      </c>
      <c r="H53" s="254">
        <f t="shared" si="1"/>
        <v>0</v>
      </c>
      <c r="I53" s="251">
        <v>5197371</v>
      </c>
      <c r="J53" s="343">
        <v>45691</v>
      </c>
    </row>
    <row r="54" spans="1:12" x14ac:dyDescent="0.2">
      <c r="A54" s="251">
        <v>51</v>
      </c>
      <c r="B54" s="251">
        <v>3203</v>
      </c>
      <c r="C54" s="252" t="s">
        <v>157</v>
      </c>
      <c r="D54" s="253">
        <v>436.8</v>
      </c>
      <c r="E54" s="254">
        <v>0.4</v>
      </c>
      <c r="F54" s="254">
        <f t="shared" si="0"/>
        <v>174.72000000000003</v>
      </c>
      <c r="G54" s="254">
        <f>170.56+4.16</f>
        <v>174.72</v>
      </c>
      <c r="H54" s="254">
        <f t="shared" si="1"/>
        <v>0</v>
      </c>
      <c r="I54" s="251">
        <v>23215097</v>
      </c>
      <c r="J54" s="258">
        <v>45607</v>
      </c>
      <c r="K54" s="294">
        <v>45629</v>
      </c>
    </row>
    <row r="55" spans="1:12" x14ac:dyDescent="0.2">
      <c r="A55" s="284">
        <v>52</v>
      </c>
      <c r="B55" s="284">
        <v>3204</v>
      </c>
      <c r="C55" s="285" t="s">
        <v>159</v>
      </c>
      <c r="D55" s="286">
        <v>454.2</v>
      </c>
      <c r="E55" s="287">
        <v>0.4</v>
      </c>
      <c r="F55" s="287">
        <f t="shared" si="0"/>
        <v>181.68</v>
      </c>
      <c r="G55" s="287">
        <f>F55</f>
        <v>181.68</v>
      </c>
      <c r="H55" s="287">
        <f t="shared" si="1"/>
        <v>0</v>
      </c>
      <c r="I55" s="284">
        <v>24958926</v>
      </c>
      <c r="J55" s="291" t="s">
        <v>775</v>
      </c>
    </row>
    <row r="56" spans="1:12" x14ac:dyDescent="0.2">
      <c r="A56" s="229">
        <v>53</v>
      </c>
      <c r="B56" s="229">
        <v>3207</v>
      </c>
      <c r="C56" s="231" t="s">
        <v>162</v>
      </c>
      <c r="D56" s="232">
        <v>787.3</v>
      </c>
      <c r="E56" s="233">
        <v>0.4</v>
      </c>
      <c r="F56" s="233">
        <f t="shared" si="0"/>
        <v>314.92</v>
      </c>
      <c r="G56" s="233">
        <f>F56</f>
        <v>314.92</v>
      </c>
      <c r="H56" s="233">
        <f t="shared" si="1"/>
        <v>0</v>
      </c>
      <c r="I56" s="229">
        <v>11940175</v>
      </c>
      <c r="J56" s="237"/>
    </row>
    <row r="57" spans="1:12" x14ac:dyDescent="0.2">
      <c r="A57" s="251">
        <v>54</v>
      </c>
      <c r="B57" s="251">
        <v>3208</v>
      </c>
      <c r="C57" s="252" t="s">
        <v>164</v>
      </c>
      <c r="D57" s="253">
        <v>608.29999999999995</v>
      </c>
      <c r="E57" s="254">
        <v>0.4</v>
      </c>
      <c r="F57" s="254">
        <f t="shared" si="0"/>
        <v>243.32</v>
      </c>
      <c r="G57" s="254">
        <f>132.24+111.08</f>
        <v>243.32</v>
      </c>
      <c r="H57" s="254">
        <f t="shared" si="1"/>
        <v>0</v>
      </c>
      <c r="I57" s="251">
        <v>1742664</v>
      </c>
      <c r="J57" s="258">
        <v>45629</v>
      </c>
      <c r="K57" s="294">
        <v>45658</v>
      </c>
    </row>
    <row r="58" spans="1:12" x14ac:dyDescent="0.2">
      <c r="A58" s="251">
        <v>55</v>
      </c>
      <c r="B58" s="251">
        <v>3209</v>
      </c>
      <c r="C58" s="252" t="s">
        <v>169</v>
      </c>
      <c r="D58" s="253">
        <v>375</v>
      </c>
      <c r="E58" s="254">
        <v>0.4</v>
      </c>
      <c r="F58" s="254">
        <f t="shared" si="0"/>
        <v>150</v>
      </c>
      <c r="G58" s="254">
        <f>F58</f>
        <v>150</v>
      </c>
      <c r="H58" s="254">
        <f t="shared" si="1"/>
        <v>0</v>
      </c>
      <c r="I58" s="251">
        <v>5634328</v>
      </c>
      <c r="J58" s="258">
        <v>45624</v>
      </c>
    </row>
    <row r="59" spans="1:12" x14ac:dyDescent="0.2">
      <c r="A59" s="251">
        <v>56</v>
      </c>
      <c r="B59" s="251">
        <v>3210</v>
      </c>
      <c r="C59" s="252" t="s">
        <v>171</v>
      </c>
      <c r="D59" s="253">
        <v>640.4</v>
      </c>
      <c r="E59" s="254">
        <v>0.4</v>
      </c>
      <c r="F59" s="254">
        <f t="shared" si="0"/>
        <v>256.16000000000003</v>
      </c>
      <c r="G59" s="254">
        <f>253.2+2.96</f>
        <v>256.15999999999997</v>
      </c>
      <c r="H59" s="254">
        <f t="shared" si="1"/>
        <v>0</v>
      </c>
      <c r="I59" s="251">
        <v>45419</v>
      </c>
      <c r="J59" s="258">
        <v>45602</v>
      </c>
      <c r="K59" s="294">
        <v>45629</v>
      </c>
    </row>
    <row r="60" spans="1:12" x14ac:dyDescent="0.2">
      <c r="A60" s="251">
        <v>57</v>
      </c>
      <c r="B60" s="251">
        <v>3211</v>
      </c>
      <c r="C60" s="252" t="s">
        <v>173</v>
      </c>
      <c r="D60" s="253">
        <v>330</v>
      </c>
      <c r="E60" s="254">
        <v>0.4</v>
      </c>
      <c r="F60" s="254">
        <f t="shared" si="0"/>
        <v>132</v>
      </c>
      <c r="G60" s="254">
        <f>129.65+2.35</f>
        <v>132</v>
      </c>
      <c r="H60" s="254">
        <f t="shared" si="1"/>
        <v>0</v>
      </c>
      <c r="I60" s="342">
        <v>9927207</v>
      </c>
      <c r="J60" s="258">
        <v>45602</v>
      </c>
      <c r="K60" s="294">
        <v>45629</v>
      </c>
    </row>
    <row r="61" spans="1:12" x14ac:dyDescent="0.2">
      <c r="A61" s="251">
        <v>58</v>
      </c>
      <c r="B61" s="251">
        <v>3212</v>
      </c>
      <c r="C61" s="252" t="s">
        <v>175</v>
      </c>
      <c r="D61" s="253">
        <v>977.7</v>
      </c>
      <c r="E61" s="254">
        <v>0.4</v>
      </c>
      <c r="F61" s="254">
        <f t="shared" si="0"/>
        <v>391.08000000000004</v>
      </c>
      <c r="G61" s="254">
        <f>F61</f>
        <v>391.08000000000004</v>
      </c>
      <c r="H61" s="254">
        <f t="shared" si="1"/>
        <v>0</v>
      </c>
      <c r="I61" s="251">
        <v>804443</v>
      </c>
      <c r="J61" s="258">
        <v>45648</v>
      </c>
    </row>
    <row r="62" spans="1:12" x14ac:dyDescent="0.2">
      <c r="A62" s="229">
        <v>59</v>
      </c>
      <c r="B62" s="229">
        <v>3213</v>
      </c>
      <c r="C62" s="231" t="s">
        <v>177</v>
      </c>
      <c r="D62" s="232">
        <v>853.3</v>
      </c>
      <c r="E62" s="233">
        <v>0.4</v>
      </c>
      <c r="F62" s="233">
        <f t="shared" si="0"/>
        <v>341.32</v>
      </c>
      <c r="G62" s="233">
        <f>F62</f>
        <v>341.32</v>
      </c>
      <c r="H62" s="233">
        <f t="shared" si="1"/>
        <v>0</v>
      </c>
      <c r="I62" s="229">
        <v>2594336</v>
      </c>
      <c r="J62" s="237"/>
    </row>
    <row r="63" spans="1:12" x14ac:dyDescent="0.2">
      <c r="A63" s="251">
        <v>60</v>
      </c>
      <c r="B63" s="251">
        <v>3214</v>
      </c>
      <c r="C63" s="252" t="s">
        <v>179</v>
      </c>
      <c r="D63" s="253">
        <v>938.3</v>
      </c>
      <c r="E63" s="254">
        <v>0.4</v>
      </c>
      <c r="F63" s="254">
        <f t="shared" si="0"/>
        <v>375.32</v>
      </c>
      <c r="G63" s="254">
        <f>373.45+1.87</f>
        <v>375.32</v>
      </c>
      <c r="H63" s="254">
        <f t="shared" si="1"/>
        <v>0</v>
      </c>
      <c r="I63" s="251">
        <v>5168262</v>
      </c>
      <c r="J63" s="258">
        <v>45658</v>
      </c>
      <c r="K63" s="343">
        <v>45691</v>
      </c>
    </row>
    <row r="64" spans="1:12" x14ac:dyDescent="0.2">
      <c r="A64" s="251">
        <v>61</v>
      </c>
      <c r="B64" s="251">
        <v>3215</v>
      </c>
      <c r="C64" s="252" t="s">
        <v>181</v>
      </c>
      <c r="D64" s="253">
        <v>742</v>
      </c>
      <c r="E64" s="254">
        <v>0.4</v>
      </c>
      <c r="F64" s="254">
        <f t="shared" si="0"/>
        <v>296.8</v>
      </c>
      <c r="G64" s="254">
        <f>195.96+97+3.84</f>
        <v>296.8</v>
      </c>
      <c r="H64" s="254">
        <f t="shared" si="1"/>
        <v>0</v>
      </c>
      <c r="I64" s="255">
        <v>11684091</v>
      </c>
      <c r="J64" s="258">
        <v>45635</v>
      </c>
      <c r="K64" s="294">
        <v>45637</v>
      </c>
      <c r="L64" s="294">
        <v>45644</v>
      </c>
    </row>
    <row r="65" spans="1:14" x14ac:dyDescent="0.2">
      <c r="A65" s="251">
        <v>62</v>
      </c>
      <c r="B65" s="251">
        <v>3216</v>
      </c>
      <c r="C65" s="252" t="s">
        <v>23</v>
      </c>
      <c r="D65" s="253">
        <v>889.1</v>
      </c>
      <c r="E65" s="254">
        <v>0.4</v>
      </c>
      <c r="F65" s="254">
        <f t="shared" si="0"/>
        <v>355.64000000000004</v>
      </c>
      <c r="G65" s="254">
        <f>353.36+2.28</f>
        <v>355.64</v>
      </c>
      <c r="H65" s="254">
        <f t="shared" si="1"/>
        <v>0</v>
      </c>
      <c r="I65" s="321">
        <v>18715567</v>
      </c>
      <c r="J65" s="258">
        <v>45602</v>
      </c>
      <c r="K65" s="294">
        <v>45637</v>
      </c>
    </row>
    <row r="66" spans="1:14" x14ac:dyDescent="0.2">
      <c r="A66" s="229">
        <v>63</v>
      </c>
      <c r="B66" s="229">
        <v>3217</v>
      </c>
      <c r="C66" s="231" t="s">
        <v>183</v>
      </c>
      <c r="D66" s="232">
        <v>311.89999999999998</v>
      </c>
      <c r="E66" s="233">
        <v>0.4</v>
      </c>
      <c r="F66" s="233">
        <f t="shared" si="0"/>
        <v>124.75999999999999</v>
      </c>
      <c r="G66" s="233">
        <f>F66</f>
        <v>124.75999999999999</v>
      </c>
      <c r="H66" s="233">
        <f t="shared" si="1"/>
        <v>0</v>
      </c>
      <c r="I66" s="229">
        <v>1568196</v>
      </c>
      <c r="J66" s="237"/>
    </row>
    <row r="67" spans="1:14" s="269" customFormat="1" x14ac:dyDescent="0.2">
      <c r="A67" s="251">
        <v>64</v>
      </c>
      <c r="B67" s="251">
        <v>3219</v>
      </c>
      <c r="C67" s="252" t="s">
        <v>185</v>
      </c>
      <c r="D67" s="253">
        <v>1078.2</v>
      </c>
      <c r="E67" s="254">
        <v>0.4</v>
      </c>
      <c r="F67" s="254">
        <f t="shared" si="0"/>
        <v>431.28000000000003</v>
      </c>
      <c r="G67" s="254">
        <f>144.29+286.15+0.84</f>
        <v>431.27999999999992</v>
      </c>
      <c r="H67" s="254">
        <f t="shared" si="1"/>
        <v>0</v>
      </c>
      <c r="I67" s="321">
        <v>12398617</v>
      </c>
      <c r="J67" s="258">
        <v>45607</v>
      </c>
      <c r="K67" s="343">
        <v>45615</v>
      </c>
      <c r="L67" s="343">
        <v>45624</v>
      </c>
    </row>
    <row r="68" spans="1:14" x14ac:dyDescent="0.2">
      <c r="A68" s="229">
        <v>65</v>
      </c>
      <c r="B68" s="229">
        <v>3220</v>
      </c>
      <c r="C68" s="231" t="s">
        <v>187</v>
      </c>
      <c r="D68" s="232">
        <v>696</v>
      </c>
      <c r="E68" s="233">
        <v>0.4</v>
      </c>
      <c r="F68" s="233">
        <f t="shared" si="0"/>
        <v>278.40000000000003</v>
      </c>
      <c r="G68" s="233">
        <f>F68</f>
        <v>278.40000000000003</v>
      </c>
      <c r="H68" s="233">
        <f t="shared" si="1"/>
        <v>0</v>
      </c>
      <c r="I68" s="229">
        <v>5348311</v>
      </c>
      <c r="J68" s="237"/>
    </row>
    <row r="69" spans="1:14" x14ac:dyDescent="0.2">
      <c r="A69" s="251">
        <v>66</v>
      </c>
      <c r="B69" s="251">
        <v>3221</v>
      </c>
      <c r="C69" s="252" t="s">
        <v>189</v>
      </c>
      <c r="D69" s="253">
        <v>336</v>
      </c>
      <c r="E69" s="254">
        <v>0.4</v>
      </c>
      <c r="F69" s="254">
        <f t="shared" ref="F69:F134" si="2">E69*D69</f>
        <v>134.4</v>
      </c>
      <c r="G69" s="254">
        <f>F69</f>
        <v>134.4</v>
      </c>
      <c r="H69" s="254">
        <f t="shared" ref="H69:H131" si="3">F69-G69</f>
        <v>0</v>
      </c>
      <c r="I69" s="251">
        <v>13362673</v>
      </c>
      <c r="J69" s="258" t="s">
        <v>851</v>
      </c>
      <c r="K69" s="269"/>
    </row>
    <row r="70" spans="1:14" x14ac:dyDescent="0.2">
      <c r="A70" s="251">
        <v>67</v>
      </c>
      <c r="B70" s="251">
        <v>3222</v>
      </c>
      <c r="C70" s="252" t="s">
        <v>191</v>
      </c>
      <c r="D70" s="253">
        <v>531</v>
      </c>
      <c r="E70" s="254">
        <v>0.4</v>
      </c>
      <c r="F70" s="254">
        <f t="shared" si="2"/>
        <v>212.4</v>
      </c>
      <c r="G70" s="254">
        <f>211.18+1.22</f>
        <v>212.4</v>
      </c>
      <c r="H70" s="254">
        <f t="shared" si="3"/>
        <v>0</v>
      </c>
      <c r="I70" s="251">
        <v>18091329</v>
      </c>
      <c r="J70" s="258">
        <v>45602</v>
      </c>
      <c r="K70" s="294">
        <v>45630</v>
      </c>
    </row>
    <row r="71" spans="1:14" x14ac:dyDescent="0.2">
      <c r="A71" s="229">
        <v>68</v>
      </c>
      <c r="B71" s="229">
        <v>3223</v>
      </c>
      <c r="C71" s="231" t="s">
        <v>193</v>
      </c>
      <c r="D71" s="232">
        <v>336</v>
      </c>
      <c r="E71" s="233">
        <v>0.4</v>
      </c>
      <c r="F71" s="233">
        <f t="shared" si="2"/>
        <v>134.4</v>
      </c>
      <c r="G71" s="233">
        <f>F71</f>
        <v>134.4</v>
      </c>
      <c r="H71" s="233">
        <f t="shared" si="3"/>
        <v>0</v>
      </c>
      <c r="I71" s="229">
        <v>5334914</v>
      </c>
      <c r="J71" s="237"/>
      <c r="N71" s="402">
        <f>732.95-F61</f>
        <v>341.87</v>
      </c>
    </row>
    <row r="72" spans="1:14" x14ac:dyDescent="0.2">
      <c r="A72" s="251">
        <v>69</v>
      </c>
      <c r="B72" s="251">
        <v>3224</v>
      </c>
      <c r="C72" s="252" t="s">
        <v>195</v>
      </c>
      <c r="D72" s="253">
        <v>300</v>
      </c>
      <c r="E72" s="254">
        <v>0.4</v>
      </c>
      <c r="F72" s="254">
        <f t="shared" si="2"/>
        <v>120</v>
      </c>
      <c r="G72" s="254">
        <f>117.83+2.17</f>
        <v>120</v>
      </c>
      <c r="H72" s="254">
        <f t="shared" si="3"/>
        <v>0</v>
      </c>
      <c r="I72" s="251">
        <v>2066756</v>
      </c>
      <c r="J72" s="258">
        <v>45615</v>
      </c>
      <c r="K72" s="294">
        <v>45635</v>
      </c>
    </row>
    <row r="73" spans="1:14" x14ac:dyDescent="0.2">
      <c r="A73" s="284">
        <v>70</v>
      </c>
      <c r="B73" s="284">
        <v>3225</v>
      </c>
      <c r="C73" s="285" t="s">
        <v>197</v>
      </c>
      <c r="D73" s="286">
        <v>350.6</v>
      </c>
      <c r="E73" s="287">
        <v>0.4</v>
      </c>
      <c r="F73" s="287">
        <f t="shared" si="2"/>
        <v>140.24</v>
      </c>
      <c r="G73" s="287">
        <f>F73</f>
        <v>140.24</v>
      </c>
      <c r="H73" s="287">
        <f t="shared" si="3"/>
        <v>0</v>
      </c>
      <c r="I73" s="345">
        <v>798637</v>
      </c>
      <c r="J73" s="291" t="s">
        <v>775</v>
      </c>
    </row>
    <row r="74" spans="1:14" s="269" customFormat="1" x14ac:dyDescent="0.2">
      <c r="A74" s="251">
        <v>71</v>
      </c>
      <c r="B74" s="251">
        <v>3227</v>
      </c>
      <c r="C74" s="252" t="s">
        <v>787</v>
      </c>
      <c r="D74" s="253">
        <v>246</v>
      </c>
      <c r="E74" s="254">
        <v>0.4</v>
      </c>
      <c r="F74" s="254">
        <f t="shared" si="2"/>
        <v>98.4</v>
      </c>
      <c r="G74" s="254">
        <f>96.13+2.27</f>
        <v>98.399999999999991</v>
      </c>
      <c r="H74" s="254">
        <f t="shared" si="3"/>
        <v>0</v>
      </c>
      <c r="I74" s="321">
        <v>15214649</v>
      </c>
      <c r="J74" s="258">
        <v>45615</v>
      </c>
      <c r="K74" s="343">
        <v>45630</v>
      </c>
    </row>
    <row r="75" spans="1:14" x14ac:dyDescent="0.2">
      <c r="A75" s="229">
        <v>72</v>
      </c>
      <c r="B75" s="229">
        <v>3228</v>
      </c>
      <c r="C75" s="231" t="s">
        <v>200</v>
      </c>
      <c r="D75" s="232">
        <v>683</v>
      </c>
      <c r="E75" s="233">
        <v>0.4</v>
      </c>
      <c r="F75" s="233">
        <f t="shared" si="2"/>
        <v>273.2</v>
      </c>
      <c r="G75" s="233">
        <f>F75</f>
        <v>273.2</v>
      </c>
      <c r="H75" s="233">
        <f t="shared" si="3"/>
        <v>0</v>
      </c>
      <c r="I75" s="229">
        <v>1307775</v>
      </c>
      <c r="J75" s="237"/>
    </row>
    <row r="76" spans="1:14" x14ac:dyDescent="0.2">
      <c r="A76" s="229">
        <v>73</v>
      </c>
      <c r="B76" s="229">
        <v>3229</v>
      </c>
      <c r="C76" s="231" t="s">
        <v>202</v>
      </c>
      <c r="D76" s="232">
        <v>546</v>
      </c>
      <c r="E76" s="233">
        <v>0.4</v>
      </c>
      <c r="F76" s="233">
        <f t="shared" si="2"/>
        <v>218.4</v>
      </c>
      <c r="G76" s="233">
        <f t="shared" ref="G76:G77" si="4">F76</f>
        <v>218.4</v>
      </c>
      <c r="H76" s="233">
        <f t="shared" si="3"/>
        <v>0</v>
      </c>
      <c r="I76" s="229">
        <v>6370978</v>
      </c>
      <c r="J76" s="237"/>
    </row>
    <row r="77" spans="1:14" x14ac:dyDescent="0.2">
      <c r="A77" s="229">
        <v>74</v>
      </c>
      <c r="B77" s="229">
        <v>3230</v>
      </c>
      <c r="C77" s="231" t="s">
        <v>204</v>
      </c>
      <c r="D77" s="232">
        <v>518.20000000000005</v>
      </c>
      <c r="E77" s="233">
        <v>0.4</v>
      </c>
      <c r="F77" s="233">
        <f t="shared" si="2"/>
        <v>207.28000000000003</v>
      </c>
      <c r="G77" s="233">
        <f t="shared" si="4"/>
        <v>207.28000000000003</v>
      </c>
      <c r="H77" s="233">
        <f t="shared" si="3"/>
        <v>0</v>
      </c>
      <c r="I77" s="229">
        <v>1968755</v>
      </c>
      <c r="J77" s="237"/>
    </row>
    <row r="78" spans="1:14" x14ac:dyDescent="0.2">
      <c r="A78" s="251">
        <v>75</v>
      </c>
      <c r="B78" s="251">
        <v>3231</v>
      </c>
      <c r="C78" s="252" t="s">
        <v>206</v>
      </c>
      <c r="D78" s="253">
        <v>610</v>
      </c>
      <c r="E78" s="254">
        <v>0.4</v>
      </c>
      <c r="F78" s="254">
        <f t="shared" si="2"/>
        <v>244</v>
      </c>
      <c r="G78" s="254">
        <f>59.56+97+87.3+0.14</f>
        <v>244</v>
      </c>
      <c r="H78" s="254">
        <f t="shared" si="3"/>
        <v>0</v>
      </c>
      <c r="I78" s="251">
        <v>6203903</v>
      </c>
      <c r="J78" s="258">
        <v>45636</v>
      </c>
      <c r="K78" s="294">
        <v>45644</v>
      </c>
      <c r="L78" s="294">
        <v>45658</v>
      </c>
      <c r="M78" s="294">
        <v>45663</v>
      </c>
    </row>
    <row r="79" spans="1:14" x14ac:dyDescent="0.2">
      <c r="A79" s="284">
        <v>76</v>
      </c>
      <c r="B79" s="284">
        <v>3232</v>
      </c>
      <c r="C79" s="285" t="s">
        <v>208</v>
      </c>
      <c r="D79" s="286">
        <v>347.8</v>
      </c>
      <c r="E79" s="287">
        <v>0.4</v>
      </c>
      <c r="F79" s="287">
        <f t="shared" si="2"/>
        <v>139.12</v>
      </c>
      <c r="G79" s="287">
        <f>F79</f>
        <v>139.12</v>
      </c>
      <c r="H79" s="287">
        <f t="shared" si="3"/>
        <v>0</v>
      </c>
      <c r="I79" s="284">
        <v>6387264</v>
      </c>
      <c r="J79" s="291" t="s">
        <v>775</v>
      </c>
    </row>
    <row r="80" spans="1:14" x14ac:dyDescent="0.2">
      <c r="A80" s="229">
        <v>77</v>
      </c>
      <c r="B80" s="229">
        <v>3234</v>
      </c>
      <c r="C80" s="231" t="s">
        <v>212</v>
      </c>
      <c r="D80" s="232">
        <v>630.29999999999995</v>
      </c>
      <c r="E80" s="233">
        <v>0.4</v>
      </c>
      <c r="F80" s="233">
        <f t="shared" si="2"/>
        <v>252.12</v>
      </c>
      <c r="G80" s="233">
        <f>F80</f>
        <v>252.12</v>
      </c>
      <c r="H80" s="233">
        <f t="shared" si="3"/>
        <v>0</v>
      </c>
      <c r="I80" s="229">
        <v>21834239</v>
      </c>
      <c r="J80" s="237"/>
    </row>
    <row r="81" spans="1:11" x14ac:dyDescent="0.2">
      <c r="A81" s="229">
        <v>78</v>
      </c>
      <c r="B81" s="229">
        <v>3235</v>
      </c>
      <c r="C81" s="231" t="s">
        <v>214</v>
      </c>
      <c r="D81" s="232">
        <v>711.5</v>
      </c>
      <c r="E81" s="233">
        <v>0.4</v>
      </c>
      <c r="F81" s="233">
        <f t="shared" si="2"/>
        <v>284.60000000000002</v>
      </c>
      <c r="G81" s="233">
        <f>F81</f>
        <v>284.60000000000002</v>
      </c>
      <c r="H81" s="233">
        <f t="shared" si="3"/>
        <v>0</v>
      </c>
      <c r="I81" s="229">
        <v>1234245</v>
      </c>
      <c r="J81" s="237"/>
    </row>
    <row r="82" spans="1:11" x14ac:dyDescent="0.2">
      <c r="A82" s="251">
        <v>79</v>
      </c>
      <c r="B82" s="251">
        <v>3236</v>
      </c>
      <c r="C82" s="252" t="s">
        <v>216</v>
      </c>
      <c r="D82" s="253">
        <v>158.1</v>
      </c>
      <c r="E82" s="254">
        <v>0.4</v>
      </c>
      <c r="F82" s="254">
        <f t="shared" si="2"/>
        <v>63.24</v>
      </c>
      <c r="G82" s="254">
        <f>59.77+3.47</f>
        <v>63.24</v>
      </c>
      <c r="H82" s="254">
        <f t="shared" si="3"/>
        <v>0</v>
      </c>
      <c r="I82" s="321">
        <v>6733333</v>
      </c>
      <c r="J82" s="258">
        <v>45602</v>
      </c>
      <c r="K82" s="294">
        <v>45630</v>
      </c>
    </row>
    <row r="83" spans="1:11" x14ac:dyDescent="0.2">
      <c r="A83" s="251">
        <v>80</v>
      </c>
      <c r="B83" s="251">
        <v>3237</v>
      </c>
      <c r="C83" s="252" t="s">
        <v>218</v>
      </c>
      <c r="D83" s="253">
        <v>823.8</v>
      </c>
      <c r="E83" s="254">
        <v>0.4</v>
      </c>
      <c r="F83" s="254">
        <f t="shared" si="2"/>
        <v>329.52</v>
      </c>
      <c r="G83" s="254">
        <f>329.14+0.38</f>
        <v>329.52</v>
      </c>
      <c r="H83" s="254">
        <f t="shared" si="3"/>
        <v>0</v>
      </c>
      <c r="I83" s="251">
        <v>873637</v>
      </c>
      <c r="J83" s="258">
        <v>45602</v>
      </c>
      <c r="K83" s="294">
        <v>45623</v>
      </c>
    </row>
    <row r="84" spans="1:11" x14ac:dyDescent="0.2">
      <c r="A84" s="251">
        <v>82</v>
      </c>
      <c r="B84" s="251">
        <v>3239</v>
      </c>
      <c r="C84" s="252" t="s">
        <v>222</v>
      </c>
      <c r="D84" s="253">
        <v>648.5</v>
      </c>
      <c r="E84" s="254">
        <v>0.4</v>
      </c>
      <c r="F84" s="254">
        <f t="shared" si="2"/>
        <v>259.40000000000003</v>
      </c>
      <c r="G84" s="254">
        <f>256.6+2.8</f>
        <v>259.40000000000003</v>
      </c>
      <c r="H84" s="254">
        <f t="shared" si="3"/>
        <v>0</v>
      </c>
      <c r="I84" s="251">
        <v>14379226</v>
      </c>
      <c r="J84" s="258">
        <v>45629</v>
      </c>
      <c r="K84" s="294">
        <v>45642</v>
      </c>
    </row>
    <row r="85" spans="1:11" x14ac:dyDescent="0.2">
      <c r="A85" s="251">
        <v>83</v>
      </c>
      <c r="B85" s="251">
        <v>3240</v>
      </c>
      <c r="C85" s="252" t="s">
        <v>224</v>
      </c>
      <c r="D85" s="253">
        <v>661.7</v>
      </c>
      <c r="E85" s="254">
        <v>0.4</v>
      </c>
      <c r="F85" s="254">
        <f t="shared" si="2"/>
        <v>264.68</v>
      </c>
      <c r="G85" s="254">
        <f>F85</f>
        <v>264.68</v>
      </c>
      <c r="H85" s="254">
        <f t="shared" si="3"/>
        <v>0</v>
      </c>
      <c r="I85" s="251">
        <v>5622856</v>
      </c>
      <c r="J85" s="258">
        <v>45642</v>
      </c>
      <c r="K85" s="269"/>
    </row>
    <row r="86" spans="1:11" x14ac:dyDescent="0.2">
      <c r="A86" s="251">
        <v>84</v>
      </c>
      <c r="B86" s="251">
        <v>3241</v>
      </c>
      <c r="C86" s="252" t="s">
        <v>227</v>
      </c>
      <c r="D86" s="253">
        <v>369.7</v>
      </c>
      <c r="E86" s="254">
        <v>0.4</v>
      </c>
      <c r="F86" s="254">
        <f t="shared" si="2"/>
        <v>147.88</v>
      </c>
      <c r="G86" s="254">
        <f>F86</f>
        <v>147.88</v>
      </c>
      <c r="H86" s="254">
        <f t="shared" si="3"/>
        <v>0</v>
      </c>
      <c r="I86" s="251">
        <v>21125518</v>
      </c>
      <c r="J86" s="258">
        <v>45691</v>
      </c>
    </row>
    <row r="87" spans="1:11" x14ac:dyDescent="0.2">
      <c r="A87" s="251">
        <v>85</v>
      </c>
      <c r="B87" s="251">
        <v>3243</v>
      </c>
      <c r="C87" s="252" t="s">
        <v>229</v>
      </c>
      <c r="D87" s="253">
        <v>344.5</v>
      </c>
      <c r="E87" s="254">
        <v>0.4</v>
      </c>
      <c r="F87" s="254">
        <f t="shared" si="2"/>
        <v>137.80000000000001</v>
      </c>
      <c r="G87" s="254">
        <f>136.1+1.7</f>
        <v>137.79999999999998</v>
      </c>
      <c r="H87" s="254">
        <f t="shared" si="3"/>
        <v>0</v>
      </c>
      <c r="I87" s="251">
        <v>25887256</v>
      </c>
      <c r="J87" s="258">
        <v>45615</v>
      </c>
      <c r="K87" s="294">
        <v>45629</v>
      </c>
    </row>
    <row r="88" spans="1:11" x14ac:dyDescent="0.2">
      <c r="A88" s="229">
        <v>86</v>
      </c>
      <c r="B88" s="229">
        <v>3244</v>
      </c>
      <c r="C88" s="231" t="s">
        <v>232</v>
      </c>
      <c r="D88" s="232">
        <v>89.7</v>
      </c>
      <c r="E88" s="233">
        <v>0.4</v>
      </c>
      <c r="F88" s="233">
        <f t="shared" si="2"/>
        <v>35.880000000000003</v>
      </c>
      <c r="G88" s="233">
        <f>F88</f>
        <v>35.880000000000003</v>
      </c>
      <c r="H88" s="233">
        <f t="shared" si="3"/>
        <v>0</v>
      </c>
      <c r="I88" s="229">
        <v>19340943</v>
      </c>
      <c r="J88" s="237"/>
    </row>
    <row r="89" spans="1:11" x14ac:dyDescent="0.2">
      <c r="A89" s="251">
        <v>87</v>
      </c>
      <c r="B89" s="251">
        <v>3245</v>
      </c>
      <c r="C89" s="252" t="s">
        <v>234</v>
      </c>
      <c r="D89" s="253">
        <v>287.8</v>
      </c>
      <c r="E89" s="254">
        <v>0.4</v>
      </c>
      <c r="F89" s="254">
        <f t="shared" si="2"/>
        <v>115.12</v>
      </c>
      <c r="G89" s="254">
        <f>113.57+1.55</f>
        <v>115.11999999999999</v>
      </c>
      <c r="H89" s="254">
        <f t="shared" si="3"/>
        <v>0</v>
      </c>
      <c r="I89" s="293" t="s">
        <v>235</v>
      </c>
      <c r="J89" s="258">
        <v>45602</v>
      </c>
      <c r="K89" s="294">
        <v>45630</v>
      </c>
    </row>
    <row r="90" spans="1:11" x14ac:dyDescent="0.2">
      <c r="A90" s="251">
        <v>88</v>
      </c>
      <c r="B90" s="251">
        <v>3246</v>
      </c>
      <c r="C90" s="252" t="s">
        <v>237</v>
      </c>
      <c r="D90" s="253">
        <v>299.2</v>
      </c>
      <c r="E90" s="254">
        <v>0.4</v>
      </c>
      <c r="F90" s="254">
        <f t="shared" si="2"/>
        <v>119.68</v>
      </c>
      <c r="G90" s="254">
        <f>119.68</f>
        <v>119.68</v>
      </c>
      <c r="H90" s="254">
        <f t="shared" si="3"/>
        <v>0</v>
      </c>
      <c r="I90" s="251">
        <v>662648</v>
      </c>
      <c r="J90" s="258">
        <v>45650</v>
      </c>
    </row>
    <row r="91" spans="1:11" x14ac:dyDescent="0.2">
      <c r="A91" s="251">
        <v>89</v>
      </c>
      <c r="B91" s="251">
        <v>3247</v>
      </c>
      <c r="C91" s="252" t="s">
        <v>239</v>
      </c>
      <c r="D91" s="253">
        <v>322.2</v>
      </c>
      <c r="E91" s="254">
        <v>0.4</v>
      </c>
      <c r="F91" s="254">
        <f t="shared" si="2"/>
        <v>128.88</v>
      </c>
      <c r="G91" s="254">
        <f>F91</f>
        <v>128.88</v>
      </c>
      <c r="H91" s="254">
        <f t="shared" si="3"/>
        <v>0</v>
      </c>
      <c r="I91" s="251">
        <v>6457783</v>
      </c>
      <c r="J91" s="281">
        <v>45650</v>
      </c>
    </row>
    <row r="92" spans="1:11" x14ac:dyDescent="0.2">
      <c r="A92" s="229">
        <v>90</v>
      </c>
      <c r="B92" s="229">
        <v>3248</v>
      </c>
      <c r="C92" s="231" t="s">
        <v>241</v>
      </c>
      <c r="D92" s="232">
        <v>299.5</v>
      </c>
      <c r="E92" s="233">
        <v>0.4</v>
      </c>
      <c r="F92" s="233">
        <f t="shared" si="2"/>
        <v>119.80000000000001</v>
      </c>
      <c r="G92" s="233">
        <f>F92</f>
        <v>119.80000000000001</v>
      </c>
      <c r="H92" s="233">
        <f t="shared" si="3"/>
        <v>0</v>
      </c>
      <c r="I92" s="229">
        <v>18811851</v>
      </c>
      <c r="J92" s="237"/>
    </row>
    <row r="93" spans="1:11" x14ac:dyDescent="0.2">
      <c r="A93" s="284">
        <v>91</v>
      </c>
      <c r="B93" s="284">
        <v>3249</v>
      </c>
      <c r="C93" s="285" t="s">
        <v>243</v>
      </c>
      <c r="D93" s="286">
        <v>644</v>
      </c>
      <c r="E93" s="287">
        <v>0.4</v>
      </c>
      <c r="F93" s="287">
        <f t="shared" si="2"/>
        <v>257.60000000000002</v>
      </c>
      <c r="G93" s="287">
        <f>F93</f>
        <v>257.60000000000002</v>
      </c>
      <c r="H93" s="287">
        <f t="shared" si="3"/>
        <v>0</v>
      </c>
      <c r="I93" s="284">
        <v>24540784</v>
      </c>
      <c r="J93" s="291" t="s">
        <v>775</v>
      </c>
    </row>
    <row r="94" spans="1:11" x14ac:dyDescent="0.2">
      <c r="A94" s="251">
        <v>92</v>
      </c>
      <c r="B94" s="251">
        <v>3251</v>
      </c>
      <c r="C94" s="252" t="s">
        <v>245</v>
      </c>
      <c r="D94" s="253">
        <v>371.2</v>
      </c>
      <c r="E94" s="254">
        <v>0.4</v>
      </c>
      <c r="F94" s="254">
        <f t="shared" si="2"/>
        <v>148.47999999999999</v>
      </c>
      <c r="G94" s="254">
        <f>F94</f>
        <v>148.47999999999999</v>
      </c>
      <c r="H94" s="254">
        <f t="shared" si="3"/>
        <v>0</v>
      </c>
      <c r="I94" s="251">
        <v>6420681</v>
      </c>
      <c r="J94" s="258">
        <v>45685</v>
      </c>
    </row>
    <row r="95" spans="1:11" x14ac:dyDescent="0.2">
      <c r="A95" s="251">
        <v>93</v>
      </c>
      <c r="B95" s="251">
        <v>3252</v>
      </c>
      <c r="C95" s="252" t="s">
        <v>247</v>
      </c>
      <c r="D95" s="253">
        <v>26.9</v>
      </c>
      <c r="E95" s="254">
        <v>0.4</v>
      </c>
      <c r="F95" s="254">
        <f t="shared" si="2"/>
        <v>10.76</v>
      </c>
      <c r="G95" s="254">
        <f>10.22+0.54</f>
        <v>10.760000000000002</v>
      </c>
      <c r="H95" s="254">
        <f t="shared" si="3"/>
        <v>0</v>
      </c>
      <c r="I95" s="251">
        <v>460074</v>
      </c>
      <c r="J95" s="258">
        <v>45621</v>
      </c>
      <c r="K95" s="368" t="s">
        <v>881</v>
      </c>
    </row>
    <row r="96" spans="1:11" x14ac:dyDescent="0.2">
      <c r="A96" s="251">
        <v>94</v>
      </c>
      <c r="B96" s="251">
        <v>3253</v>
      </c>
      <c r="C96" s="252" t="s">
        <v>249</v>
      </c>
      <c r="D96" s="253">
        <v>660.4</v>
      </c>
      <c r="E96" s="254">
        <v>0.4</v>
      </c>
      <c r="F96" s="254">
        <f t="shared" si="2"/>
        <v>264.16000000000003</v>
      </c>
      <c r="G96" s="254">
        <f>259.89+4.27</f>
        <v>264.15999999999997</v>
      </c>
      <c r="H96" s="254">
        <f t="shared" si="3"/>
        <v>0</v>
      </c>
      <c r="I96" s="251">
        <v>25887589</v>
      </c>
      <c r="J96" s="258">
        <v>45621</v>
      </c>
      <c r="K96" s="294">
        <v>45629</v>
      </c>
    </row>
    <row r="97" spans="1:12" x14ac:dyDescent="0.2">
      <c r="A97" s="251">
        <v>95</v>
      </c>
      <c r="B97" s="251">
        <v>3254</v>
      </c>
      <c r="C97" s="252" t="s">
        <v>251</v>
      </c>
      <c r="D97" s="253">
        <v>644.5</v>
      </c>
      <c r="E97" s="254">
        <v>0.4</v>
      </c>
      <c r="F97" s="254">
        <f t="shared" si="2"/>
        <v>257.8</v>
      </c>
      <c r="G97" s="254">
        <f>253.09+4.71</f>
        <v>257.8</v>
      </c>
      <c r="H97" s="254">
        <f t="shared" si="3"/>
        <v>0</v>
      </c>
      <c r="I97" s="251">
        <v>6668983</v>
      </c>
      <c r="J97" s="258">
        <v>45602</v>
      </c>
      <c r="K97" s="294">
        <v>45623</v>
      </c>
    </row>
    <row r="98" spans="1:12" x14ac:dyDescent="0.2">
      <c r="A98" s="251">
        <v>96</v>
      </c>
      <c r="B98" s="251">
        <v>3255</v>
      </c>
      <c r="C98" s="252" t="s">
        <v>253</v>
      </c>
      <c r="D98" s="253">
        <v>441.8</v>
      </c>
      <c r="E98" s="254">
        <v>0.4</v>
      </c>
      <c r="F98" s="254">
        <f t="shared" si="2"/>
        <v>176.72000000000003</v>
      </c>
      <c r="G98" s="254">
        <f>174.59+2.13</f>
        <v>176.72</v>
      </c>
      <c r="H98" s="254">
        <f t="shared" si="3"/>
        <v>0</v>
      </c>
      <c r="I98" s="251">
        <v>5851949</v>
      </c>
      <c r="J98" s="258">
        <v>45602</v>
      </c>
      <c r="K98" s="294">
        <v>45635</v>
      </c>
    </row>
    <row r="99" spans="1:12" x14ac:dyDescent="0.2">
      <c r="A99" s="251">
        <v>97</v>
      </c>
      <c r="B99" s="251">
        <v>3256</v>
      </c>
      <c r="C99" s="252" t="s">
        <v>255</v>
      </c>
      <c r="D99" s="253">
        <v>2342.1999999999998</v>
      </c>
      <c r="E99" s="254">
        <v>0.4</v>
      </c>
      <c r="F99" s="254">
        <f t="shared" si="2"/>
        <v>936.88</v>
      </c>
      <c r="G99" s="254">
        <f>237.32+294.5+405.06</f>
        <v>936.87999999999988</v>
      </c>
      <c r="H99" s="254">
        <f t="shared" si="3"/>
        <v>0</v>
      </c>
      <c r="I99" s="251">
        <v>6147152</v>
      </c>
      <c r="J99" s="258">
        <v>45609</v>
      </c>
      <c r="K99" s="294">
        <v>45615</v>
      </c>
      <c r="L99" s="219" t="s">
        <v>795</v>
      </c>
    </row>
    <row r="100" spans="1:12" x14ac:dyDescent="0.2">
      <c r="A100" s="284">
        <v>98</v>
      </c>
      <c r="B100" s="284">
        <v>3258</v>
      </c>
      <c r="C100" s="285" t="s">
        <v>259</v>
      </c>
      <c r="D100" s="286">
        <v>878.5</v>
      </c>
      <c r="E100" s="287">
        <v>0.4</v>
      </c>
      <c r="F100" s="287">
        <f t="shared" si="2"/>
        <v>351.40000000000003</v>
      </c>
      <c r="G100" s="287">
        <f t="shared" ref="G100:G107" si="5">F100</f>
        <v>351.40000000000003</v>
      </c>
      <c r="H100" s="287">
        <f t="shared" si="3"/>
        <v>0</v>
      </c>
      <c r="I100" s="284">
        <v>15335306</v>
      </c>
      <c r="J100" s="291" t="s">
        <v>775</v>
      </c>
    </row>
    <row r="101" spans="1:12" x14ac:dyDescent="0.2">
      <c r="A101" s="251">
        <v>99</v>
      </c>
      <c r="B101" s="251">
        <v>3260</v>
      </c>
      <c r="C101" s="252" t="s">
        <v>261</v>
      </c>
      <c r="D101" s="253">
        <v>312.60000000000002</v>
      </c>
      <c r="E101" s="254">
        <v>0.4</v>
      </c>
      <c r="F101" s="254">
        <f t="shared" si="2"/>
        <v>125.04000000000002</v>
      </c>
      <c r="G101" s="254">
        <f t="shared" si="5"/>
        <v>125.04000000000002</v>
      </c>
      <c r="H101" s="254">
        <f t="shared" si="3"/>
        <v>0</v>
      </c>
      <c r="I101" s="251">
        <v>19361936</v>
      </c>
      <c r="J101" s="258">
        <v>45685</v>
      </c>
      <c r="K101" s="269"/>
      <c r="L101" s="269"/>
    </row>
    <row r="102" spans="1:12" x14ac:dyDescent="0.2">
      <c r="A102" s="229">
        <v>100</v>
      </c>
      <c r="B102" s="229">
        <v>3261</v>
      </c>
      <c r="C102" s="231" t="s">
        <v>263</v>
      </c>
      <c r="D102" s="232">
        <v>330.3</v>
      </c>
      <c r="E102" s="233">
        <v>0.4</v>
      </c>
      <c r="F102" s="233">
        <f t="shared" si="2"/>
        <v>132.12</v>
      </c>
      <c r="G102" s="233">
        <f t="shared" si="5"/>
        <v>132.12</v>
      </c>
      <c r="H102" s="233">
        <f t="shared" si="3"/>
        <v>0</v>
      </c>
      <c r="I102" s="229">
        <v>8124516</v>
      </c>
      <c r="J102" s="237"/>
    </row>
    <row r="103" spans="1:12" x14ac:dyDescent="0.2">
      <c r="A103" s="284">
        <v>101</v>
      </c>
      <c r="B103" s="284">
        <v>3262</v>
      </c>
      <c r="C103" s="285" t="s">
        <v>265</v>
      </c>
      <c r="D103" s="286">
        <v>471.9</v>
      </c>
      <c r="E103" s="287">
        <v>0.4</v>
      </c>
      <c r="F103" s="287">
        <f t="shared" si="2"/>
        <v>188.76</v>
      </c>
      <c r="G103" s="287">
        <f t="shared" si="5"/>
        <v>188.76</v>
      </c>
      <c r="H103" s="287">
        <f t="shared" si="3"/>
        <v>0</v>
      </c>
      <c r="I103" s="284">
        <v>1483142</v>
      </c>
      <c r="J103" s="291" t="s">
        <v>775</v>
      </c>
    </row>
    <row r="104" spans="1:12" s="398" customFormat="1" x14ac:dyDescent="0.2">
      <c r="A104" s="392">
        <v>102</v>
      </c>
      <c r="B104" s="392">
        <v>3263</v>
      </c>
      <c r="C104" s="393" t="s">
        <v>267</v>
      </c>
      <c r="D104" s="394">
        <v>502.3</v>
      </c>
      <c r="E104" s="395">
        <v>0.4</v>
      </c>
      <c r="F104" s="395">
        <f t="shared" si="2"/>
        <v>200.92000000000002</v>
      </c>
      <c r="G104" s="395">
        <f t="shared" si="5"/>
        <v>200.92000000000002</v>
      </c>
      <c r="H104" s="395">
        <f t="shared" si="3"/>
        <v>0</v>
      </c>
      <c r="I104" s="392">
        <v>986981</v>
      </c>
      <c r="J104" s="404" t="s">
        <v>868</v>
      </c>
    </row>
    <row r="105" spans="1:12" x14ac:dyDescent="0.2">
      <c r="A105" s="251">
        <v>103</v>
      </c>
      <c r="B105" s="251">
        <v>3266</v>
      </c>
      <c r="C105" s="252" t="s">
        <v>269</v>
      </c>
      <c r="D105" s="253">
        <v>711.6</v>
      </c>
      <c r="E105" s="254">
        <v>0.4</v>
      </c>
      <c r="F105" s="254">
        <f t="shared" si="2"/>
        <v>284.64000000000004</v>
      </c>
      <c r="G105" s="254">
        <f t="shared" si="5"/>
        <v>284.64000000000004</v>
      </c>
      <c r="H105" s="254">
        <f t="shared" si="3"/>
        <v>0</v>
      </c>
      <c r="I105" s="251">
        <v>25891616</v>
      </c>
      <c r="J105" s="258">
        <v>45685</v>
      </c>
    </row>
    <row r="106" spans="1:12" x14ac:dyDescent="0.2">
      <c r="A106" s="284">
        <v>104</v>
      </c>
      <c r="B106" s="284">
        <v>3268</v>
      </c>
      <c r="C106" s="285" t="s">
        <v>271</v>
      </c>
      <c r="D106" s="286">
        <v>974.1</v>
      </c>
      <c r="E106" s="287">
        <v>0.4</v>
      </c>
      <c r="F106" s="287">
        <f t="shared" si="2"/>
        <v>389.64000000000004</v>
      </c>
      <c r="G106" s="287">
        <f t="shared" si="5"/>
        <v>389.64000000000004</v>
      </c>
      <c r="H106" s="287">
        <f t="shared" si="3"/>
        <v>0</v>
      </c>
      <c r="I106" s="345">
        <v>22373123</v>
      </c>
      <c r="J106" s="291" t="s">
        <v>775</v>
      </c>
    </row>
    <row r="107" spans="1:12" x14ac:dyDescent="0.2">
      <c r="A107" s="284">
        <v>105</v>
      </c>
      <c r="B107" s="284">
        <v>3269</v>
      </c>
      <c r="C107" s="285" t="s">
        <v>273</v>
      </c>
      <c r="D107" s="286">
        <v>383.2</v>
      </c>
      <c r="E107" s="287">
        <v>0.4</v>
      </c>
      <c r="F107" s="287">
        <f t="shared" si="2"/>
        <v>153.28</v>
      </c>
      <c r="G107" s="287">
        <f t="shared" si="5"/>
        <v>153.28</v>
      </c>
      <c r="H107" s="287">
        <f t="shared" si="3"/>
        <v>0</v>
      </c>
      <c r="I107" s="345">
        <v>14052947</v>
      </c>
      <c r="J107" s="291" t="s">
        <v>775</v>
      </c>
    </row>
    <row r="108" spans="1:12" x14ac:dyDescent="0.2">
      <c r="A108" s="251">
        <v>106</v>
      </c>
      <c r="B108" s="251">
        <v>3270</v>
      </c>
      <c r="C108" s="252" t="s">
        <v>275</v>
      </c>
      <c r="D108" s="253">
        <v>643.5</v>
      </c>
      <c r="E108" s="254">
        <v>0.4</v>
      </c>
      <c r="F108" s="254">
        <f t="shared" si="2"/>
        <v>257.40000000000003</v>
      </c>
      <c r="G108" s="254">
        <f>253.99+3.41</f>
        <v>257.40000000000003</v>
      </c>
      <c r="H108" s="254">
        <f t="shared" si="3"/>
        <v>0</v>
      </c>
      <c r="I108" s="251">
        <v>11242698</v>
      </c>
      <c r="J108" s="258">
        <v>45602</v>
      </c>
      <c r="K108" s="294">
        <v>45623</v>
      </c>
    </row>
    <row r="109" spans="1:12" x14ac:dyDescent="0.2">
      <c r="A109" s="251">
        <v>107</v>
      </c>
      <c r="B109" s="251">
        <v>3271</v>
      </c>
      <c r="C109" s="352" t="s">
        <v>277</v>
      </c>
      <c r="D109" s="253">
        <v>522.79999999999995</v>
      </c>
      <c r="E109" s="254">
        <v>0.4</v>
      </c>
      <c r="F109" s="254">
        <f t="shared" si="2"/>
        <v>209.12</v>
      </c>
      <c r="G109" s="254">
        <f>206.92+2.2</f>
        <v>209.11999999999998</v>
      </c>
      <c r="H109" s="254">
        <f t="shared" si="3"/>
        <v>0</v>
      </c>
      <c r="I109" s="353">
        <v>24503986</v>
      </c>
      <c r="J109" s="356">
        <v>45609</v>
      </c>
      <c r="K109" s="294">
        <v>45635</v>
      </c>
    </row>
    <row r="110" spans="1:12" x14ac:dyDescent="0.2">
      <c r="A110" s="229">
        <v>108</v>
      </c>
      <c r="B110" s="229">
        <v>3272</v>
      </c>
      <c r="C110" s="276" t="s">
        <v>279</v>
      </c>
      <c r="D110" s="232">
        <v>246.6</v>
      </c>
      <c r="E110" s="233">
        <v>0.4</v>
      </c>
      <c r="F110" s="233">
        <f t="shared" si="2"/>
        <v>98.64</v>
      </c>
      <c r="G110" s="233">
        <f>F110</f>
        <v>98.64</v>
      </c>
      <c r="H110" s="233">
        <f t="shared" si="3"/>
        <v>0</v>
      </c>
      <c r="I110" s="277">
        <v>22977225</v>
      </c>
      <c r="J110" s="280"/>
    </row>
    <row r="111" spans="1:12" x14ac:dyDescent="0.2">
      <c r="A111" s="251">
        <v>109</v>
      </c>
      <c r="B111" s="251">
        <v>3273</v>
      </c>
      <c r="C111" s="252" t="s">
        <v>281</v>
      </c>
      <c r="D111" s="253">
        <v>697</v>
      </c>
      <c r="E111" s="254">
        <v>0.4</v>
      </c>
      <c r="F111" s="254">
        <f t="shared" si="2"/>
        <v>278.8</v>
      </c>
      <c r="G111" s="254">
        <f>275.91+2.89</f>
        <v>278.8</v>
      </c>
      <c r="H111" s="254">
        <f t="shared" si="3"/>
        <v>0</v>
      </c>
      <c r="I111" s="251">
        <v>7047221</v>
      </c>
      <c r="J111" s="258">
        <v>45621</v>
      </c>
      <c r="K111" s="294">
        <v>45630</v>
      </c>
    </row>
    <row r="112" spans="1:12" x14ac:dyDescent="0.2">
      <c r="A112" s="284">
        <v>110</v>
      </c>
      <c r="B112" s="284">
        <v>3277</v>
      </c>
      <c r="C112" s="285" t="s">
        <v>283</v>
      </c>
      <c r="D112" s="286">
        <v>595.20000000000005</v>
      </c>
      <c r="E112" s="287">
        <v>0.4</v>
      </c>
      <c r="F112" s="287">
        <f t="shared" si="2"/>
        <v>238.08000000000004</v>
      </c>
      <c r="G112" s="287">
        <f>F112</f>
        <v>238.08000000000004</v>
      </c>
      <c r="H112" s="287">
        <f t="shared" si="3"/>
        <v>0</v>
      </c>
      <c r="I112" s="284">
        <v>14277741</v>
      </c>
      <c r="J112" s="291" t="s">
        <v>775</v>
      </c>
    </row>
    <row r="113" spans="1:12" x14ac:dyDescent="0.2">
      <c r="A113" s="229">
        <v>111</v>
      </c>
      <c r="B113" s="229">
        <v>3278</v>
      </c>
      <c r="C113" s="231" t="s">
        <v>285</v>
      </c>
      <c r="D113" s="232">
        <v>282.7</v>
      </c>
      <c r="E113" s="233">
        <v>0.4</v>
      </c>
      <c r="F113" s="233">
        <f t="shared" si="2"/>
        <v>113.08</v>
      </c>
      <c r="G113" s="233">
        <f>F113</f>
        <v>113.08</v>
      </c>
      <c r="H113" s="233">
        <f t="shared" si="3"/>
        <v>0</v>
      </c>
      <c r="I113" s="229">
        <v>27713998</v>
      </c>
      <c r="J113" s="237"/>
    </row>
    <row r="114" spans="1:12" x14ac:dyDescent="0.2">
      <c r="A114" s="284">
        <v>112</v>
      </c>
      <c r="B114" s="284">
        <v>3279</v>
      </c>
      <c r="C114" s="285" t="s">
        <v>287</v>
      </c>
      <c r="D114" s="286">
        <v>1588.7</v>
      </c>
      <c r="E114" s="287">
        <v>0.4</v>
      </c>
      <c r="F114" s="287">
        <f t="shared" si="2"/>
        <v>635.48</v>
      </c>
      <c r="G114" s="287">
        <f>F114</f>
        <v>635.48</v>
      </c>
      <c r="H114" s="287">
        <f t="shared" si="3"/>
        <v>0</v>
      </c>
      <c r="I114" s="357">
        <v>20468811</v>
      </c>
      <c r="J114" s="291" t="s">
        <v>775</v>
      </c>
    </row>
    <row r="115" spans="1:12" x14ac:dyDescent="0.2">
      <c r="A115" s="251">
        <v>113</v>
      </c>
      <c r="B115" s="251">
        <v>3280</v>
      </c>
      <c r="C115" s="252" t="s">
        <v>288</v>
      </c>
      <c r="D115" s="253">
        <v>595.5</v>
      </c>
      <c r="E115" s="254">
        <v>0.4</v>
      </c>
      <c r="F115" s="254">
        <f t="shared" si="2"/>
        <v>238.20000000000002</v>
      </c>
      <c r="G115" s="254">
        <f>236.4+1.8</f>
        <v>238.20000000000002</v>
      </c>
      <c r="H115" s="254">
        <f t="shared" si="3"/>
        <v>0</v>
      </c>
      <c r="I115" s="251">
        <v>25887523</v>
      </c>
      <c r="J115" s="258">
        <v>45615</v>
      </c>
      <c r="K115" s="294">
        <v>45629</v>
      </c>
    </row>
    <row r="116" spans="1:12" x14ac:dyDescent="0.2">
      <c r="A116" s="251">
        <v>114</v>
      </c>
      <c r="B116" s="251">
        <v>3281</v>
      </c>
      <c r="C116" s="252" t="s">
        <v>292</v>
      </c>
      <c r="D116" s="253">
        <v>688.3</v>
      </c>
      <c r="E116" s="254">
        <v>0.4</v>
      </c>
      <c r="F116" s="254">
        <f t="shared" si="2"/>
        <v>275.32</v>
      </c>
      <c r="G116" s="254">
        <f>273.2+2.12</f>
        <v>275.32</v>
      </c>
      <c r="H116" s="254">
        <f t="shared" si="3"/>
        <v>0</v>
      </c>
      <c r="I116" s="251">
        <v>1045575</v>
      </c>
      <c r="J116" s="258" t="s">
        <v>819</v>
      </c>
      <c r="K116" s="294">
        <v>45623</v>
      </c>
    </row>
    <row r="117" spans="1:12" x14ac:dyDescent="0.2">
      <c r="A117" s="251">
        <v>115</v>
      </c>
      <c r="B117" s="251">
        <v>3286</v>
      </c>
      <c r="C117" s="252" t="s">
        <v>295</v>
      </c>
      <c r="D117" s="253">
        <v>472.7</v>
      </c>
      <c r="E117" s="254">
        <v>0.4</v>
      </c>
      <c r="F117" s="254">
        <f t="shared" si="2"/>
        <v>189.08</v>
      </c>
      <c r="G117" s="254">
        <f>181.49+7.59</f>
        <v>189.08</v>
      </c>
      <c r="H117" s="254">
        <f t="shared" si="3"/>
        <v>0</v>
      </c>
      <c r="I117" s="251">
        <v>23232841</v>
      </c>
      <c r="J117" s="258">
        <v>45624</v>
      </c>
    </row>
    <row r="118" spans="1:12" x14ac:dyDescent="0.2">
      <c r="A118" s="251">
        <v>116</v>
      </c>
      <c r="B118" s="251">
        <v>3287</v>
      </c>
      <c r="C118" s="252" t="s">
        <v>297</v>
      </c>
      <c r="D118" s="253">
        <v>543.9</v>
      </c>
      <c r="E118" s="254">
        <v>0.4</v>
      </c>
      <c r="F118" s="254">
        <f t="shared" si="2"/>
        <v>217.56</v>
      </c>
      <c r="G118" s="254">
        <f>213.55+4.01</f>
        <v>217.56</v>
      </c>
      <c r="H118" s="254">
        <f t="shared" si="3"/>
        <v>0</v>
      </c>
      <c r="I118" s="251">
        <v>6504554</v>
      </c>
      <c r="J118" s="258">
        <v>45630</v>
      </c>
      <c r="K118" s="294">
        <v>45642</v>
      </c>
    </row>
    <row r="119" spans="1:12" x14ac:dyDescent="0.2">
      <c r="A119" s="251">
        <v>117</v>
      </c>
      <c r="B119" s="251">
        <v>3288</v>
      </c>
      <c r="C119" s="252" t="s">
        <v>300</v>
      </c>
      <c r="D119" s="253">
        <v>576.79999999999995</v>
      </c>
      <c r="E119" s="254">
        <v>0.4</v>
      </c>
      <c r="F119" s="254">
        <f t="shared" si="2"/>
        <v>230.72</v>
      </c>
      <c r="G119" s="254">
        <f>229.29+1.43</f>
        <v>230.72</v>
      </c>
      <c r="H119" s="254">
        <f t="shared" si="3"/>
        <v>0</v>
      </c>
      <c r="I119" s="255">
        <v>1460824</v>
      </c>
      <c r="J119" s="258">
        <v>45602</v>
      </c>
      <c r="K119" s="294">
        <v>45630</v>
      </c>
    </row>
    <row r="120" spans="1:12" x14ac:dyDescent="0.2">
      <c r="A120" s="229">
        <v>118</v>
      </c>
      <c r="B120" s="229">
        <v>3291</v>
      </c>
      <c r="C120" s="231" t="s">
        <v>303</v>
      </c>
      <c r="D120" s="239">
        <v>900.6</v>
      </c>
      <c r="E120" s="233">
        <v>0.4</v>
      </c>
      <c r="F120" s="233">
        <f t="shared" si="2"/>
        <v>360.24</v>
      </c>
      <c r="G120" s="233">
        <f>F120</f>
        <v>360.24</v>
      </c>
      <c r="H120" s="233">
        <f t="shared" si="3"/>
        <v>0</v>
      </c>
      <c r="I120" s="229">
        <v>1974735</v>
      </c>
      <c r="J120" s="237"/>
    </row>
    <row r="121" spans="1:12" x14ac:dyDescent="0.2">
      <c r="A121" s="251">
        <v>119</v>
      </c>
      <c r="B121" s="251">
        <v>3292</v>
      </c>
      <c r="C121" s="252" t="s">
        <v>305</v>
      </c>
      <c r="D121" s="253">
        <v>919.9</v>
      </c>
      <c r="E121" s="254">
        <v>0.4</v>
      </c>
      <c r="F121" s="254">
        <f t="shared" si="2"/>
        <v>367.96000000000004</v>
      </c>
      <c r="G121" s="254">
        <f>238.7+126.1+3.16</f>
        <v>367.96</v>
      </c>
      <c r="H121" s="254">
        <f t="shared" si="3"/>
        <v>0</v>
      </c>
      <c r="I121" s="321">
        <v>13282353</v>
      </c>
      <c r="J121" s="258">
        <v>45607</v>
      </c>
      <c r="K121" s="294">
        <v>45615</v>
      </c>
      <c r="L121" s="294">
        <v>45630</v>
      </c>
    </row>
    <row r="122" spans="1:12" x14ac:dyDescent="0.2">
      <c r="A122" s="251">
        <v>120</v>
      </c>
      <c r="B122" s="251">
        <v>3293</v>
      </c>
      <c r="C122" s="252" t="s">
        <v>307</v>
      </c>
      <c r="D122" s="253">
        <v>199.2</v>
      </c>
      <c r="E122" s="254">
        <v>0.4</v>
      </c>
      <c r="F122" s="254">
        <f t="shared" si="2"/>
        <v>79.680000000000007</v>
      </c>
      <c r="G122" s="254">
        <f t="shared" ref="G122:G128" si="6">F122</f>
        <v>79.680000000000007</v>
      </c>
      <c r="H122" s="254">
        <f t="shared" si="3"/>
        <v>0</v>
      </c>
      <c r="I122" s="251">
        <v>4048259</v>
      </c>
      <c r="J122" s="258">
        <v>45629</v>
      </c>
    </row>
    <row r="123" spans="1:12" x14ac:dyDescent="0.2">
      <c r="A123" s="251">
        <v>121</v>
      </c>
      <c r="B123" s="251">
        <v>3294</v>
      </c>
      <c r="C123" s="252" t="s">
        <v>309</v>
      </c>
      <c r="D123" s="253">
        <v>613.5</v>
      </c>
      <c r="E123" s="254">
        <v>0.4</v>
      </c>
      <c r="F123" s="254">
        <f t="shared" si="2"/>
        <v>245.4</v>
      </c>
      <c r="G123" s="254">
        <f t="shared" si="6"/>
        <v>245.4</v>
      </c>
      <c r="H123" s="254">
        <f t="shared" si="3"/>
        <v>0</v>
      </c>
      <c r="I123" s="251">
        <v>19263029</v>
      </c>
      <c r="J123" s="258">
        <v>45658</v>
      </c>
    </row>
    <row r="124" spans="1:12" x14ac:dyDescent="0.2">
      <c r="A124" s="229">
        <v>122</v>
      </c>
      <c r="B124" s="229">
        <v>3295</v>
      </c>
      <c r="C124" s="231" t="s">
        <v>311</v>
      </c>
      <c r="D124" s="232">
        <v>315</v>
      </c>
      <c r="E124" s="233">
        <v>0.4</v>
      </c>
      <c r="F124" s="233">
        <f t="shared" si="2"/>
        <v>126</v>
      </c>
      <c r="G124" s="233">
        <f t="shared" si="6"/>
        <v>126</v>
      </c>
      <c r="H124" s="233">
        <f t="shared" si="3"/>
        <v>0</v>
      </c>
      <c r="I124" s="229">
        <v>20378353</v>
      </c>
      <c r="J124" s="237"/>
    </row>
    <row r="125" spans="1:12" s="269" customFormat="1" x14ac:dyDescent="0.2">
      <c r="A125" s="251">
        <v>123</v>
      </c>
      <c r="B125" s="251">
        <v>3297</v>
      </c>
      <c r="C125" s="252" t="s">
        <v>313</v>
      </c>
      <c r="D125" s="253">
        <v>255.2</v>
      </c>
      <c r="E125" s="254">
        <v>0.4</v>
      </c>
      <c r="F125" s="254">
        <f t="shared" si="2"/>
        <v>102.08</v>
      </c>
      <c r="G125" s="254">
        <f t="shared" si="6"/>
        <v>102.08</v>
      </c>
      <c r="H125" s="254">
        <f t="shared" si="3"/>
        <v>0</v>
      </c>
      <c r="I125" s="251">
        <v>5359682</v>
      </c>
      <c r="J125" s="258">
        <v>45691</v>
      </c>
    </row>
    <row r="126" spans="1:12" x14ac:dyDescent="0.2">
      <c r="A126" s="229">
        <v>124</v>
      </c>
      <c r="B126" s="229">
        <v>3298</v>
      </c>
      <c r="C126" s="231" t="s">
        <v>315</v>
      </c>
      <c r="D126" s="239">
        <v>462.8</v>
      </c>
      <c r="E126" s="233">
        <v>0.4</v>
      </c>
      <c r="F126" s="233">
        <f t="shared" si="2"/>
        <v>185.12</v>
      </c>
      <c r="G126" s="233">
        <f t="shared" si="6"/>
        <v>185.12</v>
      </c>
      <c r="H126" s="233">
        <f t="shared" si="3"/>
        <v>0</v>
      </c>
      <c r="I126" s="240">
        <v>6160236</v>
      </c>
      <c r="J126" s="237"/>
    </row>
    <row r="127" spans="1:12" s="292" customFormat="1" x14ac:dyDescent="0.2">
      <c r="A127" s="284">
        <v>125</v>
      </c>
      <c r="B127" s="284">
        <v>3302</v>
      </c>
      <c r="C127" s="285" t="s">
        <v>317</v>
      </c>
      <c r="D127" s="286">
        <v>694.4</v>
      </c>
      <c r="E127" s="287">
        <v>0.4</v>
      </c>
      <c r="F127" s="287">
        <f t="shared" si="2"/>
        <v>277.76</v>
      </c>
      <c r="G127" s="287">
        <f t="shared" si="6"/>
        <v>277.76</v>
      </c>
      <c r="H127" s="287">
        <f t="shared" si="3"/>
        <v>0</v>
      </c>
      <c r="I127" s="284">
        <v>71004483</v>
      </c>
      <c r="J127" s="291" t="s">
        <v>775</v>
      </c>
    </row>
    <row r="128" spans="1:12" x14ac:dyDescent="0.2">
      <c r="A128" s="360">
        <v>126</v>
      </c>
      <c r="B128" s="360">
        <v>3303</v>
      </c>
      <c r="C128" s="361" t="s">
        <v>319</v>
      </c>
      <c r="D128" s="362">
        <v>444.4</v>
      </c>
      <c r="E128" s="363">
        <v>0.4</v>
      </c>
      <c r="F128" s="363">
        <f t="shared" si="2"/>
        <v>177.76</v>
      </c>
      <c r="G128" s="363">
        <f t="shared" si="6"/>
        <v>177.76</v>
      </c>
      <c r="H128" s="363">
        <f t="shared" si="3"/>
        <v>0</v>
      </c>
      <c r="I128" s="364">
        <v>3172781</v>
      </c>
      <c r="J128" s="401"/>
      <c r="K128" s="368" t="s">
        <v>862</v>
      </c>
    </row>
    <row r="129" spans="1:12" x14ac:dyDescent="0.2">
      <c r="A129" s="251">
        <v>127</v>
      </c>
      <c r="B129" s="251">
        <v>3309</v>
      </c>
      <c r="C129" s="252" t="s">
        <v>321</v>
      </c>
      <c r="D129" s="253">
        <v>67.5</v>
      </c>
      <c r="E129" s="254">
        <v>0.4</v>
      </c>
      <c r="F129" s="254">
        <f t="shared" si="2"/>
        <v>27</v>
      </c>
      <c r="G129" s="254">
        <f>25.24+1.76</f>
        <v>27</v>
      </c>
      <c r="H129" s="254">
        <f t="shared" si="3"/>
        <v>0</v>
      </c>
      <c r="I129" s="255">
        <v>21453611</v>
      </c>
      <c r="J129" s="258">
        <v>45621</v>
      </c>
      <c r="K129" s="368" t="s">
        <v>848</v>
      </c>
    </row>
    <row r="130" spans="1:12" x14ac:dyDescent="0.2">
      <c r="A130" s="229">
        <v>128</v>
      </c>
      <c r="B130" s="229">
        <v>3311</v>
      </c>
      <c r="C130" s="231" t="s">
        <v>323</v>
      </c>
      <c r="D130" s="232">
        <v>596.70000000000005</v>
      </c>
      <c r="E130" s="233">
        <v>0.4</v>
      </c>
      <c r="F130" s="233">
        <f t="shared" si="2"/>
        <v>238.68000000000004</v>
      </c>
      <c r="G130" s="233">
        <f>F130</f>
        <v>238.68000000000004</v>
      </c>
      <c r="H130" s="233">
        <f t="shared" si="3"/>
        <v>0</v>
      </c>
      <c r="I130" s="229" t="s">
        <v>324</v>
      </c>
      <c r="J130" s="237"/>
    </row>
    <row r="131" spans="1:12" x14ac:dyDescent="0.2">
      <c r="A131" s="251">
        <v>129</v>
      </c>
      <c r="B131" s="251">
        <v>3312</v>
      </c>
      <c r="C131" s="252" t="s">
        <v>328</v>
      </c>
      <c r="D131" s="253">
        <v>697</v>
      </c>
      <c r="E131" s="254">
        <v>0.4</v>
      </c>
      <c r="F131" s="254">
        <f t="shared" si="2"/>
        <v>278.8</v>
      </c>
      <c r="G131" s="254">
        <f>0.29+278.35+0.16</f>
        <v>278.80000000000007</v>
      </c>
      <c r="H131" s="254">
        <f t="shared" si="3"/>
        <v>0</v>
      </c>
      <c r="I131" s="251">
        <v>881326</v>
      </c>
      <c r="J131" s="258">
        <v>45602</v>
      </c>
      <c r="K131" s="294">
        <v>45621</v>
      </c>
      <c r="L131" s="219" t="s">
        <v>807</v>
      </c>
    </row>
    <row r="132" spans="1:12" x14ac:dyDescent="0.2">
      <c r="A132" s="251">
        <v>130</v>
      </c>
      <c r="B132" s="251">
        <v>3314</v>
      </c>
      <c r="C132" s="252" t="s">
        <v>330</v>
      </c>
      <c r="D132" s="253">
        <v>640.1</v>
      </c>
      <c r="E132" s="254">
        <v>0.4</v>
      </c>
      <c r="F132" s="254">
        <f t="shared" si="2"/>
        <v>256.04000000000002</v>
      </c>
      <c r="G132" s="254">
        <f>252.11+3.93</f>
        <v>256.04000000000002</v>
      </c>
      <c r="H132" s="254">
        <f t="shared" ref="H132:H195" si="7">F132-G132</f>
        <v>0</v>
      </c>
      <c r="I132" s="251">
        <v>766893</v>
      </c>
      <c r="J132" s="258">
        <v>45656</v>
      </c>
      <c r="K132" s="294">
        <v>45685</v>
      </c>
    </row>
    <row r="133" spans="1:12" x14ac:dyDescent="0.2">
      <c r="A133" s="251">
        <v>131</v>
      </c>
      <c r="B133" s="251">
        <v>3315</v>
      </c>
      <c r="C133" s="252" t="s">
        <v>333</v>
      </c>
      <c r="D133" s="253">
        <v>15</v>
      </c>
      <c r="E133" s="254">
        <v>0.4</v>
      </c>
      <c r="F133" s="254">
        <f t="shared" si="2"/>
        <v>6</v>
      </c>
      <c r="G133" s="254">
        <f>3.77+2.23</f>
        <v>6</v>
      </c>
      <c r="H133" s="254">
        <f t="shared" si="7"/>
        <v>0</v>
      </c>
      <c r="I133" s="251">
        <v>23957422</v>
      </c>
      <c r="J133" s="258">
        <v>45621</v>
      </c>
      <c r="K133" s="368" t="s">
        <v>866</v>
      </c>
    </row>
    <row r="134" spans="1:12" x14ac:dyDescent="0.2">
      <c r="A134" s="251">
        <v>132</v>
      </c>
      <c r="B134" s="251">
        <v>3316</v>
      </c>
      <c r="C134" s="252" t="s">
        <v>335</v>
      </c>
      <c r="D134" s="253">
        <v>48.2</v>
      </c>
      <c r="E134" s="254">
        <v>0.4</v>
      </c>
      <c r="F134" s="254">
        <f t="shared" si="2"/>
        <v>19.28</v>
      </c>
      <c r="G134" s="254">
        <f>14.59+4.69</f>
        <v>19.28</v>
      </c>
      <c r="H134" s="254">
        <f t="shared" si="7"/>
        <v>0</v>
      </c>
      <c r="I134" s="251">
        <v>26159748</v>
      </c>
      <c r="J134" s="258">
        <v>45621</v>
      </c>
      <c r="K134" s="368" t="s">
        <v>848</v>
      </c>
    </row>
    <row r="135" spans="1:12" x14ac:dyDescent="0.2">
      <c r="A135" s="229">
        <v>133</v>
      </c>
      <c r="B135" s="229">
        <v>3320</v>
      </c>
      <c r="C135" s="231" t="s">
        <v>337</v>
      </c>
      <c r="D135" s="232">
        <v>311</v>
      </c>
      <c r="E135" s="233">
        <v>0.4</v>
      </c>
      <c r="F135" s="233">
        <f t="shared" ref="F135:F198" si="8">E135*D135</f>
        <v>124.4</v>
      </c>
      <c r="G135" s="233">
        <f>F135</f>
        <v>124.4</v>
      </c>
      <c r="H135" s="233">
        <f t="shared" si="7"/>
        <v>0</v>
      </c>
      <c r="I135" s="229">
        <v>2096234</v>
      </c>
      <c r="J135" s="237"/>
    </row>
    <row r="136" spans="1:12" s="269" customFormat="1" x14ac:dyDescent="0.2">
      <c r="A136" s="251">
        <v>134</v>
      </c>
      <c r="B136" s="251">
        <v>3321</v>
      </c>
      <c r="C136" s="252" t="s">
        <v>339</v>
      </c>
      <c r="D136" s="253">
        <v>228.6</v>
      </c>
      <c r="E136" s="254">
        <v>0.4</v>
      </c>
      <c r="F136" s="254">
        <f t="shared" si="8"/>
        <v>91.44</v>
      </c>
      <c r="G136" s="254">
        <f>89.69</f>
        <v>89.69</v>
      </c>
      <c r="H136" s="254">
        <f t="shared" si="7"/>
        <v>1.75</v>
      </c>
      <c r="I136" s="251">
        <v>10721505</v>
      </c>
      <c r="J136" s="258">
        <v>45779</v>
      </c>
    </row>
    <row r="137" spans="1:12" x14ac:dyDescent="0.2">
      <c r="A137" s="229">
        <v>135</v>
      </c>
      <c r="B137" s="229">
        <v>3322</v>
      </c>
      <c r="C137" s="231" t="s">
        <v>341</v>
      </c>
      <c r="D137" s="232">
        <v>593.79999999999995</v>
      </c>
      <c r="E137" s="233">
        <v>0.4</v>
      </c>
      <c r="F137" s="233">
        <f t="shared" si="8"/>
        <v>237.51999999999998</v>
      </c>
      <c r="G137" s="233">
        <f>F137</f>
        <v>237.51999999999998</v>
      </c>
      <c r="H137" s="233">
        <f t="shared" si="7"/>
        <v>0</v>
      </c>
      <c r="I137" s="229">
        <v>6047858</v>
      </c>
      <c r="J137" s="237"/>
    </row>
    <row r="138" spans="1:12" x14ac:dyDescent="0.2">
      <c r="A138" s="251">
        <v>136</v>
      </c>
      <c r="B138" s="251">
        <v>3325</v>
      </c>
      <c r="C138" s="252" t="s">
        <v>153</v>
      </c>
      <c r="D138" s="253">
        <v>182.4</v>
      </c>
      <c r="E138" s="254">
        <v>0.4</v>
      </c>
      <c r="F138" s="254">
        <f t="shared" si="8"/>
        <v>72.960000000000008</v>
      </c>
      <c r="G138" s="254">
        <f>F138</f>
        <v>72.960000000000008</v>
      </c>
      <c r="H138" s="254">
        <f t="shared" si="7"/>
        <v>0</v>
      </c>
      <c r="I138" s="251">
        <v>21849398</v>
      </c>
      <c r="J138" s="258">
        <v>45637</v>
      </c>
    </row>
    <row r="139" spans="1:12" x14ac:dyDescent="0.2">
      <c r="A139" s="251">
        <v>137</v>
      </c>
      <c r="B139" s="251">
        <v>3326</v>
      </c>
      <c r="C139" s="252" t="s">
        <v>344</v>
      </c>
      <c r="D139" s="253">
        <v>852.3</v>
      </c>
      <c r="E139" s="254">
        <v>0.4</v>
      </c>
      <c r="F139" s="254">
        <f t="shared" si="8"/>
        <v>340.92</v>
      </c>
      <c r="G139" s="254">
        <f>339.09+1.83</f>
        <v>340.91999999999996</v>
      </c>
      <c r="H139" s="254">
        <f t="shared" si="7"/>
        <v>0</v>
      </c>
      <c r="I139" s="251">
        <v>1466865</v>
      </c>
      <c r="J139" s="258">
        <v>45602</v>
      </c>
      <c r="K139" s="294">
        <v>45629</v>
      </c>
    </row>
    <row r="140" spans="1:12" x14ac:dyDescent="0.2">
      <c r="A140" s="251">
        <v>138</v>
      </c>
      <c r="B140" s="251">
        <v>3328</v>
      </c>
      <c r="C140" s="252" t="s">
        <v>346</v>
      </c>
      <c r="D140" s="253">
        <v>643.9</v>
      </c>
      <c r="E140" s="254">
        <v>0.4</v>
      </c>
      <c r="F140" s="254">
        <f t="shared" si="8"/>
        <v>257.56</v>
      </c>
      <c r="G140" s="254">
        <f>254.73+2.83</f>
        <v>257.56</v>
      </c>
      <c r="H140" s="254">
        <f t="shared" si="7"/>
        <v>0</v>
      </c>
      <c r="I140" s="251">
        <v>1934204</v>
      </c>
      <c r="J140" s="258">
        <v>45615</v>
      </c>
      <c r="K140" s="294">
        <v>45629</v>
      </c>
    </row>
    <row r="141" spans="1:12" x14ac:dyDescent="0.2">
      <c r="A141" s="251">
        <v>139</v>
      </c>
      <c r="B141" s="251">
        <v>3329</v>
      </c>
      <c r="C141" s="252" t="s">
        <v>348</v>
      </c>
      <c r="D141" s="253">
        <v>354</v>
      </c>
      <c r="E141" s="254">
        <v>0.4</v>
      </c>
      <c r="F141" s="254">
        <f t="shared" si="8"/>
        <v>141.6</v>
      </c>
      <c r="G141" s="254">
        <f>F141</f>
        <v>141.6</v>
      </c>
      <c r="H141" s="254">
        <f t="shared" si="7"/>
        <v>0</v>
      </c>
      <c r="I141" s="251">
        <v>9086292</v>
      </c>
      <c r="J141" s="258">
        <v>45662</v>
      </c>
    </row>
    <row r="142" spans="1:12" x14ac:dyDescent="0.2">
      <c r="A142" s="284">
        <v>140</v>
      </c>
      <c r="B142" s="284">
        <v>3331</v>
      </c>
      <c r="C142" s="285" t="s">
        <v>350</v>
      </c>
      <c r="D142" s="286">
        <v>584.9</v>
      </c>
      <c r="E142" s="287">
        <v>0.4</v>
      </c>
      <c r="F142" s="287">
        <f t="shared" si="8"/>
        <v>233.96</v>
      </c>
      <c r="G142" s="287">
        <f>F142</f>
        <v>233.96</v>
      </c>
      <c r="H142" s="287">
        <f t="shared" si="7"/>
        <v>0</v>
      </c>
      <c r="I142" s="284">
        <v>18048861</v>
      </c>
      <c r="J142" s="291">
        <v>45693</v>
      </c>
      <c r="K142" s="292"/>
    </row>
    <row r="143" spans="1:12" x14ac:dyDescent="0.2">
      <c r="A143" s="229">
        <v>141</v>
      </c>
      <c r="B143" s="229">
        <v>3332</v>
      </c>
      <c r="C143" s="231" t="s">
        <v>721</v>
      </c>
      <c r="D143" s="232">
        <v>211.1</v>
      </c>
      <c r="E143" s="233">
        <v>0.4</v>
      </c>
      <c r="F143" s="233">
        <f t="shared" si="8"/>
        <v>84.44</v>
      </c>
      <c r="G143" s="233">
        <f>F143</f>
        <v>84.44</v>
      </c>
      <c r="H143" s="233">
        <f t="shared" si="7"/>
        <v>0</v>
      </c>
      <c r="I143" s="229">
        <v>1320775</v>
      </c>
      <c r="J143" s="237"/>
    </row>
    <row r="144" spans="1:12" s="269" customFormat="1" x14ac:dyDescent="0.2">
      <c r="A144" s="251">
        <v>142</v>
      </c>
      <c r="B144" s="251">
        <v>3334</v>
      </c>
      <c r="C144" s="252" t="s">
        <v>353</v>
      </c>
      <c r="D144" s="253">
        <v>460</v>
      </c>
      <c r="E144" s="254">
        <v>0.4</v>
      </c>
      <c r="F144" s="254">
        <f t="shared" si="8"/>
        <v>184</v>
      </c>
      <c r="G144" s="254">
        <f>F144</f>
        <v>184</v>
      </c>
      <c r="H144" s="254">
        <f t="shared" si="7"/>
        <v>0</v>
      </c>
      <c r="I144" s="251">
        <v>1176211</v>
      </c>
      <c r="J144" s="258">
        <v>45691</v>
      </c>
    </row>
    <row r="145" spans="1:12" x14ac:dyDescent="0.2">
      <c r="A145" s="229">
        <v>143</v>
      </c>
      <c r="B145" s="229">
        <v>3335</v>
      </c>
      <c r="C145" s="231" t="s">
        <v>355</v>
      </c>
      <c r="D145" s="232">
        <v>287.89999999999998</v>
      </c>
      <c r="E145" s="233">
        <v>0.4</v>
      </c>
      <c r="F145" s="233">
        <f t="shared" si="8"/>
        <v>115.16</v>
      </c>
      <c r="G145" s="233">
        <f>F145</f>
        <v>115.16</v>
      </c>
      <c r="H145" s="233">
        <f t="shared" si="7"/>
        <v>0</v>
      </c>
      <c r="I145" s="229">
        <v>2022545</v>
      </c>
      <c r="J145" s="237"/>
    </row>
    <row r="146" spans="1:12" x14ac:dyDescent="0.2">
      <c r="A146" s="251">
        <v>144</v>
      </c>
      <c r="B146" s="251">
        <v>3336</v>
      </c>
      <c r="C146" s="252" t="s">
        <v>357</v>
      </c>
      <c r="D146" s="253">
        <v>346.6</v>
      </c>
      <c r="E146" s="254">
        <v>0.4</v>
      </c>
      <c r="F146" s="254">
        <f t="shared" si="8"/>
        <v>138.64000000000001</v>
      </c>
      <c r="G146" s="254">
        <f>135.86+2.78</f>
        <v>138.64000000000001</v>
      </c>
      <c r="H146" s="254">
        <f t="shared" si="7"/>
        <v>0</v>
      </c>
      <c r="I146" s="251">
        <v>905756</v>
      </c>
      <c r="J146" s="258">
        <v>45635</v>
      </c>
      <c r="K146" s="258">
        <v>45670</v>
      </c>
    </row>
    <row r="147" spans="1:12" x14ac:dyDescent="0.2">
      <c r="A147" s="229">
        <v>145</v>
      </c>
      <c r="B147" s="229">
        <v>3337</v>
      </c>
      <c r="C147" s="231" t="s">
        <v>359</v>
      </c>
      <c r="D147" s="232">
        <v>306.89999999999998</v>
      </c>
      <c r="E147" s="233">
        <v>0.4</v>
      </c>
      <c r="F147" s="233">
        <f t="shared" si="8"/>
        <v>122.75999999999999</v>
      </c>
      <c r="G147" s="233">
        <f>F147</f>
        <v>122.75999999999999</v>
      </c>
      <c r="H147" s="233">
        <f t="shared" si="7"/>
        <v>0</v>
      </c>
      <c r="I147" s="229">
        <v>19344361</v>
      </c>
      <c r="J147" s="237"/>
    </row>
    <row r="148" spans="1:12" x14ac:dyDescent="0.2">
      <c r="A148" s="251">
        <v>146</v>
      </c>
      <c r="B148" s="251">
        <v>3338</v>
      </c>
      <c r="C148" s="252" t="s">
        <v>361</v>
      </c>
      <c r="D148" s="253">
        <v>437.1</v>
      </c>
      <c r="E148" s="254">
        <v>0.4</v>
      </c>
      <c r="F148" s="254">
        <f t="shared" si="8"/>
        <v>174.84000000000003</v>
      </c>
      <c r="G148" s="254">
        <f>104+67.9+2.94</f>
        <v>174.84</v>
      </c>
      <c r="H148" s="254">
        <f t="shared" si="7"/>
        <v>0</v>
      </c>
      <c r="I148" s="251">
        <v>1078791</v>
      </c>
      <c r="J148" s="258">
        <v>45609</v>
      </c>
      <c r="K148" s="294">
        <v>45615</v>
      </c>
      <c r="L148" s="294">
        <v>45624</v>
      </c>
    </row>
    <row r="149" spans="1:12" x14ac:dyDescent="0.2">
      <c r="A149" s="229">
        <v>147</v>
      </c>
      <c r="B149" s="229">
        <v>3340</v>
      </c>
      <c r="C149" s="231" t="s">
        <v>363</v>
      </c>
      <c r="D149" s="232">
        <v>296.39999999999998</v>
      </c>
      <c r="E149" s="233">
        <v>0.4</v>
      </c>
      <c r="F149" s="233">
        <f t="shared" si="8"/>
        <v>118.56</v>
      </c>
      <c r="G149" s="233">
        <f>F149</f>
        <v>118.56</v>
      </c>
      <c r="H149" s="233">
        <f t="shared" si="7"/>
        <v>0</v>
      </c>
      <c r="I149" s="229">
        <v>906355</v>
      </c>
      <c r="J149" s="237"/>
    </row>
    <row r="150" spans="1:12" x14ac:dyDescent="0.2">
      <c r="A150" s="251">
        <v>148</v>
      </c>
      <c r="B150" s="251">
        <v>3342</v>
      </c>
      <c r="C150" s="252" t="s">
        <v>366</v>
      </c>
      <c r="D150" s="253">
        <v>108.2</v>
      </c>
      <c r="E150" s="254">
        <v>0.4</v>
      </c>
      <c r="F150" s="254">
        <f t="shared" si="8"/>
        <v>43.28</v>
      </c>
      <c r="G150" s="254">
        <f>41.72+1.56</f>
        <v>43.28</v>
      </c>
      <c r="H150" s="254">
        <f t="shared" si="7"/>
        <v>0</v>
      </c>
      <c r="I150" s="251">
        <v>1779485</v>
      </c>
      <c r="J150" s="258">
        <v>45621</v>
      </c>
      <c r="K150" s="294">
        <v>45629</v>
      </c>
    </row>
    <row r="151" spans="1:12" x14ac:dyDescent="0.2">
      <c r="A151" s="251">
        <v>149</v>
      </c>
      <c r="B151" s="251">
        <v>3346</v>
      </c>
      <c r="C151" s="252" t="s">
        <v>368</v>
      </c>
      <c r="D151" s="253">
        <v>483.8</v>
      </c>
      <c r="E151" s="254">
        <v>0.4</v>
      </c>
      <c r="F151" s="254">
        <f t="shared" si="8"/>
        <v>193.52</v>
      </c>
      <c r="G151" s="254">
        <f>189.13+4.39</f>
        <v>193.51999999999998</v>
      </c>
      <c r="H151" s="254">
        <f t="shared" si="7"/>
        <v>0</v>
      </c>
      <c r="I151" s="251">
        <v>1586848</v>
      </c>
      <c r="J151" s="258">
        <v>45602</v>
      </c>
      <c r="K151" s="294">
        <v>45629</v>
      </c>
    </row>
    <row r="152" spans="1:12" x14ac:dyDescent="0.2">
      <c r="A152" s="251">
        <v>150</v>
      </c>
      <c r="B152" s="251">
        <v>3700</v>
      </c>
      <c r="C152" s="252" t="s">
        <v>27</v>
      </c>
      <c r="D152" s="253">
        <v>929.1</v>
      </c>
      <c r="E152" s="254">
        <v>0.4</v>
      </c>
      <c r="F152" s="254">
        <f t="shared" si="8"/>
        <v>371.64000000000004</v>
      </c>
      <c r="G152" s="254">
        <f>366.43+5.21</f>
        <v>371.64</v>
      </c>
      <c r="H152" s="254">
        <f t="shared" si="7"/>
        <v>0</v>
      </c>
      <c r="I152" s="251">
        <v>19729836</v>
      </c>
      <c r="J152" s="258">
        <v>45602</v>
      </c>
      <c r="K152" s="294">
        <v>45624</v>
      </c>
    </row>
    <row r="153" spans="1:12" x14ac:dyDescent="0.2">
      <c r="A153" s="251">
        <v>151</v>
      </c>
      <c r="B153" s="251">
        <v>3702</v>
      </c>
      <c r="C153" s="252" t="s">
        <v>370</v>
      </c>
      <c r="D153" s="253">
        <v>368.2</v>
      </c>
      <c r="E153" s="254">
        <v>0.4</v>
      </c>
      <c r="F153" s="254">
        <f>E153*D153</f>
        <v>147.28</v>
      </c>
      <c r="G153" s="254">
        <f>143.41+3.87</f>
        <v>147.28</v>
      </c>
      <c r="H153" s="254">
        <f t="shared" si="7"/>
        <v>0</v>
      </c>
      <c r="I153" s="293" t="s">
        <v>371</v>
      </c>
      <c r="J153" s="258">
        <v>45629</v>
      </c>
      <c r="K153" s="294">
        <v>45635</v>
      </c>
    </row>
    <row r="154" spans="1:12" x14ac:dyDescent="0.2">
      <c r="A154" s="251">
        <v>152</v>
      </c>
      <c r="B154" s="251">
        <v>3703</v>
      </c>
      <c r="C154" s="252" t="s">
        <v>373</v>
      </c>
      <c r="D154" s="253">
        <v>880.8</v>
      </c>
      <c r="E154" s="254">
        <v>0.4</v>
      </c>
      <c r="F154" s="254">
        <f t="shared" si="8"/>
        <v>352.32</v>
      </c>
      <c r="G154" s="254">
        <f>F154</f>
        <v>352.32</v>
      </c>
      <c r="H154" s="254">
        <f t="shared" si="7"/>
        <v>0</v>
      </c>
      <c r="I154" s="251">
        <v>6332137</v>
      </c>
      <c r="J154" s="258">
        <v>45644</v>
      </c>
    </row>
    <row r="155" spans="1:12" s="368" customFormat="1" x14ac:dyDescent="0.2">
      <c r="A155" s="360">
        <v>153</v>
      </c>
      <c r="B155" s="360">
        <v>3704</v>
      </c>
      <c r="C155" s="361" t="s">
        <v>375</v>
      </c>
      <c r="D155" s="362">
        <v>773.6</v>
      </c>
      <c r="E155" s="363">
        <v>0.4</v>
      </c>
      <c r="F155" s="363">
        <f t="shared" si="8"/>
        <v>309.44000000000005</v>
      </c>
      <c r="G155" s="363">
        <v>309.44</v>
      </c>
      <c r="H155" s="363">
        <f t="shared" si="7"/>
        <v>0</v>
      </c>
      <c r="I155" s="360">
        <v>730722</v>
      </c>
      <c r="J155" s="369" t="s">
        <v>805</v>
      </c>
    </row>
    <row r="156" spans="1:12" x14ac:dyDescent="0.2">
      <c r="A156" s="251">
        <v>154</v>
      </c>
      <c r="B156" s="251">
        <v>3705</v>
      </c>
      <c r="C156" s="252" t="s">
        <v>377</v>
      </c>
      <c r="D156" s="253">
        <v>330</v>
      </c>
      <c r="E156" s="254">
        <v>0.4</v>
      </c>
      <c r="F156" s="254">
        <f t="shared" si="8"/>
        <v>132</v>
      </c>
      <c r="G156" s="254">
        <f>130.97+1.03</f>
        <v>132</v>
      </c>
      <c r="H156" s="254">
        <f t="shared" si="7"/>
        <v>0</v>
      </c>
      <c r="I156" s="251">
        <v>738486</v>
      </c>
      <c r="J156" s="258">
        <v>45621</v>
      </c>
      <c r="K156" s="294">
        <v>45650</v>
      </c>
    </row>
    <row r="157" spans="1:12" x14ac:dyDescent="0.2">
      <c r="A157" s="251">
        <v>155</v>
      </c>
      <c r="B157" s="251">
        <v>3706</v>
      </c>
      <c r="C157" s="252" t="s">
        <v>379</v>
      </c>
      <c r="D157" s="253">
        <v>332.7</v>
      </c>
      <c r="E157" s="254">
        <v>0.4</v>
      </c>
      <c r="F157" s="254">
        <f t="shared" si="8"/>
        <v>133.08000000000001</v>
      </c>
      <c r="G157" s="254">
        <f>130.89+2.19</f>
        <v>133.07999999999998</v>
      </c>
      <c r="H157" s="254">
        <f t="shared" si="7"/>
        <v>0</v>
      </c>
      <c r="I157" s="251">
        <v>8098795</v>
      </c>
      <c r="J157" s="258">
        <v>45621</v>
      </c>
      <c r="K157" s="294">
        <v>45650</v>
      </c>
    </row>
    <row r="158" spans="1:12" x14ac:dyDescent="0.2">
      <c r="A158" s="284">
        <v>156</v>
      </c>
      <c r="B158" s="284">
        <v>3708</v>
      </c>
      <c r="C158" s="285" t="s">
        <v>381</v>
      </c>
      <c r="D158" s="286">
        <v>650.79999999999995</v>
      </c>
      <c r="E158" s="287">
        <v>0.4</v>
      </c>
      <c r="F158" s="287">
        <f t="shared" si="8"/>
        <v>260.32</v>
      </c>
      <c r="G158" s="287">
        <f>F158</f>
        <v>260.32</v>
      </c>
      <c r="H158" s="287">
        <f t="shared" si="7"/>
        <v>0</v>
      </c>
      <c r="I158" s="287">
        <v>5304255</v>
      </c>
      <c r="J158" s="291" t="s">
        <v>775</v>
      </c>
    </row>
    <row r="159" spans="1:12" x14ac:dyDescent="0.2">
      <c r="A159" s="229">
        <v>157</v>
      </c>
      <c r="B159" s="229">
        <v>3709</v>
      </c>
      <c r="C159" s="231" t="s">
        <v>384</v>
      </c>
      <c r="D159" s="239">
        <v>606.20000000000005</v>
      </c>
      <c r="E159" s="233">
        <v>0.4</v>
      </c>
      <c r="F159" s="233">
        <f t="shared" si="8"/>
        <v>242.48000000000002</v>
      </c>
      <c r="G159" s="233">
        <f>F159</f>
        <v>242.48000000000002</v>
      </c>
      <c r="H159" s="233">
        <f t="shared" si="7"/>
        <v>0</v>
      </c>
      <c r="I159" s="275" t="s">
        <v>385</v>
      </c>
      <c r="J159" s="237"/>
    </row>
    <row r="160" spans="1:12" x14ac:dyDescent="0.2">
      <c r="A160" s="251">
        <v>158</v>
      </c>
      <c r="B160" s="251">
        <v>3711</v>
      </c>
      <c r="C160" s="252" t="s">
        <v>387</v>
      </c>
      <c r="D160" s="253">
        <v>388.8</v>
      </c>
      <c r="E160" s="254">
        <v>0.4</v>
      </c>
      <c r="F160" s="254">
        <f t="shared" si="8"/>
        <v>155.52000000000001</v>
      </c>
      <c r="G160" s="254">
        <f>153.66+1.86</f>
        <v>155.52000000000001</v>
      </c>
      <c r="H160" s="254">
        <f t="shared" si="7"/>
        <v>0</v>
      </c>
      <c r="I160" s="293" t="s">
        <v>388</v>
      </c>
      <c r="J160" s="258">
        <v>45602</v>
      </c>
      <c r="K160" s="219" t="s">
        <v>799</v>
      </c>
    </row>
    <row r="161" spans="1:11" x14ac:dyDescent="0.2">
      <c r="A161" s="251">
        <v>159</v>
      </c>
      <c r="B161" s="251">
        <v>3712</v>
      </c>
      <c r="C161" s="252" t="s">
        <v>390</v>
      </c>
      <c r="D161" s="253">
        <v>116.2</v>
      </c>
      <c r="E161" s="254">
        <v>0.4</v>
      </c>
      <c r="F161" s="254">
        <f t="shared" si="8"/>
        <v>46.480000000000004</v>
      </c>
      <c r="G161" s="254">
        <f>42.66+3.82</f>
        <v>46.48</v>
      </c>
      <c r="H161" s="254">
        <f t="shared" si="7"/>
        <v>0</v>
      </c>
      <c r="I161" s="293" t="s">
        <v>391</v>
      </c>
      <c r="J161" s="343">
        <v>45602</v>
      </c>
      <c r="K161" s="294">
        <v>45627</v>
      </c>
    </row>
    <row r="162" spans="1:11" x14ac:dyDescent="0.2">
      <c r="A162" s="229">
        <v>160</v>
      </c>
      <c r="B162" s="229">
        <v>3713</v>
      </c>
      <c r="C162" s="231" t="s">
        <v>393</v>
      </c>
      <c r="D162" s="239">
        <v>350.4</v>
      </c>
      <c r="E162" s="233">
        <v>0.4</v>
      </c>
      <c r="F162" s="233">
        <f t="shared" si="8"/>
        <v>140.16</v>
      </c>
      <c r="G162" s="233">
        <f>F162</f>
        <v>140.16</v>
      </c>
      <c r="H162" s="233">
        <f t="shared" si="7"/>
        <v>0</v>
      </c>
      <c r="I162" s="275" t="s">
        <v>394</v>
      </c>
      <c r="J162" s="237"/>
    </row>
    <row r="163" spans="1:11" s="269" customFormat="1" x14ac:dyDescent="0.2">
      <c r="A163" s="251">
        <v>161</v>
      </c>
      <c r="B163" s="251">
        <v>3716</v>
      </c>
      <c r="C163" s="252" t="s">
        <v>396</v>
      </c>
      <c r="D163" s="253">
        <v>641.20000000000005</v>
      </c>
      <c r="E163" s="254">
        <v>0.4</v>
      </c>
      <c r="F163" s="254">
        <f t="shared" si="8"/>
        <v>256.48</v>
      </c>
      <c r="G163" s="254">
        <f>255.942+0.538</f>
        <v>256.48</v>
      </c>
      <c r="H163" s="254">
        <f t="shared" si="7"/>
        <v>0</v>
      </c>
      <c r="I163" s="255" t="s">
        <v>397</v>
      </c>
      <c r="J163" s="258">
        <v>45607</v>
      </c>
      <c r="K163" s="343">
        <v>45637</v>
      </c>
    </row>
    <row r="164" spans="1:11" x14ac:dyDescent="0.2">
      <c r="A164" s="251">
        <v>162</v>
      </c>
      <c r="B164" s="251">
        <v>3717</v>
      </c>
      <c r="C164" s="252" t="s">
        <v>399</v>
      </c>
      <c r="D164" s="253">
        <v>717.1</v>
      </c>
      <c r="E164" s="254">
        <v>0.4</v>
      </c>
      <c r="F164" s="254">
        <f t="shared" si="8"/>
        <v>286.84000000000003</v>
      </c>
      <c r="G164" s="254">
        <v>286.83999999999997</v>
      </c>
      <c r="H164" s="254">
        <f t="shared" si="7"/>
        <v>0</v>
      </c>
      <c r="I164" s="255" t="s">
        <v>400</v>
      </c>
      <c r="J164" s="258">
        <v>45652</v>
      </c>
    </row>
    <row r="165" spans="1:11" x14ac:dyDescent="0.2">
      <c r="A165" s="229">
        <v>163</v>
      </c>
      <c r="B165" s="229">
        <v>3718</v>
      </c>
      <c r="C165" s="231" t="s">
        <v>403</v>
      </c>
      <c r="D165" s="239">
        <v>29.7</v>
      </c>
      <c r="E165" s="233">
        <v>0.4</v>
      </c>
      <c r="F165" s="233">
        <f t="shared" si="8"/>
        <v>11.88</v>
      </c>
      <c r="G165" s="233">
        <f>F165</f>
        <v>11.88</v>
      </c>
      <c r="H165" s="233">
        <f t="shared" si="7"/>
        <v>0</v>
      </c>
      <c r="I165" s="275" t="s">
        <v>404</v>
      </c>
      <c r="J165" s="237"/>
    </row>
    <row r="166" spans="1:11" x14ac:dyDescent="0.2">
      <c r="A166" s="229">
        <v>164</v>
      </c>
      <c r="B166" s="229">
        <v>3719</v>
      </c>
      <c r="C166" s="231" t="s">
        <v>406</v>
      </c>
      <c r="D166" s="239">
        <v>363.5</v>
      </c>
      <c r="E166" s="233">
        <v>0.4</v>
      </c>
      <c r="F166" s="233">
        <f t="shared" si="8"/>
        <v>145.4</v>
      </c>
      <c r="G166" s="233">
        <f>F166</f>
        <v>145.4</v>
      </c>
      <c r="H166" s="233">
        <f t="shared" si="7"/>
        <v>0</v>
      </c>
      <c r="I166" s="275" t="s">
        <v>407</v>
      </c>
      <c r="J166" s="237"/>
    </row>
    <row r="167" spans="1:11" x14ac:dyDescent="0.2">
      <c r="A167" s="284">
        <v>165</v>
      </c>
      <c r="B167" s="284">
        <v>3720</v>
      </c>
      <c r="C167" s="285" t="s">
        <v>409</v>
      </c>
      <c r="D167" s="286">
        <v>488.9</v>
      </c>
      <c r="E167" s="287">
        <v>0.4</v>
      </c>
      <c r="F167" s="287">
        <f t="shared" si="8"/>
        <v>195.56</v>
      </c>
      <c r="G167" s="287">
        <f>F167</f>
        <v>195.56</v>
      </c>
      <c r="H167" s="287">
        <f t="shared" si="7"/>
        <v>0</v>
      </c>
      <c r="I167" s="288" t="s">
        <v>410</v>
      </c>
      <c r="J167" s="291" t="s">
        <v>775</v>
      </c>
    </row>
    <row r="168" spans="1:11" s="269" customFormat="1" x14ac:dyDescent="0.2">
      <c r="A168" s="251">
        <v>166</v>
      </c>
      <c r="B168" s="251">
        <v>3722</v>
      </c>
      <c r="C168" s="252" t="s">
        <v>412</v>
      </c>
      <c r="D168" s="253">
        <v>368.7</v>
      </c>
      <c r="E168" s="254">
        <v>0.4</v>
      </c>
      <c r="F168" s="254">
        <f t="shared" si="8"/>
        <v>147.47999999999999</v>
      </c>
      <c r="G168" s="254">
        <f>F168</f>
        <v>147.47999999999999</v>
      </c>
      <c r="H168" s="254">
        <f t="shared" si="7"/>
        <v>0</v>
      </c>
      <c r="I168" s="325" t="s">
        <v>413</v>
      </c>
      <c r="J168" s="258">
        <v>45691</v>
      </c>
    </row>
    <row r="169" spans="1:11" x14ac:dyDescent="0.2">
      <c r="A169" s="229">
        <v>167</v>
      </c>
      <c r="B169" s="229">
        <v>3723</v>
      </c>
      <c r="C169" s="231" t="s">
        <v>415</v>
      </c>
      <c r="D169" s="232">
        <v>146.19999999999999</v>
      </c>
      <c r="E169" s="233">
        <v>0.4</v>
      </c>
      <c r="F169" s="233">
        <f t="shared" si="8"/>
        <v>58.48</v>
      </c>
      <c r="G169" s="233">
        <f>F169</f>
        <v>58.48</v>
      </c>
      <c r="H169" s="233">
        <f t="shared" si="7"/>
        <v>0</v>
      </c>
      <c r="I169" s="230">
        <v>993752</v>
      </c>
      <c r="J169" s="237"/>
    </row>
    <row r="170" spans="1:11" x14ac:dyDescent="0.2">
      <c r="A170" s="251">
        <v>168</v>
      </c>
      <c r="B170" s="251">
        <v>3725</v>
      </c>
      <c r="C170" s="252" t="s">
        <v>297</v>
      </c>
      <c r="D170" s="253">
        <v>574.6</v>
      </c>
      <c r="E170" s="254">
        <v>0.4</v>
      </c>
      <c r="F170" s="254">
        <f t="shared" si="8"/>
        <v>229.84000000000003</v>
      </c>
      <c r="G170" s="254">
        <f>225.39+4.45</f>
        <v>229.83999999999997</v>
      </c>
      <c r="H170" s="254">
        <f t="shared" si="7"/>
        <v>0</v>
      </c>
      <c r="I170" s="321">
        <v>1648248</v>
      </c>
      <c r="J170" s="258">
        <v>45602</v>
      </c>
      <c r="K170" s="294">
        <v>45631</v>
      </c>
    </row>
    <row r="171" spans="1:11" x14ac:dyDescent="0.2">
      <c r="A171" s="251">
        <v>169</v>
      </c>
      <c r="B171" s="251">
        <v>3727</v>
      </c>
      <c r="C171" s="252" t="s">
        <v>419</v>
      </c>
      <c r="D171" s="253">
        <v>250.8</v>
      </c>
      <c r="E171" s="254">
        <v>0.4</v>
      </c>
      <c r="F171" s="254">
        <f t="shared" si="8"/>
        <v>100.32000000000001</v>
      </c>
      <c r="G171" s="254">
        <f>98.99+1.33</f>
        <v>100.32</v>
      </c>
      <c r="H171" s="254">
        <f t="shared" si="7"/>
        <v>0</v>
      </c>
      <c r="I171" s="293" t="s">
        <v>420</v>
      </c>
      <c r="J171" s="343">
        <v>45602</v>
      </c>
      <c r="K171" s="294">
        <v>45630</v>
      </c>
    </row>
    <row r="172" spans="1:11" x14ac:dyDescent="0.2">
      <c r="A172" s="251">
        <v>170</v>
      </c>
      <c r="B172" s="251">
        <v>3728</v>
      </c>
      <c r="C172" s="252" t="s">
        <v>422</v>
      </c>
      <c r="D172" s="253">
        <v>318</v>
      </c>
      <c r="E172" s="254">
        <v>0.4</v>
      </c>
      <c r="F172" s="254">
        <f t="shared" si="8"/>
        <v>127.2</v>
      </c>
      <c r="G172" s="254">
        <f>F172</f>
        <v>127.2</v>
      </c>
      <c r="H172" s="254">
        <f t="shared" si="7"/>
        <v>0</v>
      </c>
      <c r="I172" s="321">
        <v>25886784</v>
      </c>
      <c r="J172" s="258">
        <v>45663</v>
      </c>
    </row>
    <row r="173" spans="1:11" x14ac:dyDescent="0.2">
      <c r="A173" s="251">
        <v>171</v>
      </c>
      <c r="B173" s="251">
        <v>3729</v>
      </c>
      <c r="C173" s="252" t="s">
        <v>424</v>
      </c>
      <c r="D173" s="324">
        <v>165.5</v>
      </c>
      <c r="E173" s="254">
        <v>0.4</v>
      </c>
      <c r="F173" s="254">
        <f t="shared" si="8"/>
        <v>66.2</v>
      </c>
      <c r="G173" s="254">
        <f>66.19+0.01</f>
        <v>66.2</v>
      </c>
      <c r="H173" s="254">
        <f t="shared" si="7"/>
        <v>0</v>
      </c>
      <c r="I173" s="325" t="s">
        <v>425</v>
      </c>
      <c r="J173" s="258">
        <v>45607</v>
      </c>
      <c r="K173" s="294">
        <v>45644</v>
      </c>
    </row>
    <row r="174" spans="1:11" x14ac:dyDescent="0.2">
      <c r="A174" s="251">
        <v>172</v>
      </c>
      <c r="B174" s="251">
        <v>3730</v>
      </c>
      <c r="C174" s="252" t="s">
        <v>427</v>
      </c>
      <c r="D174" s="253">
        <v>418.2</v>
      </c>
      <c r="E174" s="254">
        <v>0.4</v>
      </c>
      <c r="F174" s="254">
        <f t="shared" si="8"/>
        <v>167.28</v>
      </c>
      <c r="G174" s="254">
        <f>164.73+2.55</f>
        <v>167.28</v>
      </c>
      <c r="H174" s="254">
        <f t="shared" si="7"/>
        <v>0</v>
      </c>
      <c r="I174" s="293" t="s">
        <v>428</v>
      </c>
      <c r="J174" s="258">
        <v>45602</v>
      </c>
      <c r="K174" s="294">
        <v>45629</v>
      </c>
    </row>
    <row r="175" spans="1:11" s="398" customFormat="1" x14ac:dyDescent="0.2">
      <c r="A175" s="392">
        <v>173</v>
      </c>
      <c r="B175" s="392">
        <v>3731</v>
      </c>
      <c r="C175" s="393" t="s">
        <v>430</v>
      </c>
      <c r="D175" s="394">
        <v>721.9</v>
      </c>
      <c r="E175" s="395">
        <v>0.4</v>
      </c>
      <c r="F175" s="395">
        <f t="shared" si="8"/>
        <v>288.76</v>
      </c>
      <c r="G175" s="395">
        <f>F175</f>
        <v>288.76</v>
      </c>
      <c r="H175" s="395">
        <f t="shared" si="7"/>
        <v>0</v>
      </c>
      <c r="I175" s="403">
        <v>4640285</v>
      </c>
      <c r="J175" s="404" t="s">
        <v>847</v>
      </c>
    </row>
    <row r="176" spans="1:11" x14ac:dyDescent="0.2">
      <c r="A176" s="251">
        <v>174</v>
      </c>
      <c r="B176" s="251">
        <v>3733</v>
      </c>
      <c r="C176" s="252" t="s">
        <v>432</v>
      </c>
      <c r="D176" s="253">
        <v>148.30000000000001</v>
      </c>
      <c r="E176" s="254">
        <v>0.4</v>
      </c>
      <c r="F176" s="254">
        <f t="shared" si="8"/>
        <v>59.320000000000007</v>
      </c>
      <c r="G176" s="254">
        <f>F176</f>
        <v>59.320000000000007</v>
      </c>
      <c r="H176" s="254">
        <f t="shared" si="7"/>
        <v>0</v>
      </c>
      <c r="I176" s="327">
        <v>23270163</v>
      </c>
      <c r="J176" s="258">
        <v>45624</v>
      </c>
    </row>
    <row r="177" spans="1:11" x14ac:dyDescent="0.2">
      <c r="A177" s="229">
        <v>175</v>
      </c>
      <c r="B177" s="229">
        <v>3734</v>
      </c>
      <c r="C177" s="231" t="s">
        <v>434</v>
      </c>
      <c r="D177" s="239">
        <v>553.29999999999995</v>
      </c>
      <c r="E177" s="233">
        <v>0.4</v>
      </c>
      <c r="F177" s="233">
        <f t="shared" si="8"/>
        <v>221.32</v>
      </c>
      <c r="G177" s="233">
        <f>F177</f>
        <v>221.32</v>
      </c>
      <c r="H177" s="233">
        <f t="shared" si="7"/>
        <v>0</v>
      </c>
      <c r="I177" s="240">
        <v>6680216</v>
      </c>
      <c r="J177" s="237"/>
    </row>
    <row r="178" spans="1:11" x14ac:dyDescent="0.2">
      <c r="A178" s="229">
        <v>176</v>
      </c>
      <c r="B178" s="229">
        <v>3735</v>
      </c>
      <c r="C178" s="231" t="s">
        <v>436</v>
      </c>
      <c r="D178" s="239">
        <v>311</v>
      </c>
      <c r="E178" s="233">
        <v>0.4</v>
      </c>
      <c r="F178" s="233">
        <f t="shared" si="8"/>
        <v>124.4</v>
      </c>
      <c r="G178" s="233">
        <f t="shared" ref="G178:G179" si="9">F178</f>
        <v>124.4</v>
      </c>
      <c r="H178" s="233">
        <f t="shared" si="7"/>
        <v>0</v>
      </c>
      <c r="I178" s="240">
        <v>19952467</v>
      </c>
      <c r="J178" s="237"/>
    </row>
    <row r="179" spans="1:11" x14ac:dyDescent="0.2">
      <c r="A179" s="229">
        <v>177</v>
      </c>
      <c r="B179" s="229">
        <v>3739</v>
      </c>
      <c r="C179" s="276" t="s">
        <v>438</v>
      </c>
      <c r="D179" s="239">
        <v>233.9</v>
      </c>
      <c r="E179" s="233">
        <v>0.4</v>
      </c>
      <c r="F179" s="233">
        <f t="shared" si="8"/>
        <v>93.56</v>
      </c>
      <c r="G179" s="233">
        <f t="shared" si="9"/>
        <v>93.56</v>
      </c>
      <c r="H179" s="233">
        <f t="shared" si="7"/>
        <v>0</v>
      </c>
      <c r="I179" s="296">
        <v>22187694</v>
      </c>
      <c r="J179" s="237"/>
    </row>
    <row r="180" spans="1:11" s="269" customFormat="1" x14ac:dyDescent="0.2">
      <c r="A180" s="251">
        <v>178</v>
      </c>
      <c r="B180" s="251">
        <v>3740</v>
      </c>
      <c r="C180" s="252" t="s">
        <v>440</v>
      </c>
      <c r="D180" s="253">
        <v>690.1</v>
      </c>
      <c r="E180" s="254">
        <v>0.4</v>
      </c>
      <c r="F180" s="254">
        <f t="shared" si="8"/>
        <v>276.04000000000002</v>
      </c>
      <c r="G180" s="254">
        <f>273.96+2.08</f>
        <v>276.03999999999996</v>
      </c>
      <c r="H180" s="254">
        <f t="shared" si="7"/>
        <v>0</v>
      </c>
      <c r="I180" s="255">
        <v>25472616</v>
      </c>
      <c r="J180" s="258">
        <v>45607</v>
      </c>
      <c r="K180" s="343">
        <v>45642</v>
      </c>
    </row>
    <row r="181" spans="1:11" x14ac:dyDescent="0.2">
      <c r="A181" s="251">
        <v>179</v>
      </c>
      <c r="B181" s="251">
        <v>3742</v>
      </c>
      <c r="C181" s="252" t="s">
        <v>442</v>
      </c>
      <c r="D181" s="253">
        <v>186.7</v>
      </c>
      <c r="E181" s="254">
        <v>0.4</v>
      </c>
      <c r="F181" s="254">
        <f t="shared" si="8"/>
        <v>74.679999999999993</v>
      </c>
      <c r="G181" s="254">
        <f>73.53+1.15</f>
        <v>74.680000000000007</v>
      </c>
      <c r="H181" s="254">
        <f t="shared" si="7"/>
        <v>0</v>
      </c>
      <c r="I181" s="327">
        <v>1930281</v>
      </c>
      <c r="J181" s="258">
        <v>45685</v>
      </c>
      <c r="K181" s="343">
        <v>45691</v>
      </c>
    </row>
    <row r="182" spans="1:11" x14ac:dyDescent="0.2">
      <c r="A182" s="229">
        <v>180</v>
      </c>
      <c r="B182" s="229">
        <v>3743</v>
      </c>
      <c r="C182" s="231" t="s">
        <v>444</v>
      </c>
      <c r="D182" s="239">
        <v>559.70000000000005</v>
      </c>
      <c r="E182" s="233">
        <v>0.4</v>
      </c>
      <c r="F182" s="233">
        <f t="shared" si="8"/>
        <v>223.88000000000002</v>
      </c>
      <c r="G182" s="233">
        <f>F182</f>
        <v>223.88000000000002</v>
      </c>
      <c r="H182" s="233">
        <f t="shared" si="7"/>
        <v>0</v>
      </c>
      <c r="I182" s="240">
        <v>599336</v>
      </c>
      <c r="J182" s="237"/>
    </row>
    <row r="183" spans="1:11" x14ac:dyDescent="0.2">
      <c r="A183" s="251">
        <v>181</v>
      </c>
      <c r="B183" s="251">
        <v>3745</v>
      </c>
      <c r="C183" s="252" t="s">
        <v>446</v>
      </c>
      <c r="D183" s="253">
        <v>157.4</v>
      </c>
      <c r="E183" s="254">
        <v>0.4</v>
      </c>
      <c r="F183" s="254">
        <f t="shared" si="8"/>
        <v>62.960000000000008</v>
      </c>
      <c r="G183" s="254">
        <f>60.34+2.62</f>
        <v>62.96</v>
      </c>
      <c r="H183" s="254">
        <f t="shared" si="7"/>
        <v>0</v>
      </c>
      <c r="I183" s="255">
        <v>2199772</v>
      </c>
      <c r="J183" s="258">
        <v>45621</v>
      </c>
      <c r="K183" s="294">
        <v>45624</v>
      </c>
    </row>
    <row r="184" spans="1:11" x14ac:dyDescent="0.2">
      <c r="A184" s="251">
        <v>182</v>
      </c>
      <c r="B184" s="251">
        <v>3746</v>
      </c>
      <c r="C184" s="252" t="s">
        <v>448</v>
      </c>
      <c r="D184" s="253">
        <v>408</v>
      </c>
      <c r="E184" s="254">
        <v>0.4</v>
      </c>
      <c r="F184" s="254">
        <f t="shared" si="8"/>
        <v>163.20000000000002</v>
      </c>
      <c r="G184" s="254">
        <f>155.83+7.37</f>
        <v>163.20000000000002</v>
      </c>
      <c r="H184" s="254">
        <f t="shared" si="7"/>
        <v>0</v>
      </c>
      <c r="I184" s="255">
        <v>21973713</v>
      </c>
      <c r="J184" s="258">
        <v>45624</v>
      </c>
      <c r="K184" s="294">
        <v>45650</v>
      </c>
    </row>
    <row r="185" spans="1:11" x14ac:dyDescent="0.2">
      <c r="A185" s="229">
        <v>183</v>
      </c>
      <c r="B185" s="229">
        <v>3748</v>
      </c>
      <c r="C185" s="231" t="s">
        <v>450</v>
      </c>
      <c r="D185" s="239">
        <v>248.3</v>
      </c>
      <c r="E185" s="233">
        <v>0.4</v>
      </c>
      <c r="F185" s="233">
        <f t="shared" si="8"/>
        <v>99.320000000000007</v>
      </c>
      <c r="G185" s="233">
        <f>F185</f>
        <v>99.320000000000007</v>
      </c>
      <c r="H185" s="233">
        <f t="shared" si="7"/>
        <v>0</v>
      </c>
      <c r="I185" s="240">
        <v>18620918</v>
      </c>
      <c r="J185" s="237"/>
    </row>
    <row r="186" spans="1:11" s="368" customFormat="1" x14ac:dyDescent="0.2">
      <c r="A186" s="360">
        <v>184</v>
      </c>
      <c r="B186" s="360">
        <v>3750</v>
      </c>
      <c r="C186" s="361" t="s">
        <v>452</v>
      </c>
      <c r="D186" s="362">
        <v>389.7</v>
      </c>
      <c r="E186" s="363">
        <v>0.4</v>
      </c>
      <c r="F186" s="363">
        <f t="shared" si="8"/>
        <v>155.88</v>
      </c>
      <c r="G186" s="363">
        <f>F186</f>
        <v>155.88</v>
      </c>
      <c r="H186" s="363">
        <f t="shared" si="7"/>
        <v>0</v>
      </c>
      <c r="I186" s="364">
        <v>939641</v>
      </c>
      <c r="J186" s="369" t="s">
        <v>811</v>
      </c>
    </row>
    <row r="187" spans="1:11" s="269" customFormat="1" x14ac:dyDescent="0.2">
      <c r="A187" s="251">
        <v>185</v>
      </c>
      <c r="B187" s="251">
        <v>3751</v>
      </c>
      <c r="C187" s="252" t="s">
        <v>454</v>
      </c>
      <c r="D187" s="253">
        <v>1249.5999999999999</v>
      </c>
      <c r="E187" s="254">
        <v>0.4</v>
      </c>
      <c r="F187" s="254">
        <f t="shared" si="8"/>
        <v>499.84</v>
      </c>
      <c r="G187" s="254">
        <f>495.66+4.18</f>
        <v>499.84000000000003</v>
      </c>
      <c r="H187" s="254">
        <f t="shared" si="7"/>
        <v>0</v>
      </c>
      <c r="I187" s="251">
        <v>2116627</v>
      </c>
      <c r="J187" s="258">
        <v>45608</v>
      </c>
      <c r="K187" s="405">
        <v>45650</v>
      </c>
    </row>
    <row r="188" spans="1:11" x14ac:dyDescent="0.2">
      <c r="A188" s="229">
        <v>186</v>
      </c>
      <c r="B188" s="229">
        <v>3752</v>
      </c>
      <c r="C188" s="231" t="s">
        <v>456</v>
      </c>
      <c r="D188" s="239">
        <v>358.8</v>
      </c>
      <c r="E188" s="233">
        <v>0.4</v>
      </c>
      <c r="F188" s="233">
        <f t="shared" si="8"/>
        <v>143.52000000000001</v>
      </c>
      <c r="G188" s="233">
        <f>F188</f>
        <v>143.52000000000001</v>
      </c>
      <c r="H188" s="233">
        <f t="shared" si="7"/>
        <v>0</v>
      </c>
      <c r="I188" s="240">
        <v>2789493</v>
      </c>
      <c r="J188" s="237"/>
    </row>
    <row r="189" spans="1:11" x14ac:dyDescent="0.2">
      <c r="A189" s="251">
        <v>187</v>
      </c>
      <c r="B189" s="251">
        <v>3753</v>
      </c>
      <c r="C189" s="252" t="s">
        <v>458</v>
      </c>
      <c r="D189" s="253">
        <v>314.60000000000002</v>
      </c>
      <c r="E189" s="254">
        <v>0.4</v>
      </c>
      <c r="F189" s="254">
        <f t="shared" si="8"/>
        <v>125.84000000000002</v>
      </c>
      <c r="G189" s="254">
        <f>F189</f>
        <v>125.84000000000002</v>
      </c>
      <c r="H189" s="254">
        <f t="shared" si="7"/>
        <v>0</v>
      </c>
      <c r="I189" s="255">
        <v>13938302</v>
      </c>
      <c r="J189" s="258">
        <v>45630</v>
      </c>
    </row>
    <row r="190" spans="1:11" x14ac:dyDescent="0.2">
      <c r="A190" s="229">
        <v>188</v>
      </c>
      <c r="B190" s="229">
        <v>3754</v>
      </c>
      <c r="C190" s="231" t="s">
        <v>460</v>
      </c>
      <c r="D190" s="239">
        <v>754.7</v>
      </c>
      <c r="E190" s="233">
        <v>0.4</v>
      </c>
      <c r="F190" s="233">
        <f t="shared" si="8"/>
        <v>301.88000000000005</v>
      </c>
      <c r="G190" s="233">
        <f>F190</f>
        <v>301.88000000000005</v>
      </c>
      <c r="H190" s="233">
        <f t="shared" si="7"/>
        <v>0</v>
      </c>
      <c r="I190" s="240">
        <v>443075</v>
      </c>
      <c r="J190" s="237"/>
    </row>
    <row r="191" spans="1:11" x14ac:dyDescent="0.2">
      <c r="A191" s="251">
        <v>189</v>
      </c>
      <c r="B191" s="251">
        <v>3755</v>
      </c>
      <c r="C191" s="252" t="s">
        <v>462</v>
      </c>
      <c r="D191" s="253">
        <v>672</v>
      </c>
      <c r="E191" s="254">
        <v>0.4</v>
      </c>
      <c r="F191" s="254">
        <f t="shared" si="8"/>
        <v>268.8</v>
      </c>
      <c r="G191" s="254">
        <f>264.1+4.7</f>
        <v>268.8</v>
      </c>
      <c r="H191" s="254">
        <f t="shared" si="7"/>
        <v>0</v>
      </c>
      <c r="I191" s="255">
        <v>15536654</v>
      </c>
      <c r="J191" s="258">
        <v>45624</v>
      </c>
      <c r="K191" s="294">
        <v>45658</v>
      </c>
    </row>
    <row r="192" spans="1:11" x14ac:dyDescent="0.2">
      <c r="A192" s="251">
        <v>190</v>
      </c>
      <c r="B192" s="251">
        <v>3756</v>
      </c>
      <c r="C192" s="252" t="s">
        <v>464</v>
      </c>
      <c r="D192" s="253">
        <v>316.2</v>
      </c>
      <c r="E192" s="254">
        <v>0.4</v>
      </c>
      <c r="F192" s="254">
        <f t="shared" si="8"/>
        <v>126.48</v>
      </c>
      <c r="G192" s="254">
        <f>F192</f>
        <v>126.48</v>
      </c>
      <c r="H192" s="254">
        <f t="shared" si="7"/>
        <v>0</v>
      </c>
      <c r="I192" s="255">
        <v>630458</v>
      </c>
      <c r="J192" s="258">
        <v>45685</v>
      </c>
    </row>
    <row r="193" spans="1:16" s="269" customFormat="1" x14ac:dyDescent="0.2">
      <c r="A193" s="251">
        <v>191</v>
      </c>
      <c r="B193" s="251">
        <v>3757</v>
      </c>
      <c r="C193" s="252" t="s">
        <v>466</v>
      </c>
      <c r="D193" s="253">
        <v>375</v>
      </c>
      <c r="E193" s="254">
        <v>0.4</v>
      </c>
      <c r="F193" s="254">
        <f t="shared" si="8"/>
        <v>150</v>
      </c>
      <c r="G193" s="254">
        <f>F193</f>
        <v>150</v>
      </c>
      <c r="H193" s="254">
        <f t="shared" si="7"/>
        <v>0</v>
      </c>
      <c r="I193" s="255">
        <v>729973</v>
      </c>
      <c r="J193" s="258">
        <v>45691</v>
      </c>
    </row>
    <row r="194" spans="1:16" x14ac:dyDescent="0.2">
      <c r="A194" s="251">
        <v>192</v>
      </c>
      <c r="B194" s="251">
        <v>3758</v>
      </c>
      <c r="C194" s="252" t="s">
        <v>468</v>
      </c>
      <c r="D194" s="253">
        <v>375</v>
      </c>
      <c r="E194" s="254">
        <v>0.4</v>
      </c>
      <c r="F194" s="254">
        <f t="shared" si="8"/>
        <v>150</v>
      </c>
      <c r="G194" s="254">
        <f>149.75+0.25</f>
        <v>150</v>
      </c>
      <c r="H194" s="254">
        <f t="shared" si="7"/>
        <v>0</v>
      </c>
      <c r="I194" s="255">
        <v>18899068</v>
      </c>
      <c r="J194" s="258">
        <v>45615</v>
      </c>
      <c r="K194" s="294">
        <v>45642</v>
      </c>
    </row>
    <row r="195" spans="1:16" x14ac:dyDescent="0.2">
      <c r="A195" s="251">
        <v>193</v>
      </c>
      <c r="B195" s="251">
        <v>3759</v>
      </c>
      <c r="C195" s="252" t="s">
        <v>774</v>
      </c>
      <c r="D195" s="253">
        <v>375</v>
      </c>
      <c r="E195" s="254">
        <v>0.4</v>
      </c>
      <c r="F195" s="254">
        <f t="shared" si="8"/>
        <v>150</v>
      </c>
      <c r="G195" s="254">
        <f>0.03+143.75+6.22</f>
        <v>150</v>
      </c>
      <c r="H195" s="254">
        <f t="shared" si="7"/>
        <v>0</v>
      </c>
      <c r="I195" s="255">
        <v>5634282</v>
      </c>
      <c r="J195" s="258">
        <v>45630</v>
      </c>
      <c r="K195" s="294">
        <v>45642</v>
      </c>
      <c r="L195" s="294">
        <v>45650</v>
      </c>
    </row>
    <row r="196" spans="1:16" x14ac:dyDescent="0.2">
      <c r="A196" s="251">
        <v>194</v>
      </c>
      <c r="B196" s="251">
        <v>3760</v>
      </c>
      <c r="C196" s="252" t="s">
        <v>470</v>
      </c>
      <c r="D196" s="253">
        <v>345.5</v>
      </c>
      <c r="E196" s="254">
        <v>0.4</v>
      </c>
      <c r="F196" s="254">
        <f t="shared" si="8"/>
        <v>138.20000000000002</v>
      </c>
      <c r="G196" s="254">
        <f>134.34+3.86</f>
        <v>138.20000000000002</v>
      </c>
      <c r="H196" s="254">
        <f t="shared" ref="H196:H258" si="10">F196-G196</f>
        <v>0</v>
      </c>
      <c r="I196" s="255">
        <v>19531566</v>
      </c>
      <c r="J196" s="258">
        <v>45624</v>
      </c>
      <c r="K196" s="294">
        <v>45635</v>
      </c>
    </row>
    <row r="197" spans="1:16" x14ac:dyDescent="0.2">
      <c r="A197" s="251">
        <v>195</v>
      </c>
      <c r="B197" s="251">
        <v>3762</v>
      </c>
      <c r="C197" s="252" t="s">
        <v>472</v>
      </c>
      <c r="D197" s="253">
        <v>425.1</v>
      </c>
      <c r="E197" s="254">
        <v>0.4</v>
      </c>
      <c r="F197" s="254">
        <f t="shared" si="8"/>
        <v>170.04000000000002</v>
      </c>
      <c r="G197" s="254">
        <f>168.96+1.08</f>
        <v>170.04000000000002</v>
      </c>
      <c r="H197" s="254">
        <f t="shared" si="10"/>
        <v>0</v>
      </c>
      <c r="I197" s="255">
        <v>15664101</v>
      </c>
      <c r="J197" s="258">
        <v>45602</v>
      </c>
      <c r="K197" s="294">
        <v>45629</v>
      </c>
    </row>
    <row r="198" spans="1:16" x14ac:dyDescent="0.2">
      <c r="A198" s="229">
        <v>196</v>
      </c>
      <c r="B198" s="229">
        <v>3764</v>
      </c>
      <c r="C198" s="231" t="s">
        <v>474</v>
      </c>
      <c r="D198" s="239">
        <v>872.9</v>
      </c>
      <c r="E198" s="233">
        <v>0.4</v>
      </c>
      <c r="F198" s="233">
        <f t="shared" si="8"/>
        <v>349.16</v>
      </c>
      <c r="G198" s="233">
        <f>F198</f>
        <v>349.16</v>
      </c>
      <c r="H198" s="233">
        <f t="shared" si="10"/>
        <v>0</v>
      </c>
      <c r="I198" s="240">
        <v>1996843</v>
      </c>
      <c r="J198" s="237"/>
    </row>
    <row r="199" spans="1:16" x14ac:dyDescent="0.2">
      <c r="A199" s="251">
        <v>197</v>
      </c>
      <c r="B199" s="251">
        <v>3765</v>
      </c>
      <c r="C199" s="252" t="s">
        <v>31</v>
      </c>
      <c r="D199" s="253">
        <v>924</v>
      </c>
      <c r="E199" s="254">
        <v>0.4</v>
      </c>
      <c r="F199" s="254">
        <f t="shared" ref="F199:F262" si="11">E199*D199</f>
        <v>369.6</v>
      </c>
      <c r="G199" s="254">
        <f>F199</f>
        <v>369.6</v>
      </c>
      <c r="H199" s="254">
        <f t="shared" si="10"/>
        <v>0</v>
      </c>
      <c r="I199" s="255">
        <v>19752023</v>
      </c>
      <c r="J199" s="258">
        <v>45663</v>
      </c>
    </row>
    <row r="200" spans="1:16" x14ac:dyDescent="0.2">
      <c r="A200" s="251">
        <v>198</v>
      </c>
      <c r="B200" s="251">
        <v>3766</v>
      </c>
      <c r="C200" s="252" t="s">
        <v>476</v>
      </c>
      <c r="D200" s="253">
        <v>320.39999999999998</v>
      </c>
      <c r="E200" s="254">
        <v>0.4</v>
      </c>
      <c r="F200" s="254">
        <f t="shared" si="11"/>
        <v>128.16</v>
      </c>
      <c r="G200" s="254">
        <f>125.09+3.07</f>
        <v>128.16</v>
      </c>
      <c r="H200" s="254">
        <f t="shared" si="10"/>
        <v>0</v>
      </c>
      <c r="I200" s="255">
        <v>5729117</v>
      </c>
      <c r="J200" s="258">
        <v>45656</v>
      </c>
      <c r="K200" s="294">
        <v>45685</v>
      </c>
    </row>
    <row r="201" spans="1:16" x14ac:dyDescent="0.2">
      <c r="A201" s="360">
        <v>199</v>
      </c>
      <c r="B201" s="360">
        <v>3767</v>
      </c>
      <c r="C201" s="361" t="s">
        <v>478</v>
      </c>
      <c r="D201" s="362">
        <v>1307.8</v>
      </c>
      <c r="E201" s="363">
        <v>0.4</v>
      </c>
      <c r="F201" s="363">
        <f t="shared" si="11"/>
        <v>523.12</v>
      </c>
      <c r="G201" s="363">
        <v>523.12</v>
      </c>
      <c r="H201" s="363">
        <f t="shared" si="10"/>
        <v>0</v>
      </c>
      <c r="I201" s="360">
        <v>971428</v>
      </c>
      <c r="J201" s="369" t="s">
        <v>796</v>
      </c>
      <c r="K201" s="366"/>
      <c r="L201" s="369"/>
      <c r="M201" s="360"/>
      <c r="N201" s="369"/>
      <c r="O201" s="294"/>
      <c r="P201" s="294"/>
    </row>
    <row r="202" spans="1:16" x14ac:dyDescent="0.2">
      <c r="A202" s="251">
        <v>200</v>
      </c>
      <c r="B202" s="251">
        <v>3768</v>
      </c>
      <c r="C202" s="252" t="s">
        <v>480</v>
      </c>
      <c r="D202" s="253">
        <v>286</v>
      </c>
      <c r="E202" s="254">
        <v>0.4</v>
      </c>
      <c r="F202" s="254">
        <f t="shared" si="11"/>
        <v>114.4</v>
      </c>
      <c r="G202" s="254">
        <f>114.38+0.02</f>
        <v>114.39999999999999</v>
      </c>
      <c r="H202" s="254">
        <f t="shared" si="10"/>
        <v>0</v>
      </c>
      <c r="I202" s="255">
        <v>21349024</v>
      </c>
      <c r="J202" s="258">
        <v>45602</v>
      </c>
      <c r="K202" s="294">
        <v>45629</v>
      </c>
    </row>
    <row r="203" spans="1:16" x14ac:dyDescent="0.2">
      <c r="A203" s="284">
        <v>201</v>
      </c>
      <c r="B203" s="284">
        <v>3769</v>
      </c>
      <c r="C203" s="285" t="s">
        <v>482</v>
      </c>
      <c r="D203" s="286">
        <v>674.8</v>
      </c>
      <c r="E203" s="287">
        <v>0.4</v>
      </c>
      <c r="F203" s="287">
        <f t="shared" si="11"/>
        <v>269.92</v>
      </c>
      <c r="G203" s="287">
        <f>F203</f>
        <v>269.92</v>
      </c>
      <c r="H203" s="287">
        <f t="shared" si="10"/>
        <v>0</v>
      </c>
      <c r="I203" s="300">
        <v>24915633</v>
      </c>
      <c r="J203" s="291" t="s">
        <v>775</v>
      </c>
    </row>
    <row r="204" spans="1:16" x14ac:dyDescent="0.2">
      <c r="A204" s="229">
        <v>202</v>
      </c>
      <c r="B204" s="229">
        <v>3770</v>
      </c>
      <c r="C204" s="231" t="s">
        <v>33</v>
      </c>
      <c r="D204" s="239">
        <v>266</v>
      </c>
      <c r="E204" s="233">
        <v>0.4</v>
      </c>
      <c r="F204" s="233">
        <f t="shared" si="11"/>
        <v>106.4</v>
      </c>
      <c r="G204" s="233">
        <f>F204</f>
        <v>106.4</v>
      </c>
      <c r="H204" s="233">
        <f t="shared" si="10"/>
        <v>0</v>
      </c>
      <c r="I204" s="240">
        <v>7198036</v>
      </c>
      <c r="J204" s="237"/>
    </row>
    <row r="205" spans="1:16" x14ac:dyDescent="0.2">
      <c r="A205" s="284">
        <v>203</v>
      </c>
      <c r="B205" s="284">
        <v>3771</v>
      </c>
      <c r="C205" s="285" t="s">
        <v>484</v>
      </c>
      <c r="D205" s="286">
        <v>700</v>
      </c>
      <c r="E205" s="287">
        <v>0.4</v>
      </c>
      <c r="F205" s="287">
        <f t="shared" si="11"/>
        <v>280</v>
      </c>
      <c r="G205" s="287">
        <f>F205</f>
        <v>280</v>
      </c>
      <c r="H205" s="287">
        <f t="shared" si="10"/>
        <v>0</v>
      </c>
      <c r="I205" s="300">
        <v>1977962</v>
      </c>
      <c r="J205" s="291" t="s">
        <v>775</v>
      </c>
    </row>
    <row r="206" spans="1:16" x14ac:dyDescent="0.2">
      <c r="A206" s="229">
        <v>204</v>
      </c>
      <c r="B206" s="229">
        <v>3772</v>
      </c>
      <c r="C206" s="231" t="s">
        <v>486</v>
      </c>
      <c r="D206" s="239">
        <v>358.4</v>
      </c>
      <c r="E206" s="233">
        <v>0.4</v>
      </c>
      <c r="F206" s="233">
        <f t="shared" si="11"/>
        <v>143.35999999999999</v>
      </c>
      <c r="G206" s="233">
        <f>F206</f>
        <v>143.35999999999999</v>
      </c>
      <c r="H206" s="233">
        <f t="shared" si="10"/>
        <v>0</v>
      </c>
      <c r="I206" s="240">
        <v>6419804</v>
      </c>
      <c r="J206" s="237"/>
    </row>
    <row r="207" spans="1:16" x14ac:dyDescent="0.2">
      <c r="A207" s="229">
        <v>205</v>
      </c>
      <c r="B207" s="229">
        <v>3773</v>
      </c>
      <c r="C207" s="231" t="s">
        <v>488</v>
      </c>
      <c r="D207" s="239">
        <v>385.8</v>
      </c>
      <c r="E207" s="233">
        <v>0.4</v>
      </c>
      <c r="F207" s="233">
        <f t="shared" si="11"/>
        <v>154.32000000000002</v>
      </c>
      <c r="G207" s="233">
        <f>F207</f>
        <v>154.32000000000002</v>
      </c>
      <c r="H207" s="233">
        <f t="shared" si="10"/>
        <v>0</v>
      </c>
      <c r="I207" s="240">
        <v>2023936</v>
      </c>
      <c r="J207" s="237"/>
    </row>
    <row r="208" spans="1:16" x14ac:dyDescent="0.2">
      <c r="A208" s="251">
        <v>206</v>
      </c>
      <c r="B208" s="251">
        <v>3774</v>
      </c>
      <c r="C208" s="252" t="s">
        <v>490</v>
      </c>
      <c r="D208" s="253">
        <v>271.3</v>
      </c>
      <c r="E208" s="254">
        <v>0.4</v>
      </c>
      <c r="F208" s="254">
        <f t="shared" si="11"/>
        <v>108.52000000000001</v>
      </c>
      <c r="G208" s="254">
        <f>107.71+0.81</f>
        <v>108.52</v>
      </c>
      <c r="H208" s="254">
        <f t="shared" si="10"/>
        <v>0</v>
      </c>
      <c r="I208" s="255">
        <v>889849</v>
      </c>
      <c r="J208" s="258">
        <v>45609</v>
      </c>
      <c r="K208" s="294">
        <v>45624</v>
      </c>
    </row>
    <row r="209" spans="1:11" x14ac:dyDescent="0.2">
      <c r="A209" s="251">
        <v>207</v>
      </c>
      <c r="B209" s="251">
        <v>3775</v>
      </c>
      <c r="C209" s="252" t="s">
        <v>492</v>
      </c>
      <c r="D209" s="253">
        <v>232</v>
      </c>
      <c r="E209" s="254">
        <v>0.4</v>
      </c>
      <c r="F209" s="254">
        <f t="shared" si="11"/>
        <v>92.800000000000011</v>
      </c>
      <c r="G209" s="254">
        <f>F209</f>
        <v>92.800000000000011</v>
      </c>
      <c r="H209" s="254">
        <f t="shared" si="10"/>
        <v>0</v>
      </c>
      <c r="I209" s="255">
        <v>7198074</v>
      </c>
      <c r="J209" s="258">
        <v>45635</v>
      </c>
    </row>
    <row r="210" spans="1:11" x14ac:dyDescent="0.2">
      <c r="A210" s="229">
        <v>208</v>
      </c>
      <c r="B210" s="229">
        <v>3776</v>
      </c>
      <c r="C210" s="231" t="s">
        <v>494</v>
      </c>
      <c r="D210" s="239">
        <v>324.3</v>
      </c>
      <c r="E210" s="233">
        <v>0.4</v>
      </c>
      <c r="F210" s="233">
        <f t="shared" si="11"/>
        <v>129.72</v>
      </c>
      <c r="G210" s="233">
        <f>F210</f>
        <v>129.72</v>
      </c>
      <c r="H210" s="233">
        <f t="shared" si="10"/>
        <v>0</v>
      </c>
      <c r="I210" s="240">
        <v>5530783</v>
      </c>
      <c r="J210" s="237"/>
    </row>
    <row r="211" spans="1:11" x14ac:dyDescent="0.2">
      <c r="A211" s="251">
        <v>209</v>
      </c>
      <c r="B211" s="251">
        <v>3777</v>
      </c>
      <c r="C211" s="252" t="s">
        <v>496</v>
      </c>
      <c r="D211" s="253">
        <v>821.3</v>
      </c>
      <c r="E211" s="254">
        <v>0.4</v>
      </c>
      <c r="F211" s="254">
        <f t="shared" si="11"/>
        <v>328.52</v>
      </c>
      <c r="G211" s="254">
        <f>325.22</f>
        <v>325.22000000000003</v>
      </c>
      <c r="H211" s="254">
        <f t="shared" si="10"/>
        <v>3.2999999999999545</v>
      </c>
      <c r="I211" s="255">
        <v>6538875</v>
      </c>
      <c r="J211" s="258">
        <v>45676</v>
      </c>
    </row>
    <row r="212" spans="1:11" x14ac:dyDescent="0.2">
      <c r="A212" s="251">
        <v>210</v>
      </c>
      <c r="B212" s="251">
        <v>3778</v>
      </c>
      <c r="C212" s="252" t="s">
        <v>498</v>
      </c>
      <c r="D212" s="253">
        <v>499.4</v>
      </c>
      <c r="E212" s="254">
        <v>0.4</v>
      </c>
      <c r="F212" s="254">
        <f t="shared" si="11"/>
        <v>199.76</v>
      </c>
      <c r="G212" s="254">
        <f>198.77+0.99</f>
        <v>199.76000000000002</v>
      </c>
      <c r="H212" s="254">
        <f t="shared" si="10"/>
        <v>0</v>
      </c>
      <c r="I212" s="255">
        <v>1481822</v>
      </c>
      <c r="J212" s="258">
        <v>45602</v>
      </c>
      <c r="K212" s="294">
        <v>45635</v>
      </c>
    </row>
    <row r="213" spans="1:11" x14ac:dyDescent="0.2">
      <c r="A213" s="251">
        <v>211</v>
      </c>
      <c r="B213" s="251">
        <v>3781</v>
      </c>
      <c r="C213" s="252" t="s">
        <v>500</v>
      </c>
      <c r="D213" s="253">
        <v>701.6</v>
      </c>
      <c r="E213" s="254">
        <v>0.4</v>
      </c>
      <c r="F213" s="254">
        <f t="shared" si="11"/>
        <v>280.64000000000004</v>
      </c>
      <c r="G213" s="254">
        <f>F213</f>
        <v>280.64000000000004</v>
      </c>
      <c r="H213" s="254">
        <f t="shared" si="10"/>
        <v>0</v>
      </c>
      <c r="I213" s="373" t="s">
        <v>501</v>
      </c>
      <c r="J213" s="258">
        <v>45623</v>
      </c>
    </row>
    <row r="214" spans="1:11" x14ac:dyDescent="0.2">
      <c r="A214" s="251">
        <v>212</v>
      </c>
      <c r="B214" s="251">
        <v>3782</v>
      </c>
      <c r="C214" s="252" t="s">
        <v>505</v>
      </c>
      <c r="D214" s="253">
        <v>573.1</v>
      </c>
      <c r="E214" s="254">
        <v>0.4</v>
      </c>
      <c r="F214" s="254">
        <f t="shared" si="11"/>
        <v>229.24</v>
      </c>
      <c r="G214" s="254">
        <f>224.82+4.42</f>
        <v>229.23999999999998</v>
      </c>
      <c r="H214" s="254">
        <f t="shared" si="10"/>
        <v>0</v>
      </c>
      <c r="I214" s="255">
        <v>8467003</v>
      </c>
      <c r="J214" s="343">
        <v>45602</v>
      </c>
      <c r="K214" s="294">
        <v>45629</v>
      </c>
    </row>
    <row r="215" spans="1:11" x14ac:dyDescent="0.2">
      <c r="A215" s="251">
        <v>213</v>
      </c>
      <c r="B215" s="251">
        <v>3783</v>
      </c>
      <c r="C215" s="252" t="s">
        <v>507</v>
      </c>
      <c r="D215" s="253">
        <v>319.5</v>
      </c>
      <c r="E215" s="254">
        <v>0.4</v>
      </c>
      <c r="F215" s="254">
        <f t="shared" si="11"/>
        <v>127.80000000000001</v>
      </c>
      <c r="G215" s="254">
        <f>126.55+1.25</f>
        <v>127.8</v>
      </c>
      <c r="H215" s="254">
        <f t="shared" si="10"/>
        <v>0</v>
      </c>
      <c r="I215" s="255">
        <v>25019867</v>
      </c>
      <c r="J215" s="258">
        <v>45621</v>
      </c>
      <c r="K215" s="294">
        <v>45656</v>
      </c>
    </row>
    <row r="216" spans="1:11" x14ac:dyDescent="0.2">
      <c r="A216" s="251">
        <v>214</v>
      </c>
      <c r="B216" s="251">
        <v>3784</v>
      </c>
      <c r="C216" s="252" t="s">
        <v>509</v>
      </c>
      <c r="D216" s="253">
        <v>500.4</v>
      </c>
      <c r="E216" s="254">
        <v>0.4</v>
      </c>
      <c r="F216" s="254">
        <f t="shared" si="11"/>
        <v>200.16</v>
      </c>
      <c r="G216" s="254">
        <f>198.85</f>
        <v>198.85</v>
      </c>
      <c r="H216" s="254">
        <f t="shared" si="10"/>
        <v>1.3100000000000023</v>
      </c>
      <c r="I216" s="255">
        <v>19870884</v>
      </c>
      <c r="J216" s="258">
        <v>45685</v>
      </c>
    </row>
    <row r="217" spans="1:11" x14ac:dyDescent="0.2">
      <c r="A217" s="251">
        <v>215</v>
      </c>
      <c r="B217" s="251">
        <v>3786</v>
      </c>
      <c r="C217" s="252" t="s">
        <v>511</v>
      </c>
      <c r="D217" s="253">
        <v>462</v>
      </c>
      <c r="E217" s="254">
        <v>0.4</v>
      </c>
      <c r="F217" s="254">
        <f t="shared" si="11"/>
        <v>184.8</v>
      </c>
      <c r="G217" s="254">
        <f>183.98+0.82</f>
        <v>184.79999999999998</v>
      </c>
      <c r="H217" s="254">
        <f t="shared" si="10"/>
        <v>0</v>
      </c>
      <c r="I217" s="255">
        <v>941209</v>
      </c>
      <c r="J217" s="258">
        <v>45602</v>
      </c>
      <c r="K217" s="294">
        <v>45613</v>
      </c>
    </row>
    <row r="218" spans="1:11" x14ac:dyDescent="0.2">
      <c r="A218" s="251">
        <v>216</v>
      </c>
      <c r="B218" s="251">
        <v>3787</v>
      </c>
      <c r="C218" s="252" t="s">
        <v>513</v>
      </c>
      <c r="D218" s="253">
        <v>717</v>
      </c>
      <c r="E218" s="254">
        <v>0.4</v>
      </c>
      <c r="F218" s="254">
        <f t="shared" si="11"/>
        <v>286.8</v>
      </c>
      <c r="G218" s="254">
        <v>286.8</v>
      </c>
      <c r="H218" s="254">
        <f t="shared" si="10"/>
        <v>0</v>
      </c>
      <c r="I218" s="255">
        <v>813786</v>
      </c>
      <c r="J218" s="258">
        <v>45650</v>
      </c>
    </row>
    <row r="219" spans="1:11" x14ac:dyDescent="0.2">
      <c r="A219" s="284">
        <v>217</v>
      </c>
      <c r="B219" s="284">
        <v>3789</v>
      </c>
      <c r="C219" s="285" t="s">
        <v>515</v>
      </c>
      <c r="D219" s="286">
        <v>301.5</v>
      </c>
      <c r="E219" s="287">
        <v>0.4</v>
      </c>
      <c r="F219" s="287">
        <f t="shared" si="11"/>
        <v>120.60000000000001</v>
      </c>
      <c r="G219" s="287">
        <f>F219</f>
        <v>120.60000000000001</v>
      </c>
      <c r="H219" s="287">
        <f t="shared" si="10"/>
        <v>0</v>
      </c>
      <c r="I219" s="300">
        <v>22338686</v>
      </c>
      <c r="J219" s="291" t="s">
        <v>883</v>
      </c>
      <c r="K219" s="292"/>
    </row>
    <row r="220" spans="1:11" x14ac:dyDescent="0.2">
      <c r="A220" s="229">
        <v>218</v>
      </c>
      <c r="B220" s="229">
        <v>3791</v>
      </c>
      <c r="C220" s="231" t="s">
        <v>517</v>
      </c>
      <c r="D220" s="239">
        <v>339.5</v>
      </c>
      <c r="E220" s="233">
        <v>0.4</v>
      </c>
      <c r="F220" s="233">
        <f t="shared" si="11"/>
        <v>135.80000000000001</v>
      </c>
      <c r="G220" s="233">
        <f>F220</f>
        <v>135.80000000000001</v>
      </c>
      <c r="H220" s="233">
        <f t="shared" si="10"/>
        <v>0</v>
      </c>
      <c r="I220" s="240">
        <v>20365611</v>
      </c>
      <c r="J220" s="237"/>
    </row>
    <row r="221" spans="1:11" x14ac:dyDescent="0.2">
      <c r="A221" s="251">
        <v>219</v>
      </c>
      <c r="B221" s="251">
        <v>3792</v>
      </c>
      <c r="C221" s="352" t="s">
        <v>519</v>
      </c>
      <c r="D221" s="253">
        <v>312.89999999999998</v>
      </c>
      <c r="E221" s="254">
        <v>0.4</v>
      </c>
      <c r="F221" s="254">
        <f t="shared" si="11"/>
        <v>125.16</v>
      </c>
      <c r="G221" s="254">
        <f>122.12+3.04</f>
        <v>125.16000000000001</v>
      </c>
      <c r="H221" s="254">
        <f t="shared" si="10"/>
        <v>0</v>
      </c>
      <c r="I221" s="382">
        <v>23169608</v>
      </c>
      <c r="J221" s="258">
        <v>45602</v>
      </c>
      <c r="K221" s="294">
        <v>45629</v>
      </c>
    </row>
    <row r="222" spans="1:11" x14ac:dyDescent="0.2">
      <c r="A222" s="251">
        <v>221</v>
      </c>
      <c r="B222" s="251">
        <v>3794</v>
      </c>
      <c r="C222" s="252" t="s">
        <v>523</v>
      </c>
      <c r="D222" s="253">
        <v>876.6</v>
      </c>
      <c r="E222" s="254">
        <v>0.4</v>
      </c>
      <c r="F222" s="254">
        <f t="shared" si="11"/>
        <v>350.64000000000004</v>
      </c>
      <c r="G222" s="254">
        <f>350.038+0.602</f>
        <v>350.64</v>
      </c>
      <c r="H222" s="254">
        <f t="shared" si="10"/>
        <v>0</v>
      </c>
      <c r="I222" s="255">
        <v>8222931</v>
      </c>
      <c r="J222" s="258" t="s">
        <v>781</v>
      </c>
    </row>
    <row r="223" spans="1:11" x14ac:dyDescent="0.2">
      <c r="A223" s="251">
        <v>222</v>
      </c>
      <c r="B223" s="251">
        <v>3795</v>
      </c>
      <c r="C223" s="252" t="s">
        <v>525</v>
      </c>
      <c r="D223" s="253">
        <v>371</v>
      </c>
      <c r="E223" s="254">
        <v>0.4</v>
      </c>
      <c r="F223" s="254">
        <f t="shared" si="11"/>
        <v>148.4</v>
      </c>
      <c r="G223" s="254">
        <f>147.04+1.36</f>
        <v>148.4</v>
      </c>
      <c r="H223" s="254">
        <f t="shared" si="10"/>
        <v>0</v>
      </c>
      <c r="I223" s="255">
        <v>2331658</v>
      </c>
      <c r="J223" s="258">
        <v>45637</v>
      </c>
      <c r="K223" s="294">
        <v>45691</v>
      </c>
    </row>
    <row r="224" spans="1:11" x14ac:dyDescent="0.2">
      <c r="A224" s="251">
        <v>223</v>
      </c>
      <c r="B224" s="251">
        <v>3796</v>
      </c>
      <c r="C224" s="252" t="s">
        <v>527</v>
      </c>
      <c r="D224" s="253">
        <v>362.4</v>
      </c>
      <c r="E224" s="254">
        <v>0.4</v>
      </c>
      <c r="F224" s="254">
        <f t="shared" si="11"/>
        <v>144.96</v>
      </c>
      <c r="G224" s="254">
        <f>142.12+2.84</f>
        <v>144.96</v>
      </c>
      <c r="H224" s="254">
        <f t="shared" si="10"/>
        <v>0</v>
      </c>
      <c r="I224" s="255">
        <v>6455206</v>
      </c>
      <c r="J224" s="258">
        <v>45615</v>
      </c>
      <c r="K224" s="294">
        <v>45642</v>
      </c>
    </row>
    <row r="225" spans="1:11" x14ac:dyDescent="0.2">
      <c r="A225" s="251">
        <v>224</v>
      </c>
      <c r="B225" s="251">
        <v>3798</v>
      </c>
      <c r="C225" s="252" t="s">
        <v>529</v>
      </c>
      <c r="D225" s="253">
        <v>347.1</v>
      </c>
      <c r="E225" s="254">
        <v>0.4</v>
      </c>
      <c r="F225" s="254">
        <f t="shared" si="11"/>
        <v>138.84</v>
      </c>
      <c r="G225" s="254">
        <f>138.36+0.48</f>
        <v>138.84</v>
      </c>
      <c r="H225" s="254">
        <f t="shared" si="10"/>
        <v>0</v>
      </c>
      <c r="I225" s="255">
        <v>6048954</v>
      </c>
      <c r="J225" s="258">
        <v>45602</v>
      </c>
      <c r="K225" s="294">
        <v>45629</v>
      </c>
    </row>
    <row r="226" spans="1:11" x14ac:dyDescent="0.2">
      <c r="A226" s="251">
        <v>225</v>
      </c>
      <c r="B226" s="251">
        <v>3799</v>
      </c>
      <c r="C226" s="252" t="s">
        <v>531</v>
      </c>
      <c r="D226" s="253">
        <v>827.3</v>
      </c>
      <c r="E226" s="254">
        <v>0.4</v>
      </c>
      <c r="F226" s="254">
        <f t="shared" si="11"/>
        <v>330.92</v>
      </c>
      <c r="G226" s="254">
        <f>327.24+3.68</f>
        <v>330.92</v>
      </c>
      <c r="H226" s="254">
        <f t="shared" si="10"/>
        <v>0</v>
      </c>
      <c r="I226" s="255">
        <v>12494672</v>
      </c>
      <c r="J226" s="258">
        <v>45630</v>
      </c>
      <c r="K226" s="294">
        <v>45644</v>
      </c>
    </row>
    <row r="227" spans="1:11" x14ac:dyDescent="0.2">
      <c r="A227" s="251">
        <v>226</v>
      </c>
      <c r="B227" s="251">
        <v>3800</v>
      </c>
      <c r="C227" s="252" t="s">
        <v>534</v>
      </c>
      <c r="D227" s="253">
        <v>373.6</v>
      </c>
      <c r="E227" s="254">
        <v>0.4</v>
      </c>
      <c r="F227" s="254">
        <f t="shared" si="11"/>
        <v>149.44000000000003</v>
      </c>
      <c r="G227" s="254">
        <f>145.32</f>
        <v>145.32</v>
      </c>
      <c r="H227" s="254">
        <f t="shared" si="10"/>
        <v>4.120000000000033</v>
      </c>
      <c r="I227" s="255">
        <v>11566758</v>
      </c>
      <c r="J227" s="258">
        <v>45602</v>
      </c>
    </row>
    <row r="228" spans="1:11" x14ac:dyDescent="0.2">
      <c r="A228" s="251">
        <v>227</v>
      </c>
      <c r="B228" s="251">
        <v>3801</v>
      </c>
      <c r="C228" s="252" t="s">
        <v>536</v>
      </c>
      <c r="D228" s="253">
        <v>433.4</v>
      </c>
      <c r="E228" s="254">
        <v>0.4</v>
      </c>
      <c r="F228" s="254">
        <f t="shared" si="11"/>
        <v>173.36</v>
      </c>
      <c r="G228" s="254">
        <f>171.65+1.71</f>
        <v>173.36</v>
      </c>
      <c r="H228" s="254">
        <f t="shared" si="10"/>
        <v>0</v>
      </c>
      <c r="I228" s="255">
        <v>19559588</v>
      </c>
      <c r="J228" s="258">
        <v>45630</v>
      </c>
      <c r="K228" s="294">
        <v>45650</v>
      </c>
    </row>
    <row r="229" spans="1:11" x14ac:dyDescent="0.2">
      <c r="A229" s="251">
        <v>228</v>
      </c>
      <c r="B229" s="251">
        <v>3802</v>
      </c>
      <c r="C229" s="252" t="s">
        <v>538</v>
      </c>
      <c r="D229" s="253">
        <v>398.7</v>
      </c>
      <c r="E229" s="254">
        <v>0.4</v>
      </c>
      <c r="F229" s="254">
        <f t="shared" si="11"/>
        <v>159.48000000000002</v>
      </c>
      <c r="G229" s="254">
        <f>158.21+1.27</f>
        <v>159.48000000000002</v>
      </c>
      <c r="H229" s="254">
        <f t="shared" si="10"/>
        <v>0</v>
      </c>
      <c r="I229" s="255">
        <v>1260268</v>
      </c>
      <c r="J229" s="258">
        <v>45602</v>
      </c>
      <c r="K229" s="294">
        <v>45624</v>
      </c>
    </row>
    <row r="230" spans="1:11" x14ac:dyDescent="0.2">
      <c r="A230" s="229">
        <v>229</v>
      </c>
      <c r="B230" s="229">
        <v>3803</v>
      </c>
      <c r="C230" s="231" t="s">
        <v>540</v>
      </c>
      <c r="D230" s="239">
        <v>523.70000000000005</v>
      </c>
      <c r="E230" s="233">
        <v>0.4</v>
      </c>
      <c r="F230" s="233">
        <f t="shared" si="11"/>
        <v>209.48000000000002</v>
      </c>
      <c r="G230" s="233">
        <f>F230</f>
        <v>209.48000000000002</v>
      </c>
      <c r="H230" s="233">
        <f t="shared" si="10"/>
        <v>0</v>
      </c>
      <c r="I230" s="240">
        <v>4890484</v>
      </c>
      <c r="J230" s="237"/>
    </row>
    <row r="231" spans="1:11" x14ac:dyDescent="0.2">
      <c r="A231" s="251">
        <v>230</v>
      </c>
      <c r="B231" s="251">
        <v>3804</v>
      </c>
      <c r="C231" s="252" t="s">
        <v>542</v>
      </c>
      <c r="D231" s="253">
        <v>336.3</v>
      </c>
      <c r="E231" s="254">
        <v>0.4</v>
      </c>
      <c r="F231" s="254">
        <f t="shared" si="11"/>
        <v>134.52000000000001</v>
      </c>
      <c r="G231" s="254">
        <f>130.95</f>
        <v>130.94999999999999</v>
      </c>
      <c r="H231" s="254">
        <f t="shared" si="10"/>
        <v>3.5700000000000216</v>
      </c>
      <c r="I231" s="255">
        <v>18102928</v>
      </c>
      <c r="J231" s="258">
        <v>45644</v>
      </c>
    </row>
    <row r="232" spans="1:11" x14ac:dyDescent="0.2">
      <c r="A232" s="251">
        <v>231</v>
      </c>
      <c r="B232" s="251">
        <v>3805</v>
      </c>
      <c r="C232" s="252" t="s">
        <v>544</v>
      </c>
      <c r="D232" s="253">
        <v>312</v>
      </c>
      <c r="E232" s="254">
        <v>0.4</v>
      </c>
      <c r="F232" s="254">
        <f t="shared" si="11"/>
        <v>124.80000000000001</v>
      </c>
      <c r="G232" s="254">
        <f>121.01+3.79</f>
        <v>124.80000000000001</v>
      </c>
      <c r="H232" s="254">
        <f t="shared" si="10"/>
        <v>0</v>
      </c>
      <c r="I232" s="321">
        <v>18675553</v>
      </c>
      <c r="J232" s="343">
        <v>45602</v>
      </c>
    </row>
    <row r="233" spans="1:11" s="269" customFormat="1" x14ac:dyDescent="0.2">
      <c r="A233" s="251">
        <v>232</v>
      </c>
      <c r="B233" s="251">
        <v>3807</v>
      </c>
      <c r="C233" s="252" t="s">
        <v>546</v>
      </c>
      <c r="D233" s="253">
        <v>234.6</v>
      </c>
      <c r="E233" s="254">
        <v>0.4</v>
      </c>
      <c r="F233" s="254">
        <f t="shared" si="11"/>
        <v>93.84</v>
      </c>
      <c r="G233" s="254">
        <f>89.83+4.01</f>
        <v>93.84</v>
      </c>
      <c r="H233" s="254">
        <f t="shared" si="10"/>
        <v>0</v>
      </c>
      <c r="I233" s="255">
        <v>2110484</v>
      </c>
      <c r="J233" s="258">
        <v>45607</v>
      </c>
      <c r="K233" s="343">
        <v>45642</v>
      </c>
    </row>
    <row r="234" spans="1:11" x14ac:dyDescent="0.2">
      <c r="A234" s="251">
        <v>233</v>
      </c>
      <c r="B234" s="251">
        <v>3808</v>
      </c>
      <c r="C234" s="252" t="s">
        <v>548</v>
      </c>
      <c r="D234" s="253">
        <v>678.7</v>
      </c>
      <c r="E234" s="254">
        <v>0.4</v>
      </c>
      <c r="F234" s="254">
        <f t="shared" si="11"/>
        <v>271.48</v>
      </c>
      <c r="G234" s="254">
        <f>267.85+3.63</f>
        <v>271.48</v>
      </c>
      <c r="H234" s="254">
        <f t="shared" si="10"/>
        <v>0</v>
      </c>
      <c r="I234" s="255">
        <v>1366005</v>
      </c>
      <c r="J234" s="258">
        <v>45602</v>
      </c>
      <c r="K234" s="219" t="s">
        <v>806</v>
      </c>
    </row>
    <row r="235" spans="1:11" x14ac:dyDescent="0.2">
      <c r="A235" s="251">
        <v>234</v>
      </c>
      <c r="B235" s="251">
        <v>3809</v>
      </c>
      <c r="C235" s="252" t="s">
        <v>550</v>
      </c>
      <c r="D235" s="253">
        <v>736.7</v>
      </c>
      <c r="E235" s="254">
        <v>0.4</v>
      </c>
      <c r="F235" s="254">
        <f t="shared" si="11"/>
        <v>294.68</v>
      </c>
      <c r="G235" s="254">
        <f>293.27+1.41</f>
        <v>294.68</v>
      </c>
      <c r="H235" s="254">
        <f t="shared" si="10"/>
        <v>0</v>
      </c>
      <c r="I235" s="255">
        <v>10913998</v>
      </c>
      <c r="J235" s="343">
        <v>45628</v>
      </c>
      <c r="K235" s="294">
        <v>45658</v>
      </c>
    </row>
    <row r="236" spans="1:11" x14ac:dyDescent="0.2">
      <c r="A236" s="229">
        <v>235</v>
      </c>
      <c r="B236" s="229">
        <v>3810</v>
      </c>
      <c r="C236" s="276" t="s">
        <v>553</v>
      </c>
      <c r="D236" s="239">
        <v>249.5</v>
      </c>
      <c r="E236" s="233">
        <v>0.4</v>
      </c>
      <c r="F236" s="233">
        <f t="shared" si="11"/>
        <v>99.800000000000011</v>
      </c>
      <c r="G236" s="233">
        <f>F236</f>
        <v>99.800000000000011</v>
      </c>
      <c r="H236" s="233">
        <f t="shared" si="10"/>
        <v>0</v>
      </c>
      <c r="I236" s="302">
        <v>9442232</v>
      </c>
      <c r="J236" s="237"/>
    </row>
    <row r="237" spans="1:11" x14ac:dyDescent="0.2">
      <c r="A237" s="251">
        <v>236</v>
      </c>
      <c r="B237" s="251">
        <v>3811</v>
      </c>
      <c r="C237" s="252" t="s">
        <v>555</v>
      </c>
      <c r="D237" s="253">
        <v>360.1</v>
      </c>
      <c r="E237" s="254">
        <v>0.4</v>
      </c>
      <c r="F237" s="254">
        <f t="shared" si="11"/>
        <v>144.04000000000002</v>
      </c>
      <c r="G237" s="254">
        <f>142.36+1.68</f>
        <v>144.04000000000002</v>
      </c>
      <c r="H237" s="254">
        <f t="shared" si="10"/>
        <v>0</v>
      </c>
      <c r="I237" s="255">
        <v>6865286</v>
      </c>
      <c r="J237" s="258">
        <v>45602</v>
      </c>
      <c r="K237" s="294">
        <v>45629</v>
      </c>
    </row>
    <row r="238" spans="1:11" s="368" customFormat="1" x14ac:dyDescent="0.2">
      <c r="A238" s="360">
        <v>237</v>
      </c>
      <c r="B238" s="360">
        <v>3812</v>
      </c>
      <c r="C238" s="361" t="s">
        <v>557</v>
      </c>
      <c r="D238" s="362">
        <v>385.8</v>
      </c>
      <c r="E238" s="363">
        <v>0.4</v>
      </c>
      <c r="F238" s="363">
        <f t="shared" si="11"/>
        <v>154.32000000000002</v>
      </c>
      <c r="G238" s="363">
        <f>F238</f>
        <v>154.32000000000002</v>
      </c>
      <c r="H238" s="363">
        <f t="shared" si="10"/>
        <v>0</v>
      </c>
      <c r="I238" s="364">
        <v>2441718</v>
      </c>
      <c r="J238" s="401" t="s">
        <v>805</v>
      </c>
    </row>
    <row r="239" spans="1:11" x14ac:dyDescent="0.2">
      <c r="A239" s="229">
        <v>238</v>
      </c>
      <c r="B239" s="229">
        <v>3813</v>
      </c>
      <c r="C239" s="231" t="s">
        <v>559</v>
      </c>
      <c r="D239" s="239">
        <v>115.9</v>
      </c>
      <c r="E239" s="233">
        <v>0.4</v>
      </c>
      <c r="F239" s="233">
        <f t="shared" si="11"/>
        <v>46.360000000000007</v>
      </c>
      <c r="G239" s="233">
        <f>F239</f>
        <v>46.360000000000007</v>
      </c>
      <c r="H239" s="233">
        <f t="shared" si="10"/>
        <v>0</v>
      </c>
      <c r="I239" s="240">
        <v>18842378</v>
      </c>
      <c r="J239" s="237"/>
    </row>
    <row r="240" spans="1:11" x14ac:dyDescent="0.2">
      <c r="A240" s="251">
        <v>239</v>
      </c>
      <c r="B240" s="251">
        <v>3814</v>
      </c>
      <c r="C240" s="252" t="s">
        <v>561</v>
      </c>
      <c r="D240" s="253">
        <v>346.3</v>
      </c>
      <c r="E240" s="254">
        <v>0.4</v>
      </c>
      <c r="F240" s="254">
        <f t="shared" si="11"/>
        <v>138.52000000000001</v>
      </c>
      <c r="G240" s="254">
        <f>137.59+0.93</f>
        <v>138.52000000000001</v>
      </c>
      <c r="H240" s="254">
        <f t="shared" si="10"/>
        <v>0</v>
      </c>
      <c r="I240" s="327">
        <v>6998672</v>
      </c>
      <c r="J240" s="258">
        <v>45609</v>
      </c>
      <c r="K240" s="294">
        <v>45628</v>
      </c>
    </row>
    <row r="241" spans="1:11" x14ac:dyDescent="0.2">
      <c r="A241" s="251">
        <v>240</v>
      </c>
      <c r="B241" s="251">
        <v>3815</v>
      </c>
      <c r="C241" s="252" t="s">
        <v>563</v>
      </c>
      <c r="D241" s="253">
        <v>313.5</v>
      </c>
      <c r="E241" s="254">
        <v>0.4</v>
      </c>
      <c r="F241" s="254">
        <f t="shared" si="11"/>
        <v>125.4</v>
      </c>
      <c r="G241" s="254">
        <f>121.25+4.15</f>
        <v>125.4</v>
      </c>
      <c r="H241" s="254">
        <f t="shared" si="10"/>
        <v>0</v>
      </c>
      <c r="I241" s="321">
        <v>24909353</v>
      </c>
      <c r="J241" s="258" t="s">
        <v>822</v>
      </c>
    </row>
    <row r="242" spans="1:11" x14ac:dyDescent="0.2">
      <c r="A242" s="251">
        <v>241</v>
      </c>
      <c r="B242" s="251">
        <v>3816</v>
      </c>
      <c r="C242" s="252" t="s">
        <v>565</v>
      </c>
      <c r="D242" s="253">
        <v>444.2</v>
      </c>
      <c r="E242" s="254">
        <v>0.4</v>
      </c>
      <c r="F242" s="254">
        <f t="shared" si="11"/>
        <v>177.68</v>
      </c>
      <c r="G242" s="254">
        <f>175.08+2.6</f>
        <v>177.68</v>
      </c>
      <c r="H242" s="254">
        <f t="shared" si="10"/>
        <v>0</v>
      </c>
      <c r="I242" s="255">
        <v>27389488</v>
      </c>
      <c r="J242" s="258">
        <v>45602</v>
      </c>
      <c r="K242" s="294">
        <v>45635</v>
      </c>
    </row>
    <row r="243" spans="1:11" x14ac:dyDescent="0.2">
      <c r="A243" s="284">
        <v>242</v>
      </c>
      <c r="B243" s="284">
        <v>3817</v>
      </c>
      <c r="C243" s="285" t="s">
        <v>567</v>
      </c>
      <c r="D243" s="286">
        <v>524.1</v>
      </c>
      <c r="E243" s="287">
        <v>0.4</v>
      </c>
      <c r="F243" s="287">
        <f t="shared" si="11"/>
        <v>209.64000000000001</v>
      </c>
      <c r="G243" s="287">
        <f>F243</f>
        <v>209.64000000000001</v>
      </c>
      <c r="H243" s="287">
        <f t="shared" si="10"/>
        <v>0</v>
      </c>
      <c r="I243" s="300">
        <v>7851322</v>
      </c>
      <c r="J243" s="291" t="s">
        <v>775</v>
      </c>
    </row>
    <row r="244" spans="1:11" x14ac:dyDescent="0.2">
      <c r="A244" s="229">
        <v>243</v>
      </c>
      <c r="B244" s="229">
        <v>3818</v>
      </c>
      <c r="C244" s="231" t="s">
        <v>569</v>
      </c>
      <c r="D244" s="232">
        <v>750.7</v>
      </c>
      <c r="E244" s="233">
        <v>0.4</v>
      </c>
      <c r="F244" s="233">
        <f t="shared" si="11"/>
        <v>300.28000000000003</v>
      </c>
      <c r="G244" s="233">
        <f>F244</f>
        <v>300.28000000000003</v>
      </c>
      <c r="H244" s="233">
        <f t="shared" si="10"/>
        <v>0</v>
      </c>
      <c r="I244" s="240">
        <v>2520858</v>
      </c>
      <c r="J244" s="237"/>
    </row>
    <row r="245" spans="1:11" x14ac:dyDescent="0.2">
      <c r="A245" s="284">
        <v>244</v>
      </c>
      <c r="B245" s="284">
        <v>3819</v>
      </c>
      <c r="C245" s="285" t="s">
        <v>571</v>
      </c>
      <c r="D245" s="286">
        <v>898.9</v>
      </c>
      <c r="E245" s="287">
        <v>0.4</v>
      </c>
      <c r="F245" s="287">
        <f t="shared" si="11"/>
        <v>359.56</v>
      </c>
      <c r="G245" s="287">
        <f>F245</f>
        <v>359.56</v>
      </c>
      <c r="H245" s="287">
        <f t="shared" si="10"/>
        <v>0</v>
      </c>
      <c r="I245" s="300">
        <v>3952839</v>
      </c>
      <c r="J245" s="291" t="s">
        <v>775</v>
      </c>
    </row>
    <row r="246" spans="1:11" x14ac:dyDescent="0.2">
      <c r="A246" s="251">
        <v>245</v>
      </c>
      <c r="B246" s="251">
        <v>3820</v>
      </c>
      <c r="C246" s="252" t="s">
        <v>573</v>
      </c>
      <c r="D246" s="253">
        <v>317.89999999999998</v>
      </c>
      <c r="E246" s="254">
        <v>0.4</v>
      </c>
      <c r="F246" s="254">
        <f t="shared" si="11"/>
        <v>127.16</v>
      </c>
      <c r="G246" s="254">
        <f>122.59+4.57</f>
        <v>127.16</v>
      </c>
      <c r="H246" s="254">
        <f t="shared" si="10"/>
        <v>0</v>
      </c>
      <c r="I246" s="255">
        <v>20898806</v>
      </c>
      <c r="J246" s="258">
        <v>45658</v>
      </c>
      <c r="K246" s="343">
        <v>45685</v>
      </c>
    </row>
    <row r="247" spans="1:11" x14ac:dyDescent="0.2">
      <c r="A247" s="251">
        <v>246</v>
      </c>
      <c r="B247" s="251">
        <v>3821</v>
      </c>
      <c r="C247" s="252" t="s">
        <v>575</v>
      </c>
      <c r="D247" s="253">
        <v>178</v>
      </c>
      <c r="E247" s="254">
        <v>0.4</v>
      </c>
      <c r="F247" s="254">
        <f t="shared" si="11"/>
        <v>71.2</v>
      </c>
      <c r="G247" s="254">
        <f>67.7+3.5</f>
        <v>71.2</v>
      </c>
      <c r="H247" s="254">
        <f t="shared" si="10"/>
        <v>0</v>
      </c>
      <c r="I247" s="255">
        <v>5773746</v>
      </c>
      <c r="J247" s="258">
        <v>45615</v>
      </c>
      <c r="K247" s="294">
        <v>45630</v>
      </c>
    </row>
    <row r="248" spans="1:11" x14ac:dyDescent="0.2">
      <c r="A248" s="251">
        <v>247</v>
      </c>
      <c r="B248" s="251">
        <v>3822</v>
      </c>
      <c r="C248" s="252" t="s">
        <v>577</v>
      </c>
      <c r="D248" s="253">
        <v>1174.3</v>
      </c>
      <c r="E248" s="254">
        <v>0.4</v>
      </c>
      <c r="F248" s="254">
        <f>E248*D248</f>
        <v>469.72</v>
      </c>
      <c r="G248" s="254">
        <f>465.01+4.71</f>
        <v>469.71999999999997</v>
      </c>
      <c r="H248" s="254">
        <f t="shared" si="10"/>
        <v>0</v>
      </c>
      <c r="I248" s="255">
        <v>1522824</v>
      </c>
      <c r="J248" s="258">
        <v>45602</v>
      </c>
      <c r="K248" s="294">
        <v>45628</v>
      </c>
    </row>
    <row r="249" spans="1:11" x14ac:dyDescent="0.2">
      <c r="A249" s="251">
        <v>248</v>
      </c>
      <c r="B249" s="251">
        <v>3823</v>
      </c>
      <c r="C249" s="252" t="s">
        <v>579</v>
      </c>
      <c r="D249" s="253">
        <v>367.8</v>
      </c>
      <c r="E249" s="254">
        <v>0.4</v>
      </c>
      <c r="F249" s="254">
        <f t="shared" si="11"/>
        <v>147.12</v>
      </c>
      <c r="G249" s="254">
        <f>143.31+3.81</f>
        <v>147.12</v>
      </c>
      <c r="H249" s="254">
        <f t="shared" si="10"/>
        <v>0</v>
      </c>
      <c r="I249" s="255">
        <v>865789</v>
      </c>
      <c r="J249" s="258">
        <v>45602</v>
      </c>
      <c r="K249" s="294">
        <v>45650</v>
      </c>
    </row>
    <row r="250" spans="1:11" x14ac:dyDescent="0.2">
      <c r="A250" s="284">
        <v>249</v>
      </c>
      <c r="B250" s="284">
        <v>3824</v>
      </c>
      <c r="C250" s="285" t="s">
        <v>581</v>
      </c>
      <c r="D250" s="286">
        <v>750.8</v>
      </c>
      <c r="E250" s="287">
        <v>0.4</v>
      </c>
      <c r="F250" s="287">
        <f t="shared" si="11"/>
        <v>300.32</v>
      </c>
      <c r="G250" s="287">
        <f>F250</f>
        <v>300.32</v>
      </c>
      <c r="H250" s="287">
        <f t="shared" si="10"/>
        <v>0</v>
      </c>
      <c r="I250" s="300">
        <v>18878869</v>
      </c>
      <c r="J250" s="291" t="s">
        <v>775</v>
      </c>
    </row>
    <row r="251" spans="1:11" x14ac:dyDescent="0.2">
      <c r="A251" s="251">
        <v>250</v>
      </c>
      <c r="B251" s="251">
        <v>3827</v>
      </c>
      <c r="C251" s="252" t="s">
        <v>583</v>
      </c>
      <c r="D251" s="253">
        <v>893</v>
      </c>
      <c r="E251" s="254">
        <v>0.4</v>
      </c>
      <c r="F251" s="254">
        <f t="shared" si="11"/>
        <v>357.20000000000005</v>
      </c>
      <c r="G251" s="254">
        <f>355.32+1.88</f>
        <v>357.2</v>
      </c>
      <c r="H251" s="254">
        <f t="shared" si="10"/>
        <v>0</v>
      </c>
      <c r="I251" s="255">
        <v>19049113</v>
      </c>
      <c r="J251" s="258">
        <v>45609</v>
      </c>
      <c r="K251" s="294">
        <v>45628</v>
      </c>
    </row>
    <row r="252" spans="1:11" x14ac:dyDescent="0.2">
      <c r="A252" s="251">
        <v>251</v>
      </c>
      <c r="B252" s="251">
        <v>3828</v>
      </c>
      <c r="C252" s="252" t="s">
        <v>585</v>
      </c>
      <c r="D252" s="253">
        <v>367.2</v>
      </c>
      <c r="E252" s="254">
        <v>0.4</v>
      </c>
      <c r="F252" s="254">
        <f t="shared" si="11"/>
        <v>146.88</v>
      </c>
      <c r="G252" s="254">
        <f>143.48+3.4</f>
        <v>146.88</v>
      </c>
      <c r="H252" s="254">
        <f t="shared" si="10"/>
        <v>0</v>
      </c>
      <c r="I252" s="255">
        <v>5520522</v>
      </c>
      <c r="J252" s="258">
        <v>45602</v>
      </c>
      <c r="K252" s="294">
        <v>45624</v>
      </c>
    </row>
    <row r="253" spans="1:11" x14ac:dyDescent="0.2">
      <c r="A253" s="251">
        <v>252</v>
      </c>
      <c r="B253" s="251">
        <v>3829</v>
      </c>
      <c r="C253" s="252" t="s">
        <v>587</v>
      </c>
      <c r="D253" s="253">
        <v>297.8</v>
      </c>
      <c r="E253" s="254">
        <v>0.4</v>
      </c>
      <c r="F253" s="254">
        <f t="shared" si="11"/>
        <v>119.12</v>
      </c>
      <c r="G253" s="254">
        <f>F253</f>
        <v>119.12</v>
      </c>
      <c r="H253" s="254">
        <f t="shared" si="10"/>
        <v>0</v>
      </c>
      <c r="I253" s="255">
        <v>897384</v>
      </c>
      <c r="J253" s="258">
        <v>45670</v>
      </c>
    </row>
    <row r="254" spans="1:11" x14ac:dyDescent="0.2">
      <c r="A254" s="251">
        <v>253</v>
      </c>
      <c r="B254" s="251">
        <v>3830</v>
      </c>
      <c r="C254" s="252" t="s">
        <v>589</v>
      </c>
      <c r="D254" s="253">
        <v>461.9</v>
      </c>
      <c r="E254" s="254">
        <v>0.4</v>
      </c>
      <c r="F254" s="254">
        <f t="shared" si="11"/>
        <v>184.76</v>
      </c>
      <c r="G254" s="254">
        <f>F254</f>
        <v>184.76</v>
      </c>
      <c r="H254" s="254">
        <f t="shared" si="10"/>
        <v>0</v>
      </c>
      <c r="I254" s="255">
        <v>2153706</v>
      </c>
      <c r="J254" s="258">
        <v>45630</v>
      </c>
    </row>
    <row r="255" spans="1:11" x14ac:dyDescent="0.2">
      <c r="A255" s="229">
        <v>254</v>
      </c>
      <c r="B255" s="229">
        <v>3831</v>
      </c>
      <c r="C255" s="231" t="s">
        <v>591</v>
      </c>
      <c r="D255" s="239">
        <v>384.9</v>
      </c>
      <c r="E255" s="233">
        <v>0.4</v>
      </c>
      <c r="F255" s="233">
        <f t="shared" si="11"/>
        <v>153.96</v>
      </c>
      <c r="G255" s="233">
        <f>F255</f>
        <v>153.96</v>
      </c>
      <c r="H255" s="233">
        <f t="shared" si="10"/>
        <v>0</v>
      </c>
      <c r="I255" s="240">
        <v>873604</v>
      </c>
      <c r="J255" s="237"/>
    </row>
    <row r="256" spans="1:11" x14ac:dyDescent="0.2">
      <c r="A256" s="284">
        <v>255</v>
      </c>
      <c r="B256" s="284">
        <v>3833</v>
      </c>
      <c r="C256" s="285" t="s">
        <v>593</v>
      </c>
      <c r="D256" s="286">
        <v>358.6</v>
      </c>
      <c r="E256" s="287">
        <v>0.4</v>
      </c>
      <c r="F256" s="287">
        <f t="shared" si="11"/>
        <v>143.44000000000003</v>
      </c>
      <c r="G256" s="287">
        <f>F256</f>
        <v>143.44000000000003</v>
      </c>
      <c r="H256" s="287">
        <f t="shared" si="10"/>
        <v>0</v>
      </c>
      <c r="I256" s="300">
        <v>19179619</v>
      </c>
      <c r="J256" s="291"/>
    </row>
    <row r="257" spans="1:11" x14ac:dyDescent="0.2">
      <c r="A257" s="284">
        <v>256</v>
      </c>
      <c r="B257" s="284">
        <v>3834</v>
      </c>
      <c r="C257" s="285" t="s">
        <v>595</v>
      </c>
      <c r="D257" s="286">
        <v>633.29999999999995</v>
      </c>
      <c r="E257" s="287">
        <v>0.4</v>
      </c>
      <c r="F257" s="287">
        <f t="shared" si="11"/>
        <v>253.32</v>
      </c>
      <c r="G257" s="287">
        <f>F257</f>
        <v>253.32</v>
      </c>
      <c r="H257" s="287">
        <f t="shared" si="10"/>
        <v>0</v>
      </c>
      <c r="I257" s="300">
        <v>5544756</v>
      </c>
      <c r="J257" s="291" t="s">
        <v>775</v>
      </c>
    </row>
    <row r="258" spans="1:11" x14ac:dyDescent="0.2">
      <c r="A258" s="251">
        <v>257</v>
      </c>
      <c r="B258" s="251">
        <v>3835</v>
      </c>
      <c r="C258" s="252" t="s">
        <v>598</v>
      </c>
      <c r="D258" s="253">
        <v>291.89999999999998</v>
      </c>
      <c r="E258" s="254">
        <v>0.4</v>
      </c>
      <c r="F258" s="254">
        <f t="shared" si="11"/>
        <v>116.75999999999999</v>
      </c>
      <c r="G258" s="254">
        <f>112.77+3.99</f>
        <v>116.75999999999999</v>
      </c>
      <c r="H258" s="254">
        <f t="shared" si="10"/>
        <v>0</v>
      </c>
      <c r="I258" s="255">
        <v>781845</v>
      </c>
      <c r="J258" s="258">
        <v>45602</v>
      </c>
      <c r="K258" s="294">
        <v>45624</v>
      </c>
    </row>
    <row r="259" spans="1:11" x14ac:dyDescent="0.2">
      <c r="A259" s="251">
        <v>258</v>
      </c>
      <c r="B259" s="251">
        <v>3836</v>
      </c>
      <c r="C259" s="252" t="s">
        <v>600</v>
      </c>
      <c r="D259" s="253">
        <v>409.8</v>
      </c>
      <c r="E259" s="254">
        <v>0.4</v>
      </c>
      <c r="F259" s="254">
        <f t="shared" si="11"/>
        <v>163.92000000000002</v>
      </c>
      <c r="G259" s="254">
        <f>162.47+1.45</f>
        <v>163.92</v>
      </c>
      <c r="H259" s="254">
        <f t="shared" ref="H259:H308" si="12">F259-G259</f>
        <v>0</v>
      </c>
      <c r="I259" s="255">
        <v>20264434</v>
      </c>
      <c r="J259" s="258">
        <v>45602</v>
      </c>
      <c r="K259" s="258">
        <v>45628</v>
      </c>
    </row>
    <row r="260" spans="1:11" x14ac:dyDescent="0.2">
      <c r="A260" s="229">
        <v>259</v>
      </c>
      <c r="B260" s="229">
        <v>3837</v>
      </c>
      <c r="C260" s="231" t="s">
        <v>602</v>
      </c>
      <c r="D260" s="239">
        <v>531</v>
      </c>
      <c r="E260" s="233">
        <v>0.4</v>
      </c>
      <c r="F260" s="233">
        <f t="shared" si="11"/>
        <v>212.4</v>
      </c>
      <c r="G260" s="233">
        <f>F260</f>
        <v>212.4</v>
      </c>
      <c r="H260" s="233">
        <f t="shared" si="12"/>
        <v>0</v>
      </c>
      <c r="I260" s="240">
        <v>1935947</v>
      </c>
      <c r="J260" s="237"/>
    </row>
    <row r="261" spans="1:11" x14ac:dyDescent="0.2">
      <c r="A261" s="251">
        <v>260</v>
      </c>
      <c r="B261" s="251">
        <v>3838</v>
      </c>
      <c r="C261" s="252" t="s">
        <v>604</v>
      </c>
      <c r="D261" s="253">
        <v>355.8</v>
      </c>
      <c r="E261" s="254">
        <v>0.4</v>
      </c>
      <c r="F261" s="254">
        <f t="shared" si="11"/>
        <v>142.32000000000002</v>
      </c>
      <c r="G261" s="254">
        <f>F261</f>
        <v>142.32000000000002</v>
      </c>
      <c r="H261" s="254">
        <f t="shared" si="12"/>
        <v>0</v>
      </c>
      <c r="I261" s="255">
        <v>18553115</v>
      </c>
      <c r="J261" s="258">
        <v>45677</v>
      </c>
    </row>
    <row r="262" spans="1:11" x14ac:dyDescent="0.2">
      <c r="A262" s="251">
        <v>261</v>
      </c>
      <c r="B262" s="251">
        <v>3839</v>
      </c>
      <c r="C262" s="252" t="s">
        <v>606</v>
      </c>
      <c r="D262" s="253">
        <v>1465.7</v>
      </c>
      <c r="E262" s="254">
        <v>0.4</v>
      </c>
      <c r="F262" s="254">
        <f t="shared" si="11"/>
        <v>586.28000000000009</v>
      </c>
      <c r="G262" s="254">
        <f>581.9+4.38</f>
        <v>586.28</v>
      </c>
      <c r="H262" s="254">
        <f t="shared" si="12"/>
        <v>0</v>
      </c>
      <c r="I262" s="255">
        <v>22799311</v>
      </c>
      <c r="J262" s="258">
        <v>45602</v>
      </c>
      <c r="K262" s="258">
        <v>45628</v>
      </c>
    </row>
    <row r="263" spans="1:11" x14ac:dyDescent="0.2">
      <c r="A263" s="251">
        <v>262</v>
      </c>
      <c r="B263" s="251">
        <v>3840</v>
      </c>
      <c r="C263" s="252" t="s">
        <v>608</v>
      </c>
      <c r="D263" s="253">
        <v>500.8</v>
      </c>
      <c r="E263" s="254">
        <v>0.4</v>
      </c>
      <c r="F263" s="254">
        <f t="shared" ref="F263:F308" si="13">E263*D263</f>
        <v>200.32000000000002</v>
      </c>
      <c r="G263" s="254">
        <f>199.42+0.9</f>
        <v>200.32</v>
      </c>
      <c r="H263" s="254">
        <f t="shared" si="12"/>
        <v>0</v>
      </c>
      <c r="I263" s="255">
        <v>19777334</v>
      </c>
      <c r="J263" s="258">
        <v>45602</v>
      </c>
      <c r="K263" s="294">
        <v>45630</v>
      </c>
    </row>
    <row r="264" spans="1:11" x14ac:dyDescent="0.2">
      <c r="A264" s="229">
        <v>263</v>
      </c>
      <c r="B264" s="229">
        <v>3841</v>
      </c>
      <c r="C264" s="231" t="s">
        <v>610</v>
      </c>
      <c r="D264" s="239">
        <v>695.4</v>
      </c>
      <c r="E264" s="233">
        <v>0.4</v>
      </c>
      <c r="F264" s="233">
        <f t="shared" si="13"/>
        <v>278.16000000000003</v>
      </c>
      <c r="G264" s="233">
        <f>F264</f>
        <v>278.16000000000003</v>
      </c>
      <c r="H264" s="233">
        <f t="shared" si="12"/>
        <v>0</v>
      </c>
      <c r="I264" s="240">
        <v>2538202</v>
      </c>
      <c r="J264" s="237"/>
    </row>
    <row r="265" spans="1:11" x14ac:dyDescent="0.2">
      <c r="A265" s="229">
        <v>264</v>
      </c>
      <c r="B265" s="229">
        <v>3843</v>
      </c>
      <c r="C265" s="231" t="s">
        <v>612</v>
      </c>
      <c r="D265" s="239">
        <v>971.5</v>
      </c>
      <c r="E265" s="233">
        <v>0.4</v>
      </c>
      <c r="F265" s="233">
        <f t="shared" si="13"/>
        <v>388.6</v>
      </c>
      <c r="G265" s="233">
        <f>F265</f>
        <v>388.6</v>
      </c>
      <c r="H265" s="233">
        <f t="shared" si="12"/>
        <v>0</v>
      </c>
      <c r="I265" s="240">
        <v>19564247</v>
      </c>
      <c r="J265" s="237"/>
    </row>
    <row r="266" spans="1:11" x14ac:dyDescent="0.2">
      <c r="A266" s="251">
        <v>265</v>
      </c>
      <c r="B266" s="251">
        <v>3844</v>
      </c>
      <c r="C266" s="252" t="s">
        <v>614</v>
      </c>
      <c r="D266" s="253">
        <v>1391.9</v>
      </c>
      <c r="E266" s="254">
        <v>0.4</v>
      </c>
      <c r="F266" s="254">
        <f t="shared" si="13"/>
        <v>556.7600000000001</v>
      </c>
      <c r="G266" s="254">
        <f>554.8+1.96</f>
        <v>556.76</v>
      </c>
      <c r="H266" s="254">
        <f t="shared" si="12"/>
        <v>0</v>
      </c>
      <c r="I266" s="255">
        <v>1036602</v>
      </c>
      <c r="J266" s="258">
        <v>45602</v>
      </c>
      <c r="K266" s="258">
        <v>45628</v>
      </c>
    </row>
    <row r="267" spans="1:11" x14ac:dyDescent="0.2">
      <c r="A267" s="251">
        <v>266</v>
      </c>
      <c r="B267" s="251">
        <v>3845</v>
      </c>
      <c r="C267" s="252" t="s">
        <v>616</v>
      </c>
      <c r="D267" s="253">
        <v>1475.5</v>
      </c>
      <c r="E267" s="254">
        <v>0.4</v>
      </c>
      <c r="F267" s="254">
        <f t="shared" si="13"/>
        <v>590.20000000000005</v>
      </c>
      <c r="G267" s="254">
        <f>586.85+3.35</f>
        <v>590.20000000000005</v>
      </c>
      <c r="H267" s="254">
        <f t="shared" si="12"/>
        <v>0</v>
      </c>
      <c r="I267" s="255">
        <v>1432563</v>
      </c>
      <c r="J267" s="258">
        <v>45621</v>
      </c>
      <c r="K267" s="292" t="s">
        <v>824</v>
      </c>
    </row>
    <row r="268" spans="1:11" x14ac:dyDescent="0.2">
      <c r="A268" s="251">
        <v>267</v>
      </c>
      <c r="B268" s="251">
        <v>3846</v>
      </c>
      <c r="C268" s="252" t="s">
        <v>618</v>
      </c>
      <c r="D268" s="253">
        <v>347.1</v>
      </c>
      <c r="E268" s="254">
        <v>0.4</v>
      </c>
      <c r="F268" s="254">
        <f t="shared" si="13"/>
        <v>138.84</v>
      </c>
      <c r="G268" s="254">
        <f>8.14+130.7</f>
        <v>138.83999999999997</v>
      </c>
      <c r="H268" s="254">
        <f t="shared" si="12"/>
        <v>0</v>
      </c>
      <c r="I268" s="255">
        <v>8115103</v>
      </c>
      <c r="J268" s="258">
        <v>45609</v>
      </c>
      <c r="K268" s="219" t="s">
        <v>788</v>
      </c>
    </row>
    <row r="269" spans="1:11" x14ac:dyDescent="0.2">
      <c r="A269" s="284">
        <v>268</v>
      </c>
      <c r="B269" s="284">
        <v>3847</v>
      </c>
      <c r="C269" s="285" t="s">
        <v>620</v>
      </c>
      <c r="D269" s="286">
        <v>1525</v>
      </c>
      <c r="E269" s="287">
        <v>0.4</v>
      </c>
      <c r="F269" s="287">
        <f t="shared" si="13"/>
        <v>610</v>
      </c>
      <c r="G269" s="287">
        <f>F269</f>
        <v>610</v>
      </c>
      <c r="H269" s="287">
        <f t="shared" si="12"/>
        <v>0</v>
      </c>
      <c r="I269" s="300">
        <v>238234</v>
      </c>
      <c r="J269" s="291" t="s">
        <v>889</v>
      </c>
    </row>
    <row r="270" spans="1:11" x14ac:dyDescent="0.2">
      <c r="A270" s="229">
        <v>269</v>
      </c>
      <c r="B270" s="229">
        <v>3848</v>
      </c>
      <c r="C270" s="231" t="s">
        <v>622</v>
      </c>
      <c r="D270" s="239">
        <v>1525</v>
      </c>
      <c r="E270" s="233">
        <v>0.4</v>
      </c>
      <c r="F270" s="233">
        <f t="shared" si="13"/>
        <v>610</v>
      </c>
      <c r="G270" s="233">
        <f>F270</f>
        <v>610</v>
      </c>
      <c r="H270" s="233">
        <f t="shared" si="12"/>
        <v>0</v>
      </c>
      <c r="I270" s="240">
        <v>19231852</v>
      </c>
      <c r="J270" s="237"/>
    </row>
    <row r="271" spans="1:11" x14ac:dyDescent="0.2">
      <c r="A271" s="229">
        <v>270</v>
      </c>
      <c r="B271" s="229">
        <v>3849</v>
      </c>
      <c r="C271" s="231" t="s">
        <v>624</v>
      </c>
      <c r="D271" s="239">
        <v>418.4</v>
      </c>
      <c r="E271" s="233">
        <v>0.4</v>
      </c>
      <c r="F271" s="233">
        <f t="shared" si="13"/>
        <v>167.36</v>
      </c>
      <c r="G271" s="233">
        <f>F271</f>
        <v>167.36</v>
      </c>
      <c r="H271" s="233">
        <f t="shared" si="12"/>
        <v>0</v>
      </c>
      <c r="I271" s="295">
        <v>18693727</v>
      </c>
      <c r="J271" s="237"/>
    </row>
    <row r="272" spans="1:11" x14ac:dyDescent="0.2">
      <c r="A272" s="251">
        <v>271</v>
      </c>
      <c r="B272" s="251">
        <v>3850</v>
      </c>
      <c r="C272" s="252" t="s">
        <v>626</v>
      </c>
      <c r="D272" s="253">
        <v>729.4</v>
      </c>
      <c r="E272" s="254">
        <v>0.4</v>
      </c>
      <c r="F272" s="254">
        <f t="shared" si="13"/>
        <v>291.76</v>
      </c>
      <c r="G272" s="254">
        <f>289.34+2.42</f>
        <v>291.76</v>
      </c>
      <c r="H272" s="254">
        <f t="shared" si="12"/>
        <v>0</v>
      </c>
      <c r="I272" s="255">
        <v>5742985</v>
      </c>
      <c r="J272" s="258">
        <v>45650</v>
      </c>
      <c r="K272" s="294">
        <v>45677</v>
      </c>
    </row>
    <row r="273" spans="1:12" x14ac:dyDescent="0.2">
      <c r="A273" s="251">
        <v>272</v>
      </c>
      <c r="B273" s="251">
        <v>3851</v>
      </c>
      <c r="C273" s="252" t="s">
        <v>629</v>
      </c>
      <c r="D273" s="253">
        <v>132</v>
      </c>
      <c r="E273" s="254">
        <v>0.4</v>
      </c>
      <c r="F273" s="254">
        <f t="shared" si="13"/>
        <v>52.800000000000004</v>
      </c>
      <c r="G273" s="254">
        <f>F273</f>
        <v>52.800000000000004</v>
      </c>
      <c r="H273" s="254">
        <f t="shared" si="12"/>
        <v>0</v>
      </c>
      <c r="I273" s="255">
        <v>22766611</v>
      </c>
      <c r="J273" s="258">
        <v>45635</v>
      </c>
    </row>
    <row r="274" spans="1:12" x14ac:dyDescent="0.2">
      <c r="A274" s="251">
        <v>273</v>
      </c>
      <c r="B274" s="251">
        <v>3852</v>
      </c>
      <c r="C274" s="252" t="s">
        <v>631</v>
      </c>
      <c r="D274" s="253">
        <v>662.4</v>
      </c>
      <c r="E274" s="254">
        <v>0.4</v>
      </c>
      <c r="F274" s="254">
        <f t="shared" si="13"/>
        <v>264.95999999999998</v>
      </c>
      <c r="G274" s="254">
        <f>145.41+116.4+3.15</f>
        <v>264.95999999999998</v>
      </c>
      <c r="H274" s="254">
        <f t="shared" si="12"/>
        <v>0</v>
      </c>
      <c r="I274" s="255">
        <v>8827979</v>
      </c>
      <c r="J274" s="258">
        <v>45607</v>
      </c>
      <c r="K274" s="294">
        <v>45621</v>
      </c>
      <c r="L274" s="294">
        <v>45628</v>
      </c>
    </row>
    <row r="275" spans="1:12" x14ac:dyDescent="0.2">
      <c r="A275" s="284">
        <v>274</v>
      </c>
      <c r="B275" s="284">
        <v>3853</v>
      </c>
      <c r="C275" s="285" t="s">
        <v>633</v>
      </c>
      <c r="D275" s="286">
        <v>286.10000000000002</v>
      </c>
      <c r="E275" s="287">
        <v>0.4</v>
      </c>
      <c r="F275" s="287">
        <f t="shared" si="13"/>
        <v>114.44000000000001</v>
      </c>
      <c r="G275" s="287">
        <f>F275</f>
        <v>114.44000000000001</v>
      </c>
      <c r="H275" s="287">
        <f t="shared" si="12"/>
        <v>0</v>
      </c>
      <c r="I275" s="300">
        <v>5857446</v>
      </c>
      <c r="J275" s="291" t="s">
        <v>775</v>
      </c>
    </row>
    <row r="276" spans="1:12" x14ac:dyDescent="0.2">
      <c r="A276" s="251">
        <v>275</v>
      </c>
      <c r="B276" s="251">
        <v>3854</v>
      </c>
      <c r="C276" s="252" t="s">
        <v>635</v>
      </c>
      <c r="D276" s="253">
        <v>274.10000000000002</v>
      </c>
      <c r="E276" s="254">
        <v>0.4</v>
      </c>
      <c r="F276" s="254">
        <f t="shared" si="13"/>
        <v>109.64000000000001</v>
      </c>
      <c r="G276" s="254">
        <f>F276</f>
        <v>109.64000000000001</v>
      </c>
      <c r="H276" s="254">
        <f t="shared" si="12"/>
        <v>0</v>
      </c>
      <c r="I276" s="255">
        <v>1085838</v>
      </c>
      <c r="J276" s="258">
        <v>45672</v>
      </c>
    </row>
    <row r="277" spans="1:12" x14ac:dyDescent="0.2">
      <c r="A277" s="251">
        <v>276</v>
      </c>
      <c r="B277" s="251">
        <v>3855</v>
      </c>
      <c r="C277" s="252" t="s">
        <v>637</v>
      </c>
      <c r="D277" s="253">
        <v>414.6</v>
      </c>
      <c r="E277" s="254">
        <v>0.4</v>
      </c>
      <c r="F277" s="254">
        <f t="shared" si="13"/>
        <v>165.84000000000003</v>
      </c>
      <c r="G277" s="254">
        <f>F277</f>
        <v>165.84000000000003</v>
      </c>
      <c r="H277" s="254">
        <f t="shared" si="12"/>
        <v>0</v>
      </c>
      <c r="I277" s="255">
        <v>4948259</v>
      </c>
      <c r="J277" s="258"/>
      <c r="K277" s="294">
        <v>45658</v>
      </c>
    </row>
    <row r="278" spans="1:12" x14ac:dyDescent="0.2">
      <c r="A278" s="251">
        <v>277</v>
      </c>
      <c r="B278" s="251">
        <v>3856</v>
      </c>
      <c r="C278" s="252" t="s">
        <v>639</v>
      </c>
      <c r="D278" s="253">
        <v>255.7</v>
      </c>
      <c r="E278" s="254">
        <v>0.4</v>
      </c>
      <c r="F278" s="254">
        <f t="shared" si="13"/>
        <v>102.28</v>
      </c>
      <c r="G278" s="254">
        <f>101.1+1.18</f>
        <v>102.28</v>
      </c>
      <c r="H278" s="254">
        <f t="shared" si="12"/>
        <v>0</v>
      </c>
      <c r="I278" s="255">
        <v>15097631</v>
      </c>
      <c r="J278" s="258">
        <v>45621</v>
      </c>
      <c r="K278" s="294">
        <v>45628</v>
      </c>
    </row>
    <row r="279" spans="1:12" x14ac:dyDescent="0.2">
      <c r="A279" s="284">
        <v>278</v>
      </c>
      <c r="B279" s="284">
        <v>3857</v>
      </c>
      <c r="C279" s="285" t="s">
        <v>36</v>
      </c>
      <c r="D279" s="286">
        <v>846.2</v>
      </c>
      <c r="E279" s="287">
        <v>0.4</v>
      </c>
      <c r="F279" s="287">
        <f t="shared" si="13"/>
        <v>338.48</v>
      </c>
      <c r="G279" s="287">
        <f>F279</f>
        <v>338.48</v>
      </c>
      <c r="H279" s="287">
        <f t="shared" si="12"/>
        <v>0</v>
      </c>
      <c r="I279" s="300">
        <v>28903474</v>
      </c>
      <c r="J279" s="291" t="s">
        <v>775</v>
      </c>
    </row>
    <row r="280" spans="1:12" x14ac:dyDescent="0.2">
      <c r="A280" s="251">
        <v>279</v>
      </c>
      <c r="B280" s="251">
        <v>3858</v>
      </c>
      <c r="C280" s="252" t="s">
        <v>641</v>
      </c>
      <c r="D280" s="253">
        <v>330.9</v>
      </c>
      <c r="E280" s="254">
        <v>0.4</v>
      </c>
      <c r="F280" s="254">
        <f t="shared" si="13"/>
        <v>132.35999999999999</v>
      </c>
      <c r="G280" s="254">
        <f>F280</f>
        <v>132.35999999999999</v>
      </c>
      <c r="H280" s="254">
        <f t="shared" si="12"/>
        <v>0</v>
      </c>
      <c r="I280" s="255">
        <v>18451569</v>
      </c>
      <c r="J280" s="258">
        <v>45624</v>
      </c>
      <c r="K280" s="294">
        <v>45658</v>
      </c>
    </row>
    <row r="281" spans="1:12" x14ac:dyDescent="0.2">
      <c r="A281" s="251">
        <v>280</v>
      </c>
      <c r="B281" s="251">
        <v>3859</v>
      </c>
      <c r="C281" s="252" t="s">
        <v>442</v>
      </c>
      <c r="D281" s="253">
        <v>648.1</v>
      </c>
      <c r="E281" s="254">
        <v>0.4</v>
      </c>
      <c r="F281" s="254">
        <f t="shared" si="13"/>
        <v>259.24</v>
      </c>
      <c r="G281" s="254">
        <f>F281</f>
        <v>259.24</v>
      </c>
      <c r="H281" s="254">
        <f t="shared" si="12"/>
        <v>0</v>
      </c>
      <c r="I281" s="255">
        <v>6038764</v>
      </c>
      <c r="J281" s="258">
        <v>45642</v>
      </c>
      <c r="K281" s="219" t="s">
        <v>846</v>
      </c>
    </row>
    <row r="282" spans="1:12" x14ac:dyDescent="0.2">
      <c r="A282" s="229">
        <v>281</v>
      </c>
      <c r="B282" s="229">
        <v>3860</v>
      </c>
      <c r="C282" s="231" t="s">
        <v>644</v>
      </c>
      <c r="D282" s="239">
        <v>245.8</v>
      </c>
      <c r="E282" s="233">
        <v>0.4</v>
      </c>
      <c r="F282" s="233">
        <f t="shared" si="13"/>
        <v>98.320000000000007</v>
      </c>
      <c r="G282" s="233">
        <f>F282</f>
        <v>98.320000000000007</v>
      </c>
      <c r="H282" s="233">
        <f t="shared" si="12"/>
        <v>0</v>
      </c>
      <c r="I282" s="240">
        <v>6132261</v>
      </c>
      <c r="J282" s="237"/>
    </row>
    <row r="283" spans="1:12" x14ac:dyDescent="0.2">
      <c r="A283" s="251">
        <v>282</v>
      </c>
      <c r="B283" s="251">
        <v>3861</v>
      </c>
      <c r="C283" s="252" t="s">
        <v>646</v>
      </c>
      <c r="D283" s="253">
        <v>496.8</v>
      </c>
      <c r="E283" s="254">
        <v>0.4</v>
      </c>
      <c r="F283" s="254">
        <f t="shared" si="13"/>
        <v>198.72000000000003</v>
      </c>
      <c r="G283" s="254">
        <f>197.95+0.77</f>
        <v>198.72</v>
      </c>
      <c r="H283" s="254">
        <f t="shared" si="12"/>
        <v>0</v>
      </c>
      <c r="I283" s="255">
        <v>14330506</v>
      </c>
      <c r="J283" s="258">
        <v>45602</v>
      </c>
      <c r="K283" s="294">
        <v>45630</v>
      </c>
    </row>
    <row r="284" spans="1:12" x14ac:dyDescent="0.2">
      <c r="A284" s="284">
        <v>283</v>
      </c>
      <c r="B284" s="284">
        <v>3862</v>
      </c>
      <c r="C284" s="285" t="s">
        <v>648</v>
      </c>
      <c r="D284" s="286">
        <v>502.6</v>
      </c>
      <c r="E284" s="287">
        <v>0.4</v>
      </c>
      <c r="F284" s="287">
        <f t="shared" si="13"/>
        <v>201.04000000000002</v>
      </c>
      <c r="G284" s="287">
        <f t="shared" ref="G284:G289" si="14">F284</f>
        <v>201.04000000000002</v>
      </c>
      <c r="H284" s="287">
        <f t="shared" si="12"/>
        <v>0</v>
      </c>
      <c r="I284" s="300">
        <v>5892019</v>
      </c>
      <c r="J284" s="291" t="s">
        <v>775</v>
      </c>
    </row>
    <row r="285" spans="1:12" x14ac:dyDescent="0.2">
      <c r="A285" s="229">
        <v>284</v>
      </c>
      <c r="B285" s="229">
        <v>3863</v>
      </c>
      <c r="C285" s="231" t="s">
        <v>650</v>
      </c>
      <c r="D285" s="239">
        <v>326.7</v>
      </c>
      <c r="E285" s="233">
        <v>0.4</v>
      </c>
      <c r="F285" s="233">
        <f t="shared" si="13"/>
        <v>130.68</v>
      </c>
      <c r="G285" s="233">
        <f t="shared" si="14"/>
        <v>130.68</v>
      </c>
      <c r="H285" s="233">
        <f t="shared" si="12"/>
        <v>0</v>
      </c>
      <c r="I285" s="240">
        <v>10772417</v>
      </c>
      <c r="J285" s="237"/>
    </row>
    <row r="286" spans="1:12" x14ac:dyDescent="0.2">
      <c r="A286" s="284">
        <v>285</v>
      </c>
      <c r="B286" s="284">
        <v>3864</v>
      </c>
      <c r="C286" s="285" t="s">
        <v>652</v>
      </c>
      <c r="D286" s="286">
        <v>656.1</v>
      </c>
      <c r="E286" s="287">
        <v>0.4</v>
      </c>
      <c r="F286" s="287">
        <f t="shared" si="13"/>
        <v>262.44</v>
      </c>
      <c r="G286" s="287">
        <f t="shared" si="14"/>
        <v>262.44</v>
      </c>
      <c r="H286" s="287">
        <f t="shared" si="12"/>
        <v>0</v>
      </c>
      <c r="I286" s="300">
        <v>6493803</v>
      </c>
      <c r="J286" s="291" t="s">
        <v>775</v>
      </c>
    </row>
    <row r="287" spans="1:12" x14ac:dyDescent="0.2">
      <c r="A287" s="284">
        <v>286</v>
      </c>
      <c r="B287" s="284">
        <v>3865</v>
      </c>
      <c r="C287" s="285" t="s">
        <v>654</v>
      </c>
      <c r="D287" s="286">
        <v>880.7</v>
      </c>
      <c r="E287" s="287">
        <v>0.4</v>
      </c>
      <c r="F287" s="287">
        <f t="shared" si="13"/>
        <v>352.28000000000003</v>
      </c>
      <c r="G287" s="287">
        <f t="shared" si="14"/>
        <v>352.28000000000003</v>
      </c>
      <c r="H287" s="287">
        <f t="shared" si="12"/>
        <v>0</v>
      </c>
      <c r="I287" s="300">
        <v>15219317</v>
      </c>
      <c r="J287" s="291" t="s">
        <v>775</v>
      </c>
    </row>
    <row r="288" spans="1:12" x14ac:dyDescent="0.2">
      <c r="A288" s="284">
        <v>287</v>
      </c>
      <c r="B288" s="284">
        <v>3866</v>
      </c>
      <c r="C288" s="285" t="s">
        <v>656</v>
      </c>
      <c r="D288" s="286">
        <v>458.2</v>
      </c>
      <c r="E288" s="287">
        <v>0.4</v>
      </c>
      <c r="F288" s="287">
        <f t="shared" si="13"/>
        <v>183.28</v>
      </c>
      <c r="G288" s="287">
        <f t="shared" si="14"/>
        <v>183.28</v>
      </c>
      <c r="H288" s="287">
        <f t="shared" si="12"/>
        <v>0</v>
      </c>
      <c r="I288" s="300">
        <v>11772662</v>
      </c>
      <c r="J288" s="291" t="s">
        <v>878</v>
      </c>
    </row>
    <row r="289" spans="1:11" x14ac:dyDescent="0.2">
      <c r="A289" s="229">
        <v>288</v>
      </c>
      <c r="B289" s="229">
        <v>3867</v>
      </c>
      <c r="C289" s="231" t="s">
        <v>658</v>
      </c>
      <c r="D289" s="239">
        <v>355.1</v>
      </c>
      <c r="E289" s="233">
        <v>0.4</v>
      </c>
      <c r="F289" s="233">
        <f t="shared" si="13"/>
        <v>142.04000000000002</v>
      </c>
      <c r="G289" s="233">
        <f t="shared" si="14"/>
        <v>142.04000000000002</v>
      </c>
      <c r="H289" s="233">
        <f t="shared" si="12"/>
        <v>0</v>
      </c>
      <c r="I289" s="240">
        <v>18189491</v>
      </c>
      <c r="J289" s="237"/>
    </row>
    <row r="290" spans="1:11" x14ac:dyDescent="0.2">
      <c r="A290" s="229">
        <v>289</v>
      </c>
      <c r="B290" s="229">
        <v>3868</v>
      </c>
      <c r="C290" s="231" t="s">
        <v>660</v>
      </c>
      <c r="D290" s="239">
        <v>255.6</v>
      </c>
      <c r="E290" s="233">
        <v>0.4</v>
      </c>
      <c r="F290" s="233">
        <f t="shared" si="13"/>
        <v>102.24000000000001</v>
      </c>
      <c r="G290" s="233">
        <f t="shared" ref="G290:G291" si="15">F290</f>
        <v>102.24000000000001</v>
      </c>
      <c r="H290" s="233">
        <f t="shared" si="12"/>
        <v>0</v>
      </c>
      <c r="I290" s="240">
        <v>23619706</v>
      </c>
      <c r="J290" s="237"/>
    </row>
    <row r="291" spans="1:11" x14ac:dyDescent="0.2">
      <c r="A291" s="229">
        <v>290</v>
      </c>
      <c r="B291" s="229">
        <v>3869</v>
      </c>
      <c r="C291" s="231" t="s">
        <v>662</v>
      </c>
      <c r="D291" s="239">
        <v>261.2</v>
      </c>
      <c r="E291" s="233">
        <v>0.4</v>
      </c>
      <c r="F291" s="233">
        <f t="shared" si="13"/>
        <v>104.48</v>
      </c>
      <c r="G291" s="233">
        <f t="shared" si="15"/>
        <v>104.48</v>
      </c>
      <c r="H291" s="233">
        <f t="shared" si="12"/>
        <v>0</v>
      </c>
      <c r="I291" s="240">
        <v>1265569</v>
      </c>
      <c r="J291" s="237"/>
    </row>
    <row r="292" spans="1:11" x14ac:dyDescent="0.2">
      <c r="A292" s="284">
        <v>291</v>
      </c>
      <c r="B292" s="284">
        <v>3870</v>
      </c>
      <c r="C292" s="285" t="s">
        <v>664</v>
      </c>
      <c r="D292" s="286">
        <v>1070</v>
      </c>
      <c r="E292" s="287">
        <v>0.4</v>
      </c>
      <c r="F292" s="287">
        <f t="shared" si="13"/>
        <v>428</v>
      </c>
      <c r="G292" s="287">
        <f>F292</f>
        <v>428</v>
      </c>
      <c r="H292" s="287">
        <f t="shared" si="12"/>
        <v>0</v>
      </c>
      <c r="I292" s="300">
        <v>7138058</v>
      </c>
      <c r="J292" s="291" t="s">
        <v>775</v>
      </c>
    </row>
    <row r="293" spans="1:11" x14ac:dyDescent="0.2">
      <c r="A293" s="229">
        <v>292</v>
      </c>
      <c r="B293" s="229">
        <v>3871</v>
      </c>
      <c r="C293" s="231" t="s">
        <v>38</v>
      </c>
      <c r="D293" s="239">
        <v>829</v>
      </c>
      <c r="E293" s="233">
        <v>0.4</v>
      </c>
      <c r="F293" s="233">
        <f t="shared" si="13"/>
        <v>331.6</v>
      </c>
      <c r="G293" s="233">
        <f>F293</f>
        <v>331.6</v>
      </c>
      <c r="H293" s="233">
        <f t="shared" si="12"/>
        <v>0</v>
      </c>
      <c r="I293" s="240">
        <v>6920684</v>
      </c>
      <c r="J293" s="237"/>
    </row>
    <row r="294" spans="1:11" x14ac:dyDescent="0.2">
      <c r="A294" s="251">
        <v>293</v>
      </c>
      <c r="B294" s="251">
        <v>3872</v>
      </c>
      <c r="C294" s="252" t="s">
        <v>666</v>
      </c>
      <c r="D294" s="253">
        <v>873.6</v>
      </c>
      <c r="E294" s="254">
        <v>0.4</v>
      </c>
      <c r="F294" s="254">
        <f t="shared" si="13"/>
        <v>349.44000000000005</v>
      </c>
      <c r="G294" s="254">
        <f>347.9+1.54</f>
        <v>349.44</v>
      </c>
      <c r="H294" s="254">
        <f t="shared" si="12"/>
        <v>0</v>
      </c>
      <c r="I294" s="255">
        <v>5546892</v>
      </c>
      <c r="J294" s="258" t="s">
        <v>782</v>
      </c>
      <c r="K294" s="294">
        <v>45630</v>
      </c>
    </row>
    <row r="295" spans="1:11" x14ac:dyDescent="0.2">
      <c r="A295" s="251">
        <v>294</v>
      </c>
      <c r="B295" s="251">
        <v>3873</v>
      </c>
      <c r="C295" s="252" t="s">
        <v>668</v>
      </c>
      <c r="D295" s="253">
        <v>973.3</v>
      </c>
      <c r="E295" s="254">
        <v>0.4</v>
      </c>
      <c r="F295" s="254">
        <f t="shared" si="13"/>
        <v>389.32</v>
      </c>
      <c r="G295" s="254">
        <f>384.77+4.55</f>
        <v>389.32</v>
      </c>
      <c r="H295" s="254">
        <f t="shared" si="12"/>
        <v>0</v>
      </c>
      <c r="I295" s="255">
        <v>6560744</v>
      </c>
      <c r="J295" s="258" t="s">
        <v>821</v>
      </c>
    </row>
    <row r="296" spans="1:11" x14ac:dyDescent="0.2">
      <c r="A296" s="229">
        <v>295</v>
      </c>
      <c r="B296" s="229">
        <v>3874</v>
      </c>
      <c r="C296" s="231" t="s">
        <v>670</v>
      </c>
      <c r="D296" s="239">
        <v>421.5</v>
      </c>
      <c r="E296" s="233">
        <v>0.4</v>
      </c>
      <c r="F296" s="233">
        <f t="shared" si="13"/>
        <v>168.60000000000002</v>
      </c>
      <c r="G296" s="233">
        <f t="shared" ref="G296:G303" si="16">F296</f>
        <v>168.60000000000002</v>
      </c>
      <c r="H296" s="233">
        <f t="shared" si="12"/>
        <v>0</v>
      </c>
      <c r="I296" s="240">
        <v>8105354</v>
      </c>
      <c r="J296" s="237"/>
    </row>
    <row r="297" spans="1:11" x14ac:dyDescent="0.2">
      <c r="A297" s="229">
        <v>296</v>
      </c>
      <c r="B297" s="229">
        <v>3875</v>
      </c>
      <c r="C297" s="231" t="s">
        <v>672</v>
      </c>
      <c r="D297" s="239">
        <v>524.5</v>
      </c>
      <c r="E297" s="233">
        <v>0.4</v>
      </c>
      <c r="F297" s="233">
        <f t="shared" si="13"/>
        <v>209.8</v>
      </c>
      <c r="G297" s="233">
        <f t="shared" si="16"/>
        <v>209.8</v>
      </c>
      <c r="H297" s="233">
        <f t="shared" si="12"/>
        <v>0</v>
      </c>
      <c r="I297" s="240">
        <v>1345289</v>
      </c>
      <c r="J297" s="237"/>
    </row>
    <row r="298" spans="1:11" x14ac:dyDescent="0.2">
      <c r="A298" s="284">
        <v>297</v>
      </c>
      <c r="B298" s="284">
        <v>3876</v>
      </c>
      <c r="C298" s="285" t="s">
        <v>674</v>
      </c>
      <c r="D298" s="286">
        <v>516.79999999999995</v>
      </c>
      <c r="E298" s="287">
        <v>0.4</v>
      </c>
      <c r="F298" s="287">
        <f t="shared" si="13"/>
        <v>206.72</v>
      </c>
      <c r="G298" s="287">
        <f t="shared" si="16"/>
        <v>206.72</v>
      </c>
      <c r="H298" s="287">
        <f t="shared" si="12"/>
        <v>0</v>
      </c>
      <c r="I298" s="300">
        <v>4767948</v>
      </c>
      <c r="J298" s="291" t="s">
        <v>775</v>
      </c>
    </row>
    <row r="299" spans="1:11" x14ac:dyDescent="0.2">
      <c r="A299" s="284">
        <v>298</v>
      </c>
      <c r="B299" s="284">
        <v>3877</v>
      </c>
      <c r="C299" s="285" t="s">
        <v>41</v>
      </c>
      <c r="D299" s="286">
        <v>357.1</v>
      </c>
      <c r="E299" s="287">
        <v>0.4</v>
      </c>
      <c r="F299" s="287">
        <f t="shared" si="13"/>
        <v>142.84</v>
      </c>
      <c r="G299" s="287">
        <f t="shared" si="16"/>
        <v>142.84</v>
      </c>
      <c r="H299" s="287">
        <f t="shared" si="12"/>
        <v>0</v>
      </c>
      <c r="I299" s="300">
        <v>14897254</v>
      </c>
      <c r="J299" s="291" t="s">
        <v>775</v>
      </c>
    </row>
    <row r="300" spans="1:11" x14ac:dyDescent="0.2">
      <c r="A300" s="229">
        <v>299</v>
      </c>
      <c r="B300" s="229">
        <v>3878</v>
      </c>
      <c r="C300" s="231" t="s">
        <v>676</v>
      </c>
      <c r="D300" s="239">
        <v>374.5</v>
      </c>
      <c r="E300" s="233">
        <v>0.4</v>
      </c>
      <c r="F300" s="233">
        <f t="shared" si="13"/>
        <v>149.80000000000001</v>
      </c>
      <c r="G300" s="233">
        <f t="shared" si="16"/>
        <v>149.80000000000001</v>
      </c>
      <c r="H300" s="233">
        <f t="shared" si="12"/>
        <v>0</v>
      </c>
      <c r="I300" s="240">
        <v>22687078</v>
      </c>
      <c r="J300" s="237"/>
    </row>
    <row r="301" spans="1:11" x14ac:dyDescent="0.2">
      <c r="A301" s="229">
        <v>301</v>
      </c>
      <c r="B301" s="229">
        <v>3880</v>
      </c>
      <c r="C301" s="231" t="s">
        <v>680</v>
      </c>
      <c r="D301" s="239">
        <v>845.6</v>
      </c>
      <c r="E301" s="233">
        <v>0.4</v>
      </c>
      <c r="F301" s="233">
        <f t="shared" si="13"/>
        <v>338.24</v>
      </c>
      <c r="G301" s="233">
        <f t="shared" si="16"/>
        <v>338.24</v>
      </c>
      <c r="H301" s="233">
        <f t="shared" si="12"/>
        <v>0</v>
      </c>
      <c r="I301" s="240">
        <v>6370697</v>
      </c>
      <c r="J301" s="237"/>
    </row>
    <row r="302" spans="1:11" x14ac:dyDescent="0.2">
      <c r="A302" s="284">
        <v>302</v>
      </c>
      <c r="B302" s="284">
        <v>3882</v>
      </c>
      <c r="C302" s="285" t="s">
        <v>684</v>
      </c>
      <c r="D302" s="286">
        <v>461.6</v>
      </c>
      <c r="E302" s="287">
        <v>0.4</v>
      </c>
      <c r="F302" s="287">
        <f t="shared" si="13"/>
        <v>184.64000000000001</v>
      </c>
      <c r="G302" s="287">
        <f t="shared" si="16"/>
        <v>184.64000000000001</v>
      </c>
      <c r="H302" s="287">
        <f t="shared" si="12"/>
        <v>0</v>
      </c>
      <c r="I302" s="300">
        <v>26752992</v>
      </c>
      <c r="J302" s="291" t="s">
        <v>775</v>
      </c>
    </row>
    <row r="303" spans="1:11" x14ac:dyDescent="0.2">
      <c r="A303" s="251">
        <v>303</v>
      </c>
      <c r="B303" s="251">
        <v>3884</v>
      </c>
      <c r="C303" s="252" t="s">
        <v>688</v>
      </c>
      <c r="D303" s="253">
        <v>212.7</v>
      </c>
      <c r="E303" s="254">
        <v>0.4</v>
      </c>
      <c r="F303" s="254">
        <f t="shared" si="13"/>
        <v>85.08</v>
      </c>
      <c r="G303" s="254">
        <f t="shared" si="16"/>
        <v>85.08</v>
      </c>
      <c r="H303" s="254">
        <f t="shared" si="12"/>
        <v>0</v>
      </c>
      <c r="I303" s="255">
        <v>22716378</v>
      </c>
      <c r="J303" s="258">
        <v>45630</v>
      </c>
    </row>
    <row r="304" spans="1:11" x14ac:dyDescent="0.2">
      <c r="A304" s="251">
        <v>304</v>
      </c>
      <c r="B304" s="251">
        <v>3885</v>
      </c>
      <c r="C304" s="252" t="s">
        <v>690</v>
      </c>
      <c r="D304" s="253">
        <v>337.2</v>
      </c>
      <c r="E304" s="254">
        <v>0.4</v>
      </c>
      <c r="F304" s="254">
        <f t="shared" si="13"/>
        <v>134.88</v>
      </c>
      <c r="G304" s="254">
        <f>99.31+35.57</f>
        <v>134.88</v>
      </c>
      <c r="H304" s="254">
        <f t="shared" si="12"/>
        <v>0</v>
      </c>
      <c r="I304" s="255">
        <v>9920479</v>
      </c>
      <c r="J304" s="258">
        <v>45615</v>
      </c>
      <c r="K304" s="294">
        <v>45635</v>
      </c>
    </row>
    <row r="305" spans="1:11" x14ac:dyDescent="0.2">
      <c r="A305" s="251">
        <v>305</v>
      </c>
      <c r="B305" s="251">
        <v>3886</v>
      </c>
      <c r="C305" s="252" t="s">
        <v>692</v>
      </c>
      <c r="D305" s="253">
        <v>461.3</v>
      </c>
      <c r="E305" s="254">
        <v>0.4</v>
      </c>
      <c r="F305" s="254">
        <f t="shared" si="13"/>
        <v>184.52</v>
      </c>
      <c r="G305" s="254">
        <f>180.32+4.2</f>
        <v>184.51999999999998</v>
      </c>
      <c r="H305" s="254">
        <f t="shared" si="12"/>
        <v>0</v>
      </c>
      <c r="I305" s="255">
        <v>21941594</v>
      </c>
      <c r="J305" s="258" t="s">
        <v>820</v>
      </c>
    </row>
    <row r="306" spans="1:11" x14ac:dyDescent="0.2">
      <c r="A306" s="251">
        <v>306</v>
      </c>
      <c r="B306" s="251">
        <v>3887</v>
      </c>
      <c r="C306" s="252" t="s">
        <v>694</v>
      </c>
      <c r="D306" s="253">
        <v>239.6</v>
      </c>
      <c r="E306" s="254">
        <v>0.4</v>
      </c>
      <c r="F306" s="254">
        <f t="shared" si="13"/>
        <v>95.84</v>
      </c>
      <c r="G306" s="254">
        <f>F306</f>
        <v>95.84</v>
      </c>
      <c r="H306" s="254">
        <f t="shared" si="12"/>
        <v>0</v>
      </c>
      <c r="I306" s="255">
        <v>13204809</v>
      </c>
      <c r="J306" s="258">
        <v>45624</v>
      </c>
    </row>
    <row r="307" spans="1:11" x14ac:dyDescent="0.2">
      <c r="A307" s="251">
        <v>307</v>
      </c>
      <c r="B307" s="251">
        <v>3888</v>
      </c>
      <c r="C307" s="252" t="s">
        <v>696</v>
      </c>
      <c r="D307" s="253">
        <v>420.1</v>
      </c>
      <c r="E307" s="254">
        <v>0.4</v>
      </c>
      <c r="F307" s="254">
        <f t="shared" si="13"/>
        <v>168.04000000000002</v>
      </c>
      <c r="G307" s="254">
        <f>165.99+2.05</f>
        <v>168.04000000000002</v>
      </c>
      <c r="H307" s="254">
        <f t="shared" si="12"/>
        <v>0</v>
      </c>
      <c r="I307" s="255">
        <v>1808869</v>
      </c>
      <c r="J307" s="258">
        <v>45602</v>
      </c>
    </row>
    <row r="308" spans="1:11" x14ac:dyDescent="0.2">
      <c r="A308" s="251">
        <v>308</v>
      </c>
      <c r="B308" s="251">
        <v>3889</v>
      </c>
      <c r="C308" s="252" t="s">
        <v>698</v>
      </c>
      <c r="D308" s="253">
        <v>480</v>
      </c>
      <c r="E308" s="254">
        <v>0.4</v>
      </c>
      <c r="F308" s="254">
        <f t="shared" si="13"/>
        <v>192</v>
      </c>
      <c r="G308" s="254">
        <f>189.52+2.48</f>
        <v>192</v>
      </c>
      <c r="H308" s="254">
        <f t="shared" si="12"/>
        <v>0</v>
      </c>
      <c r="I308" s="255">
        <v>6499103</v>
      </c>
      <c r="J308" s="258">
        <v>45607</v>
      </c>
      <c r="K308" s="219" t="s">
        <v>801</v>
      </c>
    </row>
    <row r="309" spans="1:11" x14ac:dyDescent="0.2">
      <c r="A309" s="277"/>
      <c r="B309" s="313"/>
      <c r="C309" s="314" t="s">
        <v>45</v>
      </c>
      <c r="D309" s="315">
        <f>SUM(D4:D308)</f>
        <v>161241.50000000003</v>
      </c>
      <c r="E309" s="316"/>
      <c r="F309" s="317">
        <f>SUM(F4:F308)</f>
        <v>64496.600000000013</v>
      </c>
      <c r="G309" s="317">
        <f t="shared" ref="G309" si="17">SUM(G4:G308)</f>
        <v>64482.55000000001</v>
      </c>
      <c r="H309" s="317">
        <f>SUM(H4:H308)</f>
        <v>14.050000000000011</v>
      </c>
      <c r="I309" s="277"/>
      <c r="J309" s="280"/>
    </row>
    <row r="310" spans="1:11" x14ac:dyDescent="0.2">
      <c r="D310" s="319"/>
      <c r="F310" s="386">
        <f>G309/F309</f>
        <v>0.99978215905954726</v>
      </c>
    </row>
    <row r="311" spans="1:11" x14ac:dyDescent="0.2">
      <c r="D311" s="320"/>
      <c r="G311" s="402">
        <f>G238+G201+G186+G155+G36</f>
        <v>1589.3600000000001</v>
      </c>
      <c r="H311" s="406">
        <f>G309-G311</f>
        <v>62893.19000000001</v>
      </c>
      <c r="I311" s="386">
        <f>H311/F309</f>
        <v>0.9751396197629022</v>
      </c>
    </row>
  </sheetData>
  <autoFilter ref="A3:J310" xr:uid="{0C8F65F1-6771-4543-974D-C332BF3C0016}"/>
  <mergeCells count="1">
    <mergeCell ref="A1:J2"/>
  </mergeCells>
  <pageMargins left="0.7" right="0.7" top="0.75" bottom="0.75" header="0.3" footer="0.3"/>
  <pageSetup paperSize="9" scale="4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4A17-A506-493D-96FC-F66AA92181F6}">
  <sheetPr codeName="Sheet12"/>
  <dimension ref="A1:N316"/>
  <sheetViews>
    <sheetView view="pageBreakPreview" topLeftCell="A237" zoomScale="121" zoomScaleNormal="100" zoomScaleSheetLayoutView="85" workbookViewId="0">
      <pane xSplit="2" topLeftCell="C1" activePane="topRight" state="frozen"/>
      <selection activeCell="N149" sqref="N149"/>
      <selection pane="topRight" activeCell="I251" sqref="I251"/>
    </sheetView>
  </sheetViews>
  <sheetFormatPr defaultColWidth="9.28515625" defaultRowHeight="11.25" x14ac:dyDescent="0.2"/>
  <cols>
    <col min="1" max="2" width="9.28515625" style="219" bestFit="1" customWidth="1"/>
    <col min="3" max="3" width="40.7109375" style="219" bestFit="1" customWidth="1"/>
    <col min="4" max="4" width="9.42578125" style="219" customWidth="1"/>
    <col min="5" max="5" width="7.42578125" style="219" customWidth="1"/>
    <col min="6" max="6" width="11.28515625" style="219" customWidth="1"/>
    <col min="7" max="7" width="12.28515625" style="219" bestFit="1" customWidth="1"/>
    <col min="8" max="8" width="9.28515625" style="219" customWidth="1"/>
    <col min="9" max="9" width="10.7109375" style="219" bestFit="1" customWidth="1"/>
    <col min="10" max="10" width="16.28515625" style="219" customWidth="1"/>
    <col min="11" max="11" width="11.42578125" style="219" customWidth="1"/>
    <col min="12" max="13" width="11" style="219" bestFit="1" customWidth="1"/>
    <col min="14" max="16384" width="9.28515625" style="219"/>
  </cols>
  <sheetData>
    <row r="1" spans="1:11" x14ac:dyDescent="0.2">
      <c r="A1" s="602" t="s">
        <v>789</v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1" ht="12" thickBot="1" x14ac:dyDescent="0.25">
      <c r="A2" s="602"/>
      <c r="B2" s="602"/>
      <c r="C2" s="602"/>
      <c r="D2" s="602"/>
      <c r="E2" s="602"/>
      <c r="F2" s="602"/>
      <c r="G2" s="602"/>
      <c r="H2" s="602"/>
      <c r="I2" s="602"/>
      <c r="J2" s="602"/>
    </row>
    <row r="3" spans="1:11" ht="33.75" x14ac:dyDescent="0.2">
      <c r="A3" s="220" t="s">
        <v>1</v>
      </c>
      <c r="B3" s="221" t="s">
        <v>2</v>
      </c>
      <c r="C3" s="222" t="s">
        <v>3</v>
      </c>
      <c r="D3" s="223" t="s">
        <v>4</v>
      </c>
      <c r="E3" s="221" t="s">
        <v>5</v>
      </c>
      <c r="F3" s="221" t="s">
        <v>6</v>
      </c>
      <c r="G3" s="221" t="s">
        <v>703</v>
      </c>
      <c r="H3" s="221" t="s">
        <v>704</v>
      </c>
      <c r="I3" s="224" t="s">
        <v>9</v>
      </c>
      <c r="J3" s="328" t="s">
        <v>14</v>
      </c>
    </row>
    <row r="4" spans="1:11" x14ac:dyDescent="0.2">
      <c r="A4" s="229">
        <v>1</v>
      </c>
      <c r="B4" s="230">
        <v>1108</v>
      </c>
      <c r="C4" s="231" t="s">
        <v>49</v>
      </c>
      <c r="D4" s="232">
        <v>912.4</v>
      </c>
      <c r="E4" s="233">
        <v>0.4</v>
      </c>
      <c r="F4" s="233">
        <f>E4*D4</f>
        <v>364.96000000000004</v>
      </c>
      <c r="G4" s="233"/>
      <c r="H4" s="233">
        <f>F4-G4</f>
        <v>364.96000000000004</v>
      </c>
      <c r="I4" s="234">
        <v>15218386</v>
      </c>
      <c r="J4" s="244"/>
    </row>
    <row r="5" spans="1:11" x14ac:dyDescent="0.2">
      <c r="A5" s="251">
        <v>2</v>
      </c>
      <c r="B5" s="251">
        <v>1390</v>
      </c>
      <c r="C5" s="252" t="s">
        <v>51</v>
      </c>
      <c r="D5" s="253">
        <v>328.2</v>
      </c>
      <c r="E5" s="254">
        <v>0.4</v>
      </c>
      <c r="F5" s="254">
        <f t="shared" ref="F5:F68" si="0">E5*D5</f>
        <v>131.28</v>
      </c>
      <c r="G5" s="254">
        <f>129.85+1.43</f>
        <v>131.28</v>
      </c>
      <c r="H5" s="254">
        <f t="shared" ref="H5:H68" si="1">F5-G5</f>
        <v>0</v>
      </c>
      <c r="I5" s="251">
        <v>12181822</v>
      </c>
      <c r="J5" s="258">
        <v>45635</v>
      </c>
      <c r="K5" s="294">
        <v>45658</v>
      </c>
    </row>
    <row r="6" spans="1:11" x14ac:dyDescent="0.2">
      <c r="A6" s="284">
        <v>3</v>
      </c>
      <c r="B6" s="284">
        <v>1399</v>
      </c>
      <c r="C6" s="285" t="s">
        <v>53</v>
      </c>
      <c r="D6" s="286">
        <v>241.6</v>
      </c>
      <c r="E6" s="287">
        <v>0.4</v>
      </c>
      <c r="F6" s="287">
        <f t="shared" si="0"/>
        <v>96.64</v>
      </c>
      <c r="G6" s="287">
        <f>F6</f>
        <v>96.64</v>
      </c>
      <c r="H6" s="287">
        <f t="shared" si="1"/>
        <v>0</v>
      </c>
      <c r="I6" s="300">
        <v>10065546</v>
      </c>
      <c r="J6" s="290" t="s">
        <v>716</v>
      </c>
    </row>
    <row r="7" spans="1:11" s="269" customFormat="1" x14ac:dyDescent="0.2">
      <c r="A7" s="251">
        <v>4</v>
      </c>
      <c r="B7" s="251">
        <v>1422</v>
      </c>
      <c r="C7" s="252" t="s">
        <v>56</v>
      </c>
      <c r="D7" s="253">
        <v>263.5</v>
      </c>
      <c r="E7" s="254">
        <v>0.4</v>
      </c>
      <c r="F7" s="254">
        <f t="shared" si="0"/>
        <v>105.4</v>
      </c>
      <c r="G7" s="254">
        <f>103.22+2.18</f>
        <v>105.4</v>
      </c>
      <c r="H7" s="254">
        <f t="shared" si="1"/>
        <v>0</v>
      </c>
      <c r="I7" s="264">
        <v>3280016</v>
      </c>
      <c r="J7" s="258">
        <v>45628</v>
      </c>
      <c r="K7" s="343">
        <v>45658</v>
      </c>
    </row>
    <row r="8" spans="1:11" x14ac:dyDescent="0.2">
      <c r="A8" s="251">
        <v>5</v>
      </c>
      <c r="B8" s="251">
        <v>1424</v>
      </c>
      <c r="C8" s="252" t="s">
        <v>58</v>
      </c>
      <c r="D8" s="253">
        <v>371.9</v>
      </c>
      <c r="E8" s="254">
        <v>0.4</v>
      </c>
      <c r="F8" s="254">
        <f t="shared" si="0"/>
        <v>148.76</v>
      </c>
      <c r="G8" s="254">
        <f>147.86+0.9</f>
        <v>148.76000000000002</v>
      </c>
      <c r="H8" s="254">
        <f t="shared" si="1"/>
        <v>0</v>
      </c>
      <c r="I8" s="264">
        <v>748395</v>
      </c>
      <c r="J8" s="258">
        <v>45624</v>
      </c>
      <c r="K8" s="294">
        <v>45644</v>
      </c>
    </row>
    <row r="9" spans="1:11" s="269" customFormat="1" x14ac:dyDescent="0.2">
      <c r="A9" s="251">
        <v>6</v>
      </c>
      <c r="B9" s="251">
        <v>1429</v>
      </c>
      <c r="C9" s="252" t="s">
        <v>60</v>
      </c>
      <c r="D9" s="253">
        <v>440</v>
      </c>
      <c r="E9" s="254">
        <v>0.4</v>
      </c>
      <c r="F9" s="254">
        <f t="shared" si="0"/>
        <v>176</v>
      </c>
      <c r="G9" s="254">
        <f>174.6+1.4</f>
        <v>176</v>
      </c>
      <c r="H9" s="254">
        <f t="shared" si="1"/>
        <v>0</v>
      </c>
      <c r="I9" s="255">
        <v>339725</v>
      </c>
      <c r="J9" s="258">
        <v>45932</v>
      </c>
      <c r="K9" s="269" t="s">
        <v>893</v>
      </c>
    </row>
    <row r="10" spans="1:11" x14ac:dyDescent="0.2">
      <c r="A10" s="251">
        <v>7</v>
      </c>
      <c r="B10" s="251">
        <v>1431</v>
      </c>
      <c r="C10" s="252" t="s">
        <v>62</v>
      </c>
      <c r="D10" s="253">
        <v>329.4</v>
      </c>
      <c r="E10" s="254">
        <v>0.4</v>
      </c>
      <c r="F10" s="254">
        <f t="shared" si="0"/>
        <v>131.76</v>
      </c>
      <c r="G10" s="254">
        <f>131.09+0.67</f>
        <v>131.76</v>
      </c>
      <c r="H10" s="254">
        <f t="shared" si="1"/>
        <v>0</v>
      </c>
      <c r="I10" s="264">
        <v>721445</v>
      </c>
      <c r="J10" s="258">
        <v>45642</v>
      </c>
      <c r="K10" s="294">
        <v>45658</v>
      </c>
    </row>
    <row r="11" spans="1:11" x14ac:dyDescent="0.2">
      <c r="A11" s="229">
        <v>8</v>
      </c>
      <c r="B11" s="229">
        <v>1443</v>
      </c>
      <c r="C11" s="231" t="s">
        <v>65</v>
      </c>
      <c r="D11" s="232">
        <v>1188.9000000000001</v>
      </c>
      <c r="E11" s="233">
        <v>0.4</v>
      </c>
      <c r="F11" s="233">
        <f t="shared" si="0"/>
        <v>475.56000000000006</v>
      </c>
      <c r="G11" s="233"/>
      <c r="H11" s="233">
        <f t="shared" si="1"/>
        <v>475.56000000000006</v>
      </c>
      <c r="I11" s="242">
        <v>6026992</v>
      </c>
      <c r="J11" s="244"/>
    </row>
    <row r="12" spans="1:11" x14ac:dyDescent="0.2">
      <c r="A12" s="251">
        <v>9</v>
      </c>
      <c r="B12" s="251">
        <v>1452</v>
      </c>
      <c r="C12" s="252" t="s">
        <v>67</v>
      </c>
      <c r="D12" s="253">
        <v>309.39999999999998</v>
      </c>
      <c r="E12" s="254">
        <v>0.4</v>
      </c>
      <c r="F12" s="254">
        <f t="shared" si="0"/>
        <v>123.75999999999999</v>
      </c>
      <c r="G12" s="254">
        <f>120.44+3.32</f>
        <v>123.75999999999999</v>
      </c>
      <c r="H12" s="254">
        <f t="shared" si="1"/>
        <v>0</v>
      </c>
      <c r="I12" s="330">
        <v>20917176</v>
      </c>
      <c r="J12" s="258">
        <v>45628</v>
      </c>
      <c r="K12" s="294">
        <v>45658</v>
      </c>
    </row>
    <row r="13" spans="1:11" x14ac:dyDescent="0.2">
      <c r="A13" s="229">
        <v>10</v>
      </c>
      <c r="B13" s="229">
        <v>1458</v>
      </c>
      <c r="C13" s="231" t="s">
        <v>69</v>
      </c>
      <c r="D13" s="232">
        <v>308.8</v>
      </c>
      <c r="E13" s="233">
        <v>0.4</v>
      </c>
      <c r="F13" s="233">
        <f t="shared" si="0"/>
        <v>123.52000000000001</v>
      </c>
      <c r="G13" s="233"/>
      <c r="H13" s="233">
        <f t="shared" si="1"/>
        <v>123.52000000000001</v>
      </c>
      <c r="I13" s="242">
        <v>77628</v>
      </c>
      <c r="J13" s="244"/>
    </row>
    <row r="14" spans="1:11" x14ac:dyDescent="0.2">
      <c r="A14" s="229">
        <v>11</v>
      </c>
      <c r="B14" s="229">
        <v>1461</v>
      </c>
      <c r="C14" s="231" t="s">
        <v>71</v>
      </c>
      <c r="D14" s="232">
        <v>303.89999999999998</v>
      </c>
      <c r="E14" s="233">
        <v>0.4</v>
      </c>
      <c r="F14" s="233">
        <f t="shared" si="0"/>
        <v>121.56</v>
      </c>
      <c r="G14" s="233"/>
      <c r="H14" s="233">
        <f t="shared" si="1"/>
        <v>121.56</v>
      </c>
      <c r="I14" s="242">
        <v>6828806</v>
      </c>
      <c r="J14" s="244"/>
    </row>
    <row r="15" spans="1:11" x14ac:dyDescent="0.2">
      <c r="A15" s="284">
        <v>12</v>
      </c>
      <c r="B15" s="284">
        <v>1465</v>
      </c>
      <c r="C15" s="285" t="s">
        <v>73</v>
      </c>
      <c r="D15" s="286">
        <v>315.10000000000002</v>
      </c>
      <c r="E15" s="287">
        <v>0.4</v>
      </c>
      <c r="F15" s="287">
        <f t="shared" si="0"/>
        <v>126.04000000000002</v>
      </c>
      <c r="G15" s="287">
        <f>F15</f>
        <v>126.04000000000002</v>
      </c>
      <c r="H15" s="287">
        <f t="shared" si="1"/>
        <v>0</v>
      </c>
      <c r="I15" s="284">
        <v>757601</v>
      </c>
      <c r="J15" s="290" t="s">
        <v>716</v>
      </c>
    </row>
    <row r="16" spans="1:11" x14ac:dyDescent="0.2">
      <c r="A16" s="251">
        <v>13</v>
      </c>
      <c r="B16" s="251">
        <v>1474</v>
      </c>
      <c r="C16" s="252" t="s">
        <v>15</v>
      </c>
      <c r="D16" s="253">
        <v>706.6</v>
      </c>
      <c r="E16" s="254">
        <v>0.4</v>
      </c>
      <c r="F16" s="254">
        <f t="shared" si="0"/>
        <v>282.64000000000004</v>
      </c>
      <c r="G16" s="254">
        <f>280.23</f>
        <v>280.23</v>
      </c>
      <c r="H16" s="254">
        <f t="shared" si="1"/>
        <v>2.410000000000025</v>
      </c>
      <c r="I16" s="251">
        <v>4603773</v>
      </c>
      <c r="J16" s="258">
        <v>45691</v>
      </c>
    </row>
    <row r="17" spans="1:12" x14ac:dyDescent="0.2">
      <c r="A17" s="251">
        <v>14</v>
      </c>
      <c r="B17" s="251">
        <v>1479</v>
      </c>
      <c r="C17" s="334" t="s">
        <v>77</v>
      </c>
      <c r="D17" s="253">
        <v>335.4</v>
      </c>
      <c r="E17" s="254">
        <v>0.4</v>
      </c>
      <c r="F17" s="254">
        <f t="shared" si="0"/>
        <v>134.16</v>
      </c>
      <c r="G17" s="254">
        <f>F17</f>
        <v>134.16</v>
      </c>
      <c r="H17" s="254">
        <f t="shared" si="1"/>
        <v>0</v>
      </c>
      <c r="I17" s="335">
        <v>5217726</v>
      </c>
      <c r="J17" s="387">
        <v>45637</v>
      </c>
    </row>
    <row r="18" spans="1:12" x14ac:dyDescent="0.2">
      <c r="A18" s="251">
        <v>15</v>
      </c>
      <c r="B18" s="251">
        <v>1483</v>
      </c>
      <c r="C18" s="252" t="s">
        <v>79</v>
      </c>
      <c r="D18" s="253">
        <v>733.6</v>
      </c>
      <c r="E18" s="254">
        <v>0.4</v>
      </c>
      <c r="F18" s="254">
        <f t="shared" si="0"/>
        <v>293.44</v>
      </c>
      <c r="G18" s="254">
        <f>290.98+2.46</f>
        <v>293.44</v>
      </c>
      <c r="H18" s="254">
        <f t="shared" si="1"/>
        <v>0</v>
      </c>
      <c r="I18" s="251">
        <v>1567826</v>
      </c>
      <c r="J18" s="258">
        <v>45635</v>
      </c>
      <c r="K18" s="294">
        <v>45658</v>
      </c>
    </row>
    <row r="19" spans="1:12" x14ac:dyDescent="0.2">
      <c r="A19" s="251">
        <v>16</v>
      </c>
      <c r="B19" s="251">
        <v>1486</v>
      </c>
      <c r="C19" s="252" t="s">
        <v>714</v>
      </c>
      <c r="D19" s="253">
        <v>351.5</v>
      </c>
      <c r="E19" s="254">
        <v>0.4</v>
      </c>
      <c r="F19" s="254">
        <f t="shared" si="0"/>
        <v>140.6</v>
      </c>
      <c r="G19" s="254">
        <f>F19</f>
        <v>140.6</v>
      </c>
      <c r="H19" s="254">
        <f t="shared" si="1"/>
        <v>0</v>
      </c>
      <c r="I19" s="251">
        <v>22792564</v>
      </c>
      <c r="J19" s="258">
        <v>45685</v>
      </c>
    </row>
    <row r="20" spans="1:12" s="269" customFormat="1" x14ac:dyDescent="0.2">
      <c r="A20" s="251">
        <v>17</v>
      </c>
      <c r="B20" s="251">
        <v>1762</v>
      </c>
      <c r="C20" s="252" t="s">
        <v>82</v>
      </c>
      <c r="D20" s="253">
        <v>1093</v>
      </c>
      <c r="E20" s="254">
        <v>0.4</v>
      </c>
      <c r="F20" s="254">
        <f t="shared" si="0"/>
        <v>437.20000000000005</v>
      </c>
      <c r="G20" s="254">
        <f>132.96+304.24</f>
        <v>437.20000000000005</v>
      </c>
      <c r="H20" s="287">
        <f t="shared" si="1"/>
        <v>0</v>
      </c>
      <c r="I20" s="255">
        <v>1409527</v>
      </c>
      <c r="J20" s="341">
        <v>45526</v>
      </c>
      <c r="K20" s="263" t="s">
        <v>773</v>
      </c>
      <c r="L20" s="269" t="s">
        <v>794</v>
      </c>
    </row>
    <row r="21" spans="1:12" x14ac:dyDescent="0.2">
      <c r="A21" s="251">
        <v>18</v>
      </c>
      <c r="B21" s="251">
        <v>1792</v>
      </c>
      <c r="C21" s="252" t="s">
        <v>85</v>
      </c>
      <c r="D21" s="253">
        <v>316.89999999999998</v>
      </c>
      <c r="E21" s="254">
        <v>0.4</v>
      </c>
      <c r="F21" s="254">
        <f t="shared" si="0"/>
        <v>126.75999999999999</v>
      </c>
      <c r="G21" s="254">
        <f>F21</f>
        <v>126.75999999999999</v>
      </c>
      <c r="H21" s="254">
        <f t="shared" si="1"/>
        <v>0</v>
      </c>
      <c r="I21" s="321">
        <v>9545556</v>
      </c>
      <c r="J21" s="258">
        <v>45658</v>
      </c>
    </row>
    <row r="22" spans="1:12" x14ac:dyDescent="0.2">
      <c r="A22" s="229">
        <v>19</v>
      </c>
      <c r="B22" s="229">
        <v>3009</v>
      </c>
      <c r="C22" s="231" t="s">
        <v>87</v>
      </c>
      <c r="D22" s="232">
        <v>286.60000000000002</v>
      </c>
      <c r="E22" s="233">
        <v>0.4</v>
      </c>
      <c r="F22" s="233">
        <f t="shared" si="0"/>
        <v>114.64000000000001</v>
      </c>
      <c r="G22" s="233"/>
      <c r="H22" s="233">
        <f t="shared" si="1"/>
        <v>114.64000000000001</v>
      </c>
      <c r="I22" s="229">
        <v>1448391</v>
      </c>
      <c r="J22" s="244"/>
    </row>
    <row r="23" spans="1:12" x14ac:dyDescent="0.2">
      <c r="A23" s="251">
        <v>20</v>
      </c>
      <c r="B23" s="251">
        <v>3012</v>
      </c>
      <c r="C23" s="252" t="s">
        <v>90</v>
      </c>
      <c r="D23" s="253">
        <v>308</v>
      </c>
      <c r="E23" s="254">
        <v>0.4</v>
      </c>
      <c r="F23" s="254">
        <f t="shared" si="0"/>
        <v>123.2</v>
      </c>
      <c r="G23" s="254">
        <f>119.57+3.63</f>
        <v>123.19999999999999</v>
      </c>
      <c r="H23" s="254">
        <f t="shared" si="1"/>
        <v>0</v>
      </c>
      <c r="I23" s="251">
        <v>5634422</v>
      </c>
      <c r="J23" s="258">
        <v>45637</v>
      </c>
      <c r="K23" s="294">
        <v>45658</v>
      </c>
    </row>
    <row r="24" spans="1:12" x14ac:dyDescent="0.2">
      <c r="A24" s="251">
        <v>21</v>
      </c>
      <c r="B24" s="251">
        <v>3014</v>
      </c>
      <c r="C24" s="252" t="s">
        <v>92</v>
      </c>
      <c r="D24" s="253">
        <v>260.60000000000002</v>
      </c>
      <c r="E24" s="254">
        <v>0.4</v>
      </c>
      <c r="F24" s="254">
        <f t="shared" si="0"/>
        <v>104.24000000000001</v>
      </c>
      <c r="G24" s="254">
        <f>102.59+1.65</f>
        <v>104.24000000000001</v>
      </c>
      <c r="H24" s="254">
        <f t="shared" si="1"/>
        <v>0</v>
      </c>
      <c r="I24" s="251">
        <v>648421</v>
      </c>
      <c r="J24" s="258">
        <v>45624</v>
      </c>
      <c r="K24" s="294">
        <v>45658</v>
      </c>
    </row>
    <row r="25" spans="1:12" x14ac:dyDescent="0.2">
      <c r="A25" s="251">
        <v>22</v>
      </c>
      <c r="B25" s="251">
        <v>3015</v>
      </c>
      <c r="C25" s="252" t="s">
        <v>94</v>
      </c>
      <c r="D25" s="253">
        <v>296.3</v>
      </c>
      <c r="E25" s="254">
        <v>0.4</v>
      </c>
      <c r="F25" s="254">
        <f t="shared" si="0"/>
        <v>118.52000000000001</v>
      </c>
      <c r="G25" s="254">
        <f>F25</f>
        <v>118.52000000000001</v>
      </c>
      <c r="H25" s="254">
        <f t="shared" si="1"/>
        <v>0</v>
      </c>
      <c r="I25" s="251">
        <v>5753033</v>
      </c>
      <c r="J25" s="258">
        <v>45779</v>
      </c>
    </row>
    <row r="26" spans="1:12" x14ac:dyDescent="0.2">
      <c r="A26" s="251">
        <v>23</v>
      </c>
      <c r="B26" s="251">
        <v>3018</v>
      </c>
      <c r="C26" s="252" t="s">
        <v>96</v>
      </c>
      <c r="D26" s="253">
        <v>209.4</v>
      </c>
      <c r="E26" s="254">
        <v>0.4</v>
      </c>
      <c r="F26" s="254">
        <f t="shared" si="0"/>
        <v>83.76</v>
      </c>
      <c r="G26" s="254">
        <f>80.54+3.22</f>
        <v>83.76</v>
      </c>
      <c r="H26" s="254">
        <f t="shared" si="1"/>
        <v>0</v>
      </c>
      <c r="I26" s="255">
        <v>1528087</v>
      </c>
      <c r="J26" s="341">
        <v>45629</v>
      </c>
      <c r="K26" s="343">
        <v>45658</v>
      </c>
    </row>
    <row r="27" spans="1:12" x14ac:dyDescent="0.2">
      <c r="A27" s="251">
        <v>24</v>
      </c>
      <c r="B27" s="251">
        <v>3020</v>
      </c>
      <c r="C27" s="252" t="s">
        <v>98</v>
      </c>
      <c r="D27" s="253">
        <v>391.8</v>
      </c>
      <c r="E27" s="254">
        <v>0.4</v>
      </c>
      <c r="F27" s="254">
        <f t="shared" si="0"/>
        <v>156.72000000000003</v>
      </c>
      <c r="G27" s="254">
        <f>156.34+0.38</f>
        <v>156.72</v>
      </c>
      <c r="H27" s="254">
        <f t="shared" si="1"/>
        <v>0</v>
      </c>
      <c r="I27" s="251">
        <v>5418422</v>
      </c>
      <c r="J27" s="258">
        <v>45624</v>
      </c>
      <c r="K27" s="294">
        <v>45650</v>
      </c>
    </row>
    <row r="28" spans="1:12" x14ac:dyDescent="0.2">
      <c r="A28" s="251">
        <v>25</v>
      </c>
      <c r="B28" s="251">
        <v>3022</v>
      </c>
      <c r="C28" s="252" t="s">
        <v>100</v>
      </c>
      <c r="D28" s="253">
        <v>865.8</v>
      </c>
      <c r="E28" s="254">
        <v>0.4</v>
      </c>
      <c r="F28" s="254">
        <f t="shared" si="0"/>
        <v>346.32</v>
      </c>
      <c r="G28" s="254">
        <f>344.36+1.96</f>
        <v>346.32</v>
      </c>
      <c r="H28" s="254">
        <f t="shared" si="1"/>
        <v>0</v>
      </c>
      <c r="I28" s="251">
        <v>5360253</v>
      </c>
      <c r="J28" s="258">
        <v>45656</v>
      </c>
      <c r="K28" s="294">
        <v>45670</v>
      </c>
    </row>
    <row r="29" spans="1:12" x14ac:dyDescent="0.2">
      <c r="A29" s="229">
        <v>26</v>
      </c>
      <c r="B29" s="229">
        <v>3025</v>
      </c>
      <c r="C29" s="231" t="s">
        <v>102</v>
      </c>
      <c r="D29" s="232">
        <v>587.6</v>
      </c>
      <c r="E29" s="233">
        <v>0.4</v>
      </c>
      <c r="F29" s="233">
        <f t="shared" si="0"/>
        <v>235.04000000000002</v>
      </c>
      <c r="G29" s="233"/>
      <c r="H29" s="233">
        <f t="shared" si="1"/>
        <v>235.04000000000002</v>
      </c>
      <c r="I29" s="229">
        <v>7542172</v>
      </c>
      <c r="J29" s="244"/>
    </row>
    <row r="30" spans="1:12" x14ac:dyDescent="0.2">
      <c r="A30" s="229">
        <v>27</v>
      </c>
      <c r="B30" s="229">
        <v>3026</v>
      </c>
      <c r="C30" s="231" t="s">
        <v>105</v>
      </c>
      <c r="D30" s="232">
        <v>308</v>
      </c>
      <c r="E30" s="233">
        <v>0.4</v>
      </c>
      <c r="F30" s="233">
        <f t="shared" si="0"/>
        <v>123.2</v>
      </c>
      <c r="G30" s="233"/>
      <c r="H30" s="233">
        <f t="shared" si="1"/>
        <v>123.2</v>
      </c>
      <c r="I30" s="229">
        <v>7033819</v>
      </c>
      <c r="J30" s="244"/>
    </row>
    <row r="31" spans="1:12" x14ac:dyDescent="0.2">
      <c r="A31" s="251">
        <v>28</v>
      </c>
      <c r="B31" s="251">
        <v>3027</v>
      </c>
      <c r="C31" s="252" t="s">
        <v>107</v>
      </c>
      <c r="D31" s="253">
        <v>638</v>
      </c>
      <c r="E31" s="254">
        <v>0.4</v>
      </c>
      <c r="F31" s="254">
        <f t="shared" si="0"/>
        <v>255.20000000000002</v>
      </c>
      <c r="G31" s="254">
        <f>F31</f>
        <v>255.20000000000002</v>
      </c>
      <c r="H31" s="254">
        <f t="shared" si="1"/>
        <v>0</v>
      </c>
      <c r="I31" s="251">
        <v>6420643</v>
      </c>
      <c r="J31" s="258">
        <v>45685</v>
      </c>
    </row>
    <row r="32" spans="1:12" x14ac:dyDescent="0.2">
      <c r="A32" s="251">
        <v>29</v>
      </c>
      <c r="B32" s="251">
        <v>3030</v>
      </c>
      <c r="C32" s="252" t="s">
        <v>109</v>
      </c>
      <c r="D32" s="253">
        <v>327</v>
      </c>
      <c r="E32" s="254">
        <v>0.4</v>
      </c>
      <c r="F32" s="254">
        <f t="shared" si="0"/>
        <v>130.80000000000001</v>
      </c>
      <c r="G32" s="254">
        <f>129.95+0.85</f>
        <v>130.79999999999998</v>
      </c>
      <c r="H32" s="254">
        <f t="shared" si="1"/>
        <v>0</v>
      </c>
      <c r="I32" s="251">
        <v>6021175</v>
      </c>
      <c r="J32" s="258">
        <v>45650</v>
      </c>
      <c r="K32" s="294">
        <v>45663</v>
      </c>
    </row>
    <row r="33" spans="1:12" x14ac:dyDescent="0.2">
      <c r="A33" s="251">
        <v>30</v>
      </c>
      <c r="B33" s="251">
        <v>3038</v>
      </c>
      <c r="C33" s="252" t="s">
        <v>111</v>
      </c>
      <c r="D33" s="253">
        <v>638</v>
      </c>
      <c r="E33" s="254">
        <v>0.4</v>
      </c>
      <c r="F33" s="254">
        <f t="shared" si="0"/>
        <v>255.20000000000002</v>
      </c>
      <c r="G33" s="254">
        <f>252.75+2.45</f>
        <v>255.2</v>
      </c>
      <c r="H33" s="254">
        <f t="shared" si="1"/>
        <v>0</v>
      </c>
      <c r="I33" s="251">
        <v>7976</v>
      </c>
      <c r="J33" s="258">
        <v>45637</v>
      </c>
      <c r="K33" s="294">
        <v>45650</v>
      </c>
    </row>
    <row r="34" spans="1:12" x14ac:dyDescent="0.2">
      <c r="A34" s="251">
        <v>31</v>
      </c>
      <c r="B34" s="251">
        <v>3043</v>
      </c>
      <c r="C34" s="252" t="s">
        <v>113</v>
      </c>
      <c r="D34" s="253">
        <v>279.5</v>
      </c>
      <c r="E34" s="254">
        <v>0.4</v>
      </c>
      <c r="F34" s="254">
        <f t="shared" si="0"/>
        <v>111.80000000000001</v>
      </c>
      <c r="G34" s="254">
        <f>108.59+3.21</f>
        <v>111.8</v>
      </c>
      <c r="H34" s="254">
        <f t="shared" si="1"/>
        <v>0</v>
      </c>
      <c r="I34" s="251">
        <v>396336</v>
      </c>
      <c r="J34" s="263" t="s">
        <v>839</v>
      </c>
      <c r="K34" s="294">
        <v>45679</v>
      </c>
    </row>
    <row r="35" spans="1:12" x14ac:dyDescent="0.2">
      <c r="A35" s="229">
        <v>32</v>
      </c>
      <c r="B35" s="229">
        <v>3058</v>
      </c>
      <c r="C35" s="231" t="s">
        <v>115</v>
      </c>
      <c r="D35" s="232">
        <v>910.9</v>
      </c>
      <c r="E35" s="233">
        <v>0.4</v>
      </c>
      <c r="F35" s="233">
        <f t="shared" si="0"/>
        <v>364.36</v>
      </c>
      <c r="G35" s="233"/>
      <c r="H35" s="233">
        <f t="shared" si="1"/>
        <v>364.36</v>
      </c>
      <c r="I35" s="229">
        <v>965148</v>
      </c>
      <c r="J35" s="244"/>
    </row>
    <row r="36" spans="1:12" x14ac:dyDescent="0.2">
      <c r="A36" s="251">
        <v>33</v>
      </c>
      <c r="B36" s="251">
        <v>3070</v>
      </c>
      <c r="C36" s="252" t="s">
        <v>117</v>
      </c>
      <c r="D36" s="253">
        <v>985.7</v>
      </c>
      <c r="E36" s="254">
        <v>0.4</v>
      </c>
      <c r="F36" s="254">
        <f t="shared" si="0"/>
        <v>394.28000000000003</v>
      </c>
      <c r="G36" s="254">
        <f>194+198.85+1.43</f>
        <v>394.28000000000003</v>
      </c>
      <c r="H36" s="254">
        <f t="shared" si="1"/>
        <v>0</v>
      </c>
      <c r="I36" s="264">
        <v>1918001</v>
      </c>
      <c r="J36" s="258">
        <v>45641</v>
      </c>
      <c r="K36" s="294">
        <v>45648</v>
      </c>
      <c r="L36" s="294">
        <v>45655</v>
      </c>
    </row>
    <row r="37" spans="1:12" s="269" customFormat="1" x14ac:dyDescent="0.2">
      <c r="A37" s="251">
        <v>34</v>
      </c>
      <c r="B37" s="251">
        <v>3072</v>
      </c>
      <c r="C37" s="252" t="s">
        <v>119</v>
      </c>
      <c r="D37" s="253">
        <v>308</v>
      </c>
      <c r="E37" s="254">
        <v>0.4</v>
      </c>
      <c r="F37" s="254">
        <f t="shared" si="0"/>
        <v>123.2</v>
      </c>
      <c r="G37" s="254">
        <f>119.55</f>
        <v>119.55</v>
      </c>
      <c r="H37" s="254">
        <f t="shared" si="1"/>
        <v>3.6500000000000057</v>
      </c>
      <c r="I37" s="251">
        <v>993077</v>
      </c>
      <c r="J37" s="258">
        <v>45779</v>
      </c>
    </row>
    <row r="38" spans="1:12" x14ac:dyDescent="0.2">
      <c r="A38" s="251">
        <v>35</v>
      </c>
      <c r="B38" s="251">
        <v>3077</v>
      </c>
      <c r="C38" s="252" t="s">
        <v>123</v>
      </c>
      <c r="D38" s="253">
        <v>481.9</v>
      </c>
      <c r="E38" s="254">
        <v>0.4</v>
      </c>
      <c r="F38" s="254">
        <f t="shared" si="0"/>
        <v>192.76</v>
      </c>
      <c r="G38" s="254">
        <f>190.53</f>
        <v>190.53</v>
      </c>
      <c r="H38" s="254">
        <f t="shared" si="1"/>
        <v>2.2299999999999898</v>
      </c>
      <c r="I38" s="251">
        <v>21978752</v>
      </c>
      <c r="J38" s="258">
        <v>45635</v>
      </c>
    </row>
    <row r="39" spans="1:12" x14ac:dyDescent="0.2">
      <c r="A39" s="284">
        <v>36</v>
      </c>
      <c r="B39" s="284">
        <v>3081</v>
      </c>
      <c r="C39" s="285" t="s">
        <v>126</v>
      </c>
      <c r="D39" s="286">
        <v>436.4</v>
      </c>
      <c r="E39" s="287">
        <v>0.4</v>
      </c>
      <c r="F39" s="287">
        <f t="shared" si="0"/>
        <v>174.56</v>
      </c>
      <c r="G39" s="287">
        <f>F39</f>
        <v>174.56</v>
      </c>
      <c r="H39" s="287">
        <f t="shared" si="1"/>
        <v>0</v>
      </c>
      <c r="I39" s="284">
        <v>21219868</v>
      </c>
      <c r="J39" s="290" t="s">
        <v>716</v>
      </c>
    </row>
    <row r="40" spans="1:12" x14ac:dyDescent="0.2">
      <c r="A40" s="251">
        <v>37</v>
      </c>
      <c r="B40" s="251">
        <v>3089</v>
      </c>
      <c r="C40" s="252" t="s">
        <v>130</v>
      </c>
      <c r="D40" s="253">
        <v>320.5</v>
      </c>
      <c r="E40" s="254">
        <v>0.4</v>
      </c>
      <c r="F40" s="254">
        <f t="shared" si="0"/>
        <v>128.20000000000002</v>
      </c>
      <c r="G40" s="254">
        <f>127.34+0.86</f>
        <v>128.20000000000002</v>
      </c>
      <c r="H40" s="254">
        <f t="shared" si="1"/>
        <v>0</v>
      </c>
      <c r="I40" s="251">
        <v>18790484</v>
      </c>
      <c r="J40" s="341" t="s">
        <v>838</v>
      </c>
      <c r="K40" s="294">
        <v>45677</v>
      </c>
    </row>
    <row r="41" spans="1:12" x14ac:dyDescent="0.2">
      <c r="A41" s="229">
        <v>38</v>
      </c>
      <c r="B41" s="229">
        <v>3093</v>
      </c>
      <c r="C41" s="231" t="s">
        <v>132</v>
      </c>
      <c r="D41" s="232">
        <v>511.4</v>
      </c>
      <c r="E41" s="233">
        <v>0.4</v>
      </c>
      <c r="F41" s="233">
        <f t="shared" si="0"/>
        <v>204.56</v>
      </c>
      <c r="G41" s="233"/>
      <c r="H41" s="233">
        <f t="shared" si="1"/>
        <v>204.56</v>
      </c>
      <c r="I41" s="229">
        <v>6361035</v>
      </c>
      <c r="J41" s="244"/>
    </row>
    <row r="42" spans="1:12" s="269" customFormat="1" x14ac:dyDescent="0.2">
      <c r="A42" s="251">
        <v>39</v>
      </c>
      <c r="B42" s="251">
        <v>3094</v>
      </c>
      <c r="C42" s="252" t="s">
        <v>136</v>
      </c>
      <c r="D42" s="253">
        <v>1006.2</v>
      </c>
      <c r="E42" s="254">
        <v>0.4</v>
      </c>
      <c r="F42" s="254">
        <f t="shared" si="0"/>
        <v>402.48</v>
      </c>
      <c r="G42" s="254">
        <f>371.25</f>
        <v>371.25</v>
      </c>
      <c r="H42" s="254">
        <f t="shared" si="1"/>
        <v>31.230000000000018</v>
      </c>
      <c r="I42" s="251">
        <v>26343985</v>
      </c>
      <c r="J42" s="258">
        <v>45932</v>
      </c>
    </row>
    <row r="43" spans="1:12" x14ac:dyDescent="0.2">
      <c r="A43" s="229">
        <v>40</v>
      </c>
      <c r="B43" s="229">
        <v>3100</v>
      </c>
      <c r="C43" s="231" t="s">
        <v>138</v>
      </c>
      <c r="D43" s="232">
        <v>1315</v>
      </c>
      <c r="E43" s="233">
        <v>0.4</v>
      </c>
      <c r="F43" s="233">
        <f t="shared" si="0"/>
        <v>526</v>
      </c>
      <c r="G43" s="233"/>
      <c r="H43" s="233">
        <f t="shared" si="1"/>
        <v>526</v>
      </c>
      <c r="I43" s="229">
        <v>1278615</v>
      </c>
      <c r="J43" s="244"/>
    </row>
    <row r="44" spans="1:12" x14ac:dyDescent="0.2">
      <c r="A44" s="229">
        <v>41</v>
      </c>
      <c r="B44" s="229">
        <v>3101</v>
      </c>
      <c r="C44" s="231" t="s">
        <v>140</v>
      </c>
      <c r="D44" s="232">
        <v>347.7</v>
      </c>
      <c r="E44" s="233">
        <v>0.4</v>
      </c>
      <c r="F44" s="233">
        <f t="shared" si="0"/>
        <v>139.08000000000001</v>
      </c>
      <c r="G44" s="233"/>
      <c r="H44" s="233">
        <f t="shared" si="1"/>
        <v>139.08000000000001</v>
      </c>
      <c r="I44" s="229">
        <v>6767598</v>
      </c>
      <c r="J44" s="244"/>
    </row>
    <row r="45" spans="1:12" x14ac:dyDescent="0.2">
      <c r="A45" s="251">
        <v>42</v>
      </c>
      <c r="B45" s="251">
        <v>3102</v>
      </c>
      <c r="C45" s="252" t="s">
        <v>142</v>
      </c>
      <c r="D45" s="253">
        <v>568.79999999999995</v>
      </c>
      <c r="E45" s="254">
        <v>0.4</v>
      </c>
      <c r="F45" s="254">
        <f t="shared" si="0"/>
        <v>227.51999999999998</v>
      </c>
      <c r="G45" s="254">
        <f>222.7+4.82</f>
        <v>227.51999999999998</v>
      </c>
      <c r="H45" s="254">
        <f t="shared" si="1"/>
        <v>0</v>
      </c>
      <c r="I45" s="251">
        <v>5916838</v>
      </c>
      <c r="J45" s="258">
        <v>45629</v>
      </c>
      <c r="K45" s="294">
        <v>45663</v>
      </c>
    </row>
    <row r="46" spans="1:12" x14ac:dyDescent="0.2">
      <c r="A46" s="251">
        <v>43</v>
      </c>
      <c r="B46" s="251">
        <v>3119</v>
      </c>
      <c r="C46" s="252" t="s">
        <v>144</v>
      </c>
      <c r="D46" s="253">
        <v>777.6</v>
      </c>
      <c r="E46" s="254">
        <v>0.4</v>
      </c>
      <c r="F46" s="254">
        <f t="shared" si="0"/>
        <v>311.04000000000002</v>
      </c>
      <c r="G46" s="254">
        <f>308.32+2.72</f>
        <v>311.04000000000002</v>
      </c>
      <c r="H46" s="254">
        <f t="shared" si="1"/>
        <v>0</v>
      </c>
      <c r="I46" s="251">
        <v>5903061</v>
      </c>
      <c r="J46" s="258">
        <v>45629</v>
      </c>
      <c r="K46" s="294">
        <v>45662</v>
      </c>
    </row>
    <row r="47" spans="1:12" x14ac:dyDescent="0.2">
      <c r="A47" s="251">
        <v>44</v>
      </c>
      <c r="B47" s="251">
        <v>3122</v>
      </c>
      <c r="C47" s="252" t="s">
        <v>146</v>
      </c>
      <c r="D47" s="253">
        <v>330</v>
      </c>
      <c r="E47" s="254">
        <v>0.4</v>
      </c>
      <c r="F47" s="254">
        <f t="shared" si="0"/>
        <v>132</v>
      </c>
      <c r="G47" s="254">
        <f>131.65</f>
        <v>131.65</v>
      </c>
      <c r="H47" s="254">
        <f t="shared" si="1"/>
        <v>0.34999999999999432</v>
      </c>
      <c r="I47" s="251">
        <v>12415718</v>
      </c>
      <c r="J47" s="258">
        <v>45644</v>
      </c>
    </row>
    <row r="48" spans="1:12" x14ac:dyDescent="0.2">
      <c r="A48" s="251">
        <v>45</v>
      </c>
      <c r="B48" s="251">
        <v>3136</v>
      </c>
      <c r="C48" s="252" t="s">
        <v>20</v>
      </c>
      <c r="D48" s="253">
        <v>500.2</v>
      </c>
      <c r="E48" s="254">
        <v>0.4</v>
      </c>
      <c r="F48" s="254">
        <f t="shared" si="0"/>
        <v>200.08</v>
      </c>
      <c r="G48" s="254">
        <f>197.88+2.2</f>
        <v>200.07999999999998</v>
      </c>
      <c r="H48" s="254">
        <f t="shared" si="1"/>
        <v>0</v>
      </c>
      <c r="I48" s="251">
        <v>183498</v>
      </c>
      <c r="J48" s="258">
        <v>45624</v>
      </c>
      <c r="K48" s="294">
        <v>45658</v>
      </c>
    </row>
    <row r="49" spans="1:11" x14ac:dyDescent="0.2">
      <c r="A49" s="229">
        <v>46</v>
      </c>
      <c r="B49" s="229">
        <v>3178</v>
      </c>
      <c r="C49" s="231" t="s">
        <v>147</v>
      </c>
      <c r="D49" s="232">
        <v>1894</v>
      </c>
      <c r="E49" s="233">
        <v>0.4</v>
      </c>
      <c r="F49" s="233">
        <f t="shared" si="0"/>
        <v>757.6</v>
      </c>
      <c r="G49" s="233"/>
      <c r="H49" s="233">
        <f t="shared" si="1"/>
        <v>757.6</v>
      </c>
      <c r="I49" s="229">
        <v>1511754</v>
      </c>
      <c r="J49" s="244"/>
    </row>
    <row r="50" spans="1:11" x14ac:dyDescent="0.2">
      <c r="A50" s="251">
        <v>47</v>
      </c>
      <c r="B50" s="251">
        <v>3199</v>
      </c>
      <c r="C50" s="252" t="s">
        <v>149</v>
      </c>
      <c r="D50" s="253">
        <v>300.7</v>
      </c>
      <c r="E50" s="254">
        <v>0.4</v>
      </c>
      <c r="F50" s="254">
        <f t="shared" si="0"/>
        <v>120.28</v>
      </c>
      <c r="G50" s="254">
        <f>118.3</f>
        <v>118.3</v>
      </c>
      <c r="H50" s="254">
        <f t="shared" si="1"/>
        <v>1.980000000000004</v>
      </c>
      <c r="I50" s="251">
        <v>5168327</v>
      </c>
      <c r="J50" s="258">
        <v>45637</v>
      </c>
    </row>
    <row r="51" spans="1:11" x14ac:dyDescent="0.2">
      <c r="A51" s="251">
        <v>48</v>
      </c>
      <c r="B51" s="251">
        <v>3200</v>
      </c>
      <c r="C51" s="252" t="s">
        <v>151</v>
      </c>
      <c r="D51" s="253">
        <v>246.4</v>
      </c>
      <c r="E51" s="254">
        <v>0.4</v>
      </c>
      <c r="F51" s="254">
        <f t="shared" si="0"/>
        <v>98.56</v>
      </c>
      <c r="G51" s="254">
        <f>F51</f>
        <v>98.56</v>
      </c>
      <c r="H51" s="254">
        <f t="shared" si="1"/>
        <v>0</v>
      </c>
      <c r="I51" s="255">
        <v>21947578</v>
      </c>
      <c r="J51" s="258">
        <v>45677</v>
      </c>
    </row>
    <row r="52" spans="1:11" x14ac:dyDescent="0.2">
      <c r="A52" s="229">
        <v>49</v>
      </c>
      <c r="B52" s="229">
        <v>3201</v>
      </c>
      <c r="C52" s="231" t="s">
        <v>153</v>
      </c>
      <c r="D52" s="232">
        <v>275.2</v>
      </c>
      <c r="E52" s="233">
        <v>0.4</v>
      </c>
      <c r="F52" s="233">
        <f t="shared" si="0"/>
        <v>110.08</v>
      </c>
      <c r="G52" s="233"/>
      <c r="H52" s="233">
        <f t="shared" si="1"/>
        <v>110.08</v>
      </c>
      <c r="I52" s="229">
        <v>7048401</v>
      </c>
      <c r="J52" s="244"/>
    </row>
    <row r="53" spans="1:11" x14ac:dyDescent="0.2">
      <c r="A53" s="251">
        <v>50</v>
      </c>
      <c r="B53" s="251">
        <v>3202</v>
      </c>
      <c r="C53" s="252" t="s">
        <v>155</v>
      </c>
      <c r="D53" s="253">
        <v>315.7</v>
      </c>
      <c r="E53" s="254">
        <v>0.4</v>
      </c>
      <c r="F53" s="254">
        <f t="shared" si="0"/>
        <v>126.28</v>
      </c>
      <c r="G53" s="254">
        <f>102.3</f>
        <v>102.3</v>
      </c>
      <c r="H53" s="254">
        <f t="shared" si="1"/>
        <v>23.980000000000004</v>
      </c>
      <c r="I53" s="251">
        <v>5197371</v>
      </c>
      <c r="J53" s="343">
        <v>45691</v>
      </c>
    </row>
    <row r="54" spans="1:11" x14ac:dyDescent="0.2">
      <c r="A54" s="251">
        <v>51</v>
      </c>
      <c r="B54" s="251">
        <v>3203</v>
      </c>
      <c r="C54" s="252" t="s">
        <v>157</v>
      </c>
      <c r="D54" s="253">
        <v>396.5</v>
      </c>
      <c r="E54" s="254">
        <v>0.4</v>
      </c>
      <c r="F54" s="254">
        <f t="shared" si="0"/>
        <v>158.60000000000002</v>
      </c>
      <c r="G54" s="254">
        <f>155.89+2.71</f>
        <v>158.6</v>
      </c>
      <c r="H54" s="254">
        <f t="shared" si="1"/>
        <v>0</v>
      </c>
      <c r="I54" s="251">
        <v>23215097</v>
      </c>
      <c r="J54" s="258">
        <v>45629</v>
      </c>
      <c r="K54" s="294">
        <v>45658</v>
      </c>
    </row>
    <row r="55" spans="1:11" x14ac:dyDescent="0.2">
      <c r="A55" s="251">
        <v>52</v>
      </c>
      <c r="B55" s="251">
        <v>3204</v>
      </c>
      <c r="C55" s="252" t="s">
        <v>159</v>
      </c>
      <c r="D55" s="253">
        <v>352.9</v>
      </c>
      <c r="E55" s="254">
        <v>0.4</v>
      </c>
      <c r="F55" s="254">
        <f t="shared" si="0"/>
        <v>141.16</v>
      </c>
      <c r="G55" s="254">
        <f>140.65</f>
        <v>140.65</v>
      </c>
      <c r="H55" s="254">
        <f t="shared" si="1"/>
        <v>0.50999999999999091</v>
      </c>
      <c r="I55" s="251">
        <v>24958926</v>
      </c>
      <c r="J55" s="258">
        <v>45679</v>
      </c>
    </row>
    <row r="56" spans="1:11" x14ac:dyDescent="0.2">
      <c r="A56" s="229">
        <v>53</v>
      </c>
      <c r="B56" s="229">
        <v>3207</v>
      </c>
      <c r="C56" s="231" t="s">
        <v>162</v>
      </c>
      <c r="D56" s="232">
        <v>596</v>
      </c>
      <c r="E56" s="233">
        <v>0.4</v>
      </c>
      <c r="F56" s="233">
        <f t="shared" si="0"/>
        <v>238.4</v>
      </c>
      <c r="G56" s="233"/>
      <c r="H56" s="233">
        <f t="shared" si="1"/>
        <v>238.4</v>
      </c>
      <c r="I56" s="229">
        <v>11940175</v>
      </c>
      <c r="J56" s="244"/>
    </row>
    <row r="57" spans="1:11" x14ac:dyDescent="0.2">
      <c r="A57" s="251">
        <v>54</v>
      </c>
      <c r="B57" s="251">
        <v>3208</v>
      </c>
      <c r="C57" s="252" t="s">
        <v>164</v>
      </c>
      <c r="D57" s="253">
        <v>499.6</v>
      </c>
      <c r="E57" s="254">
        <v>0.4</v>
      </c>
      <c r="F57" s="254">
        <f t="shared" si="0"/>
        <v>199.84000000000003</v>
      </c>
      <c r="G57" s="254">
        <f>199.32+0.52</f>
        <v>199.84</v>
      </c>
      <c r="H57" s="254">
        <f t="shared" si="1"/>
        <v>0</v>
      </c>
      <c r="I57" s="251">
        <v>1742664</v>
      </c>
      <c r="J57" s="258">
        <v>45658</v>
      </c>
      <c r="K57" s="294">
        <v>45691</v>
      </c>
    </row>
    <row r="58" spans="1:11" x14ac:dyDescent="0.2">
      <c r="A58" s="251">
        <v>55</v>
      </c>
      <c r="B58" s="251">
        <v>3209</v>
      </c>
      <c r="C58" s="252" t="s">
        <v>169</v>
      </c>
      <c r="D58" s="253">
        <v>330</v>
      </c>
      <c r="E58" s="254">
        <v>0.4</v>
      </c>
      <c r="F58" s="254">
        <f t="shared" si="0"/>
        <v>132</v>
      </c>
      <c r="G58" s="254">
        <f>130.43+1.57</f>
        <v>132</v>
      </c>
      <c r="H58" s="254">
        <f t="shared" si="1"/>
        <v>0</v>
      </c>
      <c r="I58" s="251">
        <v>5634328</v>
      </c>
      <c r="J58" s="258">
        <v>45637</v>
      </c>
      <c r="K58" s="294">
        <v>45658</v>
      </c>
    </row>
    <row r="59" spans="1:11" x14ac:dyDescent="0.2">
      <c r="A59" s="251">
        <v>56</v>
      </c>
      <c r="B59" s="251">
        <v>3210</v>
      </c>
      <c r="C59" s="252" t="s">
        <v>171</v>
      </c>
      <c r="D59" s="253">
        <v>635</v>
      </c>
      <c r="E59" s="254">
        <v>0.4</v>
      </c>
      <c r="F59" s="254">
        <f t="shared" si="0"/>
        <v>254</v>
      </c>
      <c r="G59" s="254">
        <f>249.24+4.76</f>
        <v>254</v>
      </c>
      <c r="H59" s="254">
        <f t="shared" si="1"/>
        <v>0</v>
      </c>
      <c r="I59" s="251">
        <v>45419</v>
      </c>
      <c r="J59" s="258">
        <v>45629</v>
      </c>
      <c r="K59" s="294">
        <v>45658</v>
      </c>
    </row>
    <row r="60" spans="1:11" x14ac:dyDescent="0.2">
      <c r="A60" s="251">
        <v>57</v>
      </c>
      <c r="B60" s="251">
        <v>3211</v>
      </c>
      <c r="C60" s="252" t="s">
        <v>173</v>
      </c>
      <c r="D60" s="253">
        <v>305.7</v>
      </c>
      <c r="E60" s="254">
        <v>0.4</v>
      </c>
      <c r="F60" s="254">
        <f t="shared" si="0"/>
        <v>122.28</v>
      </c>
      <c r="G60" s="254">
        <f>118.9+3.38</f>
        <v>122.28</v>
      </c>
      <c r="H60" s="254">
        <f t="shared" si="1"/>
        <v>0</v>
      </c>
      <c r="I60" s="342">
        <v>9927207</v>
      </c>
      <c r="J60" s="281">
        <v>45629</v>
      </c>
      <c r="K60" s="294">
        <v>45662</v>
      </c>
    </row>
    <row r="61" spans="1:11" x14ac:dyDescent="0.2">
      <c r="A61" s="251">
        <v>58</v>
      </c>
      <c r="B61" s="251">
        <v>3212</v>
      </c>
      <c r="C61" s="252" t="s">
        <v>175</v>
      </c>
      <c r="D61" s="253">
        <v>856.9</v>
      </c>
      <c r="E61" s="254">
        <v>0.4</v>
      </c>
      <c r="F61" s="254">
        <f t="shared" si="0"/>
        <v>342.76</v>
      </c>
      <c r="G61" s="254">
        <f>341.87+0.89</f>
        <v>342.76</v>
      </c>
      <c r="H61" s="254">
        <f t="shared" si="1"/>
        <v>0</v>
      </c>
      <c r="I61" s="251">
        <v>804443</v>
      </c>
      <c r="J61" s="258">
        <v>45648</v>
      </c>
      <c r="K61" s="294">
        <v>45673</v>
      </c>
    </row>
    <row r="62" spans="1:11" x14ac:dyDescent="0.2">
      <c r="A62" s="229">
        <v>59</v>
      </c>
      <c r="B62" s="229">
        <v>3213</v>
      </c>
      <c r="C62" s="231" t="s">
        <v>177</v>
      </c>
      <c r="D62" s="232">
        <v>598.6</v>
      </c>
      <c r="E62" s="233">
        <v>0.4</v>
      </c>
      <c r="F62" s="233">
        <f t="shared" si="0"/>
        <v>239.44000000000003</v>
      </c>
      <c r="G62" s="233"/>
      <c r="H62" s="233">
        <f t="shared" si="1"/>
        <v>239.44000000000003</v>
      </c>
      <c r="I62" s="229">
        <v>2594336</v>
      </c>
      <c r="J62" s="244"/>
    </row>
    <row r="63" spans="1:11" x14ac:dyDescent="0.2">
      <c r="A63" s="251">
        <v>60</v>
      </c>
      <c r="B63" s="251">
        <v>3214</v>
      </c>
      <c r="C63" s="252" t="s">
        <v>179</v>
      </c>
      <c r="D63" s="253">
        <v>804.9</v>
      </c>
      <c r="E63" s="254">
        <v>0.4</v>
      </c>
      <c r="F63" s="254">
        <f t="shared" si="0"/>
        <v>321.96000000000004</v>
      </c>
      <c r="G63" s="254">
        <f>F63</f>
        <v>321.96000000000004</v>
      </c>
      <c r="H63" s="254">
        <f t="shared" si="1"/>
        <v>0</v>
      </c>
      <c r="I63" s="251">
        <v>5168262</v>
      </c>
      <c r="J63" s="258">
        <v>45691</v>
      </c>
    </row>
    <row r="64" spans="1:11" x14ac:dyDescent="0.2">
      <c r="A64" s="251">
        <v>61</v>
      </c>
      <c r="B64" s="251">
        <v>3215</v>
      </c>
      <c r="C64" s="252" t="s">
        <v>181</v>
      </c>
      <c r="D64" s="253">
        <v>686.5</v>
      </c>
      <c r="E64" s="254">
        <v>0.4</v>
      </c>
      <c r="F64" s="254">
        <f t="shared" si="0"/>
        <v>274.60000000000002</v>
      </c>
      <c r="G64" s="254">
        <f>272.61+1.99</f>
        <v>274.60000000000002</v>
      </c>
      <c r="H64" s="254">
        <f t="shared" si="1"/>
        <v>0</v>
      </c>
      <c r="I64" s="255">
        <v>11684091</v>
      </c>
      <c r="J64" s="358">
        <v>45644</v>
      </c>
      <c r="K64" s="294">
        <v>45670</v>
      </c>
    </row>
    <row r="65" spans="1:13" x14ac:dyDescent="0.2">
      <c r="A65" s="251">
        <v>62</v>
      </c>
      <c r="B65" s="251">
        <v>3216</v>
      </c>
      <c r="C65" s="252" t="s">
        <v>23</v>
      </c>
      <c r="D65" s="253">
        <v>880.2</v>
      </c>
      <c r="E65" s="254">
        <v>0.4</v>
      </c>
      <c r="F65" s="254">
        <f t="shared" si="0"/>
        <v>352.08000000000004</v>
      </c>
      <c r="G65" s="254">
        <f>351.77+0.31</f>
        <v>352.08</v>
      </c>
      <c r="H65" s="254">
        <f t="shared" si="1"/>
        <v>0</v>
      </c>
      <c r="I65" s="321">
        <v>18715567</v>
      </c>
      <c r="J65" s="358">
        <v>45637</v>
      </c>
      <c r="K65" s="294">
        <v>45665</v>
      </c>
    </row>
    <row r="66" spans="1:13" x14ac:dyDescent="0.2">
      <c r="A66" s="229">
        <v>63</v>
      </c>
      <c r="B66" s="229">
        <v>3217</v>
      </c>
      <c r="C66" s="231" t="s">
        <v>183</v>
      </c>
      <c r="D66" s="232">
        <v>299.8</v>
      </c>
      <c r="E66" s="233">
        <v>0.4</v>
      </c>
      <c r="F66" s="233">
        <f t="shared" si="0"/>
        <v>119.92000000000002</v>
      </c>
      <c r="G66" s="233"/>
      <c r="H66" s="233">
        <f t="shared" si="1"/>
        <v>119.92000000000002</v>
      </c>
      <c r="I66" s="229">
        <v>1568196</v>
      </c>
      <c r="J66" s="244"/>
    </row>
    <row r="67" spans="1:13" x14ac:dyDescent="0.2">
      <c r="A67" s="251">
        <v>64</v>
      </c>
      <c r="B67" s="251">
        <v>3219</v>
      </c>
      <c r="C67" s="252" t="s">
        <v>185</v>
      </c>
      <c r="D67" s="253">
        <v>996.6</v>
      </c>
      <c r="E67" s="254">
        <v>0.4</v>
      </c>
      <c r="F67" s="254">
        <f t="shared" si="0"/>
        <v>398.64000000000004</v>
      </c>
      <c r="G67" s="254">
        <f>180.91+145.5+67.9+4.33</f>
        <v>398.63999999999993</v>
      </c>
      <c r="H67" s="254">
        <f t="shared" si="1"/>
        <v>0</v>
      </c>
      <c r="I67" s="321">
        <v>12398617</v>
      </c>
      <c r="J67" s="258">
        <v>45624</v>
      </c>
      <c r="K67" s="294">
        <v>45629</v>
      </c>
      <c r="L67" s="294">
        <v>45635</v>
      </c>
      <c r="M67" s="294">
        <v>45656</v>
      </c>
    </row>
    <row r="68" spans="1:13" x14ac:dyDescent="0.2">
      <c r="A68" s="229">
        <v>65</v>
      </c>
      <c r="B68" s="229">
        <v>3220</v>
      </c>
      <c r="C68" s="231" t="s">
        <v>187</v>
      </c>
      <c r="D68" s="232">
        <v>609</v>
      </c>
      <c r="E68" s="233">
        <v>0.4</v>
      </c>
      <c r="F68" s="233">
        <f t="shared" si="0"/>
        <v>243.60000000000002</v>
      </c>
      <c r="G68" s="233"/>
      <c r="H68" s="233">
        <f t="shared" si="1"/>
        <v>243.60000000000002</v>
      </c>
      <c r="I68" s="229">
        <v>5348311</v>
      </c>
      <c r="J68" s="244"/>
    </row>
    <row r="69" spans="1:13" x14ac:dyDescent="0.2">
      <c r="A69" s="251">
        <v>66</v>
      </c>
      <c r="B69" s="251">
        <v>3221</v>
      </c>
      <c r="C69" s="252" t="s">
        <v>189</v>
      </c>
      <c r="D69" s="253">
        <v>308</v>
      </c>
      <c r="E69" s="254">
        <v>0.4</v>
      </c>
      <c r="F69" s="254">
        <f t="shared" ref="F69:F133" si="2">E69*D69</f>
        <v>123.2</v>
      </c>
      <c r="G69" s="254">
        <f>0.09+121.25</f>
        <v>121.34</v>
      </c>
      <c r="H69" s="254">
        <f t="shared" ref="H69:H130" si="3">F69-G69</f>
        <v>1.8599999999999994</v>
      </c>
      <c r="I69" s="251">
        <v>13362673</v>
      </c>
      <c r="J69" s="258">
        <v>45665</v>
      </c>
      <c r="K69" s="294">
        <v>45779</v>
      </c>
    </row>
    <row r="70" spans="1:13" x14ac:dyDescent="0.2">
      <c r="A70" s="251">
        <v>67</v>
      </c>
      <c r="B70" s="251">
        <v>3222</v>
      </c>
      <c r="C70" s="252" t="s">
        <v>191</v>
      </c>
      <c r="D70" s="253">
        <v>427.7</v>
      </c>
      <c r="E70" s="254">
        <v>0.4</v>
      </c>
      <c r="F70" s="254">
        <f t="shared" si="2"/>
        <v>171.08</v>
      </c>
      <c r="G70" s="254">
        <f>168.53+2.55</f>
        <v>171.08</v>
      </c>
      <c r="H70" s="254">
        <f t="shared" si="3"/>
        <v>0</v>
      </c>
      <c r="I70" s="251">
        <v>18091329</v>
      </c>
      <c r="J70" s="258">
        <v>45630</v>
      </c>
      <c r="K70" s="294">
        <v>45658</v>
      </c>
    </row>
    <row r="71" spans="1:13" x14ac:dyDescent="0.2">
      <c r="A71" s="229">
        <v>68</v>
      </c>
      <c r="B71" s="229">
        <v>3223</v>
      </c>
      <c r="C71" s="231" t="s">
        <v>193</v>
      </c>
      <c r="D71" s="232">
        <v>294</v>
      </c>
      <c r="E71" s="233">
        <v>0.4</v>
      </c>
      <c r="F71" s="233">
        <f t="shared" si="2"/>
        <v>117.60000000000001</v>
      </c>
      <c r="G71" s="233"/>
      <c r="H71" s="233">
        <f t="shared" si="3"/>
        <v>117.60000000000001</v>
      </c>
      <c r="I71" s="229">
        <v>5334914</v>
      </c>
      <c r="J71" s="244"/>
    </row>
    <row r="72" spans="1:13" x14ac:dyDescent="0.2">
      <c r="A72" s="251">
        <v>69</v>
      </c>
      <c r="B72" s="251">
        <v>3224</v>
      </c>
      <c r="C72" s="252" t="s">
        <v>195</v>
      </c>
      <c r="D72" s="253">
        <v>263</v>
      </c>
      <c r="E72" s="254">
        <v>0.4</v>
      </c>
      <c r="F72" s="254">
        <f t="shared" si="2"/>
        <v>105.2</v>
      </c>
      <c r="G72" s="254">
        <f>101.78+3.42</f>
        <v>105.2</v>
      </c>
      <c r="H72" s="254">
        <f t="shared" si="3"/>
        <v>0</v>
      </c>
      <c r="I72" s="251">
        <v>2066756</v>
      </c>
      <c r="J72" s="258">
        <v>45635</v>
      </c>
      <c r="K72" s="294">
        <v>45662</v>
      </c>
    </row>
    <row r="73" spans="1:13" x14ac:dyDescent="0.2">
      <c r="A73" s="284">
        <v>70</v>
      </c>
      <c r="B73" s="284">
        <v>3225</v>
      </c>
      <c r="C73" s="285" t="s">
        <v>197</v>
      </c>
      <c r="D73" s="286">
        <v>302.8</v>
      </c>
      <c r="E73" s="287">
        <v>0.4</v>
      </c>
      <c r="F73" s="287">
        <f t="shared" si="2"/>
        <v>121.12</v>
      </c>
      <c r="G73" s="287">
        <f>F73</f>
        <v>121.12</v>
      </c>
      <c r="H73" s="287">
        <f t="shared" si="3"/>
        <v>0</v>
      </c>
      <c r="I73" s="345">
        <v>798637</v>
      </c>
      <c r="J73" s="290" t="s">
        <v>716</v>
      </c>
    </row>
    <row r="74" spans="1:13" x14ac:dyDescent="0.2">
      <c r="A74" s="251">
        <v>71</v>
      </c>
      <c r="B74" s="251">
        <v>3227</v>
      </c>
      <c r="C74" s="252" t="s">
        <v>790</v>
      </c>
      <c r="D74" s="253">
        <v>273</v>
      </c>
      <c r="E74" s="254">
        <v>0.4</v>
      </c>
      <c r="F74" s="254">
        <f t="shared" si="2"/>
        <v>109.2</v>
      </c>
      <c r="G74" s="254">
        <f>104.43+4.77</f>
        <v>109.2</v>
      </c>
      <c r="H74" s="254">
        <f t="shared" si="3"/>
        <v>0</v>
      </c>
      <c r="I74" s="321">
        <v>15214649</v>
      </c>
      <c r="J74" s="258">
        <v>45630</v>
      </c>
      <c r="K74" s="294">
        <v>45658</v>
      </c>
    </row>
    <row r="75" spans="1:13" x14ac:dyDescent="0.2">
      <c r="A75" s="229">
        <v>72</v>
      </c>
      <c r="B75" s="229">
        <v>3228</v>
      </c>
      <c r="C75" s="231" t="s">
        <v>200</v>
      </c>
      <c r="D75" s="232">
        <v>602</v>
      </c>
      <c r="E75" s="233">
        <v>0.4</v>
      </c>
      <c r="F75" s="233">
        <f t="shared" si="2"/>
        <v>240.8</v>
      </c>
      <c r="G75" s="233"/>
      <c r="H75" s="233">
        <f t="shared" si="3"/>
        <v>240.8</v>
      </c>
      <c r="I75" s="229">
        <v>1307775</v>
      </c>
      <c r="J75" s="244"/>
    </row>
    <row r="76" spans="1:13" x14ac:dyDescent="0.2">
      <c r="A76" s="229">
        <v>73</v>
      </c>
      <c r="B76" s="229">
        <v>3229</v>
      </c>
      <c r="C76" s="231" t="s">
        <v>202</v>
      </c>
      <c r="D76" s="232">
        <v>484</v>
      </c>
      <c r="E76" s="233">
        <v>0.4</v>
      </c>
      <c r="F76" s="233">
        <f t="shared" si="2"/>
        <v>193.60000000000002</v>
      </c>
      <c r="G76" s="233"/>
      <c r="H76" s="233">
        <f t="shared" si="3"/>
        <v>193.60000000000002</v>
      </c>
      <c r="I76" s="229">
        <v>6370978</v>
      </c>
      <c r="J76" s="244"/>
    </row>
    <row r="77" spans="1:13" x14ac:dyDescent="0.2">
      <c r="A77" s="229">
        <v>74</v>
      </c>
      <c r="B77" s="229">
        <v>3230</v>
      </c>
      <c r="C77" s="231" t="s">
        <v>204</v>
      </c>
      <c r="D77" s="232">
        <v>461</v>
      </c>
      <c r="E77" s="233">
        <v>0.4</v>
      </c>
      <c r="F77" s="233">
        <f t="shared" si="2"/>
        <v>184.4</v>
      </c>
      <c r="G77" s="233"/>
      <c r="H77" s="233">
        <f t="shared" si="3"/>
        <v>184.4</v>
      </c>
      <c r="I77" s="229">
        <v>1968755</v>
      </c>
      <c r="J77" s="244"/>
    </row>
    <row r="78" spans="1:13" x14ac:dyDescent="0.2">
      <c r="A78" s="251">
        <v>75</v>
      </c>
      <c r="B78" s="251">
        <v>3231</v>
      </c>
      <c r="C78" s="252" t="s">
        <v>206</v>
      </c>
      <c r="D78" s="253">
        <v>600.79999999999995</v>
      </c>
      <c r="E78" s="254">
        <v>0.4</v>
      </c>
      <c r="F78" s="254">
        <f t="shared" si="2"/>
        <v>240.32</v>
      </c>
      <c r="G78" s="254">
        <f>121.11+116.4+2.81</f>
        <v>240.32</v>
      </c>
      <c r="H78" s="254">
        <f t="shared" si="3"/>
        <v>0</v>
      </c>
      <c r="I78" s="251">
        <v>6203903</v>
      </c>
      <c r="J78" s="258">
        <v>45663</v>
      </c>
      <c r="K78" s="294">
        <v>45677</v>
      </c>
      <c r="L78" s="294">
        <v>45779</v>
      </c>
    </row>
    <row r="79" spans="1:13" x14ac:dyDescent="0.2">
      <c r="A79" s="284">
        <v>76</v>
      </c>
      <c r="B79" s="284">
        <v>3232</v>
      </c>
      <c r="C79" s="285" t="s">
        <v>208</v>
      </c>
      <c r="D79" s="286">
        <v>310.2</v>
      </c>
      <c r="E79" s="287">
        <v>0.4</v>
      </c>
      <c r="F79" s="287">
        <f t="shared" si="2"/>
        <v>124.08</v>
      </c>
      <c r="G79" s="287">
        <f>F79</f>
        <v>124.08</v>
      </c>
      <c r="H79" s="287">
        <f t="shared" si="3"/>
        <v>0</v>
      </c>
      <c r="I79" s="284">
        <v>6387264</v>
      </c>
      <c r="J79" s="290" t="s">
        <v>716</v>
      </c>
    </row>
    <row r="80" spans="1:13" x14ac:dyDescent="0.2">
      <c r="A80" s="229">
        <v>77</v>
      </c>
      <c r="B80" s="229">
        <v>3234</v>
      </c>
      <c r="C80" s="231" t="s">
        <v>212</v>
      </c>
      <c r="D80" s="232">
        <v>602.6</v>
      </c>
      <c r="E80" s="233">
        <v>0.4</v>
      </c>
      <c r="F80" s="233">
        <f t="shared" si="2"/>
        <v>241.04000000000002</v>
      </c>
      <c r="G80" s="233"/>
      <c r="H80" s="233">
        <f t="shared" si="3"/>
        <v>241.04000000000002</v>
      </c>
      <c r="I80" s="229">
        <v>21834239</v>
      </c>
      <c r="J80" s="244"/>
    </row>
    <row r="81" spans="1:12" x14ac:dyDescent="0.2">
      <c r="A81" s="229">
        <v>78</v>
      </c>
      <c r="B81" s="229">
        <v>3235</v>
      </c>
      <c r="C81" s="231" t="s">
        <v>214</v>
      </c>
      <c r="D81" s="232">
        <v>638</v>
      </c>
      <c r="E81" s="233">
        <v>0.4</v>
      </c>
      <c r="F81" s="233">
        <f t="shared" si="2"/>
        <v>255.20000000000002</v>
      </c>
      <c r="G81" s="233"/>
      <c r="H81" s="233">
        <f t="shared" si="3"/>
        <v>255.20000000000002</v>
      </c>
      <c r="I81" s="229">
        <v>1234245</v>
      </c>
      <c r="J81" s="244"/>
    </row>
    <row r="82" spans="1:12" x14ac:dyDescent="0.2">
      <c r="A82" s="251">
        <v>79</v>
      </c>
      <c r="B82" s="251">
        <v>3236</v>
      </c>
      <c r="C82" s="252" t="s">
        <v>216</v>
      </c>
      <c r="D82" s="253">
        <v>226.9</v>
      </c>
      <c r="E82" s="254">
        <v>0.4</v>
      </c>
      <c r="F82" s="254">
        <f t="shared" si="2"/>
        <v>90.76</v>
      </c>
      <c r="G82" s="254">
        <f>88.38+2.38</f>
        <v>90.759999999999991</v>
      </c>
      <c r="H82" s="254">
        <f t="shared" si="3"/>
        <v>0</v>
      </c>
      <c r="I82" s="321">
        <v>6733333</v>
      </c>
      <c r="J82" s="341">
        <v>45630</v>
      </c>
      <c r="K82" s="294">
        <v>45662</v>
      </c>
    </row>
    <row r="83" spans="1:12" x14ac:dyDescent="0.2">
      <c r="A83" s="251">
        <v>80</v>
      </c>
      <c r="B83" s="251">
        <v>3237</v>
      </c>
      <c r="C83" s="252" t="s">
        <v>218</v>
      </c>
      <c r="D83" s="253">
        <v>750.1</v>
      </c>
      <c r="E83" s="254">
        <v>0.4</v>
      </c>
      <c r="F83" s="254">
        <f t="shared" si="2"/>
        <v>300.04000000000002</v>
      </c>
      <c r="G83" s="254">
        <f>295.47+4.57</f>
        <v>300.04000000000002</v>
      </c>
      <c r="H83" s="254">
        <f t="shared" si="3"/>
        <v>0</v>
      </c>
      <c r="I83" s="251">
        <v>873637</v>
      </c>
      <c r="J83" s="258" t="s">
        <v>823</v>
      </c>
    </row>
    <row r="84" spans="1:12" x14ac:dyDescent="0.2">
      <c r="A84" s="251">
        <v>82</v>
      </c>
      <c r="B84" s="251">
        <v>3239</v>
      </c>
      <c r="C84" s="252" t="s">
        <v>222</v>
      </c>
      <c r="D84" s="253">
        <v>585.6</v>
      </c>
      <c r="E84" s="254">
        <v>0.4</v>
      </c>
      <c r="F84" s="254">
        <f t="shared" si="2"/>
        <v>234.24</v>
      </c>
      <c r="G84" s="254">
        <f>16.6+213.4+4.24</f>
        <v>234.24</v>
      </c>
      <c r="H84" s="254">
        <f t="shared" si="3"/>
        <v>0</v>
      </c>
      <c r="I84" s="251">
        <v>14379226</v>
      </c>
      <c r="J84" s="258">
        <v>45642</v>
      </c>
      <c r="K84" s="294">
        <v>45644</v>
      </c>
      <c r="L84" s="294">
        <v>45663</v>
      </c>
    </row>
    <row r="85" spans="1:12" x14ac:dyDescent="0.2">
      <c r="A85" s="251">
        <v>83</v>
      </c>
      <c r="B85" s="251">
        <v>3240</v>
      </c>
      <c r="C85" s="252" t="s">
        <v>224</v>
      </c>
      <c r="D85" s="253">
        <v>607.4</v>
      </c>
      <c r="E85" s="254">
        <v>0.4</v>
      </c>
      <c r="F85" s="254">
        <f t="shared" si="2"/>
        <v>242.96</v>
      </c>
      <c r="G85" s="254">
        <f>238.45+4.51</f>
        <v>242.95999999999998</v>
      </c>
      <c r="H85" s="254">
        <f t="shared" si="3"/>
        <v>0</v>
      </c>
      <c r="I85" s="251">
        <v>5622856</v>
      </c>
      <c r="J85" s="258">
        <v>45642</v>
      </c>
      <c r="K85" s="294">
        <v>45670</v>
      </c>
    </row>
    <row r="86" spans="1:12" x14ac:dyDescent="0.2">
      <c r="A86" s="251">
        <v>84</v>
      </c>
      <c r="B86" s="251">
        <v>3241</v>
      </c>
      <c r="C86" s="252" t="s">
        <v>227</v>
      </c>
      <c r="D86" s="253">
        <v>298.60000000000002</v>
      </c>
      <c r="E86" s="254">
        <v>0.4</v>
      </c>
      <c r="F86" s="254">
        <f t="shared" si="2"/>
        <v>119.44000000000001</v>
      </c>
      <c r="G86" s="254">
        <f>F86</f>
        <v>119.44000000000001</v>
      </c>
      <c r="H86" s="254">
        <f t="shared" si="3"/>
        <v>0</v>
      </c>
      <c r="I86" s="251">
        <v>21125518</v>
      </c>
      <c r="J86" s="258">
        <v>45691</v>
      </c>
    </row>
    <row r="87" spans="1:12" x14ac:dyDescent="0.2">
      <c r="A87" s="251">
        <v>85</v>
      </c>
      <c r="B87" s="251">
        <v>3243</v>
      </c>
      <c r="C87" s="252" t="s">
        <v>229</v>
      </c>
      <c r="D87" s="253">
        <v>297</v>
      </c>
      <c r="E87" s="254">
        <v>0.4</v>
      </c>
      <c r="F87" s="254">
        <f t="shared" si="2"/>
        <v>118.80000000000001</v>
      </c>
      <c r="G87" s="254">
        <f>116+2.8</f>
        <v>118.8</v>
      </c>
      <c r="H87" s="254">
        <f t="shared" si="3"/>
        <v>0</v>
      </c>
      <c r="I87" s="251">
        <v>25887256</v>
      </c>
      <c r="J87" s="258">
        <v>45629</v>
      </c>
      <c r="K87" s="294">
        <v>45664</v>
      </c>
    </row>
    <row r="88" spans="1:12" x14ac:dyDescent="0.2">
      <c r="A88" s="229">
        <v>86</v>
      </c>
      <c r="B88" s="229">
        <v>3244</v>
      </c>
      <c r="C88" s="231" t="s">
        <v>232</v>
      </c>
      <c r="D88" s="232">
        <v>219.1</v>
      </c>
      <c r="E88" s="233">
        <v>0.4</v>
      </c>
      <c r="F88" s="233">
        <f t="shared" si="2"/>
        <v>87.64</v>
      </c>
      <c r="G88" s="233"/>
      <c r="H88" s="233">
        <f t="shared" si="3"/>
        <v>87.64</v>
      </c>
      <c r="I88" s="229">
        <v>19340943</v>
      </c>
      <c r="J88" s="244"/>
    </row>
    <row r="89" spans="1:12" x14ac:dyDescent="0.2">
      <c r="A89" s="251">
        <v>87</v>
      </c>
      <c r="B89" s="251">
        <v>3245</v>
      </c>
      <c r="C89" s="252" t="s">
        <v>234</v>
      </c>
      <c r="D89" s="253">
        <v>199.4</v>
      </c>
      <c r="E89" s="254">
        <v>0.4</v>
      </c>
      <c r="F89" s="254">
        <f t="shared" si="2"/>
        <v>79.760000000000005</v>
      </c>
      <c r="G89" s="254">
        <f>76.05+3.71</f>
        <v>79.759999999999991</v>
      </c>
      <c r="H89" s="254">
        <f t="shared" si="3"/>
        <v>0</v>
      </c>
      <c r="I89" s="293" t="s">
        <v>235</v>
      </c>
      <c r="J89" s="258">
        <v>45630</v>
      </c>
      <c r="K89" s="294">
        <v>45658</v>
      </c>
    </row>
    <row r="90" spans="1:12" x14ac:dyDescent="0.2">
      <c r="A90" s="251">
        <v>88</v>
      </c>
      <c r="B90" s="251">
        <v>3246</v>
      </c>
      <c r="C90" s="252" t="s">
        <v>237</v>
      </c>
      <c r="D90" s="253">
        <v>264</v>
      </c>
      <c r="E90" s="254">
        <v>0.4</v>
      </c>
      <c r="F90" s="254">
        <f t="shared" si="2"/>
        <v>105.60000000000001</v>
      </c>
      <c r="G90" s="254">
        <f>105.17+0.43</f>
        <v>105.60000000000001</v>
      </c>
      <c r="H90" s="254">
        <f t="shared" si="3"/>
        <v>0</v>
      </c>
      <c r="I90" s="251">
        <v>662648</v>
      </c>
      <c r="J90" s="258">
        <v>45652</v>
      </c>
      <c r="K90" s="294">
        <v>45685</v>
      </c>
    </row>
    <row r="91" spans="1:12" x14ac:dyDescent="0.2">
      <c r="A91" s="251">
        <v>89</v>
      </c>
      <c r="B91" s="251">
        <v>3247</v>
      </c>
      <c r="C91" s="252" t="s">
        <v>239</v>
      </c>
      <c r="D91" s="253">
        <v>287.2</v>
      </c>
      <c r="E91" s="254">
        <v>0.4</v>
      </c>
      <c r="F91" s="254">
        <f t="shared" si="2"/>
        <v>114.88</v>
      </c>
      <c r="G91" s="254">
        <f>114.47+0.41</f>
        <v>114.88</v>
      </c>
      <c r="H91" s="254">
        <f t="shared" si="3"/>
        <v>0</v>
      </c>
      <c r="I91" s="251">
        <v>6457783</v>
      </c>
      <c r="J91" s="258">
        <v>45650</v>
      </c>
      <c r="K91" s="294">
        <v>45685</v>
      </c>
    </row>
    <row r="92" spans="1:12" x14ac:dyDescent="0.2">
      <c r="A92" s="229">
        <v>90</v>
      </c>
      <c r="B92" s="229">
        <v>3248</v>
      </c>
      <c r="C92" s="231" t="s">
        <v>241</v>
      </c>
      <c r="D92" s="232">
        <v>264</v>
      </c>
      <c r="E92" s="233">
        <v>0.4</v>
      </c>
      <c r="F92" s="233">
        <f t="shared" si="2"/>
        <v>105.60000000000001</v>
      </c>
      <c r="G92" s="233"/>
      <c r="H92" s="233">
        <f t="shared" si="3"/>
        <v>105.60000000000001</v>
      </c>
      <c r="I92" s="229">
        <v>18811851</v>
      </c>
      <c r="J92" s="244"/>
    </row>
    <row r="93" spans="1:12" x14ac:dyDescent="0.2">
      <c r="A93" s="284">
        <v>91</v>
      </c>
      <c r="B93" s="284">
        <v>3249</v>
      </c>
      <c r="C93" s="285" t="s">
        <v>243</v>
      </c>
      <c r="D93" s="286">
        <v>572</v>
      </c>
      <c r="E93" s="287">
        <v>0.4</v>
      </c>
      <c r="F93" s="287">
        <f t="shared" si="2"/>
        <v>228.8</v>
      </c>
      <c r="G93" s="287">
        <f>F93</f>
        <v>228.8</v>
      </c>
      <c r="H93" s="287">
        <f t="shared" si="3"/>
        <v>0</v>
      </c>
      <c r="I93" s="284">
        <v>24540784</v>
      </c>
      <c r="J93" s="290" t="s">
        <v>716</v>
      </c>
    </row>
    <row r="94" spans="1:12" x14ac:dyDescent="0.2">
      <c r="A94" s="251">
        <v>92</v>
      </c>
      <c r="B94" s="251">
        <v>3251</v>
      </c>
      <c r="C94" s="252" t="s">
        <v>245</v>
      </c>
      <c r="D94" s="253">
        <v>330</v>
      </c>
      <c r="E94" s="254">
        <v>0.4</v>
      </c>
      <c r="F94" s="254">
        <f t="shared" si="2"/>
        <v>132</v>
      </c>
      <c r="G94" s="254">
        <f>F94</f>
        <v>132</v>
      </c>
      <c r="H94" s="254">
        <f t="shared" si="3"/>
        <v>0</v>
      </c>
      <c r="I94" s="251">
        <v>6420681</v>
      </c>
      <c r="J94" s="258">
        <v>45685</v>
      </c>
    </row>
    <row r="95" spans="1:12" x14ac:dyDescent="0.2">
      <c r="A95" s="251">
        <v>94</v>
      </c>
      <c r="B95" s="251">
        <v>3253</v>
      </c>
      <c r="C95" s="252" t="s">
        <v>249</v>
      </c>
      <c r="D95" s="253">
        <v>592</v>
      </c>
      <c r="E95" s="254">
        <v>0.4</v>
      </c>
      <c r="F95" s="254">
        <f t="shared" si="2"/>
        <v>236.8</v>
      </c>
      <c r="G95" s="254">
        <f>234.43+2.37</f>
        <v>236.8</v>
      </c>
      <c r="H95" s="254">
        <f t="shared" si="3"/>
        <v>0</v>
      </c>
      <c r="I95" s="251">
        <v>25887589</v>
      </c>
      <c r="J95" s="258">
        <v>45629</v>
      </c>
      <c r="K95" s="294">
        <v>45644</v>
      </c>
    </row>
    <row r="96" spans="1:12" x14ac:dyDescent="0.2">
      <c r="A96" s="251">
        <v>95</v>
      </c>
      <c r="B96" s="251">
        <v>3254</v>
      </c>
      <c r="C96" s="252" t="s">
        <v>251</v>
      </c>
      <c r="D96" s="253">
        <v>572</v>
      </c>
      <c r="E96" s="254">
        <v>0.4</v>
      </c>
      <c r="F96" s="254">
        <f t="shared" si="2"/>
        <v>228.8</v>
      </c>
      <c r="G96" s="254">
        <f>228.09+0.71</f>
        <v>228.8</v>
      </c>
      <c r="H96" s="254">
        <f t="shared" si="3"/>
        <v>0</v>
      </c>
      <c r="I96" s="251">
        <v>6668983</v>
      </c>
      <c r="J96" s="258">
        <v>45623</v>
      </c>
      <c r="K96" s="294">
        <v>45658</v>
      </c>
    </row>
    <row r="97" spans="1:12" x14ac:dyDescent="0.2">
      <c r="A97" s="251">
        <v>96</v>
      </c>
      <c r="B97" s="251">
        <v>3255</v>
      </c>
      <c r="C97" s="252" t="s">
        <v>253</v>
      </c>
      <c r="D97" s="253">
        <v>425.8</v>
      </c>
      <c r="E97" s="254">
        <v>0.4</v>
      </c>
      <c r="F97" s="254">
        <f t="shared" si="2"/>
        <v>170.32000000000002</v>
      </c>
      <c r="G97" s="254">
        <f>167.27+3.05</f>
        <v>170.32000000000002</v>
      </c>
      <c r="H97" s="254">
        <f t="shared" si="3"/>
        <v>0</v>
      </c>
      <c r="I97" s="251">
        <v>5851949</v>
      </c>
      <c r="J97" s="258">
        <v>45635</v>
      </c>
      <c r="K97" s="294">
        <v>45663</v>
      </c>
    </row>
    <row r="98" spans="1:12" x14ac:dyDescent="0.2">
      <c r="A98" s="284">
        <v>97</v>
      </c>
      <c r="B98" s="284">
        <v>3256</v>
      </c>
      <c r="C98" s="285" t="s">
        <v>255</v>
      </c>
      <c r="D98" s="286">
        <v>1933.3</v>
      </c>
      <c r="E98" s="287">
        <v>0.4</v>
      </c>
      <c r="F98" s="287">
        <f t="shared" si="2"/>
        <v>773.32</v>
      </c>
      <c r="G98" s="287">
        <f>470+303.32</f>
        <v>773.31999999999994</v>
      </c>
      <c r="H98" s="287">
        <f t="shared" si="3"/>
        <v>0</v>
      </c>
      <c r="I98" s="284">
        <v>6147152</v>
      </c>
      <c r="J98" s="290" t="s">
        <v>716</v>
      </c>
      <c r="K98" s="294">
        <v>45635</v>
      </c>
      <c r="L98" s="294">
        <v>45645</v>
      </c>
    </row>
    <row r="99" spans="1:12" x14ac:dyDescent="0.2">
      <c r="A99" s="251">
        <v>98</v>
      </c>
      <c r="B99" s="251">
        <v>3258</v>
      </c>
      <c r="C99" s="252" t="s">
        <v>259</v>
      </c>
      <c r="D99" s="253">
        <v>807.3</v>
      </c>
      <c r="E99" s="254">
        <v>0.4</v>
      </c>
      <c r="F99" s="254">
        <f t="shared" si="2"/>
        <v>322.92</v>
      </c>
      <c r="G99" s="254">
        <f>320.1+2.82</f>
        <v>322.92</v>
      </c>
      <c r="H99" s="254">
        <f t="shared" si="3"/>
        <v>0</v>
      </c>
      <c r="I99" s="251">
        <v>15335306</v>
      </c>
      <c r="J99" s="258">
        <v>45677</v>
      </c>
      <c r="K99" s="294" t="s">
        <v>893</v>
      </c>
    </row>
    <row r="100" spans="1:12" x14ac:dyDescent="0.2">
      <c r="A100" s="251">
        <v>99</v>
      </c>
      <c r="B100" s="251">
        <v>3260</v>
      </c>
      <c r="C100" s="252" t="s">
        <v>261</v>
      </c>
      <c r="D100" s="253">
        <v>215.5</v>
      </c>
      <c r="E100" s="254">
        <v>0.4</v>
      </c>
      <c r="F100" s="254">
        <f t="shared" si="2"/>
        <v>86.2</v>
      </c>
      <c r="G100" s="254">
        <f>83.51+2.69</f>
        <v>86.2</v>
      </c>
      <c r="H100" s="254">
        <f t="shared" si="3"/>
        <v>0</v>
      </c>
      <c r="I100" s="251">
        <v>19361936</v>
      </c>
      <c r="J100" s="258">
        <v>45685</v>
      </c>
      <c r="K100" s="294">
        <v>45691</v>
      </c>
    </row>
    <row r="101" spans="1:12" x14ac:dyDescent="0.2">
      <c r="A101" s="229">
        <v>100</v>
      </c>
      <c r="B101" s="229">
        <v>3261</v>
      </c>
      <c r="C101" s="231" t="s">
        <v>263</v>
      </c>
      <c r="D101" s="232">
        <v>292.10000000000002</v>
      </c>
      <c r="E101" s="233">
        <v>0.4</v>
      </c>
      <c r="F101" s="233">
        <f t="shared" si="2"/>
        <v>116.84000000000002</v>
      </c>
      <c r="G101" s="233"/>
      <c r="H101" s="233">
        <f t="shared" si="3"/>
        <v>116.84000000000002</v>
      </c>
      <c r="I101" s="229">
        <v>8124516</v>
      </c>
      <c r="J101" s="244"/>
    </row>
    <row r="102" spans="1:12" x14ac:dyDescent="0.2">
      <c r="A102" s="229">
        <v>101</v>
      </c>
      <c r="B102" s="229">
        <v>3262</v>
      </c>
      <c r="C102" s="231" t="s">
        <v>265</v>
      </c>
      <c r="D102" s="232">
        <v>324</v>
      </c>
      <c r="E102" s="233">
        <v>0.4</v>
      </c>
      <c r="F102" s="233">
        <f t="shared" si="2"/>
        <v>129.6</v>
      </c>
      <c r="G102" s="233"/>
      <c r="H102" s="233">
        <f t="shared" si="3"/>
        <v>129.6</v>
      </c>
      <c r="I102" s="229">
        <v>1483142</v>
      </c>
      <c r="J102" s="244"/>
    </row>
    <row r="103" spans="1:12" s="398" customFormat="1" x14ac:dyDescent="0.2">
      <c r="A103" s="392">
        <v>102</v>
      </c>
      <c r="B103" s="392">
        <v>3263</v>
      </c>
      <c r="C103" s="393" t="s">
        <v>267</v>
      </c>
      <c r="D103" s="394">
        <v>412.9</v>
      </c>
      <c r="E103" s="395">
        <v>0.4</v>
      </c>
      <c r="F103" s="395">
        <f t="shared" si="2"/>
        <v>165.16</v>
      </c>
      <c r="G103" s="395">
        <f>F103</f>
        <v>165.16</v>
      </c>
      <c r="H103" s="395">
        <f t="shared" si="3"/>
        <v>0</v>
      </c>
      <c r="I103" s="392">
        <v>986981</v>
      </c>
      <c r="J103" s="397" t="s">
        <v>869</v>
      </c>
    </row>
    <row r="104" spans="1:12" x14ac:dyDescent="0.2">
      <c r="A104" s="251">
        <v>103</v>
      </c>
      <c r="B104" s="251">
        <v>3266</v>
      </c>
      <c r="C104" s="252" t="s">
        <v>269</v>
      </c>
      <c r="D104" s="253">
        <v>638</v>
      </c>
      <c r="E104" s="254">
        <v>0.4</v>
      </c>
      <c r="F104" s="254">
        <f t="shared" si="2"/>
        <v>255.20000000000002</v>
      </c>
      <c r="G104" s="254">
        <f>F104</f>
        <v>255.20000000000002</v>
      </c>
      <c r="H104" s="254">
        <f t="shared" si="3"/>
        <v>0</v>
      </c>
      <c r="I104" s="251">
        <v>25891616</v>
      </c>
      <c r="J104" s="258">
        <v>45685</v>
      </c>
    </row>
    <row r="105" spans="1:12" x14ac:dyDescent="0.2">
      <c r="A105" s="284">
        <v>104</v>
      </c>
      <c r="B105" s="284">
        <v>3268</v>
      </c>
      <c r="C105" s="285" t="s">
        <v>271</v>
      </c>
      <c r="D105" s="286">
        <v>868.2</v>
      </c>
      <c r="E105" s="287">
        <v>0.4</v>
      </c>
      <c r="F105" s="287">
        <f t="shared" si="2"/>
        <v>347.28000000000003</v>
      </c>
      <c r="G105" s="287">
        <f>F105</f>
        <v>347.28000000000003</v>
      </c>
      <c r="H105" s="287">
        <f t="shared" si="3"/>
        <v>0</v>
      </c>
      <c r="I105" s="345">
        <v>22373123</v>
      </c>
      <c r="J105" s="290" t="s">
        <v>716</v>
      </c>
    </row>
    <row r="106" spans="1:12" x14ac:dyDescent="0.2">
      <c r="A106" s="251">
        <v>105</v>
      </c>
      <c r="B106" s="251">
        <v>3269</v>
      </c>
      <c r="C106" s="252" t="s">
        <v>273</v>
      </c>
      <c r="D106" s="253">
        <v>336</v>
      </c>
      <c r="E106" s="254">
        <v>0.4</v>
      </c>
      <c r="F106" s="254">
        <f t="shared" si="2"/>
        <v>134.4</v>
      </c>
      <c r="G106" s="254">
        <f>130.95+3.45</f>
        <v>134.39999999999998</v>
      </c>
      <c r="H106" s="254">
        <f t="shared" si="3"/>
        <v>0</v>
      </c>
      <c r="I106" s="321">
        <v>14052947</v>
      </c>
      <c r="J106" s="258">
        <v>45629</v>
      </c>
      <c r="K106" s="294">
        <v>45658</v>
      </c>
    </row>
    <row r="107" spans="1:12" x14ac:dyDescent="0.2">
      <c r="A107" s="251">
        <v>106</v>
      </c>
      <c r="B107" s="251">
        <v>3270</v>
      </c>
      <c r="C107" s="252" t="s">
        <v>275</v>
      </c>
      <c r="D107" s="253">
        <v>557.9</v>
      </c>
      <c r="E107" s="254">
        <v>0.4</v>
      </c>
      <c r="F107" s="254">
        <f t="shared" si="2"/>
        <v>223.16</v>
      </c>
      <c r="G107" s="254">
        <f>219.69+3.47</f>
        <v>223.16</v>
      </c>
      <c r="H107" s="254">
        <f t="shared" si="3"/>
        <v>0</v>
      </c>
      <c r="I107" s="251">
        <v>11242698</v>
      </c>
      <c r="J107" s="237">
        <v>45623</v>
      </c>
      <c r="K107" s="294">
        <v>45658</v>
      </c>
    </row>
    <row r="108" spans="1:12" x14ac:dyDescent="0.2">
      <c r="A108" s="251">
        <v>107</v>
      </c>
      <c r="B108" s="251">
        <v>3271</v>
      </c>
      <c r="C108" s="352" t="s">
        <v>277</v>
      </c>
      <c r="D108" s="253">
        <v>430.9</v>
      </c>
      <c r="E108" s="254">
        <v>0.4</v>
      </c>
      <c r="F108" s="254">
        <f t="shared" si="2"/>
        <v>172.36</v>
      </c>
      <c r="G108" s="254">
        <f>171.05+1.31</f>
        <v>172.36</v>
      </c>
      <c r="H108" s="254">
        <f t="shared" si="3"/>
        <v>0</v>
      </c>
      <c r="I108" s="353">
        <v>24503986</v>
      </c>
      <c r="J108" s="356">
        <v>45635</v>
      </c>
      <c r="K108" s="294">
        <v>45663</v>
      </c>
    </row>
    <row r="109" spans="1:12" x14ac:dyDescent="0.2">
      <c r="A109" s="229">
        <v>108</v>
      </c>
      <c r="B109" s="229">
        <v>3272</v>
      </c>
      <c r="C109" s="276" t="s">
        <v>279</v>
      </c>
      <c r="D109" s="232">
        <v>212.6</v>
      </c>
      <c r="E109" s="233">
        <v>0.4</v>
      </c>
      <c r="F109" s="233">
        <f t="shared" si="2"/>
        <v>85.04</v>
      </c>
      <c r="G109" s="233"/>
      <c r="H109" s="233">
        <f t="shared" si="3"/>
        <v>85.04</v>
      </c>
      <c r="I109" s="277">
        <v>22977225</v>
      </c>
      <c r="J109" s="276"/>
    </row>
    <row r="110" spans="1:12" x14ac:dyDescent="0.2">
      <c r="A110" s="251">
        <v>109</v>
      </c>
      <c r="B110" s="251">
        <v>3273</v>
      </c>
      <c r="C110" s="252" t="s">
        <v>281</v>
      </c>
      <c r="D110" s="253">
        <v>565.5</v>
      </c>
      <c r="E110" s="254">
        <v>0.4</v>
      </c>
      <c r="F110" s="254">
        <f t="shared" si="2"/>
        <v>226.20000000000002</v>
      </c>
      <c r="G110" s="254">
        <f>225.06+1.14</f>
        <v>226.2</v>
      </c>
      <c r="H110" s="254">
        <f t="shared" si="3"/>
        <v>0</v>
      </c>
      <c r="I110" s="251">
        <v>7047221</v>
      </c>
      <c r="J110" s="258">
        <v>45630</v>
      </c>
      <c r="K110" s="219" t="s">
        <v>825</v>
      </c>
    </row>
    <row r="111" spans="1:12" x14ac:dyDescent="0.2">
      <c r="A111" s="284">
        <v>110</v>
      </c>
      <c r="B111" s="284">
        <v>3277</v>
      </c>
      <c r="C111" s="285" t="s">
        <v>283</v>
      </c>
      <c r="D111" s="286">
        <v>475.7</v>
      </c>
      <c r="E111" s="287">
        <v>0.4</v>
      </c>
      <c r="F111" s="287">
        <f t="shared" si="2"/>
        <v>190.28</v>
      </c>
      <c r="G111" s="287">
        <f>F111</f>
        <v>190.28</v>
      </c>
      <c r="H111" s="287">
        <f t="shared" si="3"/>
        <v>0</v>
      </c>
      <c r="I111" s="284">
        <v>14277741</v>
      </c>
      <c r="J111" s="290" t="s">
        <v>716</v>
      </c>
    </row>
    <row r="112" spans="1:12" x14ac:dyDescent="0.2">
      <c r="A112" s="229">
        <v>111</v>
      </c>
      <c r="B112" s="229">
        <v>3278</v>
      </c>
      <c r="C112" s="231" t="s">
        <v>285</v>
      </c>
      <c r="D112" s="232">
        <v>259</v>
      </c>
      <c r="E112" s="233">
        <v>0.4</v>
      </c>
      <c r="F112" s="233">
        <f t="shared" si="2"/>
        <v>103.60000000000001</v>
      </c>
      <c r="G112" s="233"/>
      <c r="H112" s="233">
        <f t="shared" si="3"/>
        <v>103.60000000000001</v>
      </c>
      <c r="I112" s="229">
        <v>27713998</v>
      </c>
      <c r="J112" s="244"/>
    </row>
    <row r="113" spans="1:11" x14ac:dyDescent="0.2">
      <c r="A113" s="284">
        <v>112</v>
      </c>
      <c r="B113" s="284">
        <v>3279</v>
      </c>
      <c r="C113" s="285" t="s">
        <v>287</v>
      </c>
      <c r="D113" s="286">
        <v>1395.7</v>
      </c>
      <c r="E113" s="287">
        <v>0.4</v>
      </c>
      <c r="F113" s="287">
        <f t="shared" si="2"/>
        <v>558.28000000000009</v>
      </c>
      <c r="G113" s="287">
        <f>F113</f>
        <v>558.28000000000009</v>
      </c>
      <c r="H113" s="287">
        <f t="shared" si="3"/>
        <v>0</v>
      </c>
      <c r="I113" s="357">
        <v>20468811</v>
      </c>
      <c r="J113" s="290" t="s">
        <v>716</v>
      </c>
    </row>
    <row r="114" spans="1:11" x14ac:dyDescent="0.2">
      <c r="A114" s="251">
        <v>113</v>
      </c>
      <c r="B114" s="251">
        <v>3280</v>
      </c>
      <c r="C114" s="252" t="s">
        <v>288</v>
      </c>
      <c r="D114" s="253">
        <v>558</v>
      </c>
      <c r="E114" s="254">
        <v>0.4</v>
      </c>
      <c r="F114" s="254">
        <f t="shared" si="2"/>
        <v>223.20000000000002</v>
      </c>
      <c r="G114" s="254">
        <f>121.25+101.95</f>
        <v>223.2</v>
      </c>
      <c r="H114" s="254">
        <f t="shared" si="3"/>
        <v>0</v>
      </c>
      <c r="I114" s="251">
        <v>25887523</v>
      </c>
      <c r="J114" s="258">
        <v>45629</v>
      </c>
      <c r="K114" s="294">
        <v>45645</v>
      </c>
    </row>
    <row r="115" spans="1:11" x14ac:dyDescent="0.2">
      <c r="A115" s="251">
        <v>114</v>
      </c>
      <c r="B115" s="251">
        <v>3281</v>
      </c>
      <c r="C115" s="252" t="s">
        <v>292</v>
      </c>
      <c r="D115" s="253">
        <v>612.20000000000005</v>
      </c>
      <c r="E115" s="254">
        <v>0.4</v>
      </c>
      <c r="F115" s="254">
        <f t="shared" si="2"/>
        <v>244.88000000000002</v>
      </c>
      <c r="G115" s="254">
        <f>240.38+4.5</f>
        <v>244.88</v>
      </c>
      <c r="H115" s="254">
        <f t="shared" si="3"/>
        <v>0</v>
      </c>
      <c r="I115" s="251">
        <v>1045575</v>
      </c>
      <c r="J115" s="258">
        <v>45623</v>
      </c>
      <c r="K115" s="294">
        <v>45658</v>
      </c>
    </row>
    <row r="116" spans="1:11" x14ac:dyDescent="0.2">
      <c r="A116" s="251">
        <v>115</v>
      </c>
      <c r="B116" s="251">
        <v>3286</v>
      </c>
      <c r="C116" s="252" t="s">
        <v>295</v>
      </c>
      <c r="D116" s="253">
        <v>420</v>
      </c>
      <c r="E116" s="254">
        <v>0.4</v>
      </c>
      <c r="F116" s="254">
        <f t="shared" si="2"/>
        <v>168</v>
      </c>
      <c r="G116" s="254">
        <f>167.01+0.99</f>
        <v>168</v>
      </c>
      <c r="H116" s="254">
        <f t="shared" si="3"/>
        <v>0</v>
      </c>
      <c r="I116" s="251">
        <v>23232841</v>
      </c>
      <c r="J116" s="258">
        <v>45650</v>
      </c>
      <c r="K116" s="294">
        <v>45677</v>
      </c>
    </row>
    <row r="117" spans="1:11" x14ac:dyDescent="0.2">
      <c r="A117" s="251">
        <v>116</v>
      </c>
      <c r="B117" s="251">
        <v>3287</v>
      </c>
      <c r="C117" s="252" t="s">
        <v>297</v>
      </c>
      <c r="D117" s="253">
        <v>488.1</v>
      </c>
      <c r="E117" s="254">
        <v>0.4</v>
      </c>
      <c r="F117" s="254">
        <f t="shared" si="2"/>
        <v>195.24</v>
      </c>
      <c r="G117" s="254">
        <f>194.84+0.4</f>
        <v>195.24</v>
      </c>
      <c r="H117" s="254">
        <f t="shared" si="3"/>
        <v>0</v>
      </c>
      <c r="I117" s="251">
        <v>6504554</v>
      </c>
      <c r="J117" s="258">
        <v>45642</v>
      </c>
      <c r="K117" s="294">
        <v>45663</v>
      </c>
    </row>
    <row r="118" spans="1:11" x14ac:dyDescent="0.2">
      <c r="A118" s="251">
        <v>117</v>
      </c>
      <c r="B118" s="251">
        <v>3288</v>
      </c>
      <c r="C118" s="252" t="s">
        <v>300</v>
      </c>
      <c r="D118" s="253">
        <v>500.6</v>
      </c>
      <c r="E118" s="254">
        <v>0.4</v>
      </c>
      <c r="F118" s="254">
        <f t="shared" si="2"/>
        <v>200.24</v>
      </c>
      <c r="G118" s="254">
        <f>197.42+2.82</f>
        <v>200.23999999999998</v>
      </c>
      <c r="H118" s="254">
        <f t="shared" si="3"/>
        <v>0</v>
      </c>
      <c r="I118" s="255">
        <v>1460824</v>
      </c>
      <c r="J118" s="358">
        <v>45630</v>
      </c>
      <c r="K118" s="294">
        <v>45658</v>
      </c>
    </row>
    <row r="119" spans="1:11" x14ac:dyDescent="0.2">
      <c r="A119" s="229">
        <v>118</v>
      </c>
      <c r="B119" s="229">
        <v>3291</v>
      </c>
      <c r="C119" s="231" t="s">
        <v>303</v>
      </c>
      <c r="D119" s="239">
        <v>764.9</v>
      </c>
      <c r="E119" s="233">
        <v>0.4</v>
      </c>
      <c r="F119" s="233">
        <f t="shared" si="2"/>
        <v>305.95999999999998</v>
      </c>
      <c r="G119" s="233"/>
      <c r="H119" s="233">
        <f t="shared" si="3"/>
        <v>305.95999999999998</v>
      </c>
      <c r="I119" s="229">
        <v>1974735</v>
      </c>
      <c r="J119" s="244"/>
    </row>
    <row r="120" spans="1:11" x14ac:dyDescent="0.2">
      <c r="A120" s="251">
        <v>119</v>
      </c>
      <c r="B120" s="251">
        <v>3292</v>
      </c>
      <c r="C120" s="252" t="s">
        <v>305</v>
      </c>
      <c r="D120" s="253">
        <v>775.1</v>
      </c>
      <c r="E120" s="254">
        <v>0.4</v>
      </c>
      <c r="F120" s="254">
        <f t="shared" si="2"/>
        <v>310.04000000000002</v>
      </c>
      <c r="G120" s="254">
        <f>307.24+2.8</f>
        <v>310.04000000000002</v>
      </c>
      <c r="H120" s="254">
        <f t="shared" si="3"/>
        <v>0</v>
      </c>
      <c r="I120" s="321">
        <v>13282353</v>
      </c>
      <c r="J120" s="258">
        <v>45630</v>
      </c>
      <c r="K120" s="294">
        <v>45658</v>
      </c>
    </row>
    <row r="121" spans="1:11" x14ac:dyDescent="0.2">
      <c r="A121" s="251">
        <v>120</v>
      </c>
      <c r="B121" s="251">
        <v>3293</v>
      </c>
      <c r="C121" s="252" t="s">
        <v>307</v>
      </c>
      <c r="D121" s="253">
        <v>205.4</v>
      </c>
      <c r="E121" s="254">
        <v>0.4</v>
      </c>
      <c r="F121" s="254">
        <f t="shared" si="2"/>
        <v>82.160000000000011</v>
      </c>
      <c r="G121" s="254">
        <f>81.66+0.5</f>
        <v>82.16</v>
      </c>
      <c r="H121" s="254">
        <f t="shared" si="3"/>
        <v>0</v>
      </c>
      <c r="I121" s="251">
        <v>4048259</v>
      </c>
      <c r="J121" s="263" t="s">
        <v>800</v>
      </c>
      <c r="K121" s="294">
        <v>45658</v>
      </c>
    </row>
    <row r="122" spans="1:11" x14ac:dyDescent="0.2">
      <c r="A122" s="251">
        <v>121</v>
      </c>
      <c r="B122" s="251">
        <v>3294</v>
      </c>
      <c r="C122" s="252" t="s">
        <v>309</v>
      </c>
      <c r="D122" s="253">
        <v>547.29999999999995</v>
      </c>
      <c r="E122" s="254">
        <v>0.4</v>
      </c>
      <c r="F122" s="254">
        <f t="shared" si="2"/>
        <v>218.92</v>
      </c>
      <c r="G122" s="254">
        <f>F122</f>
        <v>218.92</v>
      </c>
      <c r="H122" s="254">
        <f t="shared" si="3"/>
        <v>0</v>
      </c>
      <c r="I122" s="251">
        <v>19263029</v>
      </c>
      <c r="J122" s="258">
        <v>45658</v>
      </c>
    </row>
    <row r="123" spans="1:11" x14ac:dyDescent="0.2">
      <c r="A123" s="229">
        <v>122</v>
      </c>
      <c r="B123" s="229">
        <v>3295</v>
      </c>
      <c r="C123" s="231" t="s">
        <v>311</v>
      </c>
      <c r="D123" s="232">
        <v>290</v>
      </c>
      <c r="E123" s="233">
        <v>0.4</v>
      </c>
      <c r="F123" s="233">
        <f t="shared" si="2"/>
        <v>116</v>
      </c>
      <c r="G123" s="233"/>
      <c r="H123" s="233">
        <f t="shared" si="3"/>
        <v>116</v>
      </c>
      <c r="I123" s="229">
        <v>20378353</v>
      </c>
      <c r="J123" s="244"/>
    </row>
    <row r="124" spans="1:11" s="269" customFormat="1" x14ac:dyDescent="0.2">
      <c r="A124" s="251">
        <v>123</v>
      </c>
      <c r="B124" s="251">
        <v>3297</v>
      </c>
      <c r="C124" s="252" t="s">
        <v>313</v>
      </c>
      <c r="D124" s="253">
        <v>276.7</v>
      </c>
      <c r="E124" s="254">
        <v>0.4</v>
      </c>
      <c r="F124" s="254">
        <f t="shared" si="2"/>
        <v>110.68</v>
      </c>
      <c r="G124" s="254">
        <f>F124</f>
        <v>110.68</v>
      </c>
      <c r="H124" s="254">
        <f t="shared" si="3"/>
        <v>0</v>
      </c>
      <c r="I124" s="251">
        <v>5359682</v>
      </c>
      <c r="J124" s="258">
        <v>45691</v>
      </c>
    </row>
    <row r="125" spans="1:11" x14ac:dyDescent="0.2">
      <c r="A125" s="229">
        <v>124</v>
      </c>
      <c r="B125" s="229">
        <v>3298</v>
      </c>
      <c r="C125" s="231" t="s">
        <v>315</v>
      </c>
      <c r="D125" s="239">
        <v>442.3</v>
      </c>
      <c r="E125" s="233">
        <v>0.4</v>
      </c>
      <c r="F125" s="233">
        <f t="shared" si="2"/>
        <v>176.92000000000002</v>
      </c>
      <c r="G125" s="233"/>
      <c r="H125" s="233">
        <f t="shared" si="3"/>
        <v>176.92000000000002</v>
      </c>
      <c r="I125" s="240">
        <v>6160236</v>
      </c>
      <c r="J125" s="244"/>
    </row>
    <row r="126" spans="1:11" x14ac:dyDescent="0.2">
      <c r="A126" s="284">
        <v>125</v>
      </c>
      <c r="B126" s="284">
        <v>3302</v>
      </c>
      <c r="C126" s="285" t="s">
        <v>317</v>
      </c>
      <c r="D126" s="286">
        <v>570.20000000000005</v>
      </c>
      <c r="E126" s="287">
        <v>0.4</v>
      </c>
      <c r="F126" s="287">
        <f t="shared" si="2"/>
        <v>228.08000000000004</v>
      </c>
      <c r="G126" s="287">
        <f>F126</f>
        <v>228.08000000000004</v>
      </c>
      <c r="H126" s="287">
        <f t="shared" si="3"/>
        <v>0</v>
      </c>
      <c r="I126" s="284">
        <v>71004483</v>
      </c>
      <c r="J126" s="290" t="s">
        <v>716</v>
      </c>
    </row>
    <row r="127" spans="1:11" x14ac:dyDescent="0.2">
      <c r="A127" s="360">
        <v>126</v>
      </c>
      <c r="B127" s="360">
        <v>3303</v>
      </c>
      <c r="C127" s="361" t="s">
        <v>319</v>
      </c>
      <c r="D127" s="362">
        <v>378.9</v>
      </c>
      <c r="E127" s="363">
        <v>0.4</v>
      </c>
      <c r="F127" s="363">
        <f t="shared" si="2"/>
        <v>151.56</v>
      </c>
      <c r="G127" s="363">
        <f>F127</f>
        <v>151.56</v>
      </c>
      <c r="H127" s="363">
        <f t="shared" si="3"/>
        <v>0</v>
      </c>
      <c r="I127" s="364">
        <v>3172781</v>
      </c>
      <c r="J127" s="368" t="s">
        <v>862</v>
      </c>
    </row>
    <row r="128" spans="1:11" x14ac:dyDescent="0.2">
      <c r="A128" s="360">
        <v>127</v>
      </c>
      <c r="B128" s="360">
        <v>3309</v>
      </c>
      <c r="C128" s="361" t="s">
        <v>321</v>
      </c>
      <c r="D128" s="362">
        <v>34.700000000000003</v>
      </c>
      <c r="E128" s="363">
        <v>0.4</v>
      </c>
      <c r="F128" s="363">
        <f t="shared" si="2"/>
        <v>13.880000000000003</v>
      </c>
      <c r="G128" s="363">
        <f>F128</f>
        <v>13.880000000000003</v>
      </c>
      <c r="H128" s="363">
        <f t="shared" si="3"/>
        <v>0</v>
      </c>
      <c r="I128" s="364">
        <v>21453611</v>
      </c>
      <c r="J128" s="368" t="s">
        <v>848</v>
      </c>
    </row>
    <row r="129" spans="1:14" x14ac:dyDescent="0.2">
      <c r="A129" s="229">
        <v>128</v>
      </c>
      <c r="B129" s="229">
        <v>3311</v>
      </c>
      <c r="C129" s="231" t="s">
        <v>323</v>
      </c>
      <c r="D129" s="232">
        <v>521.70000000000005</v>
      </c>
      <c r="E129" s="233">
        <v>0.4</v>
      </c>
      <c r="F129" s="233">
        <f t="shared" si="2"/>
        <v>208.68000000000004</v>
      </c>
      <c r="G129" s="233"/>
      <c r="H129" s="233">
        <f t="shared" si="3"/>
        <v>208.68000000000004</v>
      </c>
      <c r="I129" s="229" t="s">
        <v>324</v>
      </c>
      <c r="J129" s="244"/>
    </row>
    <row r="130" spans="1:14" x14ac:dyDescent="0.2">
      <c r="A130" s="251">
        <v>129</v>
      </c>
      <c r="B130" s="251">
        <v>3312</v>
      </c>
      <c r="C130" s="252" t="s">
        <v>328</v>
      </c>
      <c r="D130" s="253">
        <v>606.6</v>
      </c>
      <c r="E130" s="254">
        <v>0.4</v>
      </c>
      <c r="F130" s="254">
        <f t="shared" si="2"/>
        <v>242.64000000000001</v>
      </c>
      <c r="G130" s="254">
        <f>242.54+0.1</f>
        <v>242.64</v>
      </c>
      <c r="H130" s="254">
        <f t="shared" si="3"/>
        <v>0</v>
      </c>
      <c r="I130" s="251">
        <v>881326</v>
      </c>
      <c r="J130" s="258">
        <v>45636</v>
      </c>
      <c r="K130" s="294">
        <v>45664</v>
      </c>
    </row>
    <row r="131" spans="1:14" x14ac:dyDescent="0.2">
      <c r="A131" s="251">
        <v>130</v>
      </c>
      <c r="B131" s="251">
        <v>3314</v>
      </c>
      <c r="C131" s="252" t="s">
        <v>330</v>
      </c>
      <c r="D131" s="253">
        <v>507.8</v>
      </c>
      <c r="E131" s="254">
        <v>0.4</v>
      </c>
      <c r="F131" s="254">
        <f t="shared" si="2"/>
        <v>203.12</v>
      </c>
      <c r="G131" s="254">
        <f>201.82+1.3</f>
        <v>203.12</v>
      </c>
      <c r="H131" s="254">
        <f t="shared" ref="H131:H194" si="4">F131-G131</f>
        <v>0</v>
      </c>
      <c r="I131" s="414">
        <v>766893</v>
      </c>
      <c r="J131" s="258">
        <v>45685</v>
      </c>
      <c r="K131" s="294">
        <v>45691</v>
      </c>
    </row>
    <row r="132" spans="1:14" x14ac:dyDescent="0.2">
      <c r="A132" s="229">
        <v>131</v>
      </c>
      <c r="B132" s="229">
        <v>3315</v>
      </c>
      <c r="C132" s="270" t="s">
        <v>333</v>
      </c>
      <c r="D132" s="239">
        <v>0</v>
      </c>
      <c r="E132" s="233">
        <v>0.4</v>
      </c>
      <c r="F132" s="233">
        <f>E132*D132</f>
        <v>0</v>
      </c>
      <c r="G132" s="233"/>
      <c r="H132" s="233">
        <f>F132-G132</f>
        <v>0</v>
      </c>
      <c r="I132" s="388">
        <v>23957422</v>
      </c>
      <c r="J132" s="243"/>
      <c r="K132" s="389"/>
      <c r="L132" s="390"/>
      <c r="M132" s="391"/>
      <c r="N132" s="389"/>
    </row>
    <row r="133" spans="1:14" x14ac:dyDescent="0.2">
      <c r="A133" s="360">
        <v>132</v>
      </c>
      <c r="B133" s="360">
        <v>3316</v>
      </c>
      <c r="C133" s="361" t="s">
        <v>335</v>
      </c>
      <c r="D133" s="362">
        <v>33.299999999999997</v>
      </c>
      <c r="E133" s="363">
        <v>0.4</v>
      </c>
      <c r="F133" s="363">
        <f t="shared" si="2"/>
        <v>13.32</v>
      </c>
      <c r="G133" s="363">
        <f>F133</f>
        <v>13.32</v>
      </c>
      <c r="H133" s="363">
        <f t="shared" si="4"/>
        <v>0</v>
      </c>
      <c r="I133" s="360">
        <v>26159748</v>
      </c>
      <c r="J133" s="368" t="s">
        <v>848</v>
      </c>
    </row>
    <row r="134" spans="1:14" x14ac:dyDescent="0.2">
      <c r="A134" s="229">
        <v>133</v>
      </c>
      <c r="B134" s="229">
        <v>3320</v>
      </c>
      <c r="C134" s="231" t="s">
        <v>337</v>
      </c>
      <c r="D134" s="232">
        <v>330</v>
      </c>
      <c r="E134" s="233">
        <v>0.4</v>
      </c>
      <c r="F134" s="233">
        <f t="shared" ref="F134:F197" si="5">E134*D134</f>
        <v>132</v>
      </c>
      <c r="G134" s="233"/>
      <c r="H134" s="233">
        <f t="shared" si="4"/>
        <v>132</v>
      </c>
      <c r="I134" s="229">
        <v>2096234</v>
      </c>
      <c r="J134" s="244"/>
    </row>
    <row r="135" spans="1:14" x14ac:dyDescent="0.2">
      <c r="A135" s="229">
        <v>134</v>
      </c>
      <c r="B135" s="229">
        <v>3321</v>
      </c>
      <c r="C135" s="231" t="s">
        <v>339</v>
      </c>
      <c r="D135" s="232">
        <v>197.7</v>
      </c>
      <c r="E135" s="233">
        <v>0.4</v>
      </c>
      <c r="F135" s="233">
        <f t="shared" si="5"/>
        <v>79.08</v>
      </c>
      <c r="G135" s="233"/>
      <c r="H135" s="233">
        <f t="shared" si="4"/>
        <v>79.08</v>
      </c>
      <c r="I135" s="229">
        <v>10721505</v>
      </c>
      <c r="J135" s="244"/>
    </row>
    <row r="136" spans="1:14" x14ac:dyDescent="0.2">
      <c r="A136" s="229">
        <v>135</v>
      </c>
      <c r="B136" s="229">
        <v>3322</v>
      </c>
      <c r="C136" s="231" t="s">
        <v>341</v>
      </c>
      <c r="D136" s="232">
        <v>558.29999999999995</v>
      </c>
      <c r="E136" s="233">
        <v>0.4</v>
      </c>
      <c r="F136" s="233">
        <f t="shared" si="5"/>
        <v>223.32</v>
      </c>
      <c r="G136" s="233"/>
      <c r="H136" s="233">
        <f t="shared" si="4"/>
        <v>223.32</v>
      </c>
      <c r="I136" s="229">
        <v>6047858</v>
      </c>
      <c r="J136" s="244"/>
      <c r="M136" s="219">
        <f>23*5.35</f>
        <v>123.05</v>
      </c>
    </row>
    <row r="137" spans="1:14" x14ac:dyDescent="0.2">
      <c r="A137" s="251">
        <v>136</v>
      </c>
      <c r="B137" s="251">
        <v>3325</v>
      </c>
      <c r="C137" s="252" t="s">
        <v>153</v>
      </c>
      <c r="D137" s="253">
        <v>207.6</v>
      </c>
      <c r="E137" s="254">
        <v>0.4</v>
      </c>
      <c r="F137" s="254">
        <f t="shared" si="5"/>
        <v>83.04</v>
      </c>
      <c r="G137" s="254">
        <f>77.86+5.18</f>
        <v>83.039999999999992</v>
      </c>
      <c r="H137" s="254">
        <f t="shared" si="4"/>
        <v>0</v>
      </c>
      <c r="I137" s="251">
        <v>21849398</v>
      </c>
      <c r="J137" s="258">
        <v>45637</v>
      </c>
      <c r="K137" s="219" t="s">
        <v>856</v>
      </c>
    </row>
    <row r="138" spans="1:14" x14ac:dyDescent="0.2">
      <c r="A138" s="251">
        <v>137</v>
      </c>
      <c r="B138" s="251">
        <v>3326</v>
      </c>
      <c r="C138" s="252" t="s">
        <v>344</v>
      </c>
      <c r="D138" s="253">
        <v>654.4</v>
      </c>
      <c r="E138" s="254">
        <v>0.4</v>
      </c>
      <c r="F138" s="254">
        <f t="shared" si="5"/>
        <v>261.76</v>
      </c>
      <c r="G138" s="254">
        <f>260.07+1.69</f>
        <v>261.76</v>
      </c>
      <c r="H138" s="254">
        <f t="shared" si="4"/>
        <v>0</v>
      </c>
      <c r="I138" s="251">
        <v>1466865</v>
      </c>
      <c r="J138" s="258">
        <v>45629</v>
      </c>
      <c r="K138" s="294">
        <v>45658</v>
      </c>
    </row>
    <row r="139" spans="1:14" x14ac:dyDescent="0.2">
      <c r="A139" s="251">
        <v>138</v>
      </c>
      <c r="B139" s="251">
        <v>3328</v>
      </c>
      <c r="C139" s="252" t="s">
        <v>346</v>
      </c>
      <c r="D139" s="253">
        <v>559.4</v>
      </c>
      <c r="E139" s="254">
        <v>0.4</v>
      </c>
      <c r="F139" s="254">
        <f t="shared" si="5"/>
        <v>223.76</v>
      </c>
      <c r="G139" s="254">
        <f>220.27+3.49</f>
        <v>223.76000000000002</v>
      </c>
      <c r="H139" s="254">
        <f t="shared" si="4"/>
        <v>0</v>
      </c>
      <c r="I139" s="251">
        <v>1934204</v>
      </c>
      <c r="J139" s="263" t="s">
        <v>797</v>
      </c>
      <c r="K139" s="294">
        <v>45658</v>
      </c>
    </row>
    <row r="140" spans="1:14" x14ac:dyDescent="0.2">
      <c r="A140" s="251">
        <v>139</v>
      </c>
      <c r="B140" s="251">
        <v>3329</v>
      </c>
      <c r="C140" s="252" t="s">
        <v>348</v>
      </c>
      <c r="D140" s="253">
        <v>330</v>
      </c>
      <c r="E140" s="254">
        <v>0.4</v>
      </c>
      <c r="F140" s="254">
        <f t="shared" si="5"/>
        <v>132</v>
      </c>
      <c r="G140" s="254">
        <f>F140</f>
        <v>132</v>
      </c>
      <c r="H140" s="254">
        <f t="shared" si="4"/>
        <v>0</v>
      </c>
      <c r="I140" s="251">
        <v>9086292</v>
      </c>
      <c r="J140" s="258">
        <v>45662</v>
      </c>
    </row>
    <row r="141" spans="1:14" s="292" customFormat="1" x14ac:dyDescent="0.2">
      <c r="A141" s="284">
        <v>140</v>
      </c>
      <c r="B141" s="284">
        <v>3331</v>
      </c>
      <c r="C141" s="285" t="s">
        <v>350</v>
      </c>
      <c r="D141" s="286">
        <v>597.1</v>
      </c>
      <c r="E141" s="287">
        <v>0.4</v>
      </c>
      <c r="F141" s="287">
        <f t="shared" si="5"/>
        <v>238.84000000000003</v>
      </c>
      <c r="G141" s="287">
        <f>F141</f>
        <v>238.84000000000003</v>
      </c>
      <c r="H141" s="287">
        <f t="shared" si="4"/>
        <v>0</v>
      </c>
      <c r="I141" s="284">
        <v>18048861</v>
      </c>
      <c r="J141" s="291">
        <v>45693</v>
      </c>
    </row>
    <row r="142" spans="1:14" x14ac:dyDescent="0.2">
      <c r="A142" s="229">
        <v>141</v>
      </c>
      <c r="B142" s="229">
        <v>3332</v>
      </c>
      <c r="C142" s="231" t="s">
        <v>721</v>
      </c>
      <c r="D142" s="232">
        <v>204.4</v>
      </c>
      <c r="E142" s="233">
        <v>0.4</v>
      </c>
      <c r="F142" s="233">
        <f t="shared" si="5"/>
        <v>81.760000000000005</v>
      </c>
      <c r="G142" s="233"/>
      <c r="H142" s="233">
        <f t="shared" si="4"/>
        <v>81.760000000000005</v>
      </c>
      <c r="I142" s="229">
        <v>1320775</v>
      </c>
      <c r="J142" s="244"/>
    </row>
    <row r="143" spans="1:14" s="269" customFormat="1" x14ac:dyDescent="0.2">
      <c r="A143" s="251">
        <v>142</v>
      </c>
      <c r="B143" s="251">
        <v>3334</v>
      </c>
      <c r="C143" s="252" t="s">
        <v>353</v>
      </c>
      <c r="D143" s="253">
        <v>417.8</v>
      </c>
      <c r="E143" s="254">
        <v>0.4</v>
      </c>
      <c r="F143" s="254">
        <f t="shared" si="5"/>
        <v>167.12</v>
      </c>
      <c r="G143" s="254">
        <f>163.7</f>
        <v>163.69999999999999</v>
      </c>
      <c r="H143" s="254">
        <f t="shared" si="4"/>
        <v>3.4200000000000159</v>
      </c>
      <c r="I143" s="251">
        <v>1176211</v>
      </c>
      <c r="J143" s="258">
        <v>45691</v>
      </c>
    </row>
    <row r="144" spans="1:14" x14ac:dyDescent="0.2">
      <c r="A144" s="229">
        <v>143</v>
      </c>
      <c r="B144" s="229">
        <v>3335</v>
      </c>
      <c r="C144" s="231" t="s">
        <v>355</v>
      </c>
      <c r="D144" s="232">
        <v>257.2</v>
      </c>
      <c r="E144" s="233">
        <v>0.4</v>
      </c>
      <c r="F144" s="233">
        <f t="shared" si="5"/>
        <v>102.88</v>
      </c>
      <c r="G144" s="233"/>
      <c r="H144" s="233">
        <f t="shared" si="4"/>
        <v>102.88</v>
      </c>
      <c r="I144" s="229">
        <v>2022545</v>
      </c>
      <c r="J144" s="244"/>
    </row>
    <row r="145" spans="1:12" x14ac:dyDescent="0.2">
      <c r="A145" s="251">
        <v>144</v>
      </c>
      <c r="B145" s="251">
        <v>3336</v>
      </c>
      <c r="C145" s="252" t="s">
        <v>357</v>
      </c>
      <c r="D145" s="253">
        <v>298.39999999999998</v>
      </c>
      <c r="E145" s="254">
        <v>0.4</v>
      </c>
      <c r="F145" s="254">
        <f t="shared" si="5"/>
        <v>119.36</v>
      </c>
      <c r="G145" s="254">
        <f>F145</f>
        <v>119.36</v>
      </c>
      <c r="H145" s="254">
        <f t="shared" si="4"/>
        <v>0</v>
      </c>
      <c r="I145" s="251">
        <v>905756</v>
      </c>
      <c r="J145" s="258">
        <v>45670</v>
      </c>
    </row>
    <row r="146" spans="1:12" x14ac:dyDescent="0.2">
      <c r="A146" s="229">
        <v>145</v>
      </c>
      <c r="B146" s="229">
        <v>3337</v>
      </c>
      <c r="C146" s="231" t="s">
        <v>359</v>
      </c>
      <c r="D146" s="232">
        <v>280.39999999999998</v>
      </c>
      <c r="E146" s="233">
        <v>0.4</v>
      </c>
      <c r="F146" s="233">
        <f t="shared" si="5"/>
        <v>112.16</v>
      </c>
      <c r="G146" s="233"/>
      <c r="H146" s="233">
        <f t="shared" si="4"/>
        <v>112.16</v>
      </c>
      <c r="I146" s="229">
        <v>19344361</v>
      </c>
      <c r="J146" s="244"/>
    </row>
    <row r="147" spans="1:12" x14ac:dyDescent="0.2">
      <c r="A147" s="251">
        <v>146</v>
      </c>
      <c r="B147" s="251">
        <v>3338</v>
      </c>
      <c r="C147" s="252" t="s">
        <v>361</v>
      </c>
      <c r="D147" s="253">
        <v>364.9</v>
      </c>
      <c r="E147" s="254">
        <v>0.4</v>
      </c>
      <c r="F147" s="254">
        <f t="shared" si="5"/>
        <v>145.96</v>
      </c>
      <c r="G147" s="254">
        <f>94.06+48.5+3.4</f>
        <v>145.96</v>
      </c>
      <c r="H147" s="254">
        <f t="shared" si="4"/>
        <v>0</v>
      </c>
      <c r="I147" s="251">
        <v>1078791</v>
      </c>
      <c r="J147" s="258">
        <v>45624</v>
      </c>
      <c r="K147" s="294">
        <v>45630</v>
      </c>
      <c r="L147" s="294">
        <v>45658</v>
      </c>
    </row>
    <row r="148" spans="1:12" x14ac:dyDescent="0.2">
      <c r="A148" s="229">
        <v>147</v>
      </c>
      <c r="B148" s="229">
        <v>3340</v>
      </c>
      <c r="C148" s="231" t="s">
        <v>363</v>
      </c>
      <c r="D148" s="232">
        <v>284.89999999999998</v>
      </c>
      <c r="E148" s="233">
        <v>0.4</v>
      </c>
      <c r="F148" s="233">
        <f t="shared" si="5"/>
        <v>113.96</v>
      </c>
      <c r="G148" s="233"/>
      <c r="H148" s="233">
        <f t="shared" si="4"/>
        <v>113.96</v>
      </c>
      <c r="I148" s="229">
        <v>906355</v>
      </c>
      <c r="J148" s="244"/>
    </row>
    <row r="149" spans="1:12" x14ac:dyDescent="0.2">
      <c r="A149" s="251">
        <v>148</v>
      </c>
      <c r="B149" s="251">
        <v>3342</v>
      </c>
      <c r="C149" s="252" t="s">
        <v>366</v>
      </c>
      <c r="D149" s="253">
        <v>231.6</v>
      </c>
      <c r="E149" s="254">
        <v>0.4</v>
      </c>
      <c r="F149" s="254">
        <f t="shared" si="5"/>
        <v>92.64</v>
      </c>
      <c r="G149" s="254">
        <f>90.59+2.05</f>
        <v>92.64</v>
      </c>
      <c r="H149" s="254">
        <f t="shared" si="4"/>
        <v>0</v>
      </c>
      <c r="I149" s="251">
        <v>1779485</v>
      </c>
      <c r="J149" s="258">
        <v>45629</v>
      </c>
      <c r="K149" s="294">
        <v>45658</v>
      </c>
    </row>
    <row r="150" spans="1:12" x14ac:dyDescent="0.2">
      <c r="A150" s="251">
        <v>149</v>
      </c>
      <c r="B150" s="251">
        <v>3346</v>
      </c>
      <c r="C150" s="252" t="s">
        <v>368</v>
      </c>
      <c r="D150" s="253">
        <v>407.8</v>
      </c>
      <c r="E150" s="254">
        <v>0.4</v>
      </c>
      <c r="F150" s="254">
        <f t="shared" si="5"/>
        <v>163.12</v>
      </c>
      <c r="G150" s="254">
        <f>160.66+2.46</f>
        <v>163.12</v>
      </c>
      <c r="H150" s="254">
        <f t="shared" si="4"/>
        <v>0</v>
      </c>
      <c r="I150" s="251">
        <v>1586848</v>
      </c>
      <c r="J150" s="258">
        <v>45629</v>
      </c>
      <c r="K150" s="294">
        <v>45658</v>
      </c>
    </row>
    <row r="151" spans="1:12" x14ac:dyDescent="0.2">
      <c r="A151" s="251">
        <v>150</v>
      </c>
      <c r="B151" s="251">
        <v>3700</v>
      </c>
      <c r="C151" s="252" t="s">
        <v>27</v>
      </c>
      <c r="D151" s="253">
        <v>760</v>
      </c>
      <c r="E151" s="254">
        <v>0.4</v>
      </c>
      <c r="F151" s="254">
        <f t="shared" si="5"/>
        <v>304</v>
      </c>
      <c r="G151" s="254">
        <f>299.74+4.26</f>
        <v>304</v>
      </c>
      <c r="H151" s="254">
        <f t="shared" si="4"/>
        <v>0</v>
      </c>
      <c r="I151" s="251">
        <v>19729836</v>
      </c>
      <c r="J151" s="258">
        <v>45624</v>
      </c>
      <c r="K151" s="294">
        <v>45644</v>
      </c>
    </row>
    <row r="152" spans="1:12" x14ac:dyDescent="0.2">
      <c r="A152" s="251">
        <v>151</v>
      </c>
      <c r="B152" s="251">
        <v>3702</v>
      </c>
      <c r="C152" s="252" t="s">
        <v>370</v>
      </c>
      <c r="D152" s="253">
        <v>323.39999999999998</v>
      </c>
      <c r="E152" s="254">
        <v>0.4</v>
      </c>
      <c r="F152" s="254">
        <f t="shared" si="5"/>
        <v>129.35999999999999</v>
      </c>
      <c r="G152" s="254">
        <f>124.53+4.83</f>
        <v>129.36000000000001</v>
      </c>
      <c r="H152" s="254">
        <f t="shared" si="4"/>
        <v>0</v>
      </c>
      <c r="I152" s="293" t="s">
        <v>371</v>
      </c>
      <c r="J152" s="258">
        <v>45635</v>
      </c>
      <c r="K152" s="294">
        <v>45658</v>
      </c>
    </row>
    <row r="153" spans="1:12" x14ac:dyDescent="0.2">
      <c r="A153" s="251">
        <v>152</v>
      </c>
      <c r="B153" s="251">
        <v>3703</v>
      </c>
      <c r="C153" s="252" t="s">
        <v>373</v>
      </c>
      <c r="D153" s="253">
        <v>828.5</v>
      </c>
      <c r="E153" s="254">
        <v>0.4</v>
      </c>
      <c r="F153" s="254">
        <f t="shared" si="5"/>
        <v>331.40000000000003</v>
      </c>
      <c r="G153" s="254">
        <f>326.68+4.72</f>
        <v>331.40000000000003</v>
      </c>
      <c r="H153" s="254">
        <f t="shared" si="4"/>
        <v>0</v>
      </c>
      <c r="I153" s="251">
        <v>6332137</v>
      </c>
      <c r="J153" s="258">
        <v>45644</v>
      </c>
      <c r="K153" s="294">
        <v>45665</v>
      </c>
    </row>
    <row r="154" spans="1:12" x14ac:dyDescent="0.2">
      <c r="A154" s="229">
        <v>153</v>
      </c>
      <c r="B154" s="229">
        <v>3704</v>
      </c>
      <c r="C154" s="231" t="s">
        <v>375</v>
      </c>
      <c r="D154" s="239">
        <v>657</v>
      </c>
      <c r="E154" s="233">
        <v>0.4</v>
      </c>
      <c r="F154" s="233">
        <f t="shared" si="5"/>
        <v>262.8</v>
      </c>
      <c r="G154" s="233"/>
      <c r="H154" s="233">
        <f t="shared" si="4"/>
        <v>262.8</v>
      </c>
      <c r="I154" s="229">
        <v>730722</v>
      </c>
      <c r="J154" s="244"/>
    </row>
    <row r="155" spans="1:12" x14ac:dyDescent="0.2">
      <c r="A155" s="251">
        <v>154</v>
      </c>
      <c r="B155" s="251">
        <v>3705</v>
      </c>
      <c r="C155" s="252" t="s">
        <v>377</v>
      </c>
      <c r="D155" s="253">
        <v>295.3</v>
      </c>
      <c r="E155" s="254">
        <v>0.4</v>
      </c>
      <c r="F155" s="254">
        <f t="shared" si="5"/>
        <v>118.12</v>
      </c>
      <c r="G155" s="254">
        <f>115.37+2.75</f>
        <v>118.12</v>
      </c>
      <c r="H155" s="254">
        <f t="shared" si="4"/>
        <v>0</v>
      </c>
      <c r="I155" s="251">
        <v>738486</v>
      </c>
      <c r="J155" s="258">
        <v>45650</v>
      </c>
      <c r="K155" s="219" t="s">
        <v>861</v>
      </c>
    </row>
    <row r="156" spans="1:12" x14ac:dyDescent="0.2">
      <c r="A156" s="251">
        <v>155</v>
      </c>
      <c r="B156" s="251">
        <v>3706</v>
      </c>
      <c r="C156" s="252" t="s">
        <v>379</v>
      </c>
      <c r="D156" s="253">
        <v>286.89999999999998</v>
      </c>
      <c r="E156" s="254">
        <v>0.4</v>
      </c>
      <c r="F156" s="254">
        <f t="shared" si="5"/>
        <v>114.75999999999999</v>
      </c>
      <c r="G156" s="254">
        <f>114.21+0.55</f>
        <v>114.75999999999999</v>
      </c>
      <c r="H156" s="254">
        <f t="shared" si="4"/>
        <v>0</v>
      </c>
      <c r="I156" s="251">
        <v>8098795</v>
      </c>
      <c r="J156" s="258">
        <v>45650</v>
      </c>
      <c r="K156" s="219" t="s">
        <v>861</v>
      </c>
    </row>
    <row r="157" spans="1:12" x14ac:dyDescent="0.2">
      <c r="A157" s="284">
        <v>156</v>
      </c>
      <c r="B157" s="284">
        <v>3708</v>
      </c>
      <c r="C157" s="285" t="s">
        <v>381</v>
      </c>
      <c r="D157" s="286">
        <v>542.70000000000005</v>
      </c>
      <c r="E157" s="287">
        <v>0.4</v>
      </c>
      <c r="F157" s="287">
        <f t="shared" si="5"/>
        <v>217.08000000000004</v>
      </c>
      <c r="G157" s="287">
        <f>F157</f>
        <v>217.08000000000004</v>
      </c>
      <c r="H157" s="287">
        <f t="shared" si="4"/>
        <v>0</v>
      </c>
      <c r="I157" s="287">
        <v>5304255</v>
      </c>
      <c r="J157" s="290" t="s">
        <v>716</v>
      </c>
    </row>
    <row r="158" spans="1:12" x14ac:dyDescent="0.2">
      <c r="A158" s="229">
        <v>157</v>
      </c>
      <c r="B158" s="229">
        <v>3709</v>
      </c>
      <c r="C158" s="231" t="s">
        <v>384</v>
      </c>
      <c r="D158" s="239">
        <v>573.6</v>
      </c>
      <c r="E158" s="233">
        <v>0.4</v>
      </c>
      <c r="F158" s="233">
        <f t="shared" si="5"/>
        <v>229.44000000000003</v>
      </c>
      <c r="G158" s="233"/>
      <c r="H158" s="233">
        <f t="shared" si="4"/>
        <v>229.44000000000003</v>
      </c>
      <c r="I158" s="275" t="s">
        <v>385</v>
      </c>
      <c r="J158" s="244"/>
    </row>
    <row r="159" spans="1:12" x14ac:dyDescent="0.2">
      <c r="A159" s="251">
        <v>158</v>
      </c>
      <c r="B159" s="251">
        <v>3711</v>
      </c>
      <c r="C159" s="252" t="s">
        <v>387</v>
      </c>
      <c r="D159" s="253">
        <v>368.4</v>
      </c>
      <c r="E159" s="254">
        <v>0.4</v>
      </c>
      <c r="F159" s="254">
        <f t="shared" si="5"/>
        <v>147.35999999999999</v>
      </c>
      <c r="G159" s="254">
        <f>143.64+3.72</f>
        <v>147.35999999999999</v>
      </c>
      <c r="H159" s="254">
        <f t="shared" si="4"/>
        <v>0</v>
      </c>
      <c r="I159" s="293" t="s">
        <v>388</v>
      </c>
      <c r="J159" s="263" t="s">
        <v>798</v>
      </c>
      <c r="K159" s="294">
        <v>45662</v>
      </c>
    </row>
    <row r="160" spans="1:12" x14ac:dyDescent="0.2">
      <c r="A160" s="251">
        <v>159</v>
      </c>
      <c r="B160" s="251">
        <v>3712</v>
      </c>
      <c r="C160" s="252" t="s">
        <v>390</v>
      </c>
      <c r="D160" s="253">
        <v>213.1</v>
      </c>
      <c r="E160" s="254">
        <v>0.4</v>
      </c>
      <c r="F160" s="254">
        <f t="shared" si="5"/>
        <v>85.240000000000009</v>
      </c>
      <c r="G160" s="254">
        <f>84.73+0.51</f>
        <v>85.240000000000009</v>
      </c>
      <c r="H160" s="254">
        <f t="shared" si="4"/>
        <v>0</v>
      </c>
      <c r="I160" s="293" t="s">
        <v>391</v>
      </c>
      <c r="J160" s="258">
        <v>45627</v>
      </c>
      <c r="K160" s="294">
        <v>45658</v>
      </c>
    </row>
    <row r="161" spans="1:11" x14ac:dyDescent="0.2">
      <c r="A161" s="229">
        <v>160</v>
      </c>
      <c r="B161" s="229">
        <v>3713</v>
      </c>
      <c r="C161" s="231" t="s">
        <v>393</v>
      </c>
      <c r="D161" s="239">
        <v>304</v>
      </c>
      <c r="E161" s="233">
        <v>0.4</v>
      </c>
      <c r="F161" s="233">
        <f t="shared" si="5"/>
        <v>121.60000000000001</v>
      </c>
      <c r="G161" s="233"/>
      <c r="H161" s="233">
        <f t="shared" si="4"/>
        <v>121.60000000000001</v>
      </c>
      <c r="I161" s="275" t="s">
        <v>394</v>
      </c>
      <c r="J161" s="244"/>
    </row>
    <row r="162" spans="1:11" x14ac:dyDescent="0.2">
      <c r="A162" s="251">
        <v>161</v>
      </c>
      <c r="B162" s="251">
        <v>3716</v>
      </c>
      <c r="C162" s="252" t="s">
        <v>396</v>
      </c>
      <c r="D162" s="253">
        <v>593.1</v>
      </c>
      <c r="E162" s="254">
        <v>0.4</v>
      </c>
      <c r="F162" s="254">
        <f t="shared" si="5"/>
        <v>237.24</v>
      </c>
      <c r="G162" s="254">
        <f>237.112+0.128</f>
        <v>237.23999999999998</v>
      </c>
      <c r="H162" s="254">
        <f t="shared" si="4"/>
        <v>0</v>
      </c>
      <c r="I162" s="255" t="s">
        <v>397</v>
      </c>
      <c r="J162" s="258">
        <v>45637</v>
      </c>
      <c r="K162" s="294">
        <v>45658</v>
      </c>
    </row>
    <row r="163" spans="1:11" x14ac:dyDescent="0.2">
      <c r="A163" s="251">
        <v>162</v>
      </c>
      <c r="B163" s="251">
        <v>3717</v>
      </c>
      <c r="C163" s="252" t="s">
        <v>399</v>
      </c>
      <c r="D163" s="253">
        <v>634</v>
      </c>
      <c r="E163" s="254">
        <v>0.4</v>
      </c>
      <c r="F163" s="254">
        <f t="shared" si="5"/>
        <v>253.60000000000002</v>
      </c>
      <c r="G163" s="254">
        <v>252.85</v>
      </c>
      <c r="H163" s="254">
        <f t="shared" si="4"/>
        <v>0.75000000000002842</v>
      </c>
      <c r="I163" s="255" t="s">
        <v>400</v>
      </c>
      <c r="J163" s="258">
        <v>45652</v>
      </c>
    </row>
    <row r="164" spans="1:11" x14ac:dyDescent="0.2">
      <c r="A164" s="229">
        <v>163</v>
      </c>
      <c r="B164" s="229">
        <v>3718</v>
      </c>
      <c r="C164" s="231" t="s">
        <v>403</v>
      </c>
      <c r="D164" s="239">
        <v>93.9</v>
      </c>
      <c r="E164" s="233">
        <v>0.4</v>
      </c>
      <c r="F164" s="233">
        <f t="shared" si="5"/>
        <v>37.56</v>
      </c>
      <c r="G164" s="233"/>
      <c r="H164" s="233">
        <f t="shared" si="4"/>
        <v>37.56</v>
      </c>
      <c r="I164" s="275" t="s">
        <v>404</v>
      </c>
      <c r="J164" s="244"/>
    </row>
    <row r="165" spans="1:11" x14ac:dyDescent="0.2">
      <c r="A165" s="229">
        <v>164</v>
      </c>
      <c r="B165" s="229">
        <v>3719</v>
      </c>
      <c r="C165" s="231" t="s">
        <v>406</v>
      </c>
      <c r="D165" s="239">
        <v>285</v>
      </c>
      <c r="E165" s="233">
        <v>0.4</v>
      </c>
      <c r="F165" s="233">
        <f t="shared" si="5"/>
        <v>114</v>
      </c>
      <c r="G165" s="233"/>
      <c r="H165" s="233">
        <f t="shared" si="4"/>
        <v>114</v>
      </c>
      <c r="I165" s="275" t="s">
        <v>407</v>
      </c>
      <c r="J165" s="244"/>
    </row>
    <row r="166" spans="1:11" x14ac:dyDescent="0.2">
      <c r="A166" s="284">
        <v>165</v>
      </c>
      <c r="B166" s="284">
        <v>3720</v>
      </c>
      <c r="C166" s="285" t="s">
        <v>409</v>
      </c>
      <c r="D166" s="286">
        <v>388.3</v>
      </c>
      <c r="E166" s="287">
        <v>0.4</v>
      </c>
      <c r="F166" s="287">
        <f t="shared" si="5"/>
        <v>155.32000000000002</v>
      </c>
      <c r="G166" s="287">
        <f>F166</f>
        <v>155.32000000000002</v>
      </c>
      <c r="H166" s="287">
        <f t="shared" si="4"/>
        <v>0</v>
      </c>
      <c r="I166" s="288" t="s">
        <v>410</v>
      </c>
      <c r="J166" s="290" t="s">
        <v>716</v>
      </c>
    </row>
    <row r="167" spans="1:11" s="269" customFormat="1" x14ac:dyDescent="0.2">
      <c r="A167" s="251">
        <v>166</v>
      </c>
      <c r="B167" s="251">
        <v>3722</v>
      </c>
      <c r="C167" s="252" t="s">
        <v>412</v>
      </c>
      <c r="D167" s="253">
        <v>326.7</v>
      </c>
      <c r="E167" s="254">
        <v>0.4</v>
      </c>
      <c r="F167" s="254">
        <f t="shared" si="5"/>
        <v>130.68</v>
      </c>
      <c r="G167" s="254">
        <f>F167</f>
        <v>130.68</v>
      </c>
      <c r="H167" s="254">
        <f t="shared" si="4"/>
        <v>0</v>
      </c>
      <c r="I167" s="325" t="s">
        <v>413</v>
      </c>
      <c r="J167" s="258">
        <v>45691</v>
      </c>
    </row>
    <row r="168" spans="1:11" x14ac:dyDescent="0.2">
      <c r="A168" s="229">
        <v>167</v>
      </c>
      <c r="B168" s="229">
        <v>3723</v>
      </c>
      <c r="C168" s="231" t="s">
        <v>415</v>
      </c>
      <c r="D168" s="232">
        <v>238.7</v>
      </c>
      <c r="E168" s="233">
        <v>0.4</v>
      </c>
      <c r="F168" s="233">
        <f t="shared" si="5"/>
        <v>95.48</v>
      </c>
      <c r="G168" s="233"/>
      <c r="H168" s="233">
        <f t="shared" si="4"/>
        <v>95.48</v>
      </c>
      <c r="I168" s="230">
        <v>993752</v>
      </c>
      <c r="J168" s="244"/>
    </row>
    <row r="169" spans="1:11" x14ac:dyDescent="0.2">
      <c r="A169" s="251">
        <v>168</v>
      </c>
      <c r="B169" s="251">
        <v>3725</v>
      </c>
      <c r="C169" s="252" t="s">
        <v>297</v>
      </c>
      <c r="D169" s="253">
        <v>502.9</v>
      </c>
      <c r="E169" s="254">
        <v>0.4</v>
      </c>
      <c r="F169" s="254">
        <f t="shared" si="5"/>
        <v>201.16</v>
      </c>
      <c r="G169" s="254">
        <f>199.25+1.91</f>
        <v>201.16</v>
      </c>
      <c r="H169" s="254">
        <f t="shared" si="4"/>
        <v>0</v>
      </c>
      <c r="I169" s="321">
        <v>1648248</v>
      </c>
      <c r="J169" s="341">
        <v>45631</v>
      </c>
      <c r="K169" s="294">
        <v>45658</v>
      </c>
    </row>
    <row r="170" spans="1:11" x14ac:dyDescent="0.2">
      <c r="A170" s="251">
        <v>169</v>
      </c>
      <c r="B170" s="251">
        <v>3727</v>
      </c>
      <c r="C170" s="252" t="s">
        <v>419</v>
      </c>
      <c r="D170" s="253">
        <v>231</v>
      </c>
      <c r="E170" s="254">
        <v>0.4</v>
      </c>
      <c r="F170" s="254">
        <f t="shared" si="5"/>
        <v>92.4</v>
      </c>
      <c r="G170" s="254">
        <f>90.82+1.58</f>
        <v>92.399999999999991</v>
      </c>
      <c r="H170" s="254">
        <f t="shared" si="4"/>
        <v>0</v>
      </c>
      <c r="I170" s="293" t="s">
        <v>420</v>
      </c>
      <c r="J170" s="258">
        <v>45630</v>
      </c>
      <c r="K170" s="294">
        <v>45663</v>
      </c>
    </row>
    <row r="171" spans="1:11" x14ac:dyDescent="0.2">
      <c r="A171" s="251">
        <v>170</v>
      </c>
      <c r="B171" s="251">
        <v>3728</v>
      </c>
      <c r="C171" s="252" t="s">
        <v>422</v>
      </c>
      <c r="D171" s="253">
        <v>283.39999999999998</v>
      </c>
      <c r="E171" s="254">
        <v>0.4</v>
      </c>
      <c r="F171" s="254">
        <f t="shared" si="5"/>
        <v>113.36</v>
      </c>
      <c r="G171" s="254">
        <f>F171</f>
        <v>113.36</v>
      </c>
      <c r="H171" s="254">
        <f t="shared" si="4"/>
        <v>0</v>
      </c>
      <c r="I171" s="321">
        <v>25886784</v>
      </c>
      <c r="J171" s="341">
        <v>45663</v>
      </c>
    </row>
    <row r="172" spans="1:11" x14ac:dyDescent="0.2">
      <c r="A172" s="251">
        <v>171</v>
      </c>
      <c r="B172" s="251">
        <v>3729</v>
      </c>
      <c r="C172" s="252" t="s">
        <v>424</v>
      </c>
      <c r="D172" s="324">
        <v>184</v>
      </c>
      <c r="E172" s="254">
        <v>0.4</v>
      </c>
      <c r="F172" s="254">
        <f t="shared" si="5"/>
        <v>73.600000000000009</v>
      </c>
      <c r="G172" s="254">
        <f>72.74+0.86</f>
        <v>73.599999999999994</v>
      </c>
      <c r="H172" s="254">
        <f t="shared" si="4"/>
        <v>0</v>
      </c>
      <c r="I172" s="325" t="s">
        <v>425</v>
      </c>
      <c r="J172" s="258">
        <v>45644</v>
      </c>
      <c r="K172" s="294">
        <v>45658</v>
      </c>
    </row>
    <row r="173" spans="1:11" x14ac:dyDescent="0.2">
      <c r="A173" s="251">
        <v>172</v>
      </c>
      <c r="B173" s="251">
        <v>3730</v>
      </c>
      <c r="C173" s="252" t="s">
        <v>427</v>
      </c>
      <c r="D173" s="253">
        <v>424.8</v>
      </c>
      <c r="E173" s="254">
        <v>0.4</v>
      </c>
      <c r="F173" s="254">
        <f t="shared" si="5"/>
        <v>169.92000000000002</v>
      </c>
      <c r="G173" s="254">
        <f>167.2+2.72</f>
        <v>169.92</v>
      </c>
      <c r="H173" s="254">
        <f t="shared" si="4"/>
        <v>0</v>
      </c>
      <c r="I173" s="293" t="s">
        <v>428</v>
      </c>
      <c r="J173" s="258">
        <v>45629</v>
      </c>
      <c r="K173" s="294">
        <v>45658</v>
      </c>
    </row>
    <row r="174" spans="1:11" x14ac:dyDescent="0.2">
      <c r="A174" s="284">
        <v>173</v>
      </c>
      <c r="B174" s="284">
        <v>3731</v>
      </c>
      <c r="C174" s="285" t="s">
        <v>430</v>
      </c>
      <c r="D174" s="286">
        <v>630.70000000000005</v>
      </c>
      <c r="E174" s="287">
        <v>0.4</v>
      </c>
      <c r="F174" s="287">
        <f t="shared" si="5"/>
        <v>252.28000000000003</v>
      </c>
      <c r="G174" s="287">
        <f>F174</f>
        <v>252.28000000000003</v>
      </c>
      <c r="H174" s="287">
        <f t="shared" si="4"/>
        <v>0</v>
      </c>
      <c r="I174" s="371">
        <v>4640285</v>
      </c>
      <c r="J174" s="291">
        <v>45664</v>
      </c>
    </row>
    <row r="175" spans="1:11" x14ac:dyDescent="0.2">
      <c r="A175" s="229">
        <v>174</v>
      </c>
      <c r="B175" s="229">
        <v>3732</v>
      </c>
      <c r="C175" s="276" t="s">
        <v>791</v>
      </c>
      <c r="D175" s="239">
        <v>183.7</v>
      </c>
      <c r="E175" s="233">
        <v>0.4</v>
      </c>
      <c r="F175" s="233">
        <f t="shared" si="5"/>
        <v>73.48</v>
      </c>
      <c r="G175" s="233"/>
      <c r="H175" s="233">
        <f t="shared" si="4"/>
        <v>73.48</v>
      </c>
      <c r="I175" s="296">
        <v>194498</v>
      </c>
      <c r="J175" s="244"/>
    </row>
    <row r="176" spans="1:11" x14ac:dyDescent="0.2">
      <c r="A176" s="251">
        <v>175</v>
      </c>
      <c r="B176" s="251">
        <v>3733</v>
      </c>
      <c r="C176" s="252" t="s">
        <v>432</v>
      </c>
      <c r="D176" s="253">
        <v>114.6</v>
      </c>
      <c r="E176" s="254">
        <v>0.4</v>
      </c>
      <c r="F176" s="254">
        <f t="shared" si="5"/>
        <v>45.84</v>
      </c>
      <c r="G176" s="254">
        <f>41.98</f>
        <v>41.98</v>
      </c>
      <c r="H176" s="254">
        <f t="shared" si="4"/>
        <v>3.8600000000000065</v>
      </c>
      <c r="I176" s="327">
        <v>23270163</v>
      </c>
      <c r="J176" s="341">
        <v>45624</v>
      </c>
    </row>
    <row r="177" spans="1:11" x14ac:dyDescent="0.2">
      <c r="A177" s="229">
        <v>176</v>
      </c>
      <c r="B177" s="229">
        <v>3734</v>
      </c>
      <c r="C177" s="231" t="s">
        <v>434</v>
      </c>
      <c r="D177" s="239">
        <v>450</v>
      </c>
      <c r="E177" s="233">
        <v>0.4</v>
      </c>
      <c r="F177" s="233">
        <f t="shared" si="5"/>
        <v>180</v>
      </c>
      <c r="G177" s="233"/>
      <c r="H177" s="233">
        <f t="shared" si="4"/>
        <v>180</v>
      </c>
      <c r="I177" s="240">
        <v>6680216</v>
      </c>
      <c r="J177" s="244"/>
    </row>
    <row r="178" spans="1:11" x14ac:dyDescent="0.2">
      <c r="A178" s="229">
        <v>177</v>
      </c>
      <c r="B178" s="229">
        <v>3735</v>
      </c>
      <c r="C178" s="231" t="s">
        <v>436</v>
      </c>
      <c r="D178" s="239">
        <v>271.8</v>
      </c>
      <c r="E178" s="233">
        <v>0.4</v>
      </c>
      <c r="F178" s="233">
        <f t="shared" si="5"/>
        <v>108.72000000000001</v>
      </c>
      <c r="G178" s="233"/>
      <c r="H178" s="233">
        <f t="shared" si="4"/>
        <v>108.72000000000001</v>
      </c>
      <c r="I178" s="240">
        <v>19952467</v>
      </c>
      <c r="J178" s="244"/>
    </row>
    <row r="179" spans="1:11" x14ac:dyDescent="0.2">
      <c r="A179" s="229">
        <v>178</v>
      </c>
      <c r="B179" s="229">
        <v>3739</v>
      </c>
      <c r="C179" s="276" t="s">
        <v>438</v>
      </c>
      <c r="D179" s="239">
        <v>167.2</v>
      </c>
      <c r="E179" s="233">
        <v>0.4</v>
      </c>
      <c r="F179" s="233">
        <f t="shared" si="5"/>
        <v>66.88</v>
      </c>
      <c r="G179" s="233"/>
      <c r="H179" s="233">
        <f t="shared" si="4"/>
        <v>66.88</v>
      </c>
      <c r="I179" s="296">
        <v>22187694</v>
      </c>
      <c r="J179" s="244"/>
    </row>
    <row r="180" spans="1:11" x14ac:dyDescent="0.2">
      <c r="A180" s="251">
        <v>179</v>
      </c>
      <c r="B180" s="251">
        <v>3740</v>
      </c>
      <c r="C180" s="252" t="s">
        <v>440</v>
      </c>
      <c r="D180" s="253">
        <v>596.20000000000005</v>
      </c>
      <c r="E180" s="254">
        <v>0.4</v>
      </c>
      <c r="F180" s="254">
        <f t="shared" si="5"/>
        <v>238.48000000000002</v>
      </c>
      <c r="G180" s="254">
        <f>235.57+2.91</f>
        <v>238.48</v>
      </c>
      <c r="H180" s="254">
        <f t="shared" si="4"/>
        <v>0</v>
      </c>
      <c r="I180" s="255">
        <v>25472616</v>
      </c>
      <c r="J180" s="258">
        <v>45642</v>
      </c>
      <c r="K180" s="294">
        <v>45670</v>
      </c>
    </row>
    <row r="181" spans="1:11" x14ac:dyDescent="0.2">
      <c r="A181" s="251">
        <v>180</v>
      </c>
      <c r="B181" s="251">
        <v>3742</v>
      </c>
      <c r="C181" s="252" t="s">
        <v>442</v>
      </c>
      <c r="D181" s="253">
        <v>159.4</v>
      </c>
      <c r="E181" s="254">
        <v>0.4</v>
      </c>
      <c r="F181" s="254">
        <f t="shared" si="5"/>
        <v>63.760000000000005</v>
      </c>
      <c r="G181" s="254">
        <f>61.9</f>
        <v>61.9</v>
      </c>
      <c r="H181" s="254">
        <f t="shared" si="4"/>
        <v>1.8600000000000065</v>
      </c>
      <c r="I181" s="327">
        <v>1930281</v>
      </c>
      <c r="J181" s="258">
        <v>45691</v>
      </c>
    </row>
    <row r="182" spans="1:11" x14ac:dyDescent="0.2">
      <c r="A182" s="229">
        <v>181</v>
      </c>
      <c r="B182" s="229">
        <v>3743</v>
      </c>
      <c r="C182" s="231" t="s">
        <v>444</v>
      </c>
      <c r="D182" s="239">
        <v>589.6</v>
      </c>
      <c r="E182" s="233">
        <v>0.4</v>
      </c>
      <c r="F182" s="233">
        <f t="shared" si="5"/>
        <v>235.84000000000003</v>
      </c>
      <c r="G182" s="233"/>
      <c r="H182" s="233">
        <f t="shared" si="4"/>
        <v>235.84000000000003</v>
      </c>
      <c r="I182" s="240">
        <v>599336</v>
      </c>
      <c r="J182" s="244"/>
    </row>
    <row r="183" spans="1:11" x14ac:dyDescent="0.2">
      <c r="A183" s="251">
        <v>182</v>
      </c>
      <c r="B183" s="251">
        <v>3745</v>
      </c>
      <c r="C183" s="252" t="s">
        <v>446</v>
      </c>
      <c r="D183" s="253">
        <v>109.6</v>
      </c>
      <c r="E183" s="254">
        <v>0.4</v>
      </c>
      <c r="F183" s="254">
        <f t="shared" si="5"/>
        <v>43.84</v>
      </c>
      <c r="G183" s="254">
        <f>41.03+2.81</f>
        <v>43.84</v>
      </c>
      <c r="H183" s="254">
        <f t="shared" si="4"/>
        <v>0</v>
      </c>
      <c r="I183" s="255">
        <v>2199772</v>
      </c>
      <c r="J183" s="258">
        <v>45624</v>
      </c>
      <c r="K183" s="294">
        <v>45658</v>
      </c>
    </row>
    <row r="184" spans="1:11" x14ac:dyDescent="0.2">
      <c r="A184" s="251">
        <v>183</v>
      </c>
      <c r="B184" s="251">
        <v>3746</v>
      </c>
      <c r="C184" s="252" t="s">
        <v>448</v>
      </c>
      <c r="D184" s="253">
        <v>371</v>
      </c>
      <c r="E184" s="254">
        <v>0.4</v>
      </c>
      <c r="F184" s="254">
        <f t="shared" si="5"/>
        <v>148.4</v>
      </c>
      <c r="G184" s="254">
        <f>147.83+0.57</f>
        <v>148.4</v>
      </c>
      <c r="H184" s="254">
        <f t="shared" si="4"/>
        <v>0</v>
      </c>
      <c r="I184" s="255">
        <v>21973713</v>
      </c>
      <c r="J184" s="258">
        <v>45650</v>
      </c>
      <c r="K184" s="294">
        <v>45663</v>
      </c>
    </row>
    <row r="185" spans="1:11" x14ac:dyDescent="0.2">
      <c r="A185" s="229">
        <v>184</v>
      </c>
      <c r="B185" s="229">
        <v>3748</v>
      </c>
      <c r="C185" s="231" t="s">
        <v>450</v>
      </c>
      <c r="D185" s="239">
        <v>207.9</v>
      </c>
      <c r="E185" s="233">
        <v>0.4</v>
      </c>
      <c r="F185" s="233">
        <f t="shared" si="5"/>
        <v>83.160000000000011</v>
      </c>
      <c r="G185" s="233"/>
      <c r="H185" s="233">
        <f t="shared" si="4"/>
        <v>83.160000000000011</v>
      </c>
      <c r="I185" s="240">
        <v>18620918</v>
      </c>
      <c r="J185" s="244"/>
    </row>
    <row r="186" spans="1:11" s="368" customFormat="1" x14ac:dyDescent="0.2">
      <c r="A186" s="360">
        <v>185</v>
      </c>
      <c r="B186" s="360">
        <v>3750</v>
      </c>
      <c r="C186" s="361" t="s">
        <v>452</v>
      </c>
      <c r="D186" s="362">
        <v>253.6</v>
      </c>
      <c r="E186" s="363">
        <v>0.4</v>
      </c>
      <c r="F186" s="363">
        <f t="shared" si="5"/>
        <v>101.44</v>
      </c>
      <c r="G186" s="363">
        <f>F186</f>
        <v>101.44</v>
      </c>
      <c r="H186" s="363">
        <f t="shared" si="4"/>
        <v>0</v>
      </c>
      <c r="I186" s="364">
        <v>939641</v>
      </c>
      <c r="J186" s="369" t="s">
        <v>811</v>
      </c>
    </row>
    <row r="187" spans="1:11" x14ac:dyDescent="0.2">
      <c r="A187" s="251">
        <v>186</v>
      </c>
      <c r="B187" s="251">
        <v>3751</v>
      </c>
      <c r="C187" s="252" t="s">
        <v>454</v>
      </c>
      <c r="D187" s="253">
        <v>997.7</v>
      </c>
      <c r="E187" s="254">
        <v>0.4</v>
      </c>
      <c r="F187" s="254">
        <f t="shared" si="5"/>
        <v>399.08000000000004</v>
      </c>
      <c r="G187" s="254">
        <f>398.37+0.71</f>
        <v>399.08</v>
      </c>
      <c r="H187" s="254">
        <f t="shared" si="4"/>
        <v>0</v>
      </c>
      <c r="I187" s="251">
        <v>2116627</v>
      </c>
      <c r="J187" s="258">
        <v>45650</v>
      </c>
      <c r="K187" s="294">
        <v>45665</v>
      </c>
    </row>
    <row r="188" spans="1:11" x14ac:dyDescent="0.2">
      <c r="A188" s="229">
        <v>187</v>
      </c>
      <c r="B188" s="229">
        <v>3752</v>
      </c>
      <c r="C188" s="231" t="s">
        <v>456</v>
      </c>
      <c r="D188" s="239">
        <v>329.8</v>
      </c>
      <c r="E188" s="233">
        <v>0.4</v>
      </c>
      <c r="F188" s="233">
        <f t="shared" si="5"/>
        <v>131.92000000000002</v>
      </c>
      <c r="G188" s="233"/>
      <c r="H188" s="233">
        <f t="shared" si="4"/>
        <v>131.92000000000002</v>
      </c>
      <c r="I188" s="240">
        <v>2789493</v>
      </c>
      <c r="J188" s="244"/>
    </row>
    <row r="189" spans="1:11" x14ac:dyDescent="0.2">
      <c r="A189" s="251">
        <v>188</v>
      </c>
      <c r="B189" s="251">
        <v>3753</v>
      </c>
      <c r="C189" s="252" t="s">
        <v>458</v>
      </c>
      <c r="D189" s="253">
        <v>279.2</v>
      </c>
      <c r="E189" s="254">
        <v>0.4</v>
      </c>
      <c r="F189" s="254">
        <f t="shared" si="5"/>
        <v>111.68</v>
      </c>
      <c r="G189" s="254">
        <f>107.38+4.3</f>
        <v>111.67999999999999</v>
      </c>
      <c r="H189" s="254">
        <f t="shared" si="4"/>
        <v>0</v>
      </c>
      <c r="I189" s="255">
        <v>13938302</v>
      </c>
      <c r="J189" s="258">
        <v>45630</v>
      </c>
      <c r="K189" s="294">
        <v>45663</v>
      </c>
    </row>
    <row r="190" spans="1:11" x14ac:dyDescent="0.2">
      <c r="A190" s="229">
        <v>189</v>
      </c>
      <c r="B190" s="229">
        <v>3754</v>
      </c>
      <c r="C190" s="231" t="s">
        <v>460</v>
      </c>
      <c r="D190" s="239">
        <v>652.1</v>
      </c>
      <c r="E190" s="233">
        <v>0.4</v>
      </c>
      <c r="F190" s="233">
        <f t="shared" si="5"/>
        <v>260.84000000000003</v>
      </c>
      <c r="G190" s="233"/>
      <c r="H190" s="233">
        <f t="shared" si="4"/>
        <v>260.84000000000003</v>
      </c>
      <c r="I190" s="240">
        <v>443075</v>
      </c>
      <c r="J190" s="244"/>
    </row>
    <row r="191" spans="1:11" x14ac:dyDescent="0.2">
      <c r="A191" s="251">
        <v>190</v>
      </c>
      <c r="B191" s="251">
        <v>3755</v>
      </c>
      <c r="C191" s="252" t="s">
        <v>462</v>
      </c>
      <c r="D191" s="253">
        <v>601.79999999999995</v>
      </c>
      <c r="E191" s="254">
        <v>0.4</v>
      </c>
      <c r="F191" s="254">
        <f t="shared" si="5"/>
        <v>240.72</v>
      </c>
      <c r="G191" s="254">
        <f>F191</f>
        <v>240.72</v>
      </c>
      <c r="H191" s="254">
        <f t="shared" si="4"/>
        <v>0</v>
      </c>
      <c r="I191" s="255">
        <v>15536654</v>
      </c>
      <c r="J191" s="258">
        <v>45658</v>
      </c>
    </row>
    <row r="192" spans="1:11" x14ac:dyDescent="0.2">
      <c r="A192" s="251">
        <v>191</v>
      </c>
      <c r="B192" s="251">
        <v>3756</v>
      </c>
      <c r="C192" s="252" t="s">
        <v>464</v>
      </c>
      <c r="D192" s="253">
        <v>271.8</v>
      </c>
      <c r="E192" s="254">
        <v>0.4</v>
      </c>
      <c r="F192" s="254">
        <f t="shared" si="5"/>
        <v>108.72000000000001</v>
      </c>
      <c r="G192" s="254">
        <f>F192</f>
        <v>108.72000000000001</v>
      </c>
      <c r="H192" s="254">
        <f t="shared" si="4"/>
        <v>0</v>
      </c>
      <c r="I192" s="255">
        <v>630458</v>
      </c>
      <c r="J192" s="258">
        <v>45685</v>
      </c>
    </row>
    <row r="193" spans="1:11" x14ac:dyDescent="0.2">
      <c r="A193" s="251">
        <v>192</v>
      </c>
      <c r="B193" s="251">
        <v>3757</v>
      </c>
      <c r="C193" s="252" t="s">
        <v>466</v>
      </c>
      <c r="D193" s="253">
        <v>331</v>
      </c>
      <c r="E193" s="254">
        <v>0.4</v>
      </c>
      <c r="F193" s="254">
        <f t="shared" si="5"/>
        <v>132.4</v>
      </c>
      <c r="G193" s="254">
        <f>F193</f>
        <v>132.4</v>
      </c>
      <c r="H193" s="254">
        <f t="shared" si="4"/>
        <v>0</v>
      </c>
      <c r="I193" s="255">
        <v>729973</v>
      </c>
      <c r="J193" s="258">
        <v>45691</v>
      </c>
    </row>
    <row r="194" spans="1:11" x14ac:dyDescent="0.2">
      <c r="A194" s="251">
        <v>193</v>
      </c>
      <c r="B194" s="251">
        <v>3758</v>
      </c>
      <c r="C194" s="252" t="s">
        <v>468</v>
      </c>
      <c r="D194" s="253">
        <v>330</v>
      </c>
      <c r="E194" s="254">
        <v>0.4</v>
      </c>
      <c r="F194" s="254">
        <f t="shared" si="5"/>
        <v>132</v>
      </c>
      <c r="G194" s="254">
        <f>131+1</f>
        <v>132</v>
      </c>
      <c r="H194" s="254">
        <f t="shared" si="4"/>
        <v>0</v>
      </c>
      <c r="I194" s="255">
        <v>18899068</v>
      </c>
      <c r="J194" s="258">
        <v>45642</v>
      </c>
      <c r="K194" s="294">
        <v>45665</v>
      </c>
    </row>
    <row r="195" spans="1:11" x14ac:dyDescent="0.2">
      <c r="A195" s="251">
        <v>194</v>
      </c>
      <c r="B195" s="251">
        <v>3759</v>
      </c>
      <c r="C195" s="252" t="s">
        <v>774</v>
      </c>
      <c r="D195" s="253">
        <v>330</v>
      </c>
      <c r="E195" s="254">
        <v>0.4</v>
      </c>
      <c r="F195" s="254">
        <f t="shared" si="5"/>
        <v>132</v>
      </c>
      <c r="G195" s="254">
        <f>131.28+0.72</f>
        <v>132</v>
      </c>
      <c r="H195" s="254">
        <f t="shared" ref="H195:H258" si="6">F195-G195</f>
        <v>0</v>
      </c>
      <c r="I195" s="255">
        <v>5634282</v>
      </c>
      <c r="J195" s="258">
        <v>45650</v>
      </c>
      <c r="K195" s="294">
        <v>45665</v>
      </c>
    </row>
    <row r="196" spans="1:11" x14ac:dyDescent="0.2">
      <c r="A196" s="251">
        <v>195</v>
      </c>
      <c r="B196" s="251">
        <v>3760</v>
      </c>
      <c r="C196" s="252" t="s">
        <v>470</v>
      </c>
      <c r="D196" s="253">
        <v>300.39999999999998</v>
      </c>
      <c r="E196" s="254">
        <v>0.4</v>
      </c>
      <c r="F196" s="254">
        <f t="shared" si="5"/>
        <v>120.16</v>
      </c>
      <c r="G196" s="254">
        <f>117.39+2.77</f>
        <v>120.16</v>
      </c>
      <c r="H196" s="254">
        <f t="shared" si="6"/>
        <v>0</v>
      </c>
      <c r="I196" s="255">
        <v>19531566</v>
      </c>
      <c r="J196" s="258">
        <v>45635</v>
      </c>
      <c r="K196" s="294">
        <v>45670</v>
      </c>
    </row>
    <row r="197" spans="1:11" x14ac:dyDescent="0.2">
      <c r="A197" s="251">
        <v>196</v>
      </c>
      <c r="B197" s="251">
        <v>3762</v>
      </c>
      <c r="C197" s="252" t="s">
        <v>472</v>
      </c>
      <c r="D197" s="253">
        <v>352.6</v>
      </c>
      <c r="E197" s="254">
        <v>0.4</v>
      </c>
      <c r="F197" s="254">
        <f t="shared" si="5"/>
        <v>141.04000000000002</v>
      </c>
      <c r="G197" s="254">
        <f>139.57+1.47</f>
        <v>141.04</v>
      </c>
      <c r="H197" s="254">
        <f t="shared" si="6"/>
        <v>0</v>
      </c>
      <c r="I197" s="255">
        <v>15664101</v>
      </c>
      <c r="J197" s="258">
        <v>45629</v>
      </c>
      <c r="K197" s="294">
        <v>45658</v>
      </c>
    </row>
    <row r="198" spans="1:11" x14ac:dyDescent="0.2">
      <c r="A198" s="229">
        <v>197</v>
      </c>
      <c r="B198" s="229">
        <v>3764</v>
      </c>
      <c r="C198" s="231" t="s">
        <v>474</v>
      </c>
      <c r="D198" s="239">
        <v>765.4</v>
      </c>
      <c r="E198" s="233">
        <v>0.4</v>
      </c>
      <c r="F198" s="233">
        <f t="shared" ref="F198:F263" si="7">E198*D198</f>
        <v>306.16000000000003</v>
      </c>
      <c r="G198" s="233"/>
      <c r="H198" s="233">
        <f t="shared" si="6"/>
        <v>306.16000000000003</v>
      </c>
      <c r="I198" s="240">
        <v>1996843</v>
      </c>
      <c r="J198" s="244"/>
    </row>
    <row r="199" spans="1:11" x14ac:dyDescent="0.2">
      <c r="A199" s="251">
        <v>198</v>
      </c>
      <c r="B199" s="251">
        <v>3765</v>
      </c>
      <c r="C199" s="252" t="s">
        <v>31</v>
      </c>
      <c r="D199" s="253">
        <v>703</v>
      </c>
      <c r="E199" s="254">
        <v>0.4</v>
      </c>
      <c r="F199" s="254">
        <f t="shared" si="7"/>
        <v>281.2</v>
      </c>
      <c r="G199" s="254">
        <f>279.65+1.55</f>
        <v>281.2</v>
      </c>
      <c r="H199" s="254">
        <f t="shared" si="6"/>
        <v>0</v>
      </c>
      <c r="I199" s="255">
        <v>19752023</v>
      </c>
      <c r="J199" s="258">
        <v>45663</v>
      </c>
      <c r="K199" s="294">
        <v>45691</v>
      </c>
    </row>
    <row r="200" spans="1:11" x14ac:dyDescent="0.2">
      <c r="A200" s="251">
        <v>199</v>
      </c>
      <c r="B200" s="251">
        <v>3766</v>
      </c>
      <c r="C200" s="252" t="s">
        <v>476</v>
      </c>
      <c r="D200" s="253">
        <v>291.8</v>
      </c>
      <c r="E200" s="254">
        <v>0.4</v>
      </c>
      <c r="F200" s="254">
        <f t="shared" si="7"/>
        <v>116.72000000000001</v>
      </c>
      <c r="G200" s="254">
        <f>113.33+3.39</f>
        <v>116.72</v>
      </c>
      <c r="H200" s="254">
        <f t="shared" si="6"/>
        <v>0</v>
      </c>
      <c r="I200" s="255">
        <v>5729117</v>
      </c>
      <c r="J200" s="258">
        <v>45685</v>
      </c>
      <c r="K200" s="219" t="s">
        <v>893</v>
      </c>
    </row>
    <row r="201" spans="1:11" s="398" customFormat="1" x14ac:dyDescent="0.2">
      <c r="A201" s="392">
        <v>200</v>
      </c>
      <c r="B201" s="392">
        <v>3767</v>
      </c>
      <c r="C201" s="393" t="s">
        <v>478</v>
      </c>
      <c r="D201" s="394">
        <v>1188</v>
      </c>
      <c r="E201" s="395">
        <v>0.4</v>
      </c>
      <c r="F201" s="395">
        <f t="shared" si="7"/>
        <v>475.20000000000005</v>
      </c>
      <c r="G201" s="395">
        <f>F201</f>
        <v>475.20000000000005</v>
      </c>
      <c r="H201" s="395">
        <f t="shared" si="6"/>
        <v>0</v>
      </c>
      <c r="I201" s="396">
        <v>971428</v>
      </c>
      <c r="J201" s="397" t="s">
        <v>816</v>
      </c>
    </row>
    <row r="202" spans="1:11" x14ac:dyDescent="0.2">
      <c r="A202" s="251">
        <v>201</v>
      </c>
      <c r="B202" s="251">
        <v>3768</v>
      </c>
      <c r="C202" s="252" t="s">
        <v>480</v>
      </c>
      <c r="D202" s="253">
        <v>286</v>
      </c>
      <c r="E202" s="254">
        <v>0.4</v>
      </c>
      <c r="F202" s="254">
        <f t="shared" si="7"/>
        <v>114.4</v>
      </c>
      <c r="G202" s="254">
        <f>113.08+1.32</f>
        <v>114.39999999999999</v>
      </c>
      <c r="H202" s="254">
        <f t="shared" si="6"/>
        <v>0</v>
      </c>
      <c r="I202" s="255">
        <v>21349024</v>
      </c>
      <c r="J202" s="258">
        <v>45629</v>
      </c>
      <c r="K202" s="258">
        <v>45658</v>
      </c>
    </row>
    <row r="203" spans="1:11" x14ac:dyDescent="0.2">
      <c r="A203" s="251">
        <v>202</v>
      </c>
      <c r="B203" s="251">
        <v>3769</v>
      </c>
      <c r="C203" s="252" t="s">
        <v>482</v>
      </c>
      <c r="D203" s="253">
        <v>520.4</v>
      </c>
      <c r="E203" s="254">
        <v>0.4</v>
      </c>
      <c r="F203" s="254">
        <f t="shared" si="7"/>
        <v>208.16</v>
      </c>
      <c r="G203" s="254">
        <f>203.7+4.46</f>
        <v>208.16</v>
      </c>
      <c r="H203" s="254">
        <f t="shared" si="6"/>
        <v>0</v>
      </c>
      <c r="I203" s="255">
        <v>24915633</v>
      </c>
      <c r="J203" s="258">
        <v>45629</v>
      </c>
      <c r="K203" s="294">
        <v>45665</v>
      </c>
    </row>
    <row r="204" spans="1:11" x14ac:dyDescent="0.2">
      <c r="A204" s="229">
        <v>203</v>
      </c>
      <c r="B204" s="229">
        <v>3770</v>
      </c>
      <c r="C204" s="231" t="s">
        <v>33</v>
      </c>
      <c r="D204" s="239">
        <v>226.6</v>
      </c>
      <c r="E204" s="233">
        <v>0.4</v>
      </c>
      <c r="F204" s="233">
        <f t="shared" si="7"/>
        <v>90.64</v>
      </c>
      <c r="G204" s="233"/>
      <c r="H204" s="233">
        <f t="shared" si="6"/>
        <v>90.64</v>
      </c>
      <c r="I204" s="240">
        <v>7198036</v>
      </c>
      <c r="J204" s="244"/>
    </row>
    <row r="205" spans="1:11" x14ac:dyDescent="0.2">
      <c r="A205" s="284">
        <v>204</v>
      </c>
      <c r="B205" s="284">
        <v>3771</v>
      </c>
      <c r="C205" s="285" t="s">
        <v>484</v>
      </c>
      <c r="D205" s="286">
        <v>607.29999999999995</v>
      </c>
      <c r="E205" s="287">
        <v>0.4</v>
      </c>
      <c r="F205" s="287">
        <f t="shared" si="7"/>
        <v>242.92</v>
      </c>
      <c r="G205" s="287">
        <f>F205</f>
        <v>242.92</v>
      </c>
      <c r="H205" s="287">
        <f t="shared" si="6"/>
        <v>0</v>
      </c>
      <c r="I205" s="300">
        <v>1977962</v>
      </c>
      <c r="J205" s="290" t="s">
        <v>716</v>
      </c>
    </row>
    <row r="206" spans="1:11" x14ac:dyDescent="0.2">
      <c r="A206" s="229">
        <v>205</v>
      </c>
      <c r="B206" s="229">
        <v>3772</v>
      </c>
      <c r="C206" s="231" t="s">
        <v>486</v>
      </c>
      <c r="D206" s="239">
        <v>314.89999999999998</v>
      </c>
      <c r="E206" s="233">
        <v>0.4</v>
      </c>
      <c r="F206" s="233">
        <f t="shared" si="7"/>
        <v>125.96</v>
      </c>
      <c r="G206" s="233"/>
      <c r="H206" s="233">
        <f t="shared" si="6"/>
        <v>125.96</v>
      </c>
      <c r="I206" s="240">
        <v>6419804</v>
      </c>
      <c r="J206" s="244"/>
    </row>
    <row r="207" spans="1:11" x14ac:dyDescent="0.2">
      <c r="A207" s="229">
        <v>206</v>
      </c>
      <c r="B207" s="229">
        <v>3773</v>
      </c>
      <c r="C207" s="231" t="s">
        <v>488</v>
      </c>
      <c r="D207" s="239">
        <v>353.2</v>
      </c>
      <c r="E207" s="233">
        <v>0.4</v>
      </c>
      <c r="F207" s="233">
        <f t="shared" si="7"/>
        <v>141.28</v>
      </c>
      <c r="G207" s="233"/>
      <c r="H207" s="233">
        <f t="shared" si="6"/>
        <v>141.28</v>
      </c>
      <c r="I207" s="240">
        <v>2023936</v>
      </c>
      <c r="J207" s="244"/>
    </row>
    <row r="208" spans="1:11" x14ac:dyDescent="0.2">
      <c r="A208" s="251">
        <v>207</v>
      </c>
      <c r="B208" s="251">
        <v>3774</v>
      </c>
      <c r="C208" s="252" t="s">
        <v>490</v>
      </c>
      <c r="D208" s="253">
        <v>262.89999999999998</v>
      </c>
      <c r="E208" s="254">
        <v>0.4</v>
      </c>
      <c r="F208" s="254">
        <f t="shared" si="7"/>
        <v>105.16</v>
      </c>
      <c r="G208" s="254">
        <f>101.04+4.12</f>
        <v>105.16000000000001</v>
      </c>
      <c r="H208" s="254">
        <f t="shared" si="6"/>
        <v>0</v>
      </c>
      <c r="I208" s="255">
        <v>889849</v>
      </c>
      <c r="J208" s="258">
        <v>45624</v>
      </c>
      <c r="K208" s="294">
        <v>45644</v>
      </c>
    </row>
    <row r="209" spans="1:11" x14ac:dyDescent="0.2">
      <c r="A209" s="251">
        <v>208</v>
      </c>
      <c r="B209" s="251">
        <v>3775</v>
      </c>
      <c r="C209" s="252" t="s">
        <v>492</v>
      </c>
      <c r="D209" s="253">
        <v>206</v>
      </c>
      <c r="E209" s="254">
        <v>0.4</v>
      </c>
      <c r="F209" s="254">
        <f t="shared" si="7"/>
        <v>82.4</v>
      </c>
      <c r="G209" s="254">
        <f>78.49+3.91</f>
        <v>82.399999999999991</v>
      </c>
      <c r="H209" s="254">
        <f t="shared" si="6"/>
        <v>0</v>
      </c>
      <c r="I209" s="255">
        <v>7198074</v>
      </c>
      <c r="J209" s="258">
        <v>45635</v>
      </c>
      <c r="K209" s="294">
        <v>45670</v>
      </c>
    </row>
    <row r="210" spans="1:11" x14ac:dyDescent="0.2">
      <c r="A210" s="229">
        <v>209</v>
      </c>
      <c r="B210" s="229">
        <v>3776</v>
      </c>
      <c r="C210" s="231" t="s">
        <v>494</v>
      </c>
      <c r="D210" s="239">
        <v>305.2</v>
      </c>
      <c r="E210" s="233">
        <v>0.4</v>
      </c>
      <c r="F210" s="233">
        <f t="shared" si="7"/>
        <v>122.08</v>
      </c>
      <c r="G210" s="233"/>
      <c r="H210" s="233">
        <f t="shared" si="6"/>
        <v>122.08</v>
      </c>
      <c r="I210" s="240">
        <v>5530783</v>
      </c>
      <c r="J210" s="244"/>
    </row>
    <row r="211" spans="1:11" x14ac:dyDescent="0.2">
      <c r="A211" s="229">
        <v>210</v>
      </c>
      <c r="B211" s="229">
        <v>3777</v>
      </c>
      <c r="C211" s="231" t="s">
        <v>496</v>
      </c>
      <c r="D211" s="239">
        <v>747</v>
      </c>
      <c r="E211" s="233">
        <v>0.4</v>
      </c>
      <c r="F211" s="233">
        <f t="shared" si="7"/>
        <v>298.8</v>
      </c>
      <c r="G211" s="233"/>
      <c r="H211" s="233">
        <f t="shared" si="6"/>
        <v>298.8</v>
      </c>
      <c r="I211" s="240">
        <v>6538875</v>
      </c>
      <c r="J211" s="244"/>
    </row>
    <row r="212" spans="1:11" x14ac:dyDescent="0.2">
      <c r="A212" s="251">
        <v>211</v>
      </c>
      <c r="B212" s="251">
        <v>3778</v>
      </c>
      <c r="C212" s="252" t="s">
        <v>498</v>
      </c>
      <c r="D212" s="253">
        <v>418.6</v>
      </c>
      <c r="E212" s="254">
        <v>0.4</v>
      </c>
      <c r="F212" s="254">
        <f t="shared" si="7"/>
        <v>167.44000000000003</v>
      </c>
      <c r="G212" s="254">
        <f>163.91+3.53</f>
        <v>167.44</v>
      </c>
      <c r="H212" s="254">
        <f t="shared" si="6"/>
        <v>0</v>
      </c>
      <c r="I212" s="255">
        <v>1481822</v>
      </c>
      <c r="J212" s="258">
        <v>45635</v>
      </c>
      <c r="K212" s="294">
        <v>45658</v>
      </c>
    </row>
    <row r="213" spans="1:11" x14ac:dyDescent="0.2">
      <c r="A213" s="251">
        <v>212</v>
      </c>
      <c r="B213" s="251">
        <v>3781</v>
      </c>
      <c r="C213" s="252" t="s">
        <v>500</v>
      </c>
      <c r="D213" s="253">
        <v>571.4</v>
      </c>
      <c r="E213" s="254">
        <v>0.4</v>
      </c>
      <c r="F213" s="254">
        <f t="shared" si="7"/>
        <v>228.56</v>
      </c>
      <c r="G213" s="254">
        <f>225.723+2.837</f>
        <v>228.56</v>
      </c>
      <c r="H213" s="254">
        <f t="shared" si="6"/>
        <v>0</v>
      </c>
      <c r="I213" s="373" t="s">
        <v>501</v>
      </c>
      <c r="J213" s="258">
        <v>45624</v>
      </c>
      <c r="K213" s="294">
        <v>45658</v>
      </c>
    </row>
    <row r="214" spans="1:11" x14ac:dyDescent="0.2">
      <c r="A214" s="251">
        <v>213</v>
      </c>
      <c r="B214" s="251">
        <v>3782</v>
      </c>
      <c r="C214" s="252" t="s">
        <v>505</v>
      </c>
      <c r="D214" s="253">
        <v>559.4</v>
      </c>
      <c r="E214" s="254">
        <v>0.4</v>
      </c>
      <c r="F214" s="254">
        <f t="shared" si="7"/>
        <v>223.76</v>
      </c>
      <c r="G214" s="254">
        <f>223.53+0.23</f>
        <v>223.76</v>
      </c>
      <c r="H214" s="254">
        <f t="shared" si="6"/>
        <v>0</v>
      </c>
      <c r="I214" s="255">
        <v>8467003</v>
      </c>
      <c r="J214" s="258">
        <v>45629</v>
      </c>
      <c r="K214" s="294">
        <v>45658</v>
      </c>
    </row>
    <row r="215" spans="1:11" x14ac:dyDescent="0.2">
      <c r="A215" s="251">
        <v>214</v>
      </c>
      <c r="B215" s="251">
        <v>3783</v>
      </c>
      <c r="C215" s="252" t="s">
        <v>507</v>
      </c>
      <c r="D215" s="253">
        <v>299.8</v>
      </c>
      <c r="E215" s="254">
        <v>0.4</v>
      </c>
      <c r="F215" s="254">
        <f t="shared" si="7"/>
        <v>119.92000000000002</v>
      </c>
      <c r="G215" s="254">
        <f>115.15+4.77</f>
        <v>119.92</v>
      </c>
      <c r="H215" s="254">
        <f t="shared" si="6"/>
        <v>0</v>
      </c>
      <c r="I215" s="255">
        <v>25019867</v>
      </c>
      <c r="J215" s="258">
        <v>45656</v>
      </c>
      <c r="K215" s="294">
        <v>45691</v>
      </c>
    </row>
    <row r="216" spans="1:11" x14ac:dyDescent="0.2">
      <c r="A216" s="229">
        <v>215</v>
      </c>
      <c r="B216" s="229">
        <v>3784</v>
      </c>
      <c r="C216" s="231" t="s">
        <v>509</v>
      </c>
      <c r="D216" s="239">
        <v>432</v>
      </c>
      <c r="E216" s="233">
        <v>0.4</v>
      </c>
      <c r="F216" s="233">
        <f t="shared" si="7"/>
        <v>172.8</v>
      </c>
      <c r="G216" s="233"/>
      <c r="H216" s="233">
        <f t="shared" si="6"/>
        <v>172.8</v>
      </c>
      <c r="I216" s="240">
        <v>19870884</v>
      </c>
      <c r="J216" s="244"/>
    </row>
    <row r="217" spans="1:11" x14ac:dyDescent="0.2">
      <c r="A217" s="251">
        <v>216</v>
      </c>
      <c r="B217" s="251">
        <v>3786</v>
      </c>
      <c r="C217" s="252" t="s">
        <v>511</v>
      </c>
      <c r="D217" s="253">
        <v>442</v>
      </c>
      <c r="E217" s="254">
        <v>0.4</v>
      </c>
      <c r="F217" s="254">
        <f t="shared" si="7"/>
        <v>176.8</v>
      </c>
      <c r="G217" s="254">
        <f>173.78+3.02</f>
        <v>176.8</v>
      </c>
      <c r="H217" s="254">
        <f t="shared" si="6"/>
        <v>0</v>
      </c>
      <c r="I217" s="255">
        <v>941209</v>
      </c>
      <c r="J217" s="258">
        <v>45613</v>
      </c>
      <c r="K217" s="219" t="s">
        <v>852</v>
      </c>
    </row>
    <row r="218" spans="1:11" x14ac:dyDescent="0.2">
      <c r="A218" s="251">
        <v>217</v>
      </c>
      <c r="B218" s="251">
        <v>3787</v>
      </c>
      <c r="C218" s="252" t="s">
        <v>513</v>
      </c>
      <c r="D218" s="253">
        <v>638.1</v>
      </c>
      <c r="E218" s="254">
        <v>0.4</v>
      </c>
      <c r="F218" s="254">
        <f t="shared" si="7"/>
        <v>255.24</v>
      </c>
      <c r="G218" s="254">
        <v>253.76</v>
      </c>
      <c r="H218" s="254">
        <f t="shared" si="6"/>
        <v>1.4800000000000182</v>
      </c>
      <c r="I218" s="255">
        <v>813786</v>
      </c>
      <c r="J218" s="258">
        <v>45652</v>
      </c>
    </row>
    <row r="219" spans="1:11" s="269" customFormat="1" x14ac:dyDescent="0.2">
      <c r="A219" s="251">
        <v>218</v>
      </c>
      <c r="B219" s="251">
        <v>3789</v>
      </c>
      <c r="C219" s="252" t="s">
        <v>515</v>
      </c>
      <c r="D219" s="253">
        <v>264</v>
      </c>
      <c r="E219" s="254">
        <v>0.4</v>
      </c>
      <c r="F219" s="254">
        <f t="shared" si="7"/>
        <v>105.60000000000001</v>
      </c>
      <c r="G219" s="254">
        <f>103.95</f>
        <v>103.95</v>
      </c>
      <c r="H219" s="254">
        <f t="shared" si="6"/>
        <v>1.6500000000000057</v>
      </c>
      <c r="I219" s="255">
        <v>22338686</v>
      </c>
      <c r="J219" s="263"/>
    </row>
    <row r="220" spans="1:11" s="292" customFormat="1" x14ac:dyDescent="0.2">
      <c r="A220" s="284">
        <v>219</v>
      </c>
      <c r="B220" s="284">
        <v>3791</v>
      </c>
      <c r="C220" s="285" t="s">
        <v>517</v>
      </c>
      <c r="D220" s="286">
        <v>280.89999999999998</v>
      </c>
      <c r="E220" s="287">
        <v>0.4</v>
      </c>
      <c r="F220" s="287">
        <f t="shared" si="7"/>
        <v>112.36</v>
      </c>
      <c r="G220" s="287">
        <f>F220</f>
        <v>112.36</v>
      </c>
      <c r="H220" s="287">
        <f t="shared" si="6"/>
        <v>0</v>
      </c>
      <c r="I220" s="300">
        <v>20365611</v>
      </c>
      <c r="J220" s="291">
        <v>45932</v>
      </c>
    </row>
    <row r="221" spans="1:11" x14ac:dyDescent="0.2">
      <c r="A221" s="251">
        <v>220</v>
      </c>
      <c r="B221" s="251">
        <v>3792</v>
      </c>
      <c r="C221" s="352" t="s">
        <v>519</v>
      </c>
      <c r="D221" s="253">
        <v>236.1</v>
      </c>
      <c r="E221" s="254">
        <v>0.4</v>
      </c>
      <c r="F221" s="254">
        <f t="shared" si="7"/>
        <v>94.44</v>
      </c>
      <c r="G221" s="254">
        <f>93.96+0.48</f>
        <v>94.44</v>
      </c>
      <c r="H221" s="254">
        <f t="shared" si="6"/>
        <v>0</v>
      </c>
      <c r="I221" s="382">
        <v>23169608</v>
      </c>
      <c r="J221" s="258">
        <v>45629</v>
      </c>
      <c r="K221" s="294">
        <v>45658</v>
      </c>
    </row>
    <row r="222" spans="1:11" s="368" customFormat="1" x14ac:dyDescent="0.2">
      <c r="A222" s="360">
        <v>221</v>
      </c>
      <c r="B222" s="360">
        <v>3793</v>
      </c>
      <c r="C222" s="361" t="s">
        <v>521</v>
      </c>
      <c r="D222" s="362">
        <v>340.5</v>
      </c>
      <c r="E222" s="363">
        <v>0.4</v>
      </c>
      <c r="F222" s="363">
        <f t="shared" si="7"/>
        <v>136.20000000000002</v>
      </c>
      <c r="G222" s="363">
        <f>F222</f>
        <v>136.20000000000002</v>
      </c>
      <c r="H222" s="363">
        <f t="shared" si="6"/>
        <v>0</v>
      </c>
      <c r="I222" s="364">
        <v>1283875</v>
      </c>
      <c r="J222" s="369" t="s">
        <v>881</v>
      </c>
    </row>
    <row r="223" spans="1:11" x14ac:dyDescent="0.2">
      <c r="A223" s="251">
        <v>222</v>
      </c>
      <c r="B223" s="251">
        <v>3794</v>
      </c>
      <c r="C223" s="252" t="s">
        <v>523</v>
      </c>
      <c r="D223" s="253">
        <v>719.6</v>
      </c>
      <c r="E223" s="254">
        <v>0.4</v>
      </c>
      <c r="F223" s="254">
        <f t="shared" si="7"/>
        <v>287.84000000000003</v>
      </c>
      <c r="G223" s="254">
        <f>285.548+2.292</f>
        <v>287.83999999999997</v>
      </c>
      <c r="H223" s="254">
        <f t="shared" si="6"/>
        <v>0</v>
      </c>
      <c r="I223" s="255">
        <v>8222931</v>
      </c>
      <c r="J223" s="258">
        <v>45629</v>
      </c>
      <c r="K223" s="294">
        <v>45658</v>
      </c>
    </row>
    <row r="224" spans="1:11" x14ac:dyDescent="0.2">
      <c r="A224" s="251">
        <v>223</v>
      </c>
      <c r="B224" s="251">
        <v>3795</v>
      </c>
      <c r="C224" s="252" t="s">
        <v>525</v>
      </c>
      <c r="D224" s="253">
        <v>328.7</v>
      </c>
      <c r="E224" s="254">
        <v>0.4</v>
      </c>
      <c r="F224" s="254">
        <f t="shared" si="7"/>
        <v>131.47999999999999</v>
      </c>
      <c r="G224" s="254">
        <f>F224</f>
        <v>131.47999999999999</v>
      </c>
      <c r="H224" s="254">
        <f t="shared" si="6"/>
        <v>0</v>
      </c>
      <c r="I224" s="255">
        <v>2331658</v>
      </c>
      <c r="J224" s="258">
        <v>45691</v>
      </c>
    </row>
    <row r="225" spans="1:11" x14ac:dyDescent="0.2">
      <c r="A225" s="251">
        <v>224</v>
      </c>
      <c r="B225" s="251">
        <v>3796</v>
      </c>
      <c r="C225" s="252" t="s">
        <v>527</v>
      </c>
      <c r="D225" s="253">
        <v>269.60000000000002</v>
      </c>
      <c r="E225" s="254">
        <v>0.4</v>
      </c>
      <c r="F225" s="254">
        <f t="shared" si="7"/>
        <v>107.84000000000002</v>
      </c>
      <c r="G225" s="254">
        <f>104.96+2.88</f>
        <v>107.83999999999999</v>
      </c>
      <c r="H225" s="254">
        <f t="shared" si="6"/>
        <v>0</v>
      </c>
      <c r="I225" s="255">
        <v>6455206</v>
      </c>
      <c r="J225" s="258">
        <v>45642</v>
      </c>
      <c r="K225" s="294">
        <v>45670</v>
      </c>
    </row>
    <row r="226" spans="1:11" x14ac:dyDescent="0.2">
      <c r="A226" s="251">
        <v>225</v>
      </c>
      <c r="B226" s="251">
        <v>3798</v>
      </c>
      <c r="C226" s="252" t="s">
        <v>529</v>
      </c>
      <c r="D226" s="253">
        <v>285.5</v>
      </c>
      <c r="E226" s="254">
        <v>0.4</v>
      </c>
      <c r="F226" s="254">
        <f t="shared" si="7"/>
        <v>114.2</v>
      </c>
      <c r="G226" s="254">
        <f>111.07+3.13</f>
        <v>114.19999999999999</v>
      </c>
      <c r="H226" s="254">
        <f t="shared" si="6"/>
        <v>0</v>
      </c>
      <c r="I226" s="255">
        <v>6048954</v>
      </c>
      <c r="J226" s="258">
        <v>45629</v>
      </c>
      <c r="K226" s="294">
        <v>45658</v>
      </c>
    </row>
    <row r="227" spans="1:11" x14ac:dyDescent="0.2">
      <c r="A227" s="251">
        <v>226</v>
      </c>
      <c r="B227" s="251">
        <v>3799</v>
      </c>
      <c r="C227" s="252" t="s">
        <v>531</v>
      </c>
      <c r="D227" s="253">
        <v>744.4</v>
      </c>
      <c r="E227" s="254">
        <v>0.4</v>
      </c>
      <c r="F227" s="254">
        <f t="shared" si="7"/>
        <v>297.76</v>
      </c>
      <c r="G227" s="254">
        <f>297.02+0.74</f>
        <v>297.76</v>
      </c>
      <c r="H227" s="254">
        <f t="shared" si="6"/>
        <v>0</v>
      </c>
      <c r="I227" s="255">
        <v>12494672</v>
      </c>
      <c r="J227" s="258">
        <v>45644</v>
      </c>
      <c r="K227" s="294">
        <v>45670</v>
      </c>
    </row>
    <row r="228" spans="1:11" x14ac:dyDescent="0.2">
      <c r="A228" s="229">
        <v>227</v>
      </c>
      <c r="B228" s="229">
        <v>3800</v>
      </c>
      <c r="C228" s="231" t="s">
        <v>534</v>
      </c>
      <c r="D228" s="239">
        <v>330</v>
      </c>
      <c r="E228" s="233">
        <v>0.4</v>
      </c>
      <c r="F228" s="233">
        <f t="shared" si="7"/>
        <v>132</v>
      </c>
      <c r="G228" s="233"/>
      <c r="H228" s="233">
        <f t="shared" si="6"/>
        <v>132</v>
      </c>
      <c r="I228" s="240">
        <v>11566758</v>
      </c>
      <c r="J228" s="244"/>
    </row>
    <row r="229" spans="1:11" x14ac:dyDescent="0.2">
      <c r="A229" s="251">
        <v>228</v>
      </c>
      <c r="B229" s="251">
        <v>3801</v>
      </c>
      <c r="C229" s="252" t="s">
        <v>536</v>
      </c>
      <c r="D229" s="253">
        <v>360.6</v>
      </c>
      <c r="E229" s="254">
        <v>0.4</v>
      </c>
      <c r="F229" s="254">
        <f t="shared" si="7"/>
        <v>144.24</v>
      </c>
      <c r="G229" s="254">
        <f>143.79+0.45</f>
        <v>144.23999999999998</v>
      </c>
      <c r="H229" s="254">
        <f t="shared" si="6"/>
        <v>0</v>
      </c>
      <c r="I229" s="255">
        <v>19559588</v>
      </c>
      <c r="J229" s="258">
        <v>45650</v>
      </c>
      <c r="K229" s="294">
        <v>45663</v>
      </c>
    </row>
    <row r="230" spans="1:11" x14ac:dyDescent="0.2">
      <c r="A230" s="251">
        <v>229</v>
      </c>
      <c r="B230" s="251">
        <v>3802</v>
      </c>
      <c r="C230" s="252" t="s">
        <v>538</v>
      </c>
      <c r="D230" s="253">
        <v>428</v>
      </c>
      <c r="E230" s="254">
        <v>0.4</v>
      </c>
      <c r="F230" s="254">
        <f t="shared" si="7"/>
        <v>171.20000000000002</v>
      </c>
      <c r="G230" s="254">
        <f>168.13+3.07</f>
        <v>171.2</v>
      </c>
      <c r="H230" s="254">
        <f t="shared" si="6"/>
        <v>0</v>
      </c>
      <c r="I230" s="255">
        <v>1260268</v>
      </c>
      <c r="J230" s="258">
        <v>45624</v>
      </c>
      <c r="K230" s="294">
        <v>45672</v>
      </c>
    </row>
    <row r="231" spans="1:11" x14ac:dyDescent="0.2">
      <c r="A231" s="229">
        <v>230</v>
      </c>
      <c r="B231" s="229">
        <v>3803</v>
      </c>
      <c r="C231" s="231" t="s">
        <v>540</v>
      </c>
      <c r="D231" s="239">
        <v>462</v>
      </c>
      <c r="E231" s="233">
        <v>0.4</v>
      </c>
      <c r="F231" s="233">
        <f t="shared" si="7"/>
        <v>184.8</v>
      </c>
      <c r="G231" s="233"/>
      <c r="H231" s="233">
        <f t="shared" si="6"/>
        <v>184.8</v>
      </c>
      <c r="I231" s="240">
        <v>4890484</v>
      </c>
      <c r="J231" s="244"/>
    </row>
    <row r="232" spans="1:11" x14ac:dyDescent="0.2">
      <c r="A232" s="229">
        <v>231</v>
      </c>
      <c r="B232" s="229">
        <v>3804</v>
      </c>
      <c r="C232" s="231" t="s">
        <v>542</v>
      </c>
      <c r="D232" s="239">
        <v>322.39999999999998</v>
      </c>
      <c r="E232" s="233">
        <v>0.4</v>
      </c>
      <c r="F232" s="233">
        <f t="shared" si="7"/>
        <v>128.96</v>
      </c>
      <c r="G232" s="233"/>
      <c r="H232" s="233">
        <f t="shared" si="6"/>
        <v>128.96</v>
      </c>
      <c r="I232" s="240">
        <v>18102928</v>
      </c>
      <c r="J232" s="244"/>
    </row>
    <row r="233" spans="1:11" x14ac:dyDescent="0.2">
      <c r="A233" s="251">
        <v>232</v>
      </c>
      <c r="B233" s="251">
        <v>3805</v>
      </c>
      <c r="C233" s="252" t="s">
        <v>544</v>
      </c>
      <c r="D233" s="253">
        <v>257.3</v>
      </c>
      <c r="E233" s="254">
        <v>0.4</v>
      </c>
      <c r="F233" s="254">
        <f t="shared" si="7"/>
        <v>102.92000000000002</v>
      </c>
      <c r="G233" s="254">
        <f>102.91+0.01</f>
        <v>102.92</v>
      </c>
      <c r="H233" s="254">
        <f t="shared" si="6"/>
        <v>0</v>
      </c>
      <c r="I233" s="321">
        <v>18675553</v>
      </c>
      <c r="J233" s="258">
        <v>45628</v>
      </c>
      <c r="K233" s="294">
        <v>45658</v>
      </c>
    </row>
    <row r="234" spans="1:11" x14ac:dyDescent="0.2">
      <c r="A234" s="251">
        <v>233</v>
      </c>
      <c r="B234" s="251">
        <v>3807</v>
      </c>
      <c r="C234" s="252" t="s">
        <v>546</v>
      </c>
      <c r="D234" s="253">
        <v>180.1</v>
      </c>
      <c r="E234" s="254">
        <v>0.4</v>
      </c>
      <c r="F234" s="254">
        <f t="shared" si="7"/>
        <v>72.040000000000006</v>
      </c>
      <c r="G234" s="254">
        <f>68.49+3.55</f>
        <v>72.039999999999992</v>
      </c>
      <c r="H234" s="254">
        <f t="shared" si="6"/>
        <v>0</v>
      </c>
      <c r="I234" s="255">
        <v>2110484</v>
      </c>
      <c r="J234" s="258">
        <v>45642</v>
      </c>
      <c r="K234" s="294">
        <v>45658</v>
      </c>
    </row>
    <row r="235" spans="1:11" s="368" customFormat="1" x14ac:dyDescent="0.2">
      <c r="A235" s="360">
        <v>234</v>
      </c>
      <c r="B235" s="360">
        <v>3808</v>
      </c>
      <c r="C235" s="361" t="s">
        <v>548</v>
      </c>
      <c r="D235" s="362">
        <v>605.6</v>
      </c>
      <c r="E235" s="363">
        <v>0.4</v>
      </c>
      <c r="F235" s="363">
        <f t="shared" si="7"/>
        <v>242.24</v>
      </c>
      <c r="G235" s="363">
        <v>242.24</v>
      </c>
      <c r="H235" s="363">
        <f t="shared" si="6"/>
        <v>0</v>
      </c>
      <c r="I235" s="364">
        <v>1366005</v>
      </c>
      <c r="J235" s="369" t="s">
        <v>804</v>
      </c>
    </row>
    <row r="236" spans="1:11" x14ac:dyDescent="0.2">
      <c r="A236" s="251">
        <v>235</v>
      </c>
      <c r="B236" s="251">
        <v>3809</v>
      </c>
      <c r="C236" s="252" t="s">
        <v>550</v>
      </c>
      <c r="D236" s="253">
        <v>637.79999999999995</v>
      </c>
      <c r="E236" s="254">
        <v>0.4</v>
      </c>
      <c r="F236" s="254">
        <f t="shared" si="7"/>
        <v>255.12</v>
      </c>
      <c r="G236" s="254">
        <f>250.79+4.33</f>
        <v>255.12</v>
      </c>
      <c r="H236" s="254">
        <f t="shared" si="6"/>
        <v>0</v>
      </c>
      <c r="I236" s="255">
        <v>10913998</v>
      </c>
      <c r="J236" s="258">
        <v>45658</v>
      </c>
      <c r="K236" s="294">
        <v>45691</v>
      </c>
    </row>
    <row r="237" spans="1:11" x14ac:dyDescent="0.2">
      <c r="A237" s="229">
        <v>236</v>
      </c>
      <c r="B237" s="229">
        <v>3810</v>
      </c>
      <c r="C237" s="276" t="s">
        <v>553</v>
      </c>
      <c r="D237" s="239">
        <v>206.9</v>
      </c>
      <c r="E237" s="233">
        <v>0.4</v>
      </c>
      <c r="F237" s="233">
        <f t="shared" si="7"/>
        <v>82.76</v>
      </c>
      <c r="G237" s="233"/>
      <c r="H237" s="233">
        <f t="shared" si="6"/>
        <v>82.76</v>
      </c>
      <c r="I237" s="302">
        <v>9442232</v>
      </c>
      <c r="J237" s="244"/>
    </row>
    <row r="238" spans="1:11" x14ac:dyDescent="0.2">
      <c r="A238" s="251">
        <v>237</v>
      </c>
      <c r="B238" s="251">
        <v>3811</v>
      </c>
      <c r="C238" s="252" t="s">
        <v>555</v>
      </c>
      <c r="D238" s="253">
        <v>310.2</v>
      </c>
      <c r="E238" s="254">
        <v>0.4</v>
      </c>
      <c r="F238" s="254">
        <f t="shared" si="7"/>
        <v>124.08</v>
      </c>
      <c r="G238" s="254">
        <f>119.57+4.51</f>
        <v>124.08</v>
      </c>
      <c r="H238" s="254">
        <f t="shared" si="6"/>
        <v>0</v>
      </c>
      <c r="I238" s="255">
        <v>6865286</v>
      </c>
      <c r="J238" s="258">
        <v>45629</v>
      </c>
      <c r="K238" s="219" t="s">
        <v>850</v>
      </c>
    </row>
    <row r="239" spans="1:11" s="398" customFormat="1" x14ac:dyDescent="0.2">
      <c r="A239" s="392">
        <v>238</v>
      </c>
      <c r="B239" s="392">
        <v>3812</v>
      </c>
      <c r="C239" s="393" t="s">
        <v>557</v>
      </c>
      <c r="D239" s="394">
        <v>364.8</v>
      </c>
      <c r="E239" s="395">
        <v>0.4</v>
      </c>
      <c r="F239" s="395">
        <f t="shared" si="7"/>
        <v>145.92000000000002</v>
      </c>
      <c r="G239" s="395">
        <f>F239</f>
        <v>145.92000000000002</v>
      </c>
      <c r="H239" s="395">
        <f t="shared" si="6"/>
        <v>0</v>
      </c>
      <c r="I239" s="396">
        <v>2441718</v>
      </c>
      <c r="J239" s="397" t="s">
        <v>865</v>
      </c>
    </row>
    <row r="240" spans="1:11" x14ac:dyDescent="0.2">
      <c r="A240" s="229">
        <v>239</v>
      </c>
      <c r="B240" s="229">
        <v>3813</v>
      </c>
      <c r="C240" s="231" t="s">
        <v>559</v>
      </c>
      <c r="D240" s="239">
        <v>57.6</v>
      </c>
      <c r="E240" s="233">
        <v>0.4</v>
      </c>
      <c r="F240" s="233">
        <f t="shared" si="7"/>
        <v>23.040000000000003</v>
      </c>
      <c r="G240" s="233"/>
      <c r="H240" s="233">
        <f t="shared" si="6"/>
        <v>23.040000000000003</v>
      </c>
      <c r="I240" s="240">
        <v>18842378</v>
      </c>
      <c r="J240" s="244"/>
    </row>
    <row r="241" spans="1:11" x14ac:dyDescent="0.2">
      <c r="A241" s="251">
        <v>240</v>
      </c>
      <c r="B241" s="251">
        <v>3814</v>
      </c>
      <c r="C241" s="252" t="s">
        <v>561</v>
      </c>
      <c r="D241" s="253">
        <v>303.89999999999998</v>
      </c>
      <c r="E241" s="254">
        <v>0.4</v>
      </c>
      <c r="F241" s="254">
        <f t="shared" si="7"/>
        <v>121.56</v>
      </c>
      <c r="G241" s="254">
        <f>118.42+3.14</f>
        <v>121.56</v>
      </c>
      <c r="H241" s="254">
        <f t="shared" si="6"/>
        <v>0</v>
      </c>
      <c r="I241" s="327">
        <v>6998672</v>
      </c>
      <c r="J241" s="258">
        <v>45628</v>
      </c>
      <c r="K241" s="294">
        <v>45677</v>
      </c>
    </row>
    <row r="242" spans="1:11" x14ac:dyDescent="0.2">
      <c r="A242" s="251">
        <v>241</v>
      </c>
      <c r="B242" s="251">
        <v>3815</v>
      </c>
      <c r="C242" s="252" t="s">
        <v>563</v>
      </c>
      <c r="D242" s="253">
        <v>241.2</v>
      </c>
      <c r="E242" s="254">
        <v>0.4</v>
      </c>
      <c r="F242" s="254">
        <f t="shared" si="7"/>
        <v>96.48</v>
      </c>
      <c r="G242" s="254">
        <f>92.85+3.63</f>
        <v>96.47999999999999</v>
      </c>
      <c r="H242" s="254">
        <f t="shared" si="6"/>
        <v>0</v>
      </c>
      <c r="I242" s="321">
        <v>24909353</v>
      </c>
      <c r="J242" s="258">
        <v>45650</v>
      </c>
      <c r="K242" s="294">
        <v>45685</v>
      </c>
    </row>
    <row r="243" spans="1:11" x14ac:dyDescent="0.2">
      <c r="A243" s="251">
        <v>242</v>
      </c>
      <c r="B243" s="251">
        <v>3816</v>
      </c>
      <c r="C243" s="252" t="s">
        <v>565</v>
      </c>
      <c r="D243" s="253">
        <v>286.3</v>
      </c>
      <c r="E243" s="254">
        <v>0.4</v>
      </c>
      <c r="F243" s="254">
        <f t="shared" si="7"/>
        <v>114.52000000000001</v>
      </c>
      <c r="G243" s="254">
        <f>113.8+0.72</f>
        <v>114.52</v>
      </c>
      <c r="H243" s="254">
        <f t="shared" si="6"/>
        <v>0</v>
      </c>
      <c r="I243" s="255">
        <v>27389488</v>
      </c>
      <c r="J243" s="258">
        <v>45635</v>
      </c>
      <c r="K243" s="294">
        <v>45663</v>
      </c>
    </row>
    <row r="244" spans="1:11" x14ac:dyDescent="0.2">
      <c r="A244" s="284">
        <v>243</v>
      </c>
      <c r="B244" s="284">
        <v>3817</v>
      </c>
      <c r="C244" s="285" t="s">
        <v>567</v>
      </c>
      <c r="D244" s="286">
        <v>439.3</v>
      </c>
      <c r="E244" s="287">
        <v>0.4</v>
      </c>
      <c r="F244" s="287">
        <f t="shared" si="7"/>
        <v>175.72000000000003</v>
      </c>
      <c r="G244" s="287">
        <f>F244</f>
        <v>175.72000000000003</v>
      </c>
      <c r="H244" s="287">
        <f t="shared" si="6"/>
        <v>0</v>
      </c>
      <c r="I244" s="300">
        <v>7851322</v>
      </c>
      <c r="J244" s="290" t="s">
        <v>716</v>
      </c>
    </row>
    <row r="245" spans="1:11" x14ac:dyDescent="0.2">
      <c r="A245" s="229">
        <v>244</v>
      </c>
      <c r="B245" s="229">
        <v>3818</v>
      </c>
      <c r="C245" s="231" t="s">
        <v>569</v>
      </c>
      <c r="D245" s="232">
        <v>725.7</v>
      </c>
      <c r="E245" s="233">
        <v>0.4</v>
      </c>
      <c r="F245" s="233">
        <f t="shared" si="7"/>
        <v>290.28000000000003</v>
      </c>
      <c r="G245" s="233"/>
      <c r="H245" s="233">
        <f t="shared" si="6"/>
        <v>290.28000000000003</v>
      </c>
      <c r="I245" s="240">
        <v>2520858</v>
      </c>
      <c r="J245" s="244"/>
    </row>
    <row r="246" spans="1:11" x14ac:dyDescent="0.2">
      <c r="A246" s="284">
        <v>245</v>
      </c>
      <c r="B246" s="284">
        <v>3819</v>
      </c>
      <c r="C246" s="285" t="s">
        <v>571</v>
      </c>
      <c r="D246" s="286">
        <v>814.1</v>
      </c>
      <c r="E246" s="287">
        <v>0.4</v>
      </c>
      <c r="F246" s="287">
        <f t="shared" si="7"/>
        <v>325.64000000000004</v>
      </c>
      <c r="G246" s="287">
        <f>F246</f>
        <v>325.64000000000004</v>
      </c>
      <c r="H246" s="287">
        <f t="shared" si="6"/>
        <v>0</v>
      </c>
      <c r="I246" s="300">
        <v>3952839</v>
      </c>
      <c r="J246" s="290" t="s">
        <v>716</v>
      </c>
    </row>
    <row r="247" spans="1:11" x14ac:dyDescent="0.2">
      <c r="A247" s="251">
        <v>246</v>
      </c>
      <c r="B247" s="251">
        <v>3820</v>
      </c>
      <c r="C247" s="252" t="s">
        <v>573</v>
      </c>
      <c r="D247" s="253">
        <v>295.8</v>
      </c>
      <c r="E247" s="254">
        <v>0.4</v>
      </c>
      <c r="F247" s="254">
        <f t="shared" si="7"/>
        <v>118.32000000000001</v>
      </c>
      <c r="G247" s="254">
        <f>116.68+1.64</f>
        <v>118.32000000000001</v>
      </c>
      <c r="H247" s="254">
        <f t="shared" si="6"/>
        <v>0</v>
      </c>
      <c r="I247" s="255">
        <v>20898806</v>
      </c>
      <c r="J247" s="258">
        <v>45685</v>
      </c>
      <c r="K247" s="219" t="s">
        <v>893</v>
      </c>
    </row>
    <row r="248" spans="1:11" x14ac:dyDescent="0.2">
      <c r="A248" s="251">
        <v>247</v>
      </c>
      <c r="B248" s="251">
        <v>3821</v>
      </c>
      <c r="C248" s="252" t="s">
        <v>575</v>
      </c>
      <c r="D248" s="253">
        <v>198.4</v>
      </c>
      <c r="E248" s="254">
        <v>0.4</v>
      </c>
      <c r="F248" s="254">
        <f t="shared" si="7"/>
        <v>79.360000000000014</v>
      </c>
      <c r="G248" s="254">
        <f>77.35+2.01</f>
        <v>79.36</v>
      </c>
      <c r="H248" s="254">
        <f t="shared" si="6"/>
        <v>0</v>
      </c>
      <c r="I248" s="255">
        <v>5773746</v>
      </c>
      <c r="J248" s="258">
        <v>45630</v>
      </c>
      <c r="K248" s="294">
        <v>45670</v>
      </c>
    </row>
    <row r="249" spans="1:11" x14ac:dyDescent="0.2">
      <c r="A249" s="251">
        <v>248</v>
      </c>
      <c r="B249" s="251">
        <v>3822</v>
      </c>
      <c r="C249" s="252" t="s">
        <v>577</v>
      </c>
      <c r="D249" s="253">
        <v>923</v>
      </c>
      <c r="E249" s="254">
        <v>0.4</v>
      </c>
      <c r="F249" s="254">
        <f t="shared" si="7"/>
        <v>369.20000000000005</v>
      </c>
      <c r="G249" s="254">
        <f>368.74+0.46</f>
        <v>369.2</v>
      </c>
      <c r="H249" s="254">
        <f t="shared" si="6"/>
        <v>0</v>
      </c>
      <c r="I249" s="255">
        <v>1522824</v>
      </c>
      <c r="J249" s="258">
        <v>45628</v>
      </c>
      <c r="K249" s="294">
        <v>45658</v>
      </c>
    </row>
    <row r="250" spans="1:11" x14ac:dyDescent="0.2">
      <c r="A250" s="251">
        <v>249</v>
      </c>
      <c r="B250" s="251">
        <v>3823</v>
      </c>
      <c r="C250" s="252" t="s">
        <v>579</v>
      </c>
      <c r="D250" s="253">
        <v>327.3</v>
      </c>
      <c r="E250" s="254">
        <v>0.4</v>
      </c>
      <c r="F250" s="254">
        <f t="shared" si="7"/>
        <v>130.92000000000002</v>
      </c>
      <c r="G250" s="254">
        <f>127.41+3.51</f>
        <v>130.91999999999999</v>
      </c>
      <c r="H250" s="254">
        <f t="shared" si="6"/>
        <v>0</v>
      </c>
      <c r="I250" s="255">
        <v>865789</v>
      </c>
      <c r="J250" s="258">
        <v>45650</v>
      </c>
      <c r="K250" s="294">
        <v>45672</v>
      </c>
    </row>
    <row r="251" spans="1:11" x14ac:dyDescent="0.2">
      <c r="A251" s="284">
        <v>250</v>
      </c>
      <c r="B251" s="284">
        <v>3824</v>
      </c>
      <c r="C251" s="285" t="s">
        <v>581</v>
      </c>
      <c r="D251" s="286">
        <v>705.1</v>
      </c>
      <c r="E251" s="287">
        <v>0.4</v>
      </c>
      <c r="F251" s="287">
        <f t="shared" si="7"/>
        <v>282.04000000000002</v>
      </c>
      <c r="G251" s="287">
        <f>F251</f>
        <v>282.04000000000002</v>
      </c>
      <c r="H251" s="287">
        <f t="shared" si="6"/>
        <v>0</v>
      </c>
      <c r="I251" s="300">
        <v>18878867</v>
      </c>
      <c r="J251" s="290" t="s">
        <v>716</v>
      </c>
    </row>
    <row r="252" spans="1:11" x14ac:dyDescent="0.2">
      <c r="A252" s="251">
        <v>251</v>
      </c>
      <c r="B252" s="251">
        <v>3827</v>
      </c>
      <c r="C252" s="252" t="s">
        <v>583</v>
      </c>
      <c r="D252" s="253">
        <v>790.3</v>
      </c>
      <c r="E252" s="254">
        <v>0.4</v>
      </c>
      <c r="F252" s="254">
        <f t="shared" si="7"/>
        <v>316.12</v>
      </c>
      <c r="G252" s="254">
        <f>313.37+2.75</f>
        <v>316.12</v>
      </c>
      <c r="H252" s="254">
        <f t="shared" si="6"/>
        <v>0</v>
      </c>
      <c r="I252" s="255">
        <v>19049113</v>
      </c>
      <c r="J252" s="258">
        <v>45628</v>
      </c>
      <c r="K252" s="294">
        <v>45658</v>
      </c>
    </row>
    <row r="253" spans="1:11" x14ac:dyDescent="0.2">
      <c r="A253" s="251">
        <v>252</v>
      </c>
      <c r="B253" s="251">
        <v>3828</v>
      </c>
      <c r="C253" s="252" t="s">
        <v>585</v>
      </c>
      <c r="D253" s="253">
        <v>316.39999999999998</v>
      </c>
      <c r="E253" s="254">
        <v>0.4</v>
      </c>
      <c r="F253" s="254">
        <f t="shared" si="7"/>
        <v>126.56</v>
      </c>
      <c r="G253" s="254">
        <f>124.4+2.16</f>
        <v>126.56</v>
      </c>
      <c r="H253" s="254">
        <f t="shared" si="6"/>
        <v>0</v>
      </c>
      <c r="I253" s="255">
        <v>5520522</v>
      </c>
      <c r="J253" s="258">
        <v>45624</v>
      </c>
      <c r="K253" s="294">
        <v>45658</v>
      </c>
    </row>
    <row r="254" spans="1:11" x14ac:dyDescent="0.2">
      <c r="A254" s="251">
        <v>253</v>
      </c>
      <c r="B254" s="251">
        <v>3829</v>
      </c>
      <c r="C254" s="252" t="s">
        <v>587</v>
      </c>
      <c r="D254" s="253">
        <v>238.9</v>
      </c>
      <c r="E254" s="254">
        <v>0.4</v>
      </c>
      <c r="F254" s="254">
        <f t="shared" si="7"/>
        <v>95.56</v>
      </c>
      <c r="G254" s="254">
        <f>F254</f>
        <v>95.56</v>
      </c>
      <c r="H254" s="254">
        <f t="shared" si="6"/>
        <v>0</v>
      </c>
      <c r="I254" s="255">
        <v>897384</v>
      </c>
      <c r="J254" s="258">
        <v>45670</v>
      </c>
    </row>
    <row r="255" spans="1:11" x14ac:dyDescent="0.2">
      <c r="A255" s="251">
        <v>254</v>
      </c>
      <c r="B255" s="251">
        <v>3830</v>
      </c>
      <c r="C255" s="252" t="s">
        <v>589</v>
      </c>
      <c r="D255" s="253">
        <v>417.3</v>
      </c>
      <c r="E255" s="254">
        <v>0.4</v>
      </c>
      <c r="F255" s="254">
        <f t="shared" si="7"/>
        <v>166.92000000000002</v>
      </c>
      <c r="G255" s="254">
        <f>165.63+1.29</f>
        <v>166.92</v>
      </c>
      <c r="H255" s="254">
        <f t="shared" si="6"/>
        <v>0</v>
      </c>
      <c r="I255" s="255">
        <v>2153706</v>
      </c>
      <c r="J255" s="258">
        <v>45630</v>
      </c>
      <c r="K255" s="294">
        <v>45691</v>
      </c>
    </row>
    <row r="256" spans="1:11" x14ac:dyDescent="0.2">
      <c r="A256" s="229">
        <v>255</v>
      </c>
      <c r="B256" s="229">
        <v>3831</v>
      </c>
      <c r="C256" s="231" t="s">
        <v>591</v>
      </c>
      <c r="D256" s="239">
        <v>351.2</v>
      </c>
      <c r="E256" s="233">
        <v>0.4</v>
      </c>
      <c r="F256" s="233">
        <f t="shared" si="7"/>
        <v>140.47999999999999</v>
      </c>
      <c r="G256" s="233"/>
      <c r="H256" s="233">
        <f t="shared" si="6"/>
        <v>140.47999999999999</v>
      </c>
      <c r="I256" s="240">
        <v>873604</v>
      </c>
      <c r="J256" s="244"/>
    </row>
    <row r="257" spans="1:11" s="269" customFormat="1" x14ac:dyDescent="0.2">
      <c r="A257" s="251">
        <v>256</v>
      </c>
      <c r="B257" s="251">
        <v>3832</v>
      </c>
      <c r="C257" s="252" t="s">
        <v>792</v>
      </c>
      <c r="D257" s="253">
        <v>88.9</v>
      </c>
      <c r="E257" s="254">
        <v>0.4</v>
      </c>
      <c r="F257" s="254">
        <f t="shared" si="7"/>
        <v>35.56</v>
      </c>
      <c r="G257" s="254">
        <f>33.95+1.61</f>
        <v>35.56</v>
      </c>
      <c r="H257" s="254">
        <f t="shared" si="6"/>
        <v>0</v>
      </c>
      <c r="I257" s="255">
        <v>1985192</v>
      </c>
      <c r="J257" s="258">
        <v>45624</v>
      </c>
      <c r="K257" s="343">
        <v>45658</v>
      </c>
    </row>
    <row r="258" spans="1:11" x14ac:dyDescent="0.2">
      <c r="A258" s="284">
        <v>257</v>
      </c>
      <c r="B258" s="284">
        <v>3833</v>
      </c>
      <c r="C258" s="285" t="s">
        <v>593</v>
      </c>
      <c r="D258" s="286">
        <v>326.2</v>
      </c>
      <c r="E258" s="287">
        <v>0.4</v>
      </c>
      <c r="F258" s="287">
        <f t="shared" si="7"/>
        <v>130.47999999999999</v>
      </c>
      <c r="G258" s="287">
        <f>F258</f>
        <v>130.47999999999999</v>
      </c>
      <c r="H258" s="287">
        <f t="shared" si="6"/>
        <v>0</v>
      </c>
      <c r="I258" s="300">
        <v>19179619</v>
      </c>
      <c r="J258" s="290" t="s">
        <v>716</v>
      </c>
    </row>
    <row r="259" spans="1:11" x14ac:dyDescent="0.2">
      <c r="A259" s="284">
        <v>258</v>
      </c>
      <c r="B259" s="284">
        <v>3834</v>
      </c>
      <c r="C259" s="285" t="s">
        <v>595</v>
      </c>
      <c r="D259" s="286">
        <v>571.4</v>
      </c>
      <c r="E259" s="287">
        <v>0.4</v>
      </c>
      <c r="F259" s="287">
        <f t="shared" si="7"/>
        <v>228.56</v>
      </c>
      <c r="G259" s="287">
        <f>F259</f>
        <v>228.56</v>
      </c>
      <c r="H259" s="287">
        <f t="shared" ref="H259:H311" si="8">F259-G259</f>
        <v>0</v>
      </c>
      <c r="I259" s="300">
        <v>5544756</v>
      </c>
      <c r="J259" s="291">
        <v>45637</v>
      </c>
    </row>
    <row r="260" spans="1:11" x14ac:dyDescent="0.2">
      <c r="A260" s="251">
        <v>259</v>
      </c>
      <c r="B260" s="251">
        <v>3835</v>
      </c>
      <c r="C260" s="252" t="s">
        <v>598</v>
      </c>
      <c r="D260" s="253">
        <v>241.6</v>
      </c>
      <c r="E260" s="254">
        <v>0.4</v>
      </c>
      <c r="F260" s="254">
        <f t="shared" si="7"/>
        <v>96.64</v>
      </c>
      <c r="G260" s="254">
        <f>93.01+3.63</f>
        <v>96.64</v>
      </c>
      <c r="H260" s="254">
        <f t="shared" si="8"/>
        <v>0</v>
      </c>
      <c r="I260" s="255">
        <v>781845</v>
      </c>
      <c r="J260" s="258">
        <v>45624</v>
      </c>
      <c r="K260" s="294">
        <v>45658</v>
      </c>
    </row>
    <row r="261" spans="1:11" x14ac:dyDescent="0.2">
      <c r="A261" s="251">
        <v>260</v>
      </c>
      <c r="B261" s="251">
        <v>3836</v>
      </c>
      <c r="C261" s="252" t="s">
        <v>600</v>
      </c>
      <c r="D261" s="253">
        <v>568.79999999999995</v>
      </c>
      <c r="E261" s="254">
        <v>0.4</v>
      </c>
      <c r="F261" s="254">
        <f t="shared" si="7"/>
        <v>227.51999999999998</v>
      </c>
      <c r="G261" s="254">
        <f>226.5+1.02</f>
        <v>227.52</v>
      </c>
      <c r="H261" s="254">
        <f t="shared" si="8"/>
        <v>0</v>
      </c>
      <c r="I261" s="255">
        <v>20264434</v>
      </c>
      <c r="J261" s="258">
        <v>45628</v>
      </c>
      <c r="K261" s="294">
        <v>45658</v>
      </c>
    </row>
    <row r="262" spans="1:11" x14ac:dyDescent="0.2">
      <c r="A262" s="229">
        <v>261</v>
      </c>
      <c r="B262" s="229">
        <v>3837</v>
      </c>
      <c r="C262" s="231" t="s">
        <v>602</v>
      </c>
      <c r="D262" s="239">
        <v>447.3</v>
      </c>
      <c r="E262" s="233">
        <v>0.4</v>
      </c>
      <c r="F262" s="233">
        <f t="shared" si="7"/>
        <v>178.92000000000002</v>
      </c>
      <c r="G262" s="233"/>
      <c r="H262" s="233">
        <f t="shared" si="8"/>
        <v>178.92000000000002</v>
      </c>
      <c r="I262" s="240">
        <v>1935947</v>
      </c>
      <c r="J262" s="244"/>
    </row>
    <row r="263" spans="1:11" x14ac:dyDescent="0.2">
      <c r="A263" s="251">
        <v>262</v>
      </c>
      <c r="B263" s="251">
        <v>3838</v>
      </c>
      <c r="C263" s="252" t="s">
        <v>604</v>
      </c>
      <c r="D263" s="253">
        <v>349.1</v>
      </c>
      <c r="E263" s="254">
        <v>0.4</v>
      </c>
      <c r="F263" s="254">
        <f t="shared" si="7"/>
        <v>139.64000000000001</v>
      </c>
      <c r="G263" s="254">
        <f>137.93</f>
        <v>137.93</v>
      </c>
      <c r="H263" s="254">
        <f t="shared" si="8"/>
        <v>1.710000000000008</v>
      </c>
      <c r="I263" s="255">
        <v>18553115</v>
      </c>
      <c r="J263" s="258">
        <v>45677</v>
      </c>
    </row>
    <row r="264" spans="1:11" x14ac:dyDescent="0.2">
      <c r="A264" s="251">
        <v>263</v>
      </c>
      <c r="B264" s="251">
        <v>3839</v>
      </c>
      <c r="C264" s="252" t="s">
        <v>606</v>
      </c>
      <c r="D264" s="253">
        <v>1295.9000000000001</v>
      </c>
      <c r="E264" s="254">
        <v>0.4</v>
      </c>
      <c r="F264" s="254">
        <f t="shared" ref="F264:F311" si="9">E264*D264</f>
        <v>518.36</v>
      </c>
      <c r="G264" s="254">
        <f>514.57+3.79</f>
        <v>518.36</v>
      </c>
      <c r="H264" s="254">
        <f t="shared" si="8"/>
        <v>0</v>
      </c>
      <c r="I264" s="255">
        <v>22799311</v>
      </c>
      <c r="J264" s="258">
        <v>45628</v>
      </c>
      <c r="K264" s="294">
        <v>45658</v>
      </c>
    </row>
    <row r="265" spans="1:11" x14ac:dyDescent="0.2">
      <c r="A265" s="251">
        <v>264</v>
      </c>
      <c r="B265" s="251">
        <v>3840</v>
      </c>
      <c r="C265" s="252" t="s">
        <v>608</v>
      </c>
      <c r="D265" s="253">
        <v>455.4</v>
      </c>
      <c r="E265" s="254">
        <v>0.4</v>
      </c>
      <c r="F265" s="254">
        <f t="shared" si="9"/>
        <v>182.16</v>
      </c>
      <c r="G265" s="254">
        <f>178.55+3.61</f>
        <v>182.16000000000003</v>
      </c>
      <c r="H265" s="254">
        <f t="shared" si="8"/>
        <v>0</v>
      </c>
      <c r="I265" s="255">
        <v>19777334</v>
      </c>
      <c r="J265" s="258">
        <v>45630</v>
      </c>
      <c r="K265" s="294">
        <v>45665</v>
      </c>
    </row>
    <row r="266" spans="1:11" x14ac:dyDescent="0.2">
      <c r="A266" s="229">
        <v>265</v>
      </c>
      <c r="B266" s="229">
        <v>3841</v>
      </c>
      <c r="C266" s="231" t="s">
        <v>610</v>
      </c>
      <c r="D266" s="239">
        <v>609</v>
      </c>
      <c r="E266" s="233">
        <v>0.4</v>
      </c>
      <c r="F266" s="233">
        <f t="shared" si="9"/>
        <v>243.60000000000002</v>
      </c>
      <c r="G266" s="233"/>
      <c r="H266" s="233">
        <f t="shared" si="8"/>
        <v>243.60000000000002</v>
      </c>
      <c r="I266" s="240">
        <v>2538202</v>
      </c>
      <c r="J266" s="244"/>
    </row>
    <row r="267" spans="1:11" s="292" customFormat="1" x14ac:dyDescent="0.2">
      <c r="A267" s="284">
        <v>266</v>
      </c>
      <c r="B267" s="284">
        <v>3843</v>
      </c>
      <c r="C267" s="285" t="s">
        <v>612</v>
      </c>
      <c r="D267" s="286">
        <v>879.8</v>
      </c>
      <c r="E267" s="287">
        <v>0.4</v>
      </c>
      <c r="F267" s="287">
        <f t="shared" si="9"/>
        <v>351.92</v>
      </c>
      <c r="G267" s="287">
        <f>F267</f>
        <v>351.92</v>
      </c>
      <c r="H267" s="287">
        <f t="shared" si="8"/>
        <v>0</v>
      </c>
      <c r="I267" s="300">
        <v>19564247</v>
      </c>
      <c r="J267" s="291">
        <v>45779</v>
      </c>
    </row>
    <row r="268" spans="1:11" x14ac:dyDescent="0.2">
      <c r="A268" s="251">
        <v>267</v>
      </c>
      <c r="B268" s="251">
        <v>3844</v>
      </c>
      <c r="C268" s="252" t="s">
        <v>614</v>
      </c>
      <c r="D268" s="253">
        <v>1155</v>
      </c>
      <c r="E268" s="254">
        <v>0.4</v>
      </c>
      <c r="F268" s="254">
        <f t="shared" si="9"/>
        <v>462</v>
      </c>
      <c r="G268" s="254">
        <f>458.79+3.21</f>
        <v>462</v>
      </c>
      <c r="H268" s="254">
        <f t="shared" si="8"/>
        <v>0</v>
      </c>
      <c r="I268" s="255">
        <v>1036602</v>
      </c>
      <c r="J268" s="258">
        <v>45628</v>
      </c>
      <c r="K268" s="294">
        <v>45658</v>
      </c>
    </row>
    <row r="269" spans="1:11" x14ac:dyDescent="0.2">
      <c r="A269" s="284">
        <v>268</v>
      </c>
      <c r="B269" s="284">
        <v>3845</v>
      </c>
      <c r="C269" s="285" t="s">
        <v>616</v>
      </c>
      <c r="D269" s="286">
        <v>1310.4000000000001</v>
      </c>
      <c r="E269" s="287">
        <v>0.4</v>
      </c>
      <c r="F269" s="287">
        <f t="shared" si="9"/>
        <v>524.16000000000008</v>
      </c>
      <c r="G269" s="287">
        <f>F269</f>
        <v>524.16000000000008</v>
      </c>
      <c r="H269" s="287">
        <f t="shared" si="8"/>
        <v>0</v>
      </c>
      <c r="I269" s="300">
        <v>1432563</v>
      </c>
      <c r="J269" s="290"/>
    </row>
    <row r="270" spans="1:11" x14ac:dyDescent="0.2">
      <c r="A270" s="251">
        <v>269</v>
      </c>
      <c r="B270" s="251">
        <v>3846</v>
      </c>
      <c r="C270" s="252" t="s">
        <v>618</v>
      </c>
      <c r="D270" s="253">
        <v>282.89999999999998</v>
      </c>
      <c r="E270" s="254">
        <v>0.4</v>
      </c>
      <c r="F270" s="254">
        <f t="shared" si="9"/>
        <v>113.16</v>
      </c>
      <c r="G270" s="254">
        <f>111.55+1.61</f>
        <v>113.16</v>
      </c>
      <c r="H270" s="254">
        <f t="shared" si="8"/>
        <v>0</v>
      </c>
      <c r="I270" s="255">
        <v>8115103</v>
      </c>
      <c r="J270" s="258">
        <v>45637</v>
      </c>
      <c r="K270" s="294">
        <v>45691</v>
      </c>
    </row>
    <row r="271" spans="1:11" x14ac:dyDescent="0.2">
      <c r="A271" s="284">
        <v>270</v>
      </c>
      <c r="B271" s="284">
        <v>3847</v>
      </c>
      <c r="C271" s="285" t="s">
        <v>620</v>
      </c>
      <c r="D271" s="286">
        <v>1327.7</v>
      </c>
      <c r="E271" s="287">
        <v>0.4</v>
      </c>
      <c r="F271" s="287">
        <f t="shared" si="9"/>
        <v>531.08000000000004</v>
      </c>
      <c r="G271" s="287">
        <f>F271</f>
        <v>531.08000000000004</v>
      </c>
      <c r="H271" s="287">
        <f t="shared" si="8"/>
        <v>0</v>
      </c>
      <c r="I271" s="300">
        <v>238234</v>
      </c>
      <c r="J271" s="290" t="s">
        <v>900</v>
      </c>
    </row>
    <row r="272" spans="1:11" x14ac:dyDescent="0.2">
      <c r="A272" s="229">
        <v>271</v>
      </c>
      <c r="B272" s="229">
        <v>3848</v>
      </c>
      <c r="C272" s="231" t="s">
        <v>622</v>
      </c>
      <c r="D272" s="239">
        <v>1266</v>
      </c>
      <c r="E272" s="233">
        <v>0.4</v>
      </c>
      <c r="F272" s="233">
        <f t="shared" si="9"/>
        <v>506.40000000000003</v>
      </c>
      <c r="G272" s="233"/>
      <c r="H272" s="233">
        <f t="shared" si="8"/>
        <v>506.40000000000003</v>
      </c>
      <c r="I272" s="240">
        <v>19231852</v>
      </c>
      <c r="J272" s="244"/>
    </row>
    <row r="273" spans="1:11" x14ac:dyDescent="0.2">
      <c r="A273" s="229">
        <v>272</v>
      </c>
      <c r="B273" s="229">
        <v>3849</v>
      </c>
      <c r="C273" s="231" t="s">
        <v>624</v>
      </c>
      <c r="D273" s="239">
        <v>378.9</v>
      </c>
      <c r="E273" s="233">
        <v>0.4</v>
      </c>
      <c r="F273" s="233">
        <f t="shared" si="9"/>
        <v>151.56</v>
      </c>
      <c r="G273" s="233"/>
      <c r="H273" s="233">
        <f t="shared" si="8"/>
        <v>151.56</v>
      </c>
      <c r="I273" s="295">
        <v>18693727</v>
      </c>
      <c r="J273" s="244"/>
    </row>
    <row r="274" spans="1:11" x14ac:dyDescent="0.2">
      <c r="A274" s="251">
        <v>273</v>
      </c>
      <c r="B274" s="251">
        <v>3850</v>
      </c>
      <c r="C274" s="252" t="s">
        <v>626</v>
      </c>
      <c r="D274" s="253">
        <v>623.4</v>
      </c>
      <c r="E274" s="254">
        <v>0.4</v>
      </c>
      <c r="F274" s="254">
        <f t="shared" si="9"/>
        <v>249.36</v>
      </c>
      <c r="G274" s="254">
        <f>244.93+4.43</f>
        <v>249.36</v>
      </c>
      <c r="H274" s="254">
        <f t="shared" si="8"/>
        <v>0</v>
      </c>
      <c r="I274" s="255">
        <v>5742985</v>
      </c>
      <c r="J274" s="258">
        <v>45677</v>
      </c>
      <c r="K274" s="294">
        <v>45932</v>
      </c>
    </row>
    <row r="275" spans="1:11" x14ac:dyDescent="0.2">
      <c r="A275" s="251">
        <v>274</v>
      </c>
      <c r="B275" s="251">
        <v>3851</v>
      </c>
      <c r="C275" s="252" t="s">
        <v>629</v>
      </c>
      <c r="D275" s="253">
        <v>336.6</v>
      </c>
      <c r="E275" s="254">
        <v>0.4</v>
      </c>
      <c r="F275" s="254">
        <f t="shared" si="9"/>
        <v>134.64000000000001</v>
      </c>
      <c r="G275" s="254">
        <f>134.19+0.45</f>
        <v>134.63999999999999</v>
      </c>
      <c r="H275" s="254">
        <f t="shared" si="8"/>
        <v>0</v>
      </c>
      <c r="I275" s="255">
        <v>22766611</v>
      </c>
      <c r="J275" s="258">
        <v>45635</v>
      </c>
      <c r="K275" s="294">
        <v>45663</v>
      </c>
    </row>
    <row r="276" spans="1:11" x14ac:dyDescent="0.2">
      <c r="A276" s="251">
        <v>275</v>
      </c>
      <c r="B276" s="251">
        <v>3852</v>
      </c>
      <c r="C276" s="252" t="s">
        <v>631</v>
      </c>
      <c r="D276" s="253">
        <v>335.2</v>
      </c>
      <c r="E276" s="254">
        <v>0.4</v>
      </c>
      <c r="F276" s="254">
        <f t="shared" si="9"/>
        <v>134.08000000000001</v>
      </c>
      <c r="G276" s="254">
        <f>132.65+1.43</f>
        <v>134.08000000000001</v>
      </c>
      <c r="H276" s="254">
        <f t="shared" si="8"/>
        <v>0</v>
      </c>
      <c r="I276" s="255">
        <v>8827979</v>
      </c>
      <c r="J276" s="258">
        <v>45628</v>
      </c>
      <c r="K276" s="294">
        <v>45652</v>
      </c>
    </row>
    <row r="277" spans="1:11" x14ac:dyDescent="0.2">
      <c r="A277" s="284">
        <v>276</v>
      </c>
      <c r="B277" s="284">
        <v>3853</v>
      </c>
      <c r="C277" s="285" t="s">
        <v>633</v>
      </c>
      <c r="D277" s="286">
        <v>220.5</v>
      </c>
      <c r="E277" s="287">
        <v>0.4</v>
      </c>
      <c r="F277" s="287">
        <f t="shared" si="9"/>
        <v>88.2</v>
      </c>
      <c r="G277" s="287">
        <f>F277</f>
        <v>88.2</v>
      </c>
      <c r="H277" s="287">
        <f t="shared" si="8"/>
        <v>0</v>
      </c>
      <c r="I277" s="300">
        <v>5857446</v>
      </c>
      <c r="J277" s="290" t="s">
        <v>716</v>
      </c>
    </row>
    <row r="278" spans="1:11" x14ac:dyDescent="0.2">
      <c r="A278" s="251">
        <v>277</v>
      </c>
      <c r="B278" s="251">
        <v>3854</v>
      </c>
      <c r="C278" s="252" t="s">
        <v>635</v>
      </c>
      <c r="D278" s="253">
        <v>252</v>
      </c>
      <c r="E278" s="254">
        <v>0.4</v>
      </c>
      <c r="F278" s="254">
        <f t="shared" si="9"/>
        <v>100.80000000000001</v>
      </c>
      <c r="G278" s="254">
        <f>F278</f>
        <v>100.80000000000001</v>
      </c>
      <c r="H278" s="254">
        <f t="shared" si="8"/>
        <v>0</v>
      </c>
      <c r="I278" s="255">
        <v>1085838</v>
      </c>
      <c r="J278" s="258">
        <v>45672</v>
      </c>
    </row>
    <row r="279" spans="1:11" x14ac:dyDescent="0.2">
      <c r="A279" s="251">
        <v>278</v>
      </c>
      <c r="B279" s="251">
        <v>3855</v>
      </c>
      <c r="C279" s="252" t="s">
        <v>637</v>
      </c>
      <c r="D279" s="253">
        <v>370.5</v>
      </c>
      <c r="E279" s="254">
        <v>0.4</v>
      </c>
      <c r="F279" s="254">
        <f t="shared" si="9"/>
        <v>148.20000000000002</v>
      </c>
      <c r="G279" s="254">
        <f>144.56+3.64</f>
        <v>148.19999999999999</v>
      </c>
      <c r="H279" s="254">
        <f t="shared" si="8"/>
        <v>0</v>
      </c>
      <c r="I279" s="255">
        <v>4948259</v>
      </c>
      <c r="J279" s="258">
        <v>45658</v>
      </c>
      <c r="K279" s="294">
        <v>45691</v>
      </c>
    </row>
    <row r="280" spans="1:11" x14ac:dyDescent="0.2">
      <c r="A280" s="251">
        <v>279</v>
      </c>
      <c r="B280" s="251">
        <v>3856</v>
      </c>
      <c r="C280" s="252" t="s">
        <v>639</v>
      </c>
      <c r="D280" s="253">
        <v>225.3</v>
      </c>
      <c r="E280" s="254">
        <v>0.4</v>
      </c>
      <c r="F280" s="254">
        <f t="shared" si="9"/>
        <v>90.12</v>
      </c>
      <c r="G280" s="254">
        <f>87.37+2.75</f>
        <v>90.12</v>
      </c>
      <c r="H280" s="254">
        <f t="shared" si="8"/>
        <v>0</v>
      </c>
      <c r="I280" s="255">
        <v>15097631</v>
      </c>
      <c r="J280" s="258">
        <v>45628</v>
      </c>
      <c r="K280" s="294">
        <v>45677</v>
      </c>
    </row>
    <row r="281" spans="1:11" x14ac:dyDescent="0.2">
      <c r="A281" s="284">
        <v>280</v>
      </c>
      <c r="B281" s="284">
        <v>3857</v>
      </c>
      <c r="C281" s="285" t="s">
        <v>36</v>
      </c>
      <c r="D281" s="286">
        <v>734.3</v>
      </c>
      <c r="E281" s="287">
        <v>0.4</v>
      </c>
      <c r="F281" s="287">
        <f t="shared" si="9"/>
        <v>293.71999999999997</v>
      </c>
      <c r="G281" s="287">
        <f>F281</f>
        <v>293.71999999999997</v>
      </c>
      <c r="H281" s="287">
        <f t="shared" si="8"/>
        <v>0</v>
      </c>
      <c r="I281" s="300">
        <v>28903474</v>
      </c>
      <c r="J281" s="290" t="s">
        <v>716</v>
      </c>
    </row>
    <row r="282" spans="1:11" x14ac:dyDescent="0.2">
      <c r="A282" s="251">
        <v>281</v>
      </c>
      <c r="B282" s="251">
        <v>3858</v>
      </c>
      <c r="C282" s="252" t="s">
        <v>641</v>
      </c>
      <c r="D282" s="253">
        <v>327.7</v>
      </c>
      <c r="E282" s="254">
        <v>0.4</v>
      </c>
      <c r="F282" s="254">
        <f t="shared" si="9"/>
        <v>131.08000000000001</v>
      </c>
      <c r="G282" s="254">
        <f>128.89+2.19</f>
        <v>131.07999999999998</v>
      </c>
      <c r="H282" s="254">
        <f t="shared" si="8"/>
        <v>0</v>
      </c>
      <c r="I282" s="255">
        <v>18451569</v>
      </c>
      <c r="J282" s="258">
        <v>45658</v>
      </c>
    </row>
    <row r="283" spans="1:11" x14ac:dyDescent="0.2">
      <c r="A283" s="251">
        <v>282</v>
      </c>
      <c r="B283" s="251">
        <v>3859</v>
      </c>
      <c r="C283" s="252" t="s">
        <v>442</v>
      </c>
      <c r="D283" s="253">
        <v>591.1</v>
      </c>
      <c r="E283" s="254">
        <v>0.4</v>
      </c>
      <c r="F283" s="254">
        <f t="shared" si="9"/>
        <v>236.44000000000003</v>
      </c>
      <c r="G283" s="254">
        <f>234.26+2.18</f>
        <v>236.44</v>
      </c>
      <c r="H283" s="254">
        <f t="shared" si="8"/>
        <v>0</v>
      </c>
      <c r="I283" s="255">
        <v>6038764</v>
      </c>
      <c r="J283" s="258">
        <v>45642</v>
      </c>
      <c r="K283" s="294">
        <v>45685</v>
      </c>
    </row>
    <row r="284" spans="1:11" x14ac:dyDescent="0.2">
      <c r="A284" s="229">
        <v>283</v>
      </c>
      <c r="B284" s="229">
        <v>3860</v>
      </c>
      <c r="C284" s="231" t="s">
        <v>644</v>
      </c>
      <c r="D284" s="239">
        <v>243.4</v>
      </c>
      <c r="E284" s="233">
        <v>0.4</v>
      </c>
      <c r="F284" s="233">
        <f t="shared" si="9"/>
        <v>97.360000000000014</v>
      </c>
      <c r="G284" s="233"/>
      <c r="H284" s="233">
        <f t="shared" si="8"/>
        <v>97.360000000000014</v>
      </c>
      <c r="I284" s="240">
        <v>6132261</v>
      </c>
      <c r="J284" s="244"/>
    </row>
    <row r="285" spans="1:11" x14ac:dyDescent="0.2">
      <c r="A285" s="251">
        <v>284</v>
      </c>
      <c r="B285" s="251">
        <v>3861</v>
      </c>
      <c r="C285" s="252" t="s">
        <v>646</v>
      </c>
      <c r="D285" s="253">
        <v>360</v>
      </c>
      <c r="E285" s="254">
        <v>0.4</v>
      </c>
      <c r="F285" s="254">
        <f t="shared" si="9"/>
        <v>144</v>
      </c>
      <c r="G285" s="254">
        <f>139.88+4.12</f>
        <v>144</v>
      </c>
      <c r="H285" s="254">
        <f t="shared" si="8"/>
        <v>0</v>
      </c>
      <c r="I285" s="255">
        <v>14330506</v>
      </c>
      <c r="J285" s="258">
        <v>45630</v>
      </c>
      <c r="K285" s="294">
        <v>45658</v>
      </c>
    </row>
    <row r="286" spans="1:11" x14ac:dyDescent="0.2">
      <c r="A286" s="284">
        <v>285</v>
      </c>
      <c r="B286" s="284">
        <v>3862</v>
      </c>
      <c r="C286" s="285" t="s">
        <v>648</v>
      </c>
      <c r="D286" s="286">
        <v>491.2</v>
      </c>
      <c r="E286" s="287">
        <v>0.4</v>
      </c>
      <c r="F286" s="287">
        <f t="shared" si="9"/>
        <v>196.48000000000002</v>
      </c>
      <c r="G286" s="287">
        <f>F286</f>
        <v>196.48000000000002</v>
      </c>
      <c r="H286" s="287">
        <f t="shared" si="8"/>
        <v>0</v>
      </c>
      <c r="I286" s="300">
        <v>5892019</v>
      </c>
      <c r="J286" s="290" t="s">
        <v>716</v>
      </c>
    </row>
    <row r="287" spans="1:11" x14ac:dyDescent="0.2">
      <c r="A287" s="229">
        <v>286</v>
      </c>
      <c r="B287" s="229">
        <v>3863</v>
      </c>
      <c r="C287" s="231" t="s">
        <v>650</v>
      </c>
      <c r="D287" s="239">
        <v>313.39999999999998</v>
      </c>
      <c r="E287" s="233">
        <v>0.4</v>
      </c>
      <c r="F287" s="233">
        <f t="shared" si="9"/>
        <v>125.36</v>
      </c>
      <c r="G287" s="233"/>
      <c r="H287" s="233">
        <f t="shared" si="8"/>
        <v>125.36</v>
      </c>
      <c r="I287" s="240">
        <v>10772417</v>
      </c>
      <c r="J287" s="244"/>
    </row>
    <row r="288" spans="1:11" x14ac:dyDescent="0.2">
      <c r="A288" s="284">
        <v>287</v>
      </c>
      <c r="B288" s="284">
        <v>3864</v>
      </c>
      <c r="C288" s="285" t="s">
        <v>652</v>
      </c>
      <c r="D288" s="286">
        <v>478.4</v>
      </c>
      <c r="E288" s="287">
        <v>0.4</v>
      </c>
      <c r="F288" s="287">
        <f t="shared" si="9"/>
        <v>191.36</v>
      </c>
      <c r="G288" s="287">
        <f>F288</f>
        <v>191.36</v>
      </c>
      <c r="H288" s="287">
        <f t="shared" si="8"/>
        <v>0</v>
      </c>
      <c r="I288" s="300">
        <v>6493803</v>
      </c>
      <c r="J288" s="290" t="s">
        <v>716</v>
      </c>
    </row>
    <row r="289" spans="1:11" x14ac:dyDescent="0.2">
      <c r="A289" s="284">
        <v>288</v>
      </c>
      <c r="B289" s="284">
        <v>3865</v>
      </c>
      <c r="C289" s="285" t="s">
        <v>654</v>
      </c>
      <c r="D289" s="286">
        <v>702</v>
      </c>
      <c r="E289" s="287">
        <v>0.4</v>
      </c>
      <c r="F289" s="287">
        <f t="shared" si="9"/>
        <v>280.8</v>
      </c>
      <c r="G289" s="287">
        <f>F289</f>
        <v>280.8</v>
      </c>
      <c r="H289" s="287">
        <f t="shared" si="8"/>
        <v>0</v>
      </c>
      <c r="I289" s="300">
        <v>15219317</v>
      </c>
      <c r="J289" s="290" t="s">
        <v>716</v>
      </c>
    </row>
    <row r="290" spans="1:11" x14ac:dyDescent="0.2">
      <c r="A290" s="284">
        <v>289</v>
      </c>
      <c r="B290" s="284">
        <v>3866</v>
      </c>
      <c r="C290" s="285" t="s">
        <v>656</v>
      </c>
      <c r="D290" s="286">
        <v>373.4</v>
      </c>
      <c r="E290" s="287">
        <v>0.4</v>
      </c>
      <c r="F290" s="287">
        <f t="shared" si="9"/>
        <v>149.35999999999999</v>
      </c>
      <c r="G290" s="287">
        <f>F290</f>
        <v>149.35999999999999</v>
      </c>
      <c r="H290" s="287">
        <f t="shared" si="8"/>
        <v>0</v>
      </c>
      <c r="I290" s="300">
        <v>11772662</v>
      </c>
      <c r="J290" s="291" t="s">
        <v>878</v>
      </c>
    </row>
    <row r="291" spans="1:11" x14ac:dyDescent="0.2">
      <c r="A291" s="229">
        <v>290</v>
      </c>
      <c r="B291" s="229">
        <v>3867</v>
      </c>
      <c r="C291" s="231" t="s">
        <v>658</v>
      </c>
      <c r="D291" s="239">
        <v>342.6</v>
      </c>
      <c r="E291" s="233">
        <v>0.4</v>
      </c>
      <c r="F291" s="233">
        <f t="shared" si="9"/>
        <v>137.04000000000002</v>
      </c>
      <c r="G291" s="233"/>
      <c r="H291" s="233">
        <f t="shared" si="8"/>
        <v>137.04000000000002</v>
      </c>
      <c r="I291" s="240">
        <v>18189491</v>
      </c>
      <c r="J291" s="244"/>
    </row>
    <row r="292" spans="1:11" x14ac:dyDescent="0.2">
      <c r="A292" s="229">
        <v>291</v>
      </c>
      <c r="B292" s="229">
        <v>3868</v>
      </c>
      <c r="C292" s="231" t="s">
        <v>660</v>
      </c>
      <c r="D292" s="239">
        <v>225.9</v>
      </c>
      <c r="E292" s="233">
        <v>0.4</v>
      </c>
      <c r="F292" s="233">
        <f t="shared" si="9"/>
        <v>90.360000000000014</v>
      </c>
      <c r="G292" s="233"/>
      <c r="H292" s="233">
        <f t="shared" si="8"/>
        <v>90.360000000000014</v>
      </c>
      <c r="I292" s="240">
        <v>23619706</v>
      </c>
      <c r="J292" s="244"/>
    </row>
    <row r="293" spans="1:11" x14ac:dyDescent="0.2">
      <c r="A293" s="229">
        <v>292</v>
      </c>
      <c r="B293" s="229">
        <v>3869</v>
      </c>
      <c r="C293" s="231" t="s">
        <v>662</v>
      </c>
      <c r="D293" s="239">
        <v>224.7</v>
      </c>
      <c r="E293" s="233">
        <v>0.4</v>
      </c>
      <c r="F293" s="233">
        <f t="shared" si="9"/>
        <v>89.88</v>
      </c>
      <c r="G293" s="233"/>
      <c r="H293" s="233">
        <f t="shared" si="8"/>
        <v>89.88</v>
      </c>
      <c r="I293" s="240">
        <v>1265569</v>
      </c>
      <c r="J293" s="244"/>
    </row>
    <row r="294" spans="1:11" x14ac:dyDescent="0.2">
      <c r="A294" s="284">
        <v>293</v>
      </c>
      <c r="B294" s="284">
        <v>3870</v>
      </c>
      <c r="C294" s="285" t="s">
        <v>664</v>
      </c>
      <c r="D294" s="286">
        <v>933</v>
      </c>
      <c r="E294" s="287">
        <v>0.4</v>
      </c>
      <c r="F294" s="287">
        <f t="shared" si="9"/>
        <v>373.20000000000005</v>
      </c>
      <c r="G294" s="287">
        <f>F294</f>
        <v>373.20000000000005</v>
      </c>
      <c r="H294" s="287">
        <f t="shared" si="8"/>
        <v>0</v>
      </c>
      <c r="I294" s="300">
        <v>7138058</v>
      </c>
      <c r="J294" s="290" t="s">
        <v>716</v>
      </c>
    </row>
    <row r="295" spans="1:11" s="269" customFormat="1" x14ac:dyDescent="0.2">
      <c r="A295" s="251">
        <v>294</v>
      </c>
      <c r="B295" s="251">
        <v>3871</v>
      </c>
      <c r="C295" s="252" t="s">
        <v>38</v>
      </c>
      <c r="D295" s="253">
        <v>701.9</v>
      </c>
      <c r="E295" s="254">
        <v>0.4</v>
      </c>
      <c r="F295" s="254">
        <f t="shared" si="9"/>
        <v>280.76</v>
      </c>
      <c r="G295" s="254">
        <f>277.2</f>
        <v>277.2</v>
      </c>
      <c r="H295" s="254">
        <f t="shared" si="8"/>
        <v>3.5600000000000023</v>
      </c>
      <c r="I295" s="255">
        <v>6920684</v>
      </c>
      <c r="J295" s="258">
        <v>45932</v>
      </c>
    </row>
    <row r="296" spans="1:11" x14ac:dyDescent="0.2">
      <c r="A296" s="251">
        <v>295</v>
      </c>
      <c r="B296" s="251">
        <v>3872</v>
      </c>
      <c r="C296" s="252" t="s">
        <v>666</v>
      </c>
      <c r="D296" s="253">
        <v>737.1</v>
      </c>
      <c r="E296" s="254">
        <v>0.4</v>
      </c>
      <c r="F296" s="254">
        <f t="shared" si="9"/>
        <v>294.84000000000003</v>
      </c>
      <c r="G296" s="254">
        <f>294.31+0.53</f>
        <v>294.83999999999997</v>
      </c>
      <c r="H296" s="254">
        <f t="shared" si="8"/>
        <v>0</v>
      </c>
      <c r="I296" s="255">
        <v>5546892</v>
      </c>
      <c r="J296" s="258">
        <v>45630</v>
      </c>
      <c r="K296" s="294">
        <v>45665</v>
      </c>
    </row>
    <row r="297" spans="1:11" x14ac:dyDescent="0.2">
      <c r="A297" s="251">
        <v>296</v>
      </c>
      <c r="B297" s="251">
        <v>3873</v>
      </c>
      <c r="C297" s="252" t="s">
        <v>668</v>
      </c>
      <c r="D297" s="253">
        <v>872</v>
      </c>
      <c r="E297" s="254">
        <v>0.4</v>
      </c>
      <c r="F297" s="254">
        <f t="shared" si="9"/>
        <v>348.8</v>
      </c>
      <c r="G297" s="254">
        <f>344.65+4.15</f>
        <v>348.79999999999995</v>
      </c>
      <c r="H297" s="254">
        <f t="shared" si="8"/>
        <v>0</v>
      </c>
      <c r="I297" s="255">
        <v>6560744</v>
      </c>
      <c r="J297" s="258">
        <v>45650</v>
      </c>
      <c r="K297" s="294">
        <v>45672</v>
      </c>
    </row>
    <row r="298" spans="1:11" x14ac:dyDescent="0.2">
      <c r="A298" s="229">
        <v>297</v>
      </c>
      <c r="B298" s="229">
        <v>3874</v>
      </c>
      <c r="C298" s="231" t="s">
        <v>670</v>
      </c>
      <c r="D298" s="239">
        <v>409.5</v>
      </c>
      <c r="E298" s="233">
        <v>0.4</v>
      </c>
      <c r="F298" s="233">
        <f t="shared" si="9"/>
        <v>163.80000000000001</v>
      </c>
      <c r="G298" s="233"/>
      <c r="H298" s="233">
        <f t="shared" si="8"/>
        <v>163.80000000000001</v>
      </c>
      <c r="I298" s="240">
        <v>8105354</v>
      </c>
      <c r="J298" s="244"/>
    </row>
    <row r="299" spans="1:11" x14ac:dyDescent="0.2">
      <c r="A299" s="229">
        <v>298</v>
      </c>
      <c r="B299" s="229">
        <v>3875</v>
      </c>
      <c r="C299" s="231" t="s">
        <v>672</v>
      </c>
      <c r="D299" s="239">
        <v>438.8</v>
      </c>
      <c r="E299" s="233">
        <v>0.4</v>
      </c>
      <c r="F299" s="233">
        <f t="shared" si="9"/>
        <v>175.52</v>
      </c>
      <c r="G299" s="233"/>
      <c r="H299" s="233">
        <f t="shared" si="8"/>
        <v>175.52</v>
      </c>
      <c r="I299" s="240">
        <v>1345289</v>
      </c>
      <c r="J299" s="244"/>
    </row>
    <row r="300" spans="1:11" x14ac:dyDescent="0.2">
      <c r="A300" s="251">
        <v>299</v>
      </c>
      <c r="B300" s="251">
        <v>3876</v>
      </c>
      <c r="C300" s="252" t="s">
        <v>674</v>
      </c>
      <c r="D300" s="253">
        <v>408.4</v>
      </c>
      <c r="E300" s="254">
        <v>0.4</v>
      </c>
      <c r="F300" s="254">
        <f t="shared" si="9"/>
        <v>163.36000000000001</v>
      </c>
      <c r="G300" s="254">
        <f>162.05+1.31</f>
        <v>163.36000000000001</v>
      </c>
      <c r="H300" s="254">
        <f t="shared" si="8"/>
        <v>0</v>
      </c>
      <c r="I300" s="255">
        <v>4767948</v>
      </c>
      <c r="J300" s="258">
        <v>45635</v>
      </c>
      <c r="K300" s="219" t="s">
        <v>849</v>
      </c>
    </row>
    <row r="301" spans="1:11" x14ac:dyDescent="0.2">
      <c r="A301" s="284">
        <v>300</v>
      </c>
      <c r="B301" s="284">
        <v>3877</v>
      </c>
      <c r="C301" s="285" t="s">
        <v>41</v>
      </c>
      <c r="D301" s="286">
        <v>313.2</v>
      </c>
      <c r="E301" s="287">
        <v>0.4</v>
      </c>
      <c r="F301" s="287">
        <f t="shared" si="9"/>
        <v>125.28</v>
      </c>
      <c r="G301" s="287">
        <f>F301</f>
        <v>125.28</v>
      </c>
      <c r="H301" s="287">
        <f t="shared" si="8"/>
        <v>0</v>
      </c>
      <c r="I301" s="300">
        <v>14897254</v>
      </c>
      <c r="J301" s="290" t="s">
        <v>716</v>
      </c>
    </row>
    <row r="302" spans="1:11" x14ac:dyDescent="0.2">
      <c r="A302" s="229">
        <v>301</v>
      </c>
      <c r="B302" s="229">
        <v>3878</v>
      </c>
      <c r="C302" s="231" t="s">
        <v>676</v>
      </c>
      <c r="D302" s="239">
        <v>327.10000000000002</v>
      </c>
      <c r="E302" s="233">
        <v>0.4</v>
      </c>
      <c r="F302" s="233">
        <f t="shared" si="9"/>
        <v>130.84</v>
      </c>
      <c r="G302" s="233"/>
      <c r="H302" s="233">
        <f t="shared" si="8"/>
        <v>130.84</v>
      </c>
      <c r="I302" s="240">
        <v>22687078</v>
      </c>
      <c r="J302" s="244"/>
    </row>
    <row r="303" spans="1:11" s="274" customFormat="1" x14ac:dyDescent="0.2">
      <c r="A303" s="251">
        <v>302</v>
      </c>
      <c r="B303" s="251">
        <v>3879</v>
      </c>
      <c r="C303" s="252" t="s">
        <v>678</v>
      </c>
      <c r="D303" s="253">
        <v>189.9</v>
      </c>
      <c r="E303" s="254">
        <v>0.4</v>
      </c>
      <c r="F303" s="254">
        <f t="shared" si="9"/>
        <v>75.960000000000008</v>
      </c>
      <c r="G303" s="254">
        <f>75.39+0.57</f>
        <v>75.959999999999994</v>
      </c>
      <c r="H303" s="254">
        <f t="shared" si="8"/>
        <v>0</v>
      </c>
      <c r="I303" s="255">
        <v>23178497</v>
      </c>
      <c r="J303" s="258">
        <v>45630</v>
      </c>
      <c r="K303" s="425">
        <v>45691</v>
      </c>
    </row>
    <row r="304" spans="1:11" s="269" customFormat="1" x14ac:dyDescent="0.2">
      <c r="A304" s="251">
        <v>303</v>
      </c>
      <c r="B304" s="251">
        <v>3880</v>
      </c>
      <c r="C304" s="252" t="s">
        <v>680</v>
      </c>
      <c r="D304" s="253">
        <v>765.9</v>
      </c>
      <c r="E304" s="254">
        <v>0.4</v>
      </c>
      <c r="F304" s="254">
        <f t="shared" si="9"/>
        <v>306.36</v>
      </c>
      <c r="G304" s="254">
        <f>F304</f>
        <v>306.36</v>
      </c>
      <c r="H304" s="254">
        <f t="shared" si="8"/>
        <v>0</v>
      </c>
      <c r="I304" s="255">
        <v>6370697</v>
      </c>
      <c r="J304" s="438">
        <v>45932</v>
      </c>
    </row>
    <row r="305" spans="1:11" x14ac:dyDescent="0.2">
      <c r="A305" s="251">
        <v>304</v>
      </c>
      <c r="B305" s="251">
        <v>3882</v>
      </c>
      <c r="C305" s="252" t="s">
        <v>684</v>
      </c>
      <c r="D305" s="253">
        <v>405</v>
      </c>
      <c r="E305" s="254">
        <v>0.4</v>
      </c>
      <c r="F305" s="254">
        <f t="shared" si="9"/>
        <v>162</v>
      </c>
      <c r="G305" s="254">
        <f>160.05+1.95</f>
        <v>162</v>
      </c>
      <c r="H305" s="254">
        <f t="shared" si="8"/>
        <v>0</v>
      </c>
      <c r="I305" s="255">
        <v>26752992</v>
      </c>
      <c r="J305" s="258">
        <v>45628</v>
      </c>
      <c r="K305" s="294">
        <v>45658</v>
      </c>
    </row>
    <row r="306" spans="1:11" x14ac:dyDescent="0.2">
      <c r="A306" s="251">
        <v>305</v>
      </c>
      <c r="B306" s="251">
        <v>3884</v>
      </c>
      <c r="C306" s="252" t="s">
        <v>688</v>
      </c>
      <c r="D306" s="253">
        <v>181</v>
      </c>
      <c r="E306" s="254">
        <v>0.4</v>
      </c>
      <c r="F306" s="254">
        <f t="shared" si="9"/>
        <v>72.400000000000006</v>
      </c>
      <c r="G306" s="254">
        <f>72+0.4</f>
        <v>72.400000000000006</v>
      </c>
      <c r="H306" s="254">
        <f t="shared" si="8"/>
        <v>0</v>
      </c>
      <c r="I306" s="255">
        <v>22716378</v>
      </c>
      <c r="J306" s="258">
        <v>45630</v>
      </c>
      <c r="K306" s="219" t="s">
        <v>893</v>
      </c>
    </row>
    <row r="307" spans="1:11" x14ac:dyDescent="0.2">
      <c r="A307" s="251">
        <v>306</v>
      </c>
      <c r="B307" s="251">
        <v>3885</v>
      </c>
      <c r="C307" s="252" t="s">
        <v>690</v>
      </c>
      <c r="D307" s="253">
        <v>245.5</v>
      </c>
      <c r="E307" s="254">
        <v>0.4</v>
      </c>
      <c r="F307" s="254">
        <f t="shared" si="9"/>
        <v>98.2</v>
      </c>
      <c r="G307" s="254">
        <f>95.38+2.82</f>
        <v>98.199999999999989</v>
      </c>
      <c r="H307" s="254">
        <f t="shared" si="8"/>
        <v>0</v>
      </c>
      <c r="I307" s="255">
        <v>9920479</v>
      </c>
      <c r="J307" s="258">
        <v>45635</v>
      </c>
      <c r="K307" s="294">
        <v>45658</v>
      </c>
    </row>
    <row r="308" spans="1:11" x14ac:dyDescent="0.2">
      <c r="A308" s="251">
        <v>307</v>
      </c>
      <c r="B308" s="251">
        <v>3886</v>
      </c>
      <c r="C308" s="252" t="s">
        <v>692</v>
      </c>
      <c r="D308" s="253">
        <v>391.9</v>
      </c>
      <c r="E308" s="254">
        <v>0.4</v>
      </c>
      <c r="F308" s="254">
        <f t="shared" si="9"/>
        <v>156.76</v>
      </c>
      <c r="G308" s="254">
        <f>155.85+0.91</f>
        <v>156.76</v>
      </c>
      <c r="H308" s="254">
        <f t="shared" si="8"/>
        <v>0</v>
      </c>
      <c r="I308" s="255">
        <v>21941594</v>
      </c>
      <c r="J308" s="258">
        <v>45650</v>
      </c>
      <c r="K308" s="294">
        <v>45677</v>
      </c>
    </row>
    <row r="309" spans="1:11" x14ac:dyDescent="0.2">
      <c r="A309" s="251">
        <v>308</v>
      </c>
      <c r="B309" s="251">
        <v>3887</v>
      </c>
      <c r="C309" s="252" t="s">
        <v>694</v>
      </c>
      <c r="D309" s="253">
        <v>219.7</v>
      </c>
      <c r="E309" s="254">
        <v>0.4</v>
      </c>
      <c r="F309" s="254">
        <f t="shared" si="9"/>
        <v>87.88</v>
      </c>
      <c r="G309" s="254">
        <f>83.61+4.27</f>
        <v>87.88</v>
      </c>
      <c r="H309" s="254">
        <f t="shared" si="8"/>
        <v>0</v>
      </c>
      <c r="I309" s="255">
        <v>13204809</v>
      </c>
      <c r="J309" s="258">
        <v>45624</v>
      </c>
      <c r="K309" s="294">
        <v>45658</v>
      </c>
    </row>
    <row r="310" spans="1:11" x14ac:dyDescent="0.2">
      <c r="A310" s="251">
        <v>309</v>
      </c>
      <c r="B310" s="251">
        <v>3888</v>
      </c>
      <c r="C310" s="252" t="s">
        <v>696</v>
      </c>
      <c r="D310" s="253">
        <v>409.5</v>
      </c>
      <c r="E310" s="254">
        <v>0.4</v>
      </c>
      <c r="F310" s="254">
        <f t="shared" si="9"/>
        <v>163.80000000000001</v>
      </c>
      <c r="G310" s="254">
        <f>F310</f>
        <v>163.80000000000001</v>
      </c>
      <c r="H310" s="254">
        <f t="shared" si="8"/>
        <v>0</v>
      </c>
      <c r="I310" s="255">
        <v>1808869</v>
      </c>
      <c r="J310" s="343">
        <v>45691</v>
      </c>
    </row>
    <row r="311" spans="1:11" x14ac:dyDescent="0.2">
      <c r="A311" s="284">
        <v>310</v>
      </c>
      <c r="B311" s="284">
        <v>3889</v>
      </c>
      <c r="C311" s="285" t="s">
        <v>698</v>
      </c>
      <c r="D311" s="286">
        <v>421.9</v>
      </c>
      <c r="E311" s="287">
        <v>0.4</v>
      </c>
      <c r="F311" s="287">
        <f t="shared" si="9"/>
        <v>168.76</v>
      </c>
      <c r="G311" s="287">
        <f>F311</f>
        <v>168.76</v>
      </c>
      <c r="H311" s="287">
        <f t="shared" si="8"/>
        <v>0</v>
      </c>
      <c r="I311" s="300">
        <v>6499103</v>
      </c>
      <c r="J311" s="290" t="s">
        <v>716</v>
      </c>
    </row>
    <row r="312" spans="1:11" customFormat="1" ht="15" x14ac:dyDescent="0.25">
      <c r="A312" s="37"/>
      <c r="B312" s="38"/>
      <c r="C312" s="39" t="s">
        <v>45</v>
      </c>
      <c r="D312" s="40">
        <f>SUM(D4:D311)</f>
        <v>142849.09999999995</v>
      </c>
      <c r="E312" s="41"/>
      <c r="F312" s="42">
        <f>SUM(F4:F311)</f>
        <v>57139.640000000014</v>
      </c>
      <c r="G312" s="42">
        <f t="shared" ref="G312:H312" si="10">SUM(G4:G311)</f>
        <v>42705.550000000025</v>
      </c>
      <c r="H312" s="42">
        <f t="shared" si="10"/>
        <v>14434.089999999998</v>
      </c>
      <c r="I312" s="37"/>
      <c r="J312" s="44"/>
    </row>
    <row r="313" spans="1:11" x14ac:dyDescent="0.2">
      <c r="D313" s="319"/>
      <c r="G313" s="399">
        <f>G235+G201+G186</f>
        <v>818.88000000000011</v>
      </c>
    </row>
    <row r="314" spans="1:11" customFormat="1" ht="15" x14ac:dyDescent="0.25">
      <c r="D314" s="150"/>
      <c r="G314" s="148">
        <f>G312-G313</f>
        <v>41886.670000000027</v>
      </c>
      <c r="H314" s="114">
        <f>G314/F312</f>
        <v>0.73305799616518441</v>
      </c>
    </row>
    <row r="316" spans="1:11" x14ac:dyDescent="0.2">
      <c r="G316" s="399"/>
    </row>
  </sheetData>
  <autoFilter ref="A3:J316" xr:uid="{4E6B4A17-A506-493D-96FC-F66AA92181F6}"/>
  <mergeCells count="1">
    <mergeCell ref="A1:J2"/>
  </mergeCells>
  <pageMargins left="0.7" right="0.7" top="0.75" bottom="0.75" header="0.3" footer="0.3"/>
  <pageSetup paperSize="9" scale="4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8734-A792-4906-BECD-E88C46CFCC0B}">
  <dimension ref="A1:Q316"/>
  <sheetViews>
    <sheetView view="pageBreakPreview" topLeftCell="A261" zoomScale="124" zoomScaleNormal="100" zoomScaleSheetLayoutView="124" workbookViewId="0">
      <pane xSplit="2" topLeftCell="C1" activePane="topRight" state="frozen"/>
      <selection activeCell="N149" sqref="N149"/>
      <selection pane="topRight" activeCell="N149" sqref="N149"/>
    </sheetView>
  </sheetViews>
  <sheetFormatPr defaultColWidth="9.28515625" defaultRowHeight="11.25" x14ac:dyDescent="0.2"/>
  <cols>
    <col min="1" max="1" width="6.7109375" style="219" customWidth="1"/>
    <col min="2" max="2" width="9.28515625" style="219" bestFit="1" customWidth="1"/>
    <col min="3" max="3" width="27.7109375" style="219" customWidth="1"/>
    <col min="4" max="4" width="11.28515625" style="219" customWidth="1"/>
    <col min="5" max="5" width="9.28515625" style="219" bestFit="1" customWidth="1"/>
    <col min="6" max="6" width="13.5703125" style="219" customWidth="1"/>
    <col min="7" max="7" width="9.42578125" style="219" bestFit="1" customWidth="1"/>
    <col min="8" max="8" width="13.5703125" style="219" customWidth="1"/>
    <col min="9" max="9" width="10.7109375" style="219" customWidth="1"/>
    <col min="10" max="10" width="15.42578125" style="219" hidden="1" customWidth="1"/>
    <col min="11" max="11" width="17.7109375" style="219" hidden="1" customWidth="1"/>
    <col min="12" max="12" width="12.28515625" style="219" hidden="1" customWidth="1"/>
    <col min="13" max="13" width="9.42578125" style="219" bestFit="1" customWidth="1"/>
    <col min="14" max="14" width="11.7109375" style="219" bestFit="1" customWidth="1"/>
    <col min="15" max="15" width="17.28515625" style="329" customWidth="1"/>
    <col min="16" max="17" width="11" style="219" bestFit="1" customWidth="1"/>
    <col min="18" max="16384" width="9.28515625" style="219"/>
  </cols>
  <sheetData>
    <row r="1" spans="1:15" x14ac:dyDescent="0.2">
      <c r="A1" s="602" t="s">
        <v>842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</row>
    <row r="2" spans="1:15" ht="12" thickBot="1" x14ac:dyDescent="0.25">
      <c r="A2" s="602"/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</row>
    <row r="3" spans="1:15" ht="22.5" x14ac:dyDescent="0.2">
      <c r="A3" s="220" t="s">
        <v>1</v>
      </c>
      <c r="B3" s="221" t="s">
        <v>2</v>
      </c>
      <c r="C3" s="222" t="s">
        <v>3</v>
      </c>
      <c r="D3" s="223" t="s">
        <v>4</v>
      </c>
      <c r="E3" s="221" t="s">
        <v>5</v>
      </c>
      <c r="F3" s="221" t="s">
        <v>6</v>
      </c>
      <c r="G3" s="221" t="s">
        <v>6</v>
      </c>
      <c r="H3" s="221" t="s">
        <v>6</v>
      </c>
      <c r="I3" s="224" t="s">
        <v>9</v>
      </c>
      <c r="J3" s="225" t="s">
        <v>10</v>
      </c>
      <c r="K3" s="225" t="s">
        <v>11</v>
      </c>
      <c r="L3" s="226" t="s">
        <v>12</v>
      </c>
      <c r="M3" s="227" t="s">
        <v>13</v>
      </c>
      <c r="N3" s="328" t="s">
        <v>14</v>
      </c>
      <c r="O3" s="328" t="s">
        <v>857</v>
      </c>
    </row>
    <row r="4" spans="1:15" x14ac:dyDescent="0.2">
      <c r="A4" s="229">
        <v>1</v>
      </c>
      <c r="B4" s="230">
        <v>1108</v>
      </c>
      <c r="C4" s="231" t="s">
        <v>49</v>
      </c>
      <c r="D4" s="232">
        <v>936.5</v>
      </c>
      <c r="E4" s="233">
        <v>0.4</v>
      </c>
      <c r="F4" s="233">
        <f t="shared" ref="F4:F67" si="0">E4*D4</f>
        <v>374.6</v>
      </c>
      <c r="G4" s="233"/>
      <c r="H4" s="233">
        <f t="shared" ref="H4:H67" si="1">F4-G4</f>
        <v>374.6</v>
      </c>
      <c r="I4" s="234">
        <v>15218386</v>
      </c>
      <c r="J4" s="235" t="s">
        <v>50</v>
      </c>
      <c r="K4" s="235" t="s">
        <v>25</v>
      </c>
      <c r="L4" s="236" t="s">
        <v>26</v>
      </c>
      <c r="M4" s="234">
        <v>92776884</v>
      </c>
      <c r="N4" s="244"/>
    </row>
    <row r="5" spans="1:15" x14ac:dyDescent="0.2">
      <c r="A5" s="251">
        <v>2</v>
      </c>
      <c r="B5" s="251">
        <v>1390</v>
      </c>
      <c r="C5" s="252" t="s">
        <v>51</v>
      </c>
      <c r="D5" s="253">
        <v>344.4</v>
      </c>
      <c r="E5" s="254">
        <v>0.4</v>
      </c>
      <c r="F5" s="254">
        <f t="shared" si="0"/>
        <v>137.76</v>
      </c>
      <c r="G5" s="254">
        <f>137.67+0.09</f>
        <v>137.76</v>
      </c>
      <c r="H5" s="254">
        <f t="shared" si="1"/>
        <v>0</v>
      </c>
      <c r="I5" s="251">
        <v>12181822</v>
      </c>
      <c r="J5" s="257" t="s">
        <v>52</v>
      </c>
      <c r="K5" s="257" t="s">
        <v>25</v>
      </c>
      <c r="L5" s="256" t="s">
        <v>26</v>
      </c>
      <c r="M5" s="251">
        <v>92442060</v>
      </c>
      <c r="N5" s="258">
        <v>45662</v>
      </c>
      <c r="O5" s="338">
        <v>45691</v>
      </c>
    </row>
    <row r="6" spans="1:15" x14ac:dyDescent="0.2">
      <c r="A6" s="251">
        <v>3</v>
      </c>
      <c r="B6" s="251">
        <v>1399</v>
      </c>
      <c r="C6" s="252" t="s">
        <v>53</v>
      </c>
      <c r="D6" s="253">
        <v>260.39999999999998</v>
      </c>
      <c r="E6" s="254">
        <v>0.4</v>
      </c>
      <c r="F6" s="254">
        <f t="shared" si="0"/>
        <v>104.16</v>
      </c>
      <c r="G6" s="254">
        <f>101.85+2.31</f>
        <v>104.16</v>
      </c>
      <c r="H6" s="254">
        <f t="shared" si="1"/>
        <v>0</v>
      </c>
      <c r="I6" s="255">
        <v>10065546</v>
      </c>
      <c r="J6" s="256" t="s">
        <v>54</v>
      </c>
      <c r="K6" s="257" t="s">
        <v>43</v>
      </c>
      <c r="L6" s="256" t="s">
        <v>44</v>
      </c>
      <c r="M6" s="251"/>
      <c r="N6" s="258">
        <v>45658</v>
      </c>
      <c r="O6" s="338">
        <v>45691</v>
      </c>
    </row>
    <row r="7" spans="1:15" x14ac:dyDescent="0.2">
      <c r="A7" s="251">
        <v>4</v>
      </c>
      <c r="B7" s="251">
        <v>1422</v>
      </c>
      <c r="C7" s="252" t="s">
        <v>56</v>
      </c>
      <c r="D7" s="253">
        <v>261.60000000000002</v>
      </c>
      <c r="E7" s="254">
        <v>0.4</v>
      </c>
      <c r="F7" s="254">
        <f t="shared" si="0"/>
        <v>104.64000000000001</v>
      </c>
      <c r="G7" s="254">
        <f>104.52+0.12</f>
        <v>104.64</v>
      </c>
      <c r="H7" s="254">
        <f t="shared" si="1"/>
        <v>0</v>
      </c>
      <c r="I7" s="264">
        <v>3280016</v>
      </c>
      <c r="J7" s="257" t="s">
        <v>57</v>
      </c>
      <c r="K7" s="257" t="s">
        <v>25</v>
      </c>
      <c r="L7" s="256" t="s">
        <v>26</v>
      </c>
      <c r="M7" s="264"/>
      <c r="N7" s="258">
        <v>45658</v>
      </c>
      <c r="O7" s="281">
        <v>45691</v>
      </c>
    </row>
    <row r="8" spans="1:15" x14ac:dyDescent="0.2">
      <c r="A8" s="251">
        <v>5</v>
      </c>
      <c r="B8" s="251">
        <v>1424</v>
      </c>
      <c r="C8" s="252" t="s">
        <v>58</v>
      </c>
      <c r="D8" s="253">
        <v>388.2</v>
      </c>
      <c r="E8" s="254">
        <v>0.4</v>
      </c>
      <c r="F8" s="254">
        <f t="shared" si="0"/>
        <v>155.28</v>
      </c>
      <c r="G8" s="254">
        <f>154.3+0.98</f>
        <v>155.28</v>
      </c>
      <c r="H8" s="254">
        <f t="shared" si="1"/>
        <v>0</v>
      </c>
      <c r="I8" s="264">
        <v>748395</v>
      </c>
      <c r="J8" s="262" t="s">
        <v>59</v>
      </c>
      <c r="K8" s="263" t="s">
        <v>17</v>
      </c>
      <c r="L8" s="263" t="s">
        <v>18</v>
      </c>
      <c r="M8" s="264">
        <v>93011211</v>
      </c>
      <c r="N8" s="258">
        <v>45644</v>
      </c>
      <c r="O8" s="281">
        <v>45677</v>
      </c>
    </row>
    <row r="9" spans="1:15" s="269" customFormat="1" x14ac:dyDescent="0.2">
      <c r="A9" s="251">
        <v>6</v>
      </c>
      <c r="B9" s="251">
        <v>1429</v>
      </c>
      <c r="C9" s="252" t="s">
        <v>60</v>
      </c>
      <c r="D9" s="253">
        <v>420</v>
      </c>
      <c r="E9" s="254">
        <v>0.4</v>
      </c>
      <c r="F9" s="254">
        <f t="shared" si="0"/>
        <v>168</v>
      </c>
      <c r="G9" s="254">
        <f>163.5</f>
        <v>163.5</v>
      </c>
      <c r="H9" s="254">
        <f t="shared" si="1"/>
        <v>4.5</v>
      </c>
      <c r="I9" s="255">
        <v>339725</v>
      </c>
      <c r="J9" s="256" t="s">
        <v>61</v>
      </c>
      <c r="K9" s="257" t="s">
        <v>25</v>
      </c>
      <c r="L9" s="256" t="s">
        <v>26</v>
      </c>
      <c r="M9" s="251"/>
      <c r="N9" s="263" t="s">
        <v>893</v>
      </c>
      <c r="O9" s="351"/>
    </row>
    <row r="10" spans="1:15" x14ac:dyDescent="0.2">
      <c r="A10" s="251">
        <v>7</v>
      </c>
      <c r="B10" s="251">
        <v>1431</v>
      </c>
      <c r="C10" s="252" t="s">
        <v>62</v>
      </c>
      <c r="D10" s="253">
        <v>186.9</v>
      </c>
      <c r="E10" s="254">
        <v>0.4</v>
      </c>
      <c r="F10" s="254">
        <f t="shared" si="0"/>
        <v>74.760000000000005</v>
      </c>
      <c r="G10" s="254">
        <f>72.08+2.68</f>
        <v>74.760000000000005</v>
      </c>
      <c r="H10" s="254">
        <f t="shared" si="1"/>
        <v>0</v>
      </c>
      <c r="I10" s="264">
        <v>721445</v>
      </c>
      <c r="J10" s="257" t="s">
        <v>63</v>
      </c>
      <c r="K10" s="263" t="s">
        <v>17</v>
      </c>
      <c r="L10" s="263" t="s">
        <v>18</v>
      </c>
      <c r="M10" s="264">
        <v>99291700</v>
      </c>
      <c r="N10" s="258">
        <v>45658</v>
      </c>
      <c r="O10" s="281">
        <v>45679</v>
      </c>
    </row>
    <row r="11" spans="1:15" x14ac:dyDescent="0.2">
      <c r="A11" s="229">
        <v>8</v>
      </c>
      <c r="B11" s="229">
        <v>1443</v>
      </c>
      <c r="C11" s="231" t="s">
        <v>65</v>
      </c>
      <c r="D11" s="232">
        <v>1189.4000000000001</v>
      </c>
      <c r="E11" s="233">
        <v>0.4</v>
      </c>
      <c r="F11" s="233">
        <f t="shared" si="0"/>
        <v>475.76000000000005</v>
      </c>
      <c r="G11" s="233"/>
      <c r="H11" s="233">
        <f t="shared" si="1"/>
        <v>475.76000000000005</v>
      </c>
      <c r="I11" s="242">
        <v>6026992</v>
      </c>
      <c r="J11" s="238" t="s">
        <v>66</v>
      </c>
      <c r="K11" s="235" t="s">
        <v>25</v>
      </c>
      <c r="L11" s="236" t="s">
        <v>26</v>
      </c>
      <c r="M11" s="242">
        <v>95863774</v>
      </c>
      <c r="N11" s="244"/>
    </row>
    <row r="12" spans="1:15" x14ac:dyDescent="0.2">
      <c r="A12" s="251">
        <v>9</v>
      </c>
      <c r="B12" s="251">
        <v>1452</v>
      </c>
      <c r="C12" s="252" t="s">
        <v>67</v>
      </c>
      <c r="D12" s="253">
        <v>389</v>
      </c>
      <c r="E12" s="254">
        <v>0.4</v>
      </c>
      <c r="F12" s="254">
        <f t="shared" si="0"/>
        <v>155.60000000000002</v>
      </c>
      <c r="G12" s="254">
        <f>151.89+3.71</f>
        <v>155.6</v>
      </c>
      <c r="H12" s="254">
        <f t="shared" si="1"/>
        <v>0</v>
      </c>
      <c r="I12" s="330">
        <v>20917176</v>
      </c>
      <c r="J12" s="331" t="s">
        <v>68</v>
      </c>
      <c r="K12" s="323" t="s">
        <v>25</v>
      </c>
      <c r="L12" s="331" t="s">
        <v>26</v>
      </c>
      <c r="M12" s="330">
        <v>95863774</v>
      </c>
      <c r="N12" s="332">
        <v>45658</v>
      </c>
      <c r="O12" s="338">
        <v>45779</v>
      </c>
    </row>
    <row r="13" spans="1:15" x14ac:dyDescent="0.2">
      <c r="A13" s="229">
        <v>10</v>
      </c>
      <c r="B13" s="229">
        <v>1458</v>
      </c>
      <c r="C13" s="231" t="s">
        <v>69</v>
      </c>
      <c r="D13" s="232">
        <v>319</v>
      </c>
      <c r="E13" s="233">
        <v>0.4</v>
      </c>
      <c r="F13" s="233">
        <f t="shared" si="0"/>
        <v>127.60000000000001</v>
      </c>
      <c r="G13" s="233"/>
      <c r="H13" s="233">
        <f t="shared" si="1"/>
        <v>127.60000000000001</v>
      </c>
      <c r="I13" s="242">
        <v>77628</v>
      </c>
      <c r="J13" s="238" t="s">
        <v>70</v>
      </c>
      <c r="K13" s="244" t="s">
        <v>17</v>
      </c>
      <c r="L13" s="244" t="s">
        <v>18</v>
      </c>
      <c r="M13" s="242">
        <v>99275608</v>
      </c>
      <c r="N13" s="244"/>
    </row>
    <row r="14" spans="1:15" x14ac:dyDescent="0.2">
      <c r="A14" s="229">
        <v>11</v>
      </c>
      <c r="B14" s="229">
        <v>1461</v>
      </c>
      <c r="C14" s="231" t="s">
        <v>71</v>
      </c>
      <c r="D14" s="232">
        <v>333.5</v>
      </c>
      <c r="E14" s="233">
        <v>0.4</v>
      </c>
      <c r="F14" s="233">
        <f t="shared" si="0"/>
        <v>133.4</v>
      </c>
      <c r="G14" s="233"/>
      <c r="H14" s="233">
        <f t="shared" si="1"/>
        <v>133.4</v>
      </c>
      <c r="I14" s="242">
        <v>6828806</v>
      </c>
      <c r="J14" s="238" t="s">
        <v>72</v>
      </c>
      <c r="K14" s="235" t="s">
        <v>25</v>
      </c>
      <c r="L14" s="236" t="s">
        <v>26</v>
      </c>
      <c r="M14" s="242">
        <v>92330321</v>
      </c>
      <c r="N14" s="244"/>
    </row>
    <row r="15" spans="1:15" x14ac:dyDescent="0.2">
      <c r="A15" s="284">
        <v>12</v>
      </c>
      <c r="B15" s="284">
        <v>1465</v>
      </c>
      <c r="C15" s="285" t="s">
        <v>73</v>
      </c>
      <c r="D15" s="286">
        <v>331.7</v>
      </c>
      <c r="E15" s="287">
        <v>0.4</v>
      </c>
      <c r="F15" s="287">
        <f t="shared" si="0"/>
        <v>132.68</v>
      </c>
      <c r="G15" s="287">
        <f>F15</f>
        <v>132.68</v>
      </c>
      <c r="H15" s="287">
        <f t="shared" si="1"/>
        <v>0</v>
      </c>
      <c r="I15" s="284">
        <v>757601</v>
      </c>
      <c r="J15" s="289" t="s">
        <v>74</v>
      </c>
      <c r="K15" s="333" t="s">
        <v>75</v>
      </c>
      <c r="L15" s="290" t="s">
        <v>76</v>
      </c>
      <c r="M15" s="284">
        <v>99892131</v>
      </c>
      <c r="N15" s="290" t="s">
        <v>716</v>
      </c>
    </row>
    <row r="16" spans="1:15" x14ac:dyDescent="0.2">
      <c r="A16" s="229">
        <v>13</v>
      </c>
      <c r="B16" s="229">
        <v>1474</v>
      </c>
      <c r="C16" s="231" t="s">
        <v>15</v>
      </c>
      <c r="D16" s="232">
        <v>613.5</v>
      </c>
      <c r="E16" s="233">
        <v>0.4</v>
      </c>
      <c r="F16" s="233">
        <f t="shared" si="0"/>
        <v>245.4</v>
      </c>
      <c r="G16" s="233"/>
      <c r="H16" s="233">
        <f t="shared" si="1"/>
        <v>245.4</v>
      </c>
      <c r="I16" s="229">
        <v>4603773</v>
      </c>
      <c r="J16" s="244" t="s">
        <v>16</v>
      </c>
      <c r="K16" s="244" t="s">
        <v>17</v>
      </c>
      <c r="L16" s="244" t="s">
        <v>18</v>
      </c>
      <c r="M16" s="229">
        <v>98820843</v>
      </c>
      <c r="N16" s="244"/>
    </row>
    <row r="17" spans="1:15" x14ac:dyDescent="0.2">
      <c r="A17" s="251">
        <v>14</v>
      </c>
      <c r="B17" s="251">
        <v>1479</v>
      </c>
      <c r="C17" s="334" t="s">
        <v>77</v>
      </c>
      <c r="D17" s="253">
        <v>303.2</v>
      </c>
      <c r="E17" s="254">
        <v>0.4</v>
      </c>
      <c r="F17" s="254">
        <f t="shared" si="0"/>
        <v>121.28</v>
      </c>
      <c r="G17" s="254">
        <f>119.16</f>
        <v>119.16</v>
      </c>
      <c r="H17" s="254">
        <f t="shared" si="1"/>
        <v>2.1200000000000045</v>
      </c>
      <c r="I17" s="335">
        <v>5217726</v>
      </c>
      <c r="J17" s="336" t="s">
        <v>78</v>
      </c>
      <c r="K17" s="337" t="s">
        <v>25</v>
      </c>
      <c r="L17" s="337" t="s">
        <v>26</v>
      </c>
      <c r="M17" s="335">
        <v>92610234</v>
      </c>
      <c r="N17" s="250">
        <v>45637</v>
      </c>
    </row>
    <row r="18" spans="1:15" x14ac:dyDescent="0.2">
      <c r="A18" s="251">
        <v>15</v>
      </c>
      <c r="B18" s="251">
        <v>1483</v>
      </c>
      <c r="C18" s="252" t="s">
        <v>79</v>
      </c>
      <c r="D18" s="253">
        <v>820.3</v>
      </c>
      <c r="E18" s="254">
        <v>0.4</v>
      </c>
      <c r="F18" s="254">
        <f t="shared" si="0"/>
        <v>328.12</v>
      </c>
      <c r="G18" s="254">
        <f>327.34+0.78</f>
        <v>328.11999999999995</v>
      </c>
      <c r="H18" s="254">
        <f t="shared" si="1"/>
        <v>0</v>
      </c>
      <c r="I18" s="251">
        <v>1567826</v>
      </c>
      <c r="J18" s="262" t="s">
        <v>80</v>
      </c>
      <c r="K18" s="263" t="s">
        <v>75</v>
      </c>
      <c r="L18" s="256" t="s">
        <v>76</v>
      </c>
      <c r="M18" s="251">
        <v>98532884</v>
      </c>
      <c r="N18" s="258">
        <v>45658</v>
      </c>
      <c r="O18" s="338">
        <v>45691</v>
      </c>
    </row>
    <row r="19" spans="1:15" x14ac:dyDescent="0.2">
      <c r="A19" s="251">
        <v>16</v>
      </c>
      <c r="B19" s="251">
        <v>1486</v>
      </c>
      <c r="C19" s="252" t="s">
        <v>714</v>
      </c>
      <c r="D19" s="253">
        <v>354.5</v>
      </c>
      <c r="E19" s="254">
        <v>0.4</v>
      </c>
      <c r="F19" s="254">
        <f t="shared" si="0"/>
        <v>141.80000000000001</v>
      </c>
      <c r="G19" s="254">
        <f>F19</f>
        <v>141.80000000000001</v>
      </c>
      <c r="H19" s="254">
        <f t="shared" si="1"/>
        <v>0</v>
      </c>
      <c r="I19" s="251">
        <v>22792564</v>
      </c>
      <c r="J19" s="262" t="s">
        <v>715</v>
      </c>
      <c r="K19" s="337" t="s">
        <v>25</v>
      </c>
      <c r="L19" s="337" t="s">
        <v>26</v>
      </c>
      <c r="M19" s="251"/>
      <c r="N19" s="258">
        <v>45685</v>
      </c>
    </row>
    <row r="20" spans="1:15" x14ac:dyDescent="0.2">
      <c r="A20" s="251">
        <v>17</v>
      </c>
      <c r="B20" s="251">
        <v>1762</v>
      </c>
      <c r="C20" s="252" t="s">
        <v>82</v>
      </c>
      <c r="D20" s="253">
        <v>1119.5</v>
      </c>
      <c r="E20" s="254">
        <v>0.4</v>
      </c>
      <c r="F20" s="254">
        <f t="shared" si="0"/>
        <v>447.8</v>
      </c>
      <c r="G20" s="254">
        <f>444.45+3.35</f>
        <v>447.8</v>
      </c>
      <c r="H20" s="254">
        <f t="shared" si="1"/>
        <v>0</v>
      </c>
      <c r="I20" s="255">
        <v>1409527</v>
      </c>
      <c r="J20" s="256" t="s">
        <v>83</v>
      </c>
      <c r="K20" s="257" t="s">
        <v>84</v>
      </c>
      <c r="L20" s="256" t="s">
        <v>26</v>
      </c>
      <c r="M20" s="251"/>
      <c r="N20" s="258">
        <v>45650</v>
      </c>
      <c r="O20" s="338">
        <v>45677</v>
      </c>
    </row>
    <row r="21" spans="1:15" x14ac:dyDescent="0.2">
      <c r="A21" s="251">
        <v>18</v>
      </c>
      <c r="B21" s="251">
        <v>1792</v>
      </c>
      <c r="C21" s="252" t="s">
        <v>85</v>
      </c>
      <c r="D21" s="253">
        <v>300.2</v>
      </c>
      <c r="E21" s="254">
        <v>0.4</v>
      </c>
      <c r="F21" s="254">
        <f t="shared" si="0"/>
        <v>120.08</v>
      </c>
      <c r="G21" s="254">
        <f>118.28</f>
        <v>118.28</v>
      </c>
      <c r="H21" s="254">
        <f t="shared" si="1"/>
        <v>1.7999999999999972</v>
      </c>
      <c r="I21" s="321">
        <v>9545556</v>
      </c>
      <c r="J21" s="322" t="s">
        <v>86</v>
      </c>
      <c r="K21" s="263" t="s">
        <v>17</v>
      </c>
      <c r="L21" s="322" t="s">
        <v>18</v>
      </c>
      <c r="M21" s="251"/>
      <c r="N21" s="258">
        <v>45658</v>
      </c>
    </row>
    <row r="22" spans="1:15" x14ac:dyDescent="0.2">
      <c r="A22" s="229">
        <v>19</v>
      </c>
      <c r="B22" s="229">
        <v>3009</v>
      </c>
      <c r="C22" s="231" t="s">
        <v>87</v>
      </c>
      <c r="D22" s="232">
        <v>219.2</v>
      </c>
      <c r="E22" s="233">
        <v>0.4</v>
      </c>
      <c r="F22" s="233">
        <f t="shared" si="0"/>
        <v>87.68</v>
      </c>
      <c r="G22" s="233"/>
      <c r="H22" s="233">
        <f t="shared" si="1"/>
        <v>87.68</v>
      </c>
      <c r="I22" s="229">
        <v>1448391</v>
      </c>
      <c r="J22" s="261" t="s">
        <v>88</v>
      </c>
      <c r="K22" s="244" t="s">
        <v>43</v>
      </c>
      <c r="L22" s="244" t="s">
        <v>44</v>
      </c>
      <c r="M22" s="229">
        <v>99100144</v>
      </c>
      <c r="N22" s="244"/>
    </row>
    <row r="23" spans="1:15" x14ac:dyDescent="0.2">
      <c r="A23" s="251">
        <v>20</v>
      </c>
      <c r="B23" s="251">
        <v>3012</v>
      </c>
      <c r="C23" s="252" t="s">
        <v>90</v>
      </c>
      <c r="D23" s="253">
        <v>319</v>
      </c>
      <c r="E23" s="254">
        <v>0.4</v>
      </c>
      <c r="F23" s="254">
        <f t="shared" si="0"/>
        <v>127.60000000000001</v>
      </c>
      <c r="G23" s="254">
        <f>122.47+5.13</f>
        <v>127.6</v>
      </c>
      <c r="H23" s="254">
        <f t="shared" si="1"/>
        <v>0</v>
      </c>
      <c r="I23" s="251">
        <v>5634422</v>
      </c>
      <c r="J23" s="262" t="s">
        <v>91</v>
      </c>
      <c r="K23" s="257" t="s">
        <v>25</v>
      </c>
      <c r="L23" s="256" t="s">
        <v>26</v>
      </c>
      <c r="M23" s="251">
        <v>96922118</v>
      </c>
      <c r="N23" s="258">
        <v>45658</v>
      </c>
      <c r="O23" s="338">
        <v>45677</v>
      </c>
    </row>
    <row r="24" spans="1:15" x14ac:dyDescent="0.2">
      <c r="A24" s="251">
        <v>21</v>
      </c>
      <c r="B24" s="251">
        <v>3014</v>
      </c>
      <c r="C24" s="252" t="s">
        <v>92</v>
      </c>
      <c r="D24" s="253">
        <v>221.3</v>
      </c>
      <c r="E24" s="254">
        <v>0.4</v>
      </c>
      <c r="F24" s="254">
        <f t="shared" si="0"/>
        <v>88.52000000000001</v>
      </c>
      <c r="G24" s="254">
        <f>85.65+2.87</f>
        <v>88.52000000000001</v>
      </c>
      <c r="H24" s="254">
        <f t="shared" si="1"/>
        <v>0</v>
      </c>
      <c r="I24" s="251">
        <v>648421</v>
      </c>
      <c r="J24" s="262" t="s">
        <v>93</v>
      </c>
      <c r="K24" s="263" t="s">
        <v>43</v>
      </c>
      <c r="L24" s="263" t="s">
        <v>44</v>
      </c>
      <c r="M24" s="251">
        <v>98815665</v>
      </c>
      <c r="N24" s="258">
        <v>45658</v>
      </c>
      <c r="O24" s="338">
        <v>45685</v>
      </c>
    </row>
    <row r="25" spans="1:15" x14ac:dyDescent="0.2">
      <c r="A25" s="251">
        <v>22</v>
      </c>
      <c r="B25" s="251">
        <v>3015</v>
      </c>
      <c r="C25" s="252" t="s">
        <v>94</v>
      </c>
      <c r="D25" s="253">
        <v>223.8</v>
      </c>
      <c r="E25" s="254">
        <v>0.4</v>
      </c>
      <c r="F25" s="254">
        <f t="shared" si="0"/>
        <v>89.52000000000001</v>
      </c>
      <c r="G25" s="254">
        <f>84.47</f>
        <v>84.47</v>
      </c>
      <c r="H25" s="254">
        <f t="shared" si="1"/>
        <v>5.0500000000000114</v>
      </c>
      <c r="I25" s="251">
        <v>5753033</v>
      </c>
      <c r="J25" s="262" t="s">
        <v>95</v>
      </c>
      <c r="K25" s="257" t="s">
        <v>25</v>
      </c>
      <c r="L25" s="256" t="s">
        <v>26</v>
      </c>
      <c r="M25" s="251">
        <v>92838405</v>
      </c>
      <c r="N25" s="258">
        <v>45779</v>
      </c>
    </row>
    <row r="26" spans="1:15" x14ac:dyDescent="0.2">
      <c r="A26" s="251">
        <v>23</v>
      </c>
      <c r="B26" s="251">
        <v>3018</v>
      </c>
      <c r="C26" s="252" t="s">
        <v>96</v>
      </c>
      <c r="D26" s="253">
        <v>128.6</v>
      </c>
      <c r="E26" s="254">
        <v>0.4</v>
      </c>
      <c r="F26" s="254">
        <f t="shared" si="0"/>
        <v>51.44</v>
      </c>
      <c r="G26" s="254">
        <f>50.13+1.31</f>
        <v>51.440000000000005</v>
      </c>
      <c r="H26" s="254">
        <f t="shared" si="1"/>
        <v>0</v>
      </c>
      <c r="I26" s="255">
        <v>1528087</v>
      </c>
      <c r="J26" s="322" t="s">
        <v>97</v>
      </c>
      <c r="K26" s="257" t="s">
        <v>25</v>
      </c>
      <c r="L26" s="256" t="s">
        <v>26</v>
      </c>
      <c r="M26" s="251"/>
      <c r="N26" s="258">
        <v>45658</v>
      </c>
      <c r="O26" s="338">
        <v>45679</v>
      </c>
    </row>
    <row r="27" spans="1:15" x14ac:dyDescent="0.2">
      <c r="A27" s="251">
        <v>24</v>
      </c>
      <c r="B27" s="251">
        <v>3020</v>
      </c>
      <c r="C27" s="252" t="s">
        <v>98</v>
      </c>
      <c r="D27" s="253">
        <v>405.2</v>
      </c>
      <c r="E27" s="254">
        <v>0.4</v>
      </c>
      <c r="F27" s="254">
        <f t="shared" si="0"/>
        <v>162.08000000000001</v>
      </c>
      <c r="G27" s="254">
        <f>159.67+2.41</f>
        <v>162.07999999999998</v>
      </c>
      <c r="H27" s="254">
        <f t="shared" si="1"/>
        <v>0</v>
      </c>
      <c r="I27" s="251">
        <v>5418422</v>
      </c>
      <c r="J27" s="262" t="s">
        <v>99</v>
      </c>
      <c r="K27" s="257" t="s">
        <v>25</v>
      </c>
      <c r="L27" s="256" t="s">
        <v>26</v>
      </c>
      <c r="M27" s="251">
        <v>99495434</v>
      </c>
      <c r="N27" s="258">
        <v>45650</v>
      </c>
      <c r="O27" s="338">
        <v>45677</v>
      </c>
    </row>
    <row r="28" spans="1:15" x14ac:dyDescent="0.2">
      <c r="A28" s="251">
        <v>25</v>
      </c>
      <c r="B28" s="251">
        <v>3022</v>
      </c>
      <c r="C28" s="252" t="s">
        <v>100</v>
      </c>
      <c r="D28" s="253">
        <v>647.6</v>
      </c>
      <c r="E28" s="254">
        <v>0.4</v>
      </c>
      <c r="F28" s="254">
        <f t="shared" si="0"/>
        <v>259.04000000000002</v>
      </c>
      <c r="G28" s="254">
        <f>255.09+3.95</f>
        <v>259.04000000000002</v>
      </c>
      <c r="H28" s="254">
        <f t="shared" si="1"/>
        <v>0</v>
      </c>
      <c r="I28" s="251">
        <v>5360253</v>
      </c>
      <c r="J28" s="262" t="s">
        <v>101</v>
      </c>
      <c r="K28" s="263" t="s">
        <v>75</v>
      </c>
      <c r="L28" s="256" t="s">
        <v>76</v>
      </c>
      <c r="M28" s="251">
        <v>99257989</v>
      </c>
      <c r="N28" s="258">
        <v>45670</v>
      </c>
      <c r="O28" s="338">
        <v>45685</v>
      </c>
    </row>
    <row r="29" spans="1:15" x14ac:dyDescent="0.2">
      <c r="A29" s="229">
        <v>26</v>
      </c>
      <c r="B29" s="229">
        <v>3025</v>
      </c>
      <c r="C29" s="231" t="s">
        <v>102</v>
      </c>
      <c r="D29" s="232">
        <v>596.5</v>
      </c>
      <c r="E29" s="233">
        <v>0.4</v>
      </c>
      <c r="F29" s="233">
        <f t="shared" si="0"/>
        <v>238.60000000000002</v>
      </c>
      <c r="G29" s="233"/>
      <c r="H29" s="233">
        <f t="shared" si="1"/>
        <v>238.60000000000002</v>
      </c>
      <c r="I29" s="229">
        <v>7542172</v>
      </c>
      <c r="J29" s="243" t="s">
        <v>103</v>
      </c>
      <c r="K29" s="235" t="s">
        <v>25</v>
      </c>
      <c r="L29" s="236" t="s">
        <v>26</v>
      </c>
      <c r="M29" s="229"/>
      <c r="N29" s="244"/>
    </row>
    <row r="30" spans="1:15" x14ac:dyDescent="0.2">
      <c r="A30" s="229">
        <v>27</v>
      </c>
      <c r="B30" s="229">
        <v>3026</v>
      </c>
      <c r="C30" s="231" t="s">
        <v>105</v>
      </c>
      <c r="D30" s="232">
        <v>323</v>
      </c>
      <c r="E30" s="233">
        <v>0.4</v>
      </c>
      <c r="F30" s="233">
        <f t="shared" si="0"/>
        <v>129.20000000000002</v>
      </c>
      <c r="G30" s="233"/>
      <c r="H30" s="233">
        <f t="shared" si="1"/>
        <v>129.20000000000002</v>
      </c>
      <c r="I30" s="229">
        <v>7033819</v>
      </c>
      <c r="J30" s="243" t="s">
        <v>106</v>
      </c>
      <c r="K30" s="235" t="s">
        <v>25</v>
      </c>
      <c r="L30" s="236" t="s">
        <v>26</v>
      </c>
      <c r="M30" s="229">
        <v>92256918</v>
      </c>
      <c r="N30" s="244"/>
    </row>
    <row r="31" spans="1:15" x14ac:dyDescent="0.2">
      <c r="A31" s="251">
        <v>28</v>
      </c>
      <c r="B31" s="251">
        <v>3027</v>
      </c>
      <c r="C31" s="252" t="s">
        <v>107</v>
      </c>
      <c r="D31" s="253">
        <v>667</v>
      </c>
      <c r="E31" s="254">
        <v>0.4</v>
      </c>
      <c r="F31" s="254">
        <f t="shared" si="0"/>
        <v>266.8</v>
      </c>
      <c r="G31" s="254">
        <f>F31</f>
        <v>266.8</v>
      </c>
      <c r="H31" s="254">
        <f t="shared" si="1"/>
        <v>0</v>
      </c>
      <c r="I31" s="251">
        <v>6420643</v>
      </c>
      <c r="J31" s="262" t="s">
        <v>108</v>
      </c>
      <c r="K31" s="257" t="s">
        <v>17</v>
      </c>
      <c r="L31" s="256" t="s">
        <v>18</v>
      </c>
      <c r="M31" s="251">
        <v>92288434</v>
      </c>
      <c r="N31" s="258">
        <v>45685</v>
      </c>
    </row>
    <row r="32" spans="1:15" x14ac:dyDescent="0.2">
      <c r="A32" s="251">
        <v>29</v>
      </c>
      <c r="B32" s="251">
        <v>3030</v>
      </c>
      <c r="C32" s="252" t="s">
        <v>109</v>
      </c>
      <c r="D32" s="253">
        <v>326</v>
      </c>
      <c r="E32" s="254">
        <v>0.4</v>
      </c>
      <c r="F32" s="254">
        <f t="shared" si="0"/>
        <v>130.4</v>
      </c>
      <c r="G32" s="254">
        <f>130.1+0.3</f>
        <v>130.4</v>
      </c>
      <c r="H32" s="254">
        <f t="shared" si="1"/>
        <v>0</v>
      </c>
      <c r="I32" s="251">
        <v>6021175</v>
      </c>
      <c r="J32" s="262" t="s">
        <v>110</v>
      </c>
      <c r="K32" s="257" t="s">
        <v>25</v>
      </c>
      <c r="L32" s="256" t="s">
        <v>26</v>
      </c>
      <c r="M32" s="251">
        <v>91716888</v>
      </c>
      <c r="N32" s="258">
        <v>45663</v>
      </c>
      <c r="O32" s="338">
        <v>45691</v>
      </c>
    </row>
    <row r="33" spans="1:15" s="269" customFormat="1" x14ac:dyDescent="0.2">
      <c r="A33" s="251">
        <v>30</v>
      </c>
      <c r="B33" s="251">
        <v>3038</v>
      </c>
      <c r="C33" s="252" t="s">
        <v>111</v>
      </c>
      <c r="D33" s="253">
        <v>638</v>
      </c>
      <c r="E33" s="254">
        <v>0.4</v>
      </c>
      <c r="F33" s="254">
        <f t="shared" si="0"/>
        <v>255.20000000000002</v>
      </c>
      <c r="G33" s="254">
        <f>253.15+2.05</f>
        <v>255.20000000000002</v>
      </c>
      <c r="H33" s="254">
        <f t="shared" si="1"/>
        <v>0</v>
      </c>
      <c r="I33" s="251">
        <v>7976</v>
      </c>
      <c r="J33" s="262" t="s">
        <v>112</v>
      </c>
      <c r="K33" s="263" t="s">
        <v>43</v>
      </c>
      <c r="L33" s="263" t="s">
        <v>44</v>
      </c>
      <c r="M33" s="251">
        <v>98920007</v>
      </c>
      <c r="N33" s="258">
        <v>45650</v>
      </c>
      <c r="O33" s="281">
        <v>45670</v>
      </c>
    </row>
    <row r="34" spans="1:15" x14ac:dyDescent="0.2">
      <c r="A34" s="251">
        <v>31</v>
      </c>
      <c r="B34" s="251">
        <v>3043</v>
      </c>
      <c r="C34" s="252" t="s">
        <v>113</v>
      </c>
      <c r="D34" s="253">
        <v>287.7</v>
      </c>
      <c r="E34" s="254">
        <v>0.4</v>
      </c>
      <c r="F34" s="254">
        <f t="shared" si="0"/>
        <v>115.08</v>
      </c>
      <c r="G34" s="254">
        <f>108.34+6.74</f>
        <v>115.08</v>
      </c>
      <c r="H34" s="254">
        <f t="shared" si="1"/>
        <v>0</v>
      </c>
      <c r="I34" s="251">
        <v>396336</v>
      </c>
      <c r="J34" s="262" t="s">
        <v>114</v>
      </c>
      <c r="K34" s="257" t="s">
        <v>25</v>
      </c>
      <c r="L34" s="256" t="s">
        <v>26</v>
      </c>
      <c r="M34" s="251">
        <v>99498844</v>
      </c>
      <c r="N34" s="258">
        <v>45679</v>
      </c>
    </row>
    <row r="35" spans="1:15" x14ac:dyDescent="0.2">
      <c r="A35" s="229">
        <v>32</v>
      </c>
      <c r="B35" s="229">
        <v>3058</v>
      </c>
      <c r="C35" s="231" t="s">
        <v>115</v>
      </c>
      <c r="D35" s="232">
        <v>1025.5999999999999</v>
      </c>
      <c r="E35" s="233">
        <v>0.4</v>
      </c>
      <c r="F35" s="233">
        <f t="shared" si="0"/>
        <v>410.24</v>
      </c>
      <c r="G35" s="233"/>
      <c r="H35" s="233">
        <f t="shared" si="1"/>
        <v>410.24</v>
      </c>
      <c r="I35" s="229">
        <v>965148</v>
      </c>
      <c r="J35" s="243" t="s">
        <v>116</v>
      </c>
      <c r="K35" s="244" t="s">
        <v>43</v>
      </c>
      <c r="L35" s="244" t="s">
        <v>44</v>
      </c>
      <c r="M35" s="229">
        <v>90980121</v>
      </c>
      <c r="N35" s="244"/>
    </row>
    <row r="36" spans="1:15" x14ac:dyDescent="0.2">
      <c r="A36" s="251">
        <v>33</v>
      </c>
      <c r="B36" s="251">
        <v>3070</v>
      </c>
      <c r="C36" s="252" t="s">
        <v>117</v>
      </c>
      <c r="D36" s="253">
        <v>1024</v>
      </c>
      <c r="E36" s="254">
        <v>0.4</v>
      </c>
      <c r="F36" s="254">
        <f t="shared" si="0"/>
        <v>409.6</v>
      </c>
      <c r="G36" s="254">
        <f>405.97+3.63</f>
        <v>409.6</v>
      </c>
      <c r="H36" s="254">
        <f t="shared" si="1"/>
        <v>0</v>
      </c>
      <c r="I36" s="264">
        <v>1918001</v>
      </c>
      <c r="J36" s="262" t="s">
        <v>118</v>
      </c>
      <c r="K36" s="257" t="s">
        <v>25</v>
      </c>
      <c r="L36" s="256" t="s">
        <v>26</v>
      </c>
      <c r="M36" s="264">
        <v>92863640</v>
      </c>
      <c r="N36" s="258">
        <v>45655</v>
      </c>
      <c r="O36" s="338">
        <v>45670</v>
      </c>
    </row>
    <row r="37" spans="1:15" x14ac:dyDescent="0.2">
      <c r="A37" s="229">
        <v>34</v>
      </c>
      <c r="B37" s="229">
        <v>3072</v>
      </c>
      <c r="C37" s="231" t="s">
        <v>119</v>
      </c>
      <c r="D37" s="232">
        <v>322</v>
      </c>
      <c r="E37" s="233">
        <v>0.4</v>
      </c>
      <c r="F37" s="233">
        <f t="shared" si="0"/>
        <v>128.80000000000001</v>
      </c>
      <c r="G37" s="233"/>
      <c r="H37" s="233">
        <f t="shared" si="1"/>
        <v>128.80000000000001</v>
      </c>
      <c r="I37" s="229">
        <v>993077</v>
      </c>
      <c r="J37" s="243" t="s">
        <v>120</v>
      </c>
      <c r="K37" s="244" t="s">
        <v>121</v>
      </c>
      <c r="L37" s="244" t="s">
        <v>122</v>
      </c>
      <c r="M37" s="229">
        <v>92252981</v>
      </c>
      <c r="N37" s="244"/>
    </row>
    <row r="38" spans="1:15" x14ac:dyDescent="0.2">
      <c r="A38" s="229">
        <v>35</v>
      </c>
      <c r="B38" s="229">
        <v>3077</v>
      </c>
      <c r="C38" s="231" t="s">
        <v>123</v>
      </c>
      <c r="D38" s="232">
        <v>604.29999999999995</v>
      </c>
      <c r="E38" s="233">
        <v>0.4</v>
      </c>
      <c r="F38" s="233">
        <f t="shared" si="0"/>
        <v>241.72</v>
      </c>
      <c r="G38" s="233"/>
      <c r="H38" s="233">
        <f t="shared" si="1"/>
        <v>241.72</v>
      </c>
      <c r="I38" s="229">
        <v>21978752</v>
      </c>
      <c r="J38" s="243" t="s">
        <v>124</v>
      </c>
      <c r="K38" s="235" t="s">
        <v>25</v>
      </c>
      <c r="L38" s="236" t="s">
        <v>26</v>
      </c>
      <c r="M38" s="229">
        <v>90833336</v>
      </c>
      <c r="N38" s="244"/>
    </row>
    <row r="39" spans="1:15" x14ac:dyDescent="0.2">
      <c r="A39" s="284">
        <v>36</v>
      </c>
      <c r="B39" s="284">
        <v>3081</v>
      </c>
      <c r="C39" s="285" t="s">
        <v>126</v>
      </c>
      <c r="D39" s="286">
        <v>434.9</v>
      </c>
      <c r="E39" s="287">
        <v>0.4</v>
      </c>
      <c r="F39" s="287">
        <f t="shared" si="0"/>
        <v>173.96</v>
      </c>
      <c r="G39" s="287">
        <f>F39</f>
        <v>173.96</v>
      </c>
      <c r="H39" s="287">
        <f t="shared" si="1"/>
        <v>0</v>
      </c>
      <c r="I39" s="284">
        <v>21219868</v>
      </c>
      <c r="J39" s="339" t="s">
        <v>127</v>
      </c>
      <c r="K39" s="290" t="s">
        <v>128</v>
      </c>
      <c r="L39" s="340" t="s">
        <v>129</v>
      </c>
      <c r="M39" s="284">
        <v>93288777</v>
      </c>
      <c r="N39" s="290"/>
    </row>
    <row r="40" spans="1:15" x14ac:dyDescent="0.2">
      <c r="A40" s="251">
        <v>37</v>
      </c>
      <c r="B40" s="251">
        <v>3089</v>
      </c>
      <c r="C40" s="252" t="s">
        <v>130</v>
      </c>
      <c r="D40" s="253">
        <v>288.2</v>
      </c>
      <c r="E40" s="254">
        <v>0.4</v>
      </c>
      <c r="F40" s="254">
        <f t="shared" si="0"/>
        <v>115.28</v>
      </c>
      <c r="G40" s="254">
        <f>F40</f>
        <v>115.28</v>
      </c>
      <c r="H40" s="254">
        <f t="shared" si="1"/>
        <v>0</v>
      </c>
      <c r="I40" s="251">
        <v>18790484</v>
      </c>
      <c r="J40" s="262" t="s">
        <v>131</v>
      </c>
      <c r="K40" s="257" t="s">
        <v>25</v>
      </c>
      <c r="L40" s="256" t="s">
        <v>26</v>
      </c>
      <c r="M40" s="251"/>
      <c r="N40" s="341">
        <v>45677</v>
      </c>
    </row>
    <row r="41" spans="1:15" x14ac:dyDescent="0.2">
      <c r="A41" s="229">
        <v>38</v>
      </c>
      <c r="B41" s="229">
        <v>3093</v>
      </c>
      <c r="C41" s="231" t="s">
        <v>132</v>
      </c>
      <c r="D41" s="232">
        <v>428.2</v>
      </c>
      <c r="E41" s="233">
        <v>0.4</v>
      </c>
      <c r="F41" s="233">
        <f t="shared" si="0"/>
        <v>171.28</v>
      </c>
      <c r="G41" s="233"/>
      <c r="H41" s="233">
        <f t="shared" si="1"/>
        <v>171.28</v>
      </c>
      <c r="I41" s="229">
        <v>6361035</v>
      </c>
      <c r="J41" s="243" t="s">
        <v>133</v>
      </c>
      <c r="K41" s="244" t="s">
        <v>134</v>
      </c>
      <c r="L41" s="236" t="s">
        <v>135</v>
      </c>
      <c r="M41" s="229">
        <v>99497919</v>
      </c>
      <c r="N41" s="244"/>
    </row>
    <row r="42" spans="1:15" x14ac:dyDescent="0.2">
      <c r="A42" s="229">
        <v>39</v>
      </c>
      <c r="B42" s="229">
        <v>3094</v>
      </c>
      <c r="C42" s="231" t="s">
        <v>136</v>
      </c>
      <c r="D42" s="232">
        <v>692.4</v>
      </c>
      <c r="E42" s="233">
        <v>0.4</v>
      </c>
      <c r="F42" s="233">
        <f t="shared" si="0"/>
        <v>276.95999999999998</v>
      </c>
      <c r="G42" s="233"/>
      <c r="H42" s="233">
        <f t="shared" si="1"/>
        <v>276.95999999999998</v>
      </c>
      <c r="I42" s="229">
        <v>26343985</v>
      </c>
      <c r="J42" s="243" t="s">
        <v>137</v>
      </c>
      <c r="K42" s="235" t="s">
        <v>25</v>
      </c>
      <c r="L42" s="236" t="s">
        <v>26</v>
      </c>
      <c r="M42" s="229">
        <v>93327740</v>
      </c>
      <c r="N42" s="244"/>
    </row>
    <row r="43" spans="1:15" x14ac:dyDescent="0.2">
      <c r="A43" s="229">
        <v>40</v>
      </c>
      <c r="B43" s="229">
        <v>3100</v>
      </c>
      <c r="C43" s="231" t="s">
        <v>138</v>
      </c>
      <c r="D43" s="232">
        <v>1380</v>
      </c>
      <c r="E43" s="233">
        <v>0.4</v>
      </c>
      <c r="F43" s="233">
        <f t="shared" si="0"/>
        <v>552</v>
      </c>
      <c r="G43" s="233"/>
      <c r="H43" s="233">
        <f t="shared" si="1"/>
        <v>552</v>
      </c>
      <c r="I43" s="229">
        <v>1278615</v>
      </c>
      <c r="J43" s="243" t="s">
        <v>139</v>
      </c>
      <c r="K43" s="244" t="s">
        <v>75</v>
      </c>
      <c r="L43" s="236" t="s">
        <v>26</v>
      </c>
      <c r="M43" s="229">
        <v>99806386</v>
      </c>
      <c r="N43" s="244"/>
    </row>
    <row r="44" spans="1:15" x14ac:dyDescent="0.2">
      <c r="A44" s="229">
        <v>41</v>
      </c>
      <c r="B44" s="229">
        <v>3101</v>
      </c>
      <c r="C44" s="231" t="s">
        <v>140</v>
      </c>
      <c r="D44" s="232">
        <v>359.4</v>
      </c>
      <c r="E44" s="233">
        <v>0.4</v>
      </c>
      <c r="F44" s="233">
        <f t="shared" si="0"/>
        <v>143.76</v>
      </c>
      <c r="G44" s="233"/>
      <c r="H44" s="233">
        <f t="shared" si="1"/>
        <v>143.76</v>
      </c>
      <c r="I44" s="229">
        <v>6767598</v>
      </c>
      <c r="J44" s="243" t="s">
        <v>141</v>
      </c>
      <c r="K44" s="235" t="s">
        <v>25</v>
      </c>
      <c r="L44" s="236" t="s">
        <v>26</v>
      </c>
      <c r="M44" s="229">
        <v>99100344</v>
      </c>
      <c r="N44" s="244"/>
    </row>
    <row r="45" spans="1:15" x14ac:dyDescent="0.2">
      <c r="A45" s="251">
        <v>42</v>
      </c>
      <c r="B45" s="251">
        <v>3102</v>
      </c>
      <c r="C45" s="252" t="s">
        <v>142</v>
      </c>
      <c r="D45" s="253">
        <v>603.29999999999995</v>
      </c>
      <c r="E45" s="254">
        <v>0.4</v>
      </c>
      <c r="F45" s="254">
        <f t="shared" si="0"/>
        <v>241.32</v>
      </c>
      <c r="G45" s="254">
        <f>237.68+3.64</f>
        <v>241.32</v>
      </c>
      <c r="H45" s="254">
        <f t="shared" si="1"/>
        <v>0</v>
      </c>
      <c r="I45" s="251">
        <v>5916838</v>
      </c>
      <c r="J45" s="256" t="s">
        <v>143</v>
      </c>
      <c r="K45" s="257" t="s">
        <v>25</v>
      </c>
      <c r="L45" s="256" t="s">
        <v>26</v>
      </c>
      <c r="M45" s="251">
        <v>91917520</v>
      </c>
      <c r="N45" s="258">
        <v>45663</v>
      </c>
      <c r="O45" s="338">
        <v>45685</v>
      </c>
    </row>
    <row r="46" spans="1:15" x14ac:dyDescent="0.2">
      <c r="A46" s="251">
        <v>43</v>
      </c>
      <c r="B46" s="251">
        <v>3119</v>
      </c>
      <c r="C46" s="252" t="s">
        <v>144</v>
      </c>
      <c r="D46" s="253">
        <v>1008</v>
      </c>
      <c r="E46" s="254">
        <v>0.4</v>
      </c>
      <c r="F46" s="254">
        <f t="shared" si="0"/>
        <v>403.20000000000005</v>
      </c>
      <c r="G46" s="254">
        <f>399.83+3.37</f>
        <v>403.2</v>
      </c>
      <c r="H46" s="254">
        <f t="shared" si="1"/>
        <v>0</v>
      </c>
      <c r="I46" s="251">
        <v>5903061</v>
      </c>
      <c r="J46" s="262" t="s">
        <v>145</v>
      </c>
      <c r="K46" s="257" t="s">
        <v>25</v>
      </c>
      <c r="L46" s="256" t="s">
        <v>26</v>
      </c>
      <c r="M46" s="251">
        <v>91904279</v>
      </c>
      <c r="N46" s="258">
        <v>45662</v>
      </c>
      <c r="O46" s="338">
        <v>45685</v>
      </c>
    </row>
    <row r="47" spans="1:15" x14ac:dyDescent="0.2">
      <c r="A47" s="284">
        <v>44</v>
      </c>
      <c r="B47" s="284">
        <v>3122</v>
      </c>
      <c r="C47" s="285" t="s">
        <v>146</v>
      </c>
      <c r="D47" s="286">
        <v>343</v>
      </c>
      <c r="E47" s="287">
        <v>0.4</v>
      </c>
      <c r="F47" s="287">
        <f t="shared" si="0"/>
        <v>137.20000000000002</v>
      </c>
      <c r="G47" s="287">
        <f>F47</f>
        <v>137.20000000000002</v>
      </c>
      <c r="H47" s="287">
        <f t="shared" si="1"/>
        <v>0</v>
      </c>
      <c r="I47" s="284">
        <v>12415718</v>
      </c>
      <c r="J47" s="333" t="s">
        <v>110</v>
      </c>
      <c r="K47" s="301" t="s">
        <v>25</v>
      </c>
      <c r="L47" s="289" t="s">
        <v>26</v>
      </c>
      <c r="M47" s="284">
        <v>99481799</v>
      </c>
      <c r="N47" s="290" t="s">
        <v>716</v>
      </c>
    </row>
    <row r="48" spans="1:15" x14ac:dyDescent="0.2">
      <c r="A48" s="251">
        <v>45</v>
      </c>
      <c r="B48" s="251">
        <v>3136</v>
      </c>
      <c r="C48" s="252" t="s">
        <v>20</v>
      </c>
      <c r="D48" s="253">
        <v>495.9</v>
      </c>
      <c r="E48" s="254">
        <v>0.4</v>
      </c>
      <c r="F48" s="254">
        <f t="shared" si="0"/>
        <v>198.36</v>
      </c>
      <c r="G48" s="254">
        <f>195.75+2.61</f>
        <v>198.36</v>
      </c>
      <c r="H48" s="254">
        <f t="shared" si="1"/>
        <v>0</v>
      </c>
      <c r="I48" s="251">
        <v>183498</v>
      </c>
      <c r="J48" s="262" t="s">
        <v>21</v>
      </c>
      <c r="K48" s="257" t="s">
        <v>17</v>
      </c>
      <c r="L48" s="256" t="s">
        <v>18</v>
      </c>
      <c r="M48" s="251">
        <v>99481314</v>
      </c>
      <c r="N48" s="258">
        <v>45658</v>
      </c>
      <c r="O48" s="338">
        <v>45691</v>
      </c>
    </row>
    <row r="49" spans="1:15" x14ac:dyDescent="0.2">
      <c r="A49" s="229">
        <v>46</v>
      </c>
      <c r="B49" s="229">
        <v>3178</v>
      </c>
      <c r="C49" s="231" t="s">
        <v>147</v>
      </c>
      <c r="D49" s="232">
        <v>2273.5</v>
      </c>
      <c r="E49" s="233">
        <v>0.4</v>
      </c>
      <c r="F49" s="233">
        <f t="shared" si="0"/>
        <v>909.40000000000009</v>
      </c>
      <c r="G49" s="233"/>
      <c r="H49" s="233">
        <f t="shared" si="1"/>
        <v>909.40000000000009</v>
      </c>
      <c r="I49" s="229">
        <v>1511754</v>
      </c>
      <c r="J49" s="243" t="s">
        <v>148</v>
      </c>
      <c r="K49" s="244" t="s">
        <v>43</v>
      </c>
      <c r="L49" s="244" t="s">
        <v>44</v>
      </c>
      <c r="M49" s="229">
        <v>99495933</v>
      </c>
      <c r="N49" s="244"/>
    </row>
    <row r="50" spans="1:15" x14ac:dyDescent="0.2">
      <c r="A50" s="229">
        <v>47</v>
      </c>
      <c r="B50" s="229">
        <v>3199</v>
      </c>
      <c r="C50" s="231" t="s">
        <v>149</v>
      </c>
      <c r="D50" s="232">
        <v>296.2</v>
      </c>
      <c r="E50" s="233">
        <v>0.4</v>
      </c>
      <c r="F50" s="233">
        <f t="shared" si="0"/>
        <v>118.48</v>
      </c>
      <c r="G50" s="233"/>
      <c r="H50" s="233">
        <f t="shared" si="1"/>
        <v>118.48</v>
      </c>
      <c r="I50" s="229">
        <v>5168327</v>
      </c>
      <c r="J50" s="243" t="s">
        <v>150</v>
      </c>
      <c r="K50" s="235" t="s">
        <v>25</v>
      </c>
      <c r="L50" s="236" t="s">
        <v>26</v>
      </c>
      <c r="M50" s="229">
        <v>98066833</v>
      </c>
      <c r="N50" s="244"/>
    </row>
    <row r="51" spans="1:15" x14ac:dyDescent="0.2">
      <c r="A51" s="251">
        <v>48</v>
      </c>
      <c r="B51" s="251">
        <v>3200</v>
      </c>
      <c r="C51" s="252" t="s">
        <v>151</v>
      </c>
      <c r="D51" s="253">
        <v>45.2</v>
      </c>
      <c r="E51" s="254">
        <v>0.4</v>
      </c>
      <c r="F51" s="254">
        <f t="shared" si="0"/>
        <v>18.080000000000002</v>
      </c>
      <c r="G51" s="254">
        <f>F51</f>
        <v>18.080000000000002</v>
      </c>
      <c r="H51" s="254">
        <f t="shared" si="1"/>
        <v>0</v>
      </c>
      <c r="I51" s="255">
        <v>21947578</v>
      </c>
      <c r="J51" s="256" t="s">
        <v>152</v>
      </c>
      <c r="K51" s="257" t="s">
        <v>25</v>
      </c>
      <c r="L51" s="256" t="s">
        <v>26</v>
      </c>
      <c r="M51" s="251"/>
      <c r="N51" s="258">
        <v>45677</v>
      </c>
    </row>
    <row r="52" spans="1:15" x14ac:dyDescent="0.2">
      <c r="A52" s="229">
        <v>49</v>
      </c>
      <c r="B52" s="229">
        <v>3201</v>
      </c>
      <c r="C52" s="231" t="s">
        <v>153</v>
      </c>
      <c r="D52" s="232">
        <v>290.5</v>
      </c>
      <c r="E52" s="233">
        <v>0.4</v>
      </c>
      <c r="F52" s="233">
        <f t="shared" si="0"/>
        <v>116.2</v>
      </c>
      <c r="G52" s="233"/>
      <c r="H52" s="233">
        <f t="shared" si="1"/>
        <v>116.2</v>
      </c>
      <c r="I52" s="229">
        <v>7048401</v>
      </c>
      <c r="J52" s="243" t="s">
        <v>154</v>
      </c>
      <c r="K52" s="244" t="s">
        <v>17</v>
      </c>
      <c r="L52" s="244" t="s">
        <v>18</v>
      </c>
      <c r="M52" s="229"/>
      <c r="N52" s="244"/>
    </row>
    <row r="53" spans="1:15" s="274" customFormat="1" x14ac:dyDescent="0.2">
      <c r="A53" s="229">
        <v>50</v>
      </c>
      <c r="B53" s="229">
        <v>3202</v>
      </c>
      <c r="C53" s="270" t="s">
        <v>155</v>
      </c>
      <c r="D53" s="239">
        <v>295.3</v>
      </c>
      <c r="E53" s="233">
        <v>0.4</v>
      </c>
      <c r="F53" s="233">
        <f t="shared" si="0"/>
        <v>118.12</v>
      </c>
      <c r="G53" s="233">
        <v>0</v>
      </c>
      <c r="H53" s="233">
        <f t="shared" si="1"/>
        <v>118.12</v>
      </c>
      <c r="I53" s="229">
        <v>5197371</v>
      </c>
      <c r="J53" s="243" t="s">
        <v>156</v>
      </c>
      <c r="K53" s="238" t="s">
        <v>25</v>
      </c>
      <c r="L53" s="236" t="s">
        <v>26</v>
      </c>
      <c r="M53" s="229">
        <v>93889732</v>
      </c>
      <c r="N53" s="426" t="s">
        <v>719</v>
      </c>
      <c r="O53" s="348"/>
    </row>
    <row r="54" spans="1:15" x14ac:dyDescent="0.2">
      <c r="A54" s="251">
        <v>51</v>
      </c>
      <c r="B54" s="251">
        <v>3203</v>
      </c>
      <c r="C54" s="252" t="s">
        <v>157</v>
      </c>
      <c r="D54" s="253">
        <v>442.4</v>
      </c>
      <c r="E54" s="254">
        <v>0.4</v>
      </c>
      <c r="F54" s="254">
        <f t="shared" si="0"/>
        <v>176.96</v>
      </c>
      <c r="G54" s="254">
        <f>171.29+5.67</f>
        <v>176.95999999999998</v>
      </c>
      <c r="H54" s="254">
        <f t="shared" si="1"/>
        <v>0</v>
      </c>
      <c r="I54" s="251">
        <v>23215097</v>
      </c>
      <c r="J54" s="262" t="s">
        <v>158</v>
      </c>
      <c r="K54" s="257" t="s">
        <v>25</v>
      </c>
      <c r="L54" s="256" t="s">
        <v>26</v>
      </c>
      <c r="M54" s="251"/>
      <c r="N54" s="258">
        <v>45658</v>
      </c>
      <c r="O54" s="338">
        <v>45685</v>
      </c>
    </row>
    <row r="55" spans="1:15" x14ac:dyDescent="0.2">
      <c r="A55" s="229">
        <v>52</v>
      </c>
      <c r="B55" s="229">
        <v>3204</v>
      </c>
      <c r="C55" s="231" t="s">
        <v>159</v>
      </c>
      <c r="D55" s="232">
        <v>422.5</v>
      </c>
      <c r="E55" s="233">
        <v>0.4</v>
      </c>
      <c r="F55" s="233">
        <f t="shared" si="0"/>
        <v>169</v>
      </c>
      <c r="G55" s="233"/>
      <c r="H55" s="233">
        <f t="shared" si="1"/>
        <v>169</v>
      </c>
      <c r="I55" s="229">
        <v>24958926</v>
      </c>
      <c r="J55" s="243" t="s">
        <v>160</v>
      </c>
      <c r="K55" s="235" t="s">
        <v>25</v>
      </c>
      <c r="L55" s="236" t="s">
        <v>26</v>
      </c>
      <c r="M55" s="229">
        <v>99312225</v>
      </c>
      <c r="N55" s="244"/>
    </row>
    <row r="56" spans="1:15" x14ac:dyDescent="0.2">
      <c r="A56" s="229">
        <v>53</v>
      </c>
      <c r="B56" s="229">
        <v>3207</v>
      </c>
      <c r="C56" s="231" t="s">
        <v>162</v>
      </c>
      <c r="D56" s="232">
        <v>680.1</v>
      </c>
      <c r="E56" s="233">
        <v>0.4</v>
      </c>
      <c r="F56" s="233">
        <f t="shared" si="0"/>
        <v>272.04000000000002</v>
      </c>
      <c r="G56" s="233"/>
      <c r="H56" s="233">
        <f t="shared" si="1"/>
        <v>272.04000000000002</v>
      </c>
      <c r="I56" s="229">
        <v>11940175</v>
      </c>
      <c r="J56" s="243" t="s">
        <v>163</v>
      </c>
      <c r="K56" s="235" t="s">
        <v>25</v>
      </c>
      <c r="L56" s="236" t="s">
        <v>26</v>
      </c>
      <c r="M56" s="229">
        <v>98138748</v>
      </c>
      <c r="N56" s="244"/>
    </row>
    <row r="57" spans="1:15" s="269" customFormat="1" x14ac:dyDescent="0.2">
      <c r="A57" s="251">
        <v>54</v>
      </c>
      <c r="B57" s="251">
        <v>3208</v>
      </c>
      <c r="C57" s="252" t="s">
        <v>164</v>
      </c>
      <c r="D57" s="253">
        <v>625.4</v>
      </c>
      <c r="E57" s="254">
        <v>0.4</v>
      </c>
      <c r="F57" s="254">
        <f t="shared" si="0"/>
        <v>250.16</v>
      </c>
      <c r="G57" s="254">
        <f>F57</f>
        <v>250.16</v>
      </c>
      <c r="H57" s="254">
        <f t="shared" si="1"/>
        <v>0</v>
      </c>
      <c r="I57" s="251">
        <v>1742664</v>
      </c>
      <c r="J57" s="262" t="s">
        <v>165</v>
      </c>
      <c r="K57" s="263" t="s">
        <v>166</v>
      </c>
      <c r="L57" s="263" t="s">
        <v>129</v>
      </c>
      <c r="M57" s="251">
        <v>99482598</v>
      </c>
      <c r="N57" s="258">
        <v>45691</v>
      </c>
      <c r="O57" s="351"/>
    </row>
    <row r="58" spans="1:15" x14ac:dyDescent="0.2">
      <c r="A58" s="251">
        <v>55</v>
      </c>
      <c r="B58" s="251">
        <v>3209</v>
      </c>
      <c r="C58" s="252" t="s">
        <v>169</v>
      </c>
      <c r="D58" s="253">
        <v>338.3</v>
      </c>
      <c r="E58" s="254">
        <v>0.4</v>
      </c>
      <c r="F58" s="254">
        <f t="shared" si="0"/>
        <v>135.32000000000002</v>
      </c>
      <c r="G58" s="254">
        <f>134.23+1.09</f>
        <v>135.32</v>
      </c>
      <c r="H58" s="254">
        <f t="shared" si="1"/>
        <v>0</v>
      </c>
      <c r="I58" s="251">
        <v>5634328</v>
      </c>
      <c r="J58" s="262" t="s">
        <v>170</v>
      </c>
      <c r="K58" s="257" t="s">
        <v>25</v>
      </c>
      <c r="L58" s="256" t="s">
        <v>26</v>
      </c>
      <c r="M58" s="251">
        <v>92283227</v>
      </c>
      <c r="N58" s="258">
        <v>45658</v>
      </c>
      <c r="O58" s="338">
        <v>45677</v>
      </c>
    </row>
    <row r="59" spans="1:15" x14ac:dyDescent="0.2">
      <c r="A59" s="251">
        <v>56</v>
      </c>
      <c r="B59" s="251">
        <v>3210</v>
      </c>
      <c r="C59" s="252" t="s">
        <v>171</v>
      </c>
      <c r="D59" s="253">
        <v>657.6</v>
      </c>
      <c r="E59" s="254">
        <v>0.4</v>
      </c>
      <c r="F59" s="254">
        <f t="shared" si="0"/>
        <v>263.04000000000002</v>
      </c>
      <c r="G59" s="254">
        <f>261.54+1.5</f>
        <v>263.04000000000002</v>
      </c>
      <c r="H59" s="254">
        <f t="shared" si="1"/>
        <v>0</v>
      </c>
      <c r="I59" s="251">
        <v>45419</v>
      </c>
      <c r="J59" s="243" t="s">
        <v>172</v>
      </c>
      <c r="K59" s="235" t="s">
        <v>25</v>
      </c>
      <c r="L59" s="236" t="s">
        <v>26</v>
      </c>
      <c r="M59" s="229">
        <v>90101070</v>
      </c>
      <c r="N59" s="258">
        <v>45658</v>
      </c>
      <c r="O59" s="338">
        <v>45664</v>
      </c>
    </row>
    <row r="60" spans="1:15" x14ac:dyDescent="0.2">
      <c r="A60" s="251">
        <v>57</v>
      </c>
      <c r="B60" s="251">
        <v>3211</v>
      </c>
      <c r="C60" s="252" t="s">
        <v>173</v>
      </c>
      <c r="D60" s="253">
        <v>326.8</v>
      </c>
      <c r="E60" s="254">
        <v>0.4</v>
      </c>
      <c r="F60" s="254">
        <f t="shared" si="0"/>
        <v>130.72</v>
      </c>
      <c r="G60" s="254">
        <f>127.57</f>
        <v>127.57</v>
      </c>
      <c r="H60" s="254">
        <f t="shared" si="1"/>
        <v>3.1500000000000057</v>
      </c>
      <c r="I60" s="342">
        <v>9927207</v>
      </c>
      <c r="J60" s="323" t="s">
        <v>174</v>
      </c>
      <c r="K60" s="323" t="s">
        <v>17</v>
      </c>
      <c r="L60" s="323" t="s">
        <v>18</v>
      </c>
      <c r="M60" s="342"/>
      <c r="N60" s="343">
        <v>45662</v>
      </c>
    </row>
    <row r="61" spans="1:15" x14ac:dyDescent="0.2">
      <c r="A61" s="251">
        <v>58</v>
      </c>
      <c r="B61" s="251">
        <v>3212</v>
      </c>
      <c r="C61" s="252" t="s">
        <v>175</v>
      </c>
      <c r="D61" s="253">
        <v>800.2</v>
      </c>
      <c r="E61" s="254">
        <v>0.4</v>
      </c>
      <c r="F61" s="254">
        <f t="shared" si="0"/>
        <v>320.08000000000004</v>
      </c>
      <c r="G61" s="254">
        <f>F61</f>
        <v>320.08000000000004</v>
      </c>
      <c r="H61" s="254">
        <f t="shared" si="1"/>
        <v>0</v>
      </c>
      <c r="I61" s="251">
        <v>804443</v>
      </c>
      <c r="J61" s="262" t="s">
        <v>176</v>
      </c>
      <c r="K61" s="263" t="s">
        <v>121</v>
      </c>
      <c r="L61" s="263" t="s">
        <v>122</v>
      </c>
      <c r="M61" s="251">
        <v>99483202</v>
      </c>
      <c r="N61" s="258">
        <v>45673</v>
      </c>
    </row>
    <row r="62" spans="1:15" x14ac:dyDescent="0.2">
      <c r="A62" s="229">
        <v>59</v>
      </c>
      <c r="B62" s="229">
        <v>3213</v>
      </c>
      <c r="C62" s="231" t="s">
        <v>177</v>
      </c>
      <c r="D62" s="232">
        <v>735.6</v>
      </c>
      <c r="E62" s="233">
        <v>0.4</v>
      </c>
      <c r="F62" s="233">
        <f t="shared" si="0"/>
        <v>294.24</v>
      </c>
      <c r="G62" s="233"/>
      <c r="H62" s="233">
        <f t="shared" si="1"/>
        <v>294.24</v>
      </c>
      <c r="I62" s="229">
        <v>2594336</v>
      </c>
      <c r="J62" s="243" t="s">
        <v>178</v>
      </c>
      <c r="K62" s="235" t="s">
        <v>25</v>
      </c>
      <c r="L62" s="241" t="s">
        <v>26</v>
      </c>
      <c r="M62" s="229">
        <v>71773005</v>
      </c>
      <c r="N62" s="244"/>
    </row>
    <row r="63" spans="1:15" x14ac:dyDescent="0.2">
      <c r="A63" s="251">
        <v>60</v>
      </c>
      <c r="B63" s="251">
        <v>3214</v>
      </c>
      <c r="C63" s="252" t="s">
        <v>179</v>
      </c>
      <c r="D63" s="253">
        <v>187.1</v>
      </c>
      <c r="E63" s="254">
        <v>0.4</v>
      </c>
      <c r="F63" s="254">
        <f t="shared" si="0"/>
        <v>74.84</v>
      </c>
      <c r="G63" s="254">
        <f>73.87</f>
        <v>73.87</v>
      </c>
      <c r="H63" s="254">
        <f t="shared" si="1"/>
        <v>0.96999999999999886</v>
      </c>
      <c r="I63" s="251">
        <v>5168262</v>
      </c>
      <c r="J63" s="262" t="s">
        <v>180</v>
      </c>
      <c r="K63" s="263" t="s">
        <v>17</v>
      </c>
      <c r="L63" s="263" t="s">
        <v>18</v>
      </c>
      <c r="M63" s="251">
        <v>99895383</v>
      </c>
      <c r="N63" s="258">
        <v>45691</v>
      </c>
      <c r="O63" s="351"/>
    </row>
    <row r="64" spans="1:15" x14ac:dyDescent="0.2">
      <c r="A64" s="251">
        <v>61</v>
      </c>
      <c r="B64" s="251">
        <v>3215</v>
      </c>
      <c r="C64" s="252" t="s">
        <v>181</v>
      </c>
      <c r="D64" s="253">
        <v>634.5</v>
      </c>
      <c r="E64" s="254">
        <v>0.4</v>
      </c>
      <c r="F64" s="254">
        <f t="shared" si="0"/>
        <v>253.8</v>
      </c>
      <c r="G64" s="254">
        <f>250.21+3.59</f>
        <v>253.8</v>
      </c>
      <c r="H64" s="254">
        <f t="shared" si="1"/>
        <v>0</v>
      </c>
      <c r="I64" s="255">
        <v>11684091</v>
      </c>
      <c r="J64" s="256" t="s">
        <v>182</v>
      </c>
      <c r="K64" s="263" t="s">
        <v>17</v>
      </c>
      <c r="L64" s="263" t="s">
        <v>18</v>
      </c>
      <c r="M64" s="251"/>
      <c r="N64" s="258">
        <v>45670</v>
      </c>
      <c r="O64" s="438" t="s">
        <v>893</v>
      </c>
    </row>
    <row r="65" spans="1:17" x14ac:dyDescent="0.2">
      <c r="A65" s="251">
        <v>62</v>
      </c>
      <c r="B65" s="251">
        <v>3216</v>
      </c>
      <c r="C65" s="252" t="s">
        <v>23</v>
      </c>
      <c r="D65" s="253">
        <v>912.3</v>
      </c>
      <c r="E65" s="254">
        <v>0.4</v>
      </c>
      <c r="F65" s="254">
        <f t="shared" si="0"/>
        <v>364.92</v>
      </c>
      <c r="G65" s="254">
        <f>363.44+1.48</f>
        <v>364.92</v>
      </c>
      <c r="H65" s="254">
        <f t="shared" si="1"/>
        <v>0</v>
      </c>
      <c r="I65" s="321">
        <v>18715567</v>
      </c>
      <c r="J65" s="322" t="s">
        <v>24</v>
      </c>
      <c r="K65" s="323" t="s">
        <v>25</v>
      </c>
      <c r="L65" s="322" t="s">
        <v>26</v>
      </c>
      <c r="M65" s="251">
        <v>77279900</v>
      </c>
      <c r="N65" s="258">
        <v>45665</v>
      </c>
      <c r="O65" s="338">
        <v>45691</v>
      </c>
    </row>
    <row r="66" spans="1:17" x14ac:dyDescent="0.2">
      <c r="A66" s="229">
        <v>63</v>
      </c>
      <c r="B66" s="229">
        <v>3217</v>
      </c>
      <c r="C66" s="231" t="s">
        <v>183</v>
      </c>
      <c r="D66" s="232">
        <v>303.7</v>
      </c>
      <c r="E66" s="233">
        <v>0.4</v>
      </c>
      <c r="F66" s="233">
        <f t="shared" si="0"/>
        <v>121.48</v>
      </c>
      <c r="G66" s="233"/>
      <c r="H66" s="233">
        <f t="shared" si="1"/>
        <v>121.48</v>
      </c>
      <c r="I66" s="229">
        <v>1568196</v>
      </c>
      <c r="J66" s="243" t="s">
        <v>184</v>
      </c>
      <c r="K66" s="244" t="s">
        <v>134</v>
      </c>
      <c r="L66" s="236" t="s">
        <v>135</v>
      </c>
      <c r="M66" s="229">
        <v>99494635</v>
      </c>
      <c r="N66" s="237"/>
    </row>
    <row r="67" spans="1:17" s="269" customFormat="1" x14ac:dyDescent="0.2">
      <c r="A67" s="251">
        <v>64</v>
      </c>
      <c r="B67" s="251">
        <v>3219</v>
      </c>
      <c r="C67" s="252" t="s">
        <v>185</v>
      </c>
      <c r="D67" s="253">
        <v>974.1</v>
      </c>
      <c r="E67" s="254">
        <v>0.4</v>
      </c>
      <c r="F67" s="254">
        <f t="shared" si="0"/>
        <v>389.64000000000004</v>
      </c>
      <c r="G67" s="254">
        <f>170.27+181.75+33.95+3.67</f>
        <v>389.64</v>
      </c>
      <c r="H67" s="254">
        <f t="shared" si="1"/>
        <v>0</v>
      </c>
      <c r="I67" s="321">
        <v>12398617</v>
      </c>
      <c r="J67" s="322" t="s">
        <v>186</v>
      </c>
      <c r="K67" s="323" t="s">
        <v>25</v>
      </c>
      <c r="L67" s="322" t="s">
        <v>26</v>
      </c>
      <c r="M67" s="251"/>
      <c r="N67" s="258">
        <v>45650</v>
      </c>
      <c r="O67" s="281">
        <v>45656</v>
      </c>
      <c r="P67" s="343">
        <v>45663</v>
      </c>
      <c r="Q67" s="343">
        <v>45677</v>
      </c>
    </row>
    <row r="68" spans="1:17" x14ac:dyDescent="0.2">
      <c r="A68" s="229">
        <v>65</v>
      </c>
      <c r="B68" s="229">
        <v>3220</v>
      </c>
      <c r="C68" s="231" t="s">
        <v>187</v>
      </c>
      <c r="D68" s="232">
        <v>667</v>
      </c>
      <c r="E68" s="233">
        <v>0.4</v>
      </c>
      <c r="F68" s="233">
        <f t="shared" ref="F68:F131" si="2">E68*D68</f>
        <v>266.8</v>
      </c>
      <c r="G68" s="233"/>
      <c r="H68" s="233">
        <f t="shared" ref="H68:H131" si="3">F68-G68</f>
        <v>266.8</v>
      </c>
      <c r="I68" s="229">
        <v>5348311</v>
      </c>
      <c r="J68" s="243" t="s">
        <v>188</v>
      </c>
      <c r="K68" s="244" t="s">
        <v>17</v>
      </c>
      <c r="L68" s="244" t="s">
        <v>18</v>
      </c>
      <c r="M68" s="229">
        <v>96313636</v>
      </c>
      <c r="N68" s="237"/>
    </row>
    <row r="69" spans="1:17" x14ac:dyDescent="0.2">
      <c r="A69" s="229">
        <v>66</v>
      </c>
      <c r="B69" s="229">
        <v>3221</v>
      </c>
      <c r="C69" s="231" t="s">
        <v>189</v>
      </c>
      <c r="D69" s="232">
        <v>322</v>
      </c>
      <c r="E69" s="233">
        <v>0.4</v>
      </c>
      <c r="F69" s="233">
        <f t="shared" si="2"/>
        <v>128.80000000000001</v>
      </c>
      <c r="G69" s="233"/>
      <c r="H69" s="233">
        <f t="shared" si="3"/>
        <v>128.80000000000001</v>
      </c>
      <c r="I69" s="229">
        <v>13362673</v>
      </c>
      <c r="J69" s="243" t="s">
        <v>190</v>
      </c>
      <c r="K69" s="235" t="s">
        <v>25</v>
      </c>
      <c r="L69" s="236" t="s">
        <v>26</v>
      </c>
      <c r="M69" s="229">
        <v>92665337</v>
      </c>
      <c r="N69" s="244"/>
    </row>
    <row r="70" spans="1:17" x14ac:dyDescent="0.2">
      <c r="A70" s="251">
        <v>67</v>
      </c>
      <c r="B70" s="251">
        <v>3222</v>
      </c>
      <c r="C70" s="252" t="s">
        <v>191</v>
      </c>
      <c r="D70" s="253">
        <v>402.1</v>
      </c>
      <c r="E70" s="254">
        <v>0.4</v>
      </c>
      <c r="F70" s="254">
        <f t="shared" si="2"/>
        <v>160.84000000000003</v>
      </c>
      <c r="G70" s="254">
        <f>157.5+3.34</f>
        <v>160.84</v>
      </c>
      <c r="H70" s="254">
        <f t="shared" si="3"/>
        <v>0</v>
      </c>
      <c r="I70" s="251">
        <v>18091329</v>
      </c>
      <c r="J70" s="262" t="s">
        <v>192</v>
      </c>
      <c r="K70" s="263" t="s">
        <v>17</v>
      </c>
      <c r="L70" s="263" t="s">
        <v>18</v>
      </c>
      <c r="M70" s="251">
        <v>92197820</v>
      </c>
      <c r="N70" s="258">
        <v>45658</v>
      </c>
      <c r="O70" s="338">
        <v>45662</v>
      </c>
    </row>
    <row r="71" spans="1:17" x14ac:dyDescent="0.2">
      <c r="A71" s="229">
        <v>68</v>
      </c>
      <c r="B71" s="229">
        <v>3223</v>
      </c>
      <c r="C71" s="231" t="s">
        <v>193</v>
      </c>
      <c r="D71" s="232">
        <v>320.60000000000002</v>
      </c>
      <c r="E71" s="233">
        <v>0.4</v>
      </c>
      <c r="F71" s="233">
        <f t="shared" si="2"/>
        <v>128.24</v>
      </c>
      <c r="G71" s="233"/>
      <c r="H71" s="233">
        <f t="shared" si="3"/>
        <v>128.24</v>
      </c>
      <c r="I71" s="229">
        <v>5334914</v>
      </c>
      <c r="J71" s="243" t="s">
        <v>194</v>
      </c>
      <c r="K71" s="244" t="s">
        <v>134</v>
      </c>
      <c r="L71" s="236" t="s">
        <v>135</v>
      </c>
      <c r="M71" s="229">
        <v>98800996</v>
      </c>
      <c r="N71" s="244"/>
    </row>
    <row r="72" spans="1:17" x14ac:dyDescent="0.2">
      <c r="A72" s="251">
        <v>69</v>
      </c>
      <c r="B72" s="251">
        <v>3224</v>
      </c>
      <c r="C72" s="252" t="s">
        <v>195</v>
      </c>
      <c r="D72" s="253">
        <v>276</v>
      </c>
      <c r="E72" s="254">
        <v>0.4</v>
      </c>
      <c r="F72" s="254">
        <f t="shared" si="2"/>
        <v>110.4</v>
      </c>
      <c r="G72" s="254">
        <f>108.13+2.27</f>
        <v>110.39999999999999</v>
      </c>
      <c r="H72" s="254">
        <f t="shared" si="3"/>
        <v>0</v>
      </c>
      <c r="I72" s="251">
        <v>2066756</v>
      </c>
      <c r="J72" s="344" t="s">
        <v>196</v>
      </c>
      <c r="K72" s="263" t="s">
        <v>25</v>
      </c>
      <c r="L72" s="256" t="s">
        <v>26</v>
      </c>
      <c r="M72" s="251">
        <v>95316025</v>
      </c>
      <c r="N72" s="258">
        <v>45662</v>
      </c>
      <c r="O72" s="338">
        <v>45691</v>
      </c>
    </row>
    <row r="73" spans="1:17" s="274" customFormat="1" x14ac:dyDescent="0.2">
      <c r="A73" s="284">
        <v>70</v>
      </c>
      <c r="B73" s="284">
        <v>3225</v>
      </c>
      <c r="C73" s="285" t="s">
        <v>197</v>
      </c>
      <c r="D73" s="286">
        <v>308.89999999999998</v>
      </c>
      <c r="E73" s="287">
        <v>0.4</v>
      </c>
      <c r="F73" s="287">
        <f t="shared" si="2"/>
        <v>123.56</v>
      </c>
      <c r="G73" s="287">
        <f>F73</f>
        <v>123.56</v>
      </c>
      <c r="H73" s="287">
        <f t="shared" si="3"/>
        <v>0</v>
      </c>
      <c r="I73" s="345">
        <v>798637</v>
      </c>
      <c r="J73" s="346" t="s">
        <v>198</v>
      </c>
      <c r="K73" s="347" t="s">
        <v>25</v>
      </c>
      <c r="L73" s="346" t="s">
        <v>26</v>
      </c>
      <c r="M73" s="284"/>
      <c r="N73" s="290" t="s">
        <v>888</v>
      </c>
      <c r="O73" s="348" t="s">
        <v>719</v>
      </c>
    </row>
    <row r="74" spans="1:17" x14ac:dyDescent="0.2">
      <c r="A74" s="251">
        <v>71</v>
      </c>
      <c r="B74" s="251">
        <v>3227</v>
      </c>
      <c r="C74" s="252" t="s">
        <v>790</v>
      </c>
      <c r="D74" s="253">
        <v>304.89999999999998</v>
      </c>
      <c r="E74" s="254">
        <v>0.4</v>
      </c>
      <c r="F74" s="254">
        <f t="shared" si="2"/>
        <v>121.96</v>
      </c>
      <c r="G74" s="254">
        <f>121.33+0.63</f>
        <v>121.96</v>
      </c>
      <c r="H74" s="254">
        <f t="shared" si="3"/>
        <v>0</v>
      </c>
      <c r="I74" s="321">
        <v>15214649</v>
      </c>
      <c r="J74" s="349" t="s">
        <v>199</v>
      </c>
      <c r="K74" s="323" t="s">
        <v>25</v>
      </c>
      <c r="L74" s="322" t="s">
        <v>26</v>
      </c>
      <c r="M74" s="251">
        <v>92171914</v>
      </c>
      <c r="N74" s="258">
        <v>45658</v>
      </c>
      <c r="O74" s="338">
        <v>45691</v>
      </c>
    </row>
    <row r="75" spans="1:17" x14ac:dyDescent="0.2">
      <c r="A75" s="229">
        <v>72</v>
      </c>
      <c r="B75" s="229">
        <v>3228</v>
      </c>
      <c r="C75" s="231" t="s">
        <v>200</v>
      </c>
      <c r="D75" s="232">
        <v>602.9</v>
      </c>
      <c r="E75" s="233">
        <v>0.4</v>
      </c>
      <c r="F75" s="233">
        <f t="shared" si="2"/>
        <v>241.16</v>
      </c>
      <c r="G75" s="233"/>
      <c r="H75" s="233">
        <f t="shared" si="3"/>
        <v>241.16</v>
      </c>
      <c r="I75" s="229">
        <v>1307775</v>
      </c>
      <c r="J75" s="243" t="s">
        <v>201</v>
      </c>
      <c r="K75" s="244" t="s">
        <v>17</v>
      </c>
      <c r="L75" s="244" t="s">
        <v>18</v>
      </c>
      <c r="M75" s="229">
        <v>99484101</v>
      </c>
      <c r="N75" s="244"/>
    </row>
    <row r="76" spans="1:17" x14ac:dyDescent="0.2">
      <c r="A76" s="229">
        <v>73</v>
      </c>
      <c r="B76" s="229">
        <v>3229</v>
      </c>
      <c r="C76" s="231" t="s">
        <v>202</v>
      </c>
      <c r="D76" s="232">
        <v>482</v>
      </c>
      <c r="E76" s="233">
        <v>0.4</v>
      </c>
      <c r="F76" s="233">
        <f t="shared" si="2"/>
        <v>192.8</v>
      </c>
      <c r="G76" s="233"/>
      <c r="H76" s="233">
        <f t="shared" si="3"/>
        <v>192.8</v>
      </c>
      <c r="I76" s="229">
        <v>6370978</v>
      </c>
      <c r="J76" s="243" t="s">
        <v>203</v>
      </c>
      <c r="K76" s="235" t="s">
        <v>25</v>
      </c>
      <c r="L76" s="236" t="s">
        <v>26</v>
      </c>
      <c r="M76" s="229">
        <v>99485611</v>
      </c>
      <c r="N76" s="244"/>
    </row>
    <row r="77" spans="1:17" x14ac:dyDescent="0.2">
      <c r="A77" s="229">
        <v>74</v>
      </c>
      <c r="B77" s="229">
        <v>3230</v>
      </c>
      <c r="C77" s="231" t="s">
        <v>204</v>
      </c>
      <c r="D77" s="232">
        <v>442.2</v>
      </c>
      <c r="E77" s="233">
        <v>0.4</v>
      </c>
      <c r="F77" s="233">
        <f t="shared" si="2"/>
        <v>176.88</v>
      </c>
      <c r="G77" s="233"/>
      <c r="H77" s="233">
        <f t="shared" si="3"/>
        <v>176.88</v>
      </c>
      <c r="I77" s="229">
        <v>1968755</v>
      </c>
      <c r="J77" s="236" t="s">
        <v>205</v>
      </c>
      <c r="K77" s="235" t="s">
        <v>25</v>
      </c>
      <c r="L77" s="236" t="s">
        <v>26</v>
      </c>
      <c r="M77" s="229"/>
      <c r="N77" s="244"/>
    </row>
    <row r="78" spans="1:17" s="269" customFormat="1" x14ac:dyDescent="0.2">
      <c r="A78" s="251">
        <v>75</v>
      </c>
      <c r="B78" s="251">
        <v>3231</v>
      </c>
      <c r="C78" s="252" t="s">
        <v>206</v>
      </c>
      <c r="D78" s="253">
        <v>575.29999999999995</v>
      </c>
      <c r="E78" s="254">
        <v>0.4</v>
      </c>
      <c r="F78" s="254">
        <f t="shared" si="2"/>
        <v>230.12</v>
      </c>
      <c r="G78" s="254">
        <f>120.94+97</f>
        <v>217.94</v>
      </c>
      <c r="H78" s="254">
        <f t="shared" si="3"/>
        <v>12.180000000000007</v>
      </c>
      <c r="I78" s="251">
        <v>6203903</v>
      </c>
      <c r="J78" s="262" t="s">
        <v>207</v>
      </c>
      <c r="K78" s="263" t="s">
        <v>17</v>
      </c>
      <c r="L78" s="263" t="s">
        <v>18</v>
      </c>
      <c r="M78" s="251">
        <v>92535588</v>
      </c>
      <c r="N78" s="343">
        <v>45779</v>
      </c>
      <c r="O78" s="351" t="s">
        <v>893</v>
      </c>
    </row>
    <row r="79" spans="1:17" x14ac:dyDescent="0.2">
      <c r="A79" s="284">
        <v>76</v>
      </c>
      <c r="B79" s="284">
        <v>3232</v>
      </c>
      <c r="C79" s="285" t="s">
        <v>208</v>
      </c>
      <c r="D79" s="286">
        <v>318.3</v>
      </c>
      <c r="E79" s="287">
        <v>0.4</v>
      </c>
      <c r="F79" s="287">
        <f t="shared" si="2"/>
        <v>127.32000000000001</v>
      </c>
      <c r="G79" s="287">
        <f>F79</f>
        <v>127.32000000000001</v>
      </c>
      <c r="H79" s="287">
        <f t="shared" si="3"/>
        <v>0</v>
      </c>
      <c r="I79" s="284">
        <v>6387264</v>
      </c>
      <c r="J79" s="346" t="s">
        <v>209</v>
      </c>
      <c r="K79" s="301" t="s">
        <v>210</v>
      </c>
      <c r="L79" s="346" t="s">
        <v>211</v>
      </c>
      <c r="M79" s="284">
        <v>96661076</v>
      </c>
      <c r="N79" s="290" t="s">
        <v>887</v>
      </c>
    </row>
    <row r="80" spans="1:17" x14ac:dyDescent="0.2">
      <c r="A80" s="229">
        <v>77</v>
      </c>
      <c r="B80" s="229">
        <v>3234</v>
      </c>
      <c r="C80" s="231" t="s">
        <v>212</v>
      </c>
      <c r="D80" s="232">
        <v>657.2</v>
      </c>
      <c r="E80" s="233">
        <v>0.4</v>
      </c>
      <c r="F80" s="233">
        <f t="shared" si="2"/>
        <v>262.88000000000005</v>
      </c>
      <c r="G80" s="233"/>
      <c r="H80" s="233">
        <f t="shared" si="3"/>
        <v>262.88000000000005</v>
      </c>
      <c r="I80" s="229">
        <v>21834239</v>
      </c>
      <c r="J80" s="243" t="s">
        <v>213</v>
      </c>
      <c r="K80" s="235" t="s">
        <v>25</v>
      </c>
      <c r="L80" s="236" t="s">
        <v>26</v>
      </c>
      <c r="M80" s="229">
        <v>98135444</v>
      </c>
      <c r="N80" s="244"/>
    </row>
    <row r="81" spans="1:15" x14ac:dyDescent="0.2">
      <c r="A81" s="229">
        <v>78</v>
      </c>
      <c r="B81" s="229">
        <v>3235</v>
      </c>
      <c r="C81" s="231" t="s">
        <v>214</v>
      </c>
      <c r="D81" s="232">
        <v>667</v>
      </c>
      <c r="E81" s="233">
        <v>0.4</v>
      </c>
      <c r="F81" s="233">
        <f t="shared" si="2"/>
        <v>266.8</v>
      </c>
      <c r="G81" s="233"/>
      <c r="H81" s="233">
        <f t="shared" si="3"/>
        <v>266.8</v>
      </c>
      <c r="I81" s="229">
        <v>1234245</v>
      </c>
      <c r="J81" s="243" t="s">
        <v>215</v>
      </c>
      <c r="K81" s="244" t="s">
        <v>75</v>
      </c>
      <c r="L81" s="236" t="s">
        <v>76</v>
      </c>
      <c r="M81" s="229">
        <v>99487759</v>
      </c>
      <c r="N81" s="244"/>
    </row>
    <row r="82" spans="1:15" x14ac:dyDescent="0.2">
      <c r="A82" s="251">
        <v>79</v>
      </c>
      <c r="B82" s="251">
        <v>3236</v>
      </c>
      <c r="C82" s="252" t="s">
        <v>216</v>
      </c>
      <c r="D82" s="253">
        <v>274.2</v>
      </c>
      <c r="E82" s="254">
        <v>0.4</v>
      </c>
      <c r="F82" s="254">
        <f t="shared" si="2"/>
        <v>109.68</v>
      </c>
      <c r="G82" s="254">
        <f>109.17+0.51</f>
        <v>109.68</v>
      </c>
      <c r="H82" s="254">
        <f t="shared" si="3"/>
        <v>0</v>
      </c>
      <c r="I82" s="321">
        <v>6733333</v>
      </c>
      <c r="J82" s="322" t="s">
        <v>217</v>
      </c>
      <c r="K82" s="257" t="s">
        <v>25</v>
      </c>
      <c r="L82" s="322" t="s">
        <v>26</v>
      </c>
      <c r="M82" s="251"/>
      <c r="N82" s="258">
        <v>45662</v>
      </c>
      <c r="O82" s="338">
        <v>45691</v>
      </c>
    </row>
    <row r="83" spans="1:15" x14ac:dyDescent="0.2">
      <c r="A83" s="251">
        <v>80</v>
      </c>
      <c r="B83" s="251">
        <v>3237</v>
      </c>
      <c r="C83" s="252" t="s">
        <v>218</v>
      </c>
      <c r="D83" s="253">
        <v>717.3</v>
      </c>
      <c r="E83" s="254">
        <v>0.4</v>
      </c>
      <c r="F83" s="254">
        <f t="shared" si="2"/>
        <v>286.92</v>
      </c>
      <c r="G83" s="254">
        <f>286.43+0.49</f>
        <v>286.92</v>
      </c>
      <c r="H83" s="254">
        <f t="shared" si="3"/>
        <v>0</v>
      </c>
      <c r="I83" s="251">
        <v>873637</v>
      </c>
      <c r="J83" s="256" t="s">
        <v>219</v>
      </c>
      <c r="K83" s="263" t="s">
        <v>43</v>
      </c>
      <c r="L83" s="256" t="s">
        <v>44</v>
      </c>
      <c r="M83" s="251">
        <v>97659667</v>
      </c>
      <c r="N83" s="258">
        <v>45650</v>
      </c>
      <c r="O83" s="338">
        <v>45670</v>
      </c>
    </row>
    <row r="84" spans="1:15" s="274" customFormat="1" x14ac:dyDescent="0.2">
      <c r="A84" s="229">
        <v>81</v>
      </c>
      <c r="B84" s="229">
        <v>3238</v>
      </c>
      <c r="C84" s="270" t="s">
        <v>220</v>
      </c>
      <c r="D84" s="239">
        <v>222.2</v>
      </c>
      <c r="E84" s="233">
        <v>0.4</v>
      </c>
      <c r="F84" s="233">
        <f t="shared" si="2"/>
        <v>88.88</v>
      </c>
      <c r="G84" s="233"/>
      <c r="H84" s="233">
        <f t="shared" si="3"/>
        <v>88.88</v>
      </c>
      <c r="I84" s="271">
        <v>5361082</v>
      </c>
      <c r="J84" s="272" t="s">
        <v>221</v>
      </c>
      <c r="K84" s="245" t="s">
        <v>25</v>
      </c>
      <c r="L84" s="273" t="s">
        <v>26</v>
      </c>
      <c r="M84" s="229"/>
      <c r="N84" s="350">
        <v>44621</v>
      </c>
      <c r="O84" s="348"/>
    </row>
    <row r="85" spans="1:15" x14ac:dyDescent="0.2">
      <c r="A85" s="251">
        <v>82</v>
      </c>
      <c r="B85" s="251">
        <v>3239</v>
      </c>
      <c r="C85" s="252" t="s">
        <v>222</v>
      </c>
      <c r="D85" s="253">
        <v>558.29999999999995</v>
      </c>
      <c r="E85" s="254">
        <v>0.4</v>
      </c>
      <c r="F85" s="254">
        <f t="shared" si="2"/>
        <v>223.32</v>
      </c>
      <c r="G85" s="254">
        <f>218.86+4.46</f>
        <v>223.32000000000002</v>
      </c>
      <c r="H85" s="254">
        <f t="shared" si="3"/>
        <v>0</v>
      </c>
      <c r="I85" s="251">
        <v>14379226</v>
      </c>
      <c r="J85" s="262" t="s">
        <v>223</v>
      </c>
      <c r="K85" s="257" t="s">
        <v>25</v>
      </c>
      <c r="L85" s="256" t="s">
        <v>26</v>
      </c>
      <c r="M85" s="251">
        <v>92385524</v>
      </c>
      <c r="N85" s="258">
        <v>45663</v>
      </c>
      <c r="O85" s="338">
        <v>45677</v>
      </c>
    </row>
    <row r="86" spans="1:15" x14ac:dyDescent="0.2">
      <c r="A86" s="251">
        <v>83</v>
      </c>
      <c r="B86" s="251">
        <v>3240</v>
      </c>
      <c r="C86" s="252" t="s">
        <v>224</v>
      </c>
      <c r="D86" s="253">
        <v>612.6</v>
      </c>
      <c r="E86" s="254">
        <v>0.4</v>
      </c>
      <c r="F86" s="254">
        <f t="shared" si="2"/>
        <v>245.04000000000002</v>
      </c>
      <c r="G86" s="254">
        <f>242.84+2.2</f>
        <v>245.04</v>
      </c>
      <c r="H86" s="254">
        <f t="shared" si="3"/>
        <v>0</v>
      </c>
      <c r="I86" s="251">
        <v>5622856</v>
      </c>
      <c r="J86" s="262" t="s">
        <v>225</v>
      </c>
      <c r="K86" s="263" t="s">
        <v>134</v>
      </c>
      <c r="L86" s="256" t="s">
        <v>135</v>
      </c>
      <c r="M86" s="251">
        <v>92400553</v>
      </c>
      <c r="N86" s="258">
        <v>45670</v>
      </c>
      <c r="O86" s="338">
        <v>45691</v>
      </c>
    </row>
    <row r="87" spans="1:15" x14ac:dyDescent="0.2">
      <c r="A87" s="251">
        <v>84</v>
      </c>
      <c r="B87" s="251">
        <v>3241</v>
      </c>
      <c r="C87" s="252" t="s">
        <v>227</v>
      </c>
      <c r="D87" s="253">
        <v>308.39999999999998</v>
      </c>
      <c r="E87" s="254">
        <v>0.4</v>
      </c>
      <c r="F87" s="254">
        <f t="shared" si="2"/>
        <v>123.36</v>
      </c>
      <c r="G87" s="254">
        <f>F87</f>
        <v>123.36</v>
      </c>
      <c r="H87" s="254">
        <f t="shared" si="3"/>
        <v>0</v>
      </c>
      <c r="I87" s="251">
        <v>21125518</v>
      </c>
      <c r="J87" s="262" t="s">
        <v>228</v>
      </c>
      <c r="K87" s="257" t="s">
        <v>25</v>
      </c>
      <c r="L87" s="256" t="s">
        <v>26</v>
      </c>
      <c r="M87" s="251">
        <v>99508853</v>
      </c>
      <c r="N87" s="258">
        <v>45691</v>
      </c>
    </row>
    <row r="88" spans="1:15" x14ac:dyDescent="0.2">
      <c r="A88" s="251">
        <v>85</v>
      </c>
      <c r="B88" s="251">
        <v>3243</v>
      </c>
      <c r="C88" s="252" t="s">
        <v>229</v>
      </c>
      <c r="D88" s="253">
        <v>337</v>
      </c>
      <c r="E88" s="254">
        <v>0.4</v>
      </c>
      <c r="F88" s="254">
        <f t="shared" si="2"/>
        <v>134.80000000000001</v>
      </c>
      <c r="G88" s="254">
        <f>133+1.8</f>
        <v>134.80000000000001</v>
      </c>
      <c r="H88" s="254">
        <f t="shared" si="3"/>
        <v>0</v>
      </c>
      <c r="I88" s="251">
        <v>25887256</v>
      </c>
      <c r="J88" s="262" t="s">
        <v>230</v>
      </c>
      <c r="K88" s="257" t="s">
        <v>25</v>
      </c>
      <c r="L88" s="256" t="s">
        <v>26</v>
      </c>
      <c r="M88" s="251">
        <v>93271871</v>
      </c>
      <c r="N88" s="258">
        <v>45664</v>
      </c>
      <c r="O88" s="291" t="s">
        <v>870</v>
      </c>
    </row>
    <row r="89" spans="1:15" x14ac:dyDescent="0.2">
      <c r="A89" s="229">
        <v>86</v>
      </c>
      <c r="B89" s="229">
        <v>3244</v>
      </c>
      <c r="C89" s="231" t="s">
        <v>232</v>
      </c>
      <c r="D89" s="232">
        <v>270.60000000000002</v>
      </c>
      <c r="E89" s="233">
        <v>0.4</v>
      </c>
      <c r="F89" s="233">
        <f t="shared" si="2"/>
        <v>108.24000000000001</v>
      </c>
      <c r="G89" s="233"/>
      <c r="H89" s="233">
        <f t="shared" si="3"/>
        <v>108.24000000000001</v>
      </c>
      <c r="I89" s="229">
        <v>19340943</v>
      </c>
      <c r="J89" s="243" t="s">
        <v>233</v>
      </c>
      <c r="K89" s="235" t="s">
        <v>25</v>
      </c>
      <c r="L89" s="236" t="s">
        <v>26</v>
      </c>
      <c r="M89" s="229">
        <v>92594446</v>
      </c>
      <c r="N89" s="244"/>
    </row>
    <row r="90" spans="1:15" x14ac:dyDescent="0.2">
      <c r="A90" s="251">
        <v>87</v>
      </c>
      <c r="B90" s="251">
        <v>3245</v>
      </c>
      <c r="C90" s="252" t="s">
        <v>234</v>
      </c>
      <c r="D90" s="253">
        <v>242.2</v>
      </c>
      <c r="E90" s="254">
        <v>0.4</v>
      </c>
      <c r="F90" s="254">
        <f t="shared" si="2"/>
        <v>96.88</v>
      </c>
      <c r="G90" s="254">
        <f>93.29+3.59</f>
        <v>96.88000000000001</v>
      </c>
      <c r="H90" s="254">
        <f t="shared" si="3"/>
        <v>0</v>
      </c>
      <c r="I90" s="293" t="s">
        <v>235</v>
      </c>
      <c r="J90" s="256" t="s">
        <v>236</v>
      </c>
      <c r="K90" s="263" t="s">
        <v>43</v>
      </c>
      <c r="L90" s="256" t="s">
        <v>44</v>
      </c>
      <c r="M90" s="251">
        <v>99699068</v>
      </c>
      <c r="N90" s="258">
        <v>45658</v>
      </c>
      <c r="O90" s="338">
        <v>45691</v>
      </c>
    </row>
    <row r="91" spans="1:15" x14ac:dyDescent="0.2">
      <c r="A91" s="251">
        <v>88</v>
      </c>
      <c r="B91" s="251">
        <v>3246</v>
      </c>
      <c r="C91" s="252" t="s">
        <v>237</v>
      </c>
      <c r="D91" s="253">
        <v>264</v>
      </c>
      <c r="E91" s="254">
        <v>0.4</v>
      </c>
      <c r="F91" s="254">
        <f t="shared" si="2"/>
        <v>105.60000000000001</v>
      </c>
      <c r="G91" s="254">
        <f>F91</f>
        <v>105.60000000000001</v>
      </c>
      <c r="H91" s="254">
        <f t="shared" si="3"/>
        <v>0</v>
      </c>
      <c r="I91" s="251">
        <v>662648</v>
      </c>
      <c r="J91" s="262" t="s">
        <v>238</v>
      </c>
      <c r="K91" s="257" t="s">
        <v>25</v>
      </c>
      <c r="L91" s="256" t="s">
        <v>26</v>
      </c>
      <c r="M91" s="251">
        <v>99498382</v>
      </c>
      <c r="N91" s="258">
        <v>45685</v>
      </c>
    </row>
    <row r="92" spans="1:15" x14ac:dyDescent="0.2">
      <c r="A92" s="251">
        <v>89</v>
      </c>
      <c r="B92" s="251">
        <v>3247</v>
      </c>
      <c r="C92" s="252" t="s">
        <v>239</v>
      </c>
      <c r="D92" s="253">
        <v>299</v>
      </c>
      <c r="E92" s="254">
        <v>0.4</v>
      </c>
      <c r="F92" s="254">
        <f t="shared" si="2"/>
        <v>119.60000000000001</v>
      </c>
      <c r="G92" s="254">
        <f>F92</f>
        <v>119.60000000000001</v>
      </c>
      <c r="H92" s="254">
        <f t="shared" si="3"/>
        <v>0</v>
      </c>
      <c r="I92" s="251">
        <v>6457783</v>
      </c>
      <c r="J92" s="256" t="s">
        <v>240</v>
      </c>
      <c r="K92" s="257" t="s">
        <v>25</v>
      </c>
      <c r="L92" s="256" t="s">
        <v>26</v>
      </c>
      <c r="M92" s="251">
        <v>92594442</v>
      </c>
      <c r="N92" s="258">
        <v>45685</v>
      </c>
    </row>
    <row r="93" spans="1:15" x14ac:dyDescent="0.2">
      <c r="A93" s="229">
        <v>90</v>
      </c>
      <c r="B93" s="229">
        <v>3248</v>
      </c>
      <c r="C93" s="231" t="s">
        <v>241</v>
      </c>
      <c r="D93" s="232">
        <v>264</v>
      </c>
      <c r="E93" s="233">
        <v>0.4</v>
      </c>
      <c r="F93" s="233">
        <f t="shared" si="2"/>
        <v>105.60000000000001</v>
      </c>
      <c r="G93" s="233"/>
      <c r="H93" s="233">
        <f t="shared" si="3"/>
        <v>105.60000000000001</v>
      </c>
      <c r="I93" s="229">
        <v>18811851</v>
      </c>
      <c r="J93" s="243" t="s">
        <v>242</v>
      </c>
      <c r="K93" s="235" t="s">
        <v>25</v>
      </c>
      <c r="L93" s="236" t="s">
        <v>26</v>
      </c>
      <c r="M93" s="229">
        <v>92597556</v>
      </c>
      <c r="N93" s="244"/>
    </row>
    <row r="94" spans="1:15" x14ac:dyDescent="0.2">
      <c r="A94" s="284">
        <v>91</v>
      </c>
      <c r="B94" s="284">
        <v>3249</v>
      </c>
      <c r="C94" s="285" t="s">
        <v>243</v>
      </c>
      <c r="D94" s="286">
        <v>598</v>
      </c>
      <c r="E94" s="287">
        <v>0.4</v>
      </c>
      <c r="F94" s="287">
        <f t="shared" si="2"/>
        <v>239.20000000000002</v>
      </c>
      <c r="G94" s="287">
        <f>F94</f>
        <v>239.20000000000002</v>
      </c>
      <c r="H94" s="287">
        <f t="shared" si="3"/>
        <v>0</v>
      </c>
      <c r="I94" s="284">
        <v>24540784</v>
      </c>
      <c r="J94" s="340" t="s">
        <v>244</v>
      </c>
      <c r="K94" s="290" t="s">
        <v>25</v>
      </c>
      <c r="L94" s="289" t="s">
        <v>26</v>
      </c>
      <c r="M94" s="284">
        <v>99693301</v>
      </c>
      <c r="N94" s="290"/>
    </row>
    <row r="95" spans="1:15" x14ac:dyDescent="0.2">
      <c r="A95" s="251">
        <v>92</v>
      </c>
      <c r="B95" s="251">
        <v>3251</v>
      </c>
      <c r="C95" s="252" t="s">
        <v>245</v>
      </c>
      <c r="D95" s="253">
        <v>345</v>
      </c>
      <c r="E95" s="254">
        <v>0.4</v>
      </c>
      <c r="F95" s="254">
        <f t="shared" si="2"/>
        <v>138</v>
      </c>
      <c r="G95" s="254">
        <f>F95</f>
        <v>138</v>
      </c>
      <c r="H95" s="254">
        <f t="shared" si="3"/>
        <v>0</v>
      </c>
      <c r="I95" s="251">
        <v>6420681</v>
      </c>
      <c r="J95" s="262" t="s">
        <v>246</v>
      </c>
      <c r="K95" s="257" t="s">
        <v>25</v>
      </c>
      <c r="L95" s="256" t="s">
        <v>26</v>
      </c>
      <c r="M95" s="251">
        <v>99588744</v>
      </c>
      <c r="N95" s="258">
        <v>45685</v>
      </c>
      <c r="O95" s="351"/>
    </row>
    <row r="96" spans="1:15" s="368" customFormat="1" x14ac:dyDescent="0.2">
      <c r="A96" s="360">
        <v>93</v>
      </c>
      <c r="B96" s="360">
        <v>3252</v>
      </c>
      <c r="C96" s="361" t="s">
        <v>247</v>
      </c>
      <c r="D96" s="362">
        <v>75.5</v>
      </c>
      <c r="E96" s="363">
        <v>0.4</v>
      </c>
      <c r="F96" s="363">
        <f t="shared" si="2"/>
        <v>30.200000000000003</v>
      </c>
      <c r="G96" s="363">
        <f>F96</f>
        <v>30.200000000000003</v>
      </c>
      <c r="H96" s="363">
        <f t="shared" si="3"/>
        <v>0</v>
      </c>
      <c r="I96" s="360">
        <v>460074</v>
      </c>
      <c r="J96" s="370" t="s">
        <v>248</v>
      </c>
      <c r="K96" s="370" t="s">
        <v>25</v>
      </c>
      <c r="L96" s="367" t="s">
        <v>26</v>
      </c>
      <c r="M96" s="360">
        <v>99292354</v>
      </c>
      <c r="N96" s="370" t="s">
        <v>881</v>
      </c>
      <c r="O96" s="413"/>
    </row>
    <row r="97" spans="1:16" s="269" customFormat="1" x14ac:dyDescent="0.2">
      <c r="A97" s="251">
        <v>94</v>
      </c>
      <c r="B97" s="251">
        <v>3253</v>
      </c>
      <c r="C97" s="252" t="s">
        <v>249</v>
      </c>
      <c r="D97" s="253">
        <v>644</v>
      </c>
      <c r="E97" s="254">
        <v>0.4</v>
      </c>
      <c r="F97" s="254">
        <f t="shared" si="2"/>
        <v>257.60000000000002</v>
      </c>
      <c r="G97" s="254">
        <f>253.78+3.82</f>
        <v>257.60000000000002</v>
      </c>
      <c r="H97" s="254">
        <f t="shared" si="3"/>
        <v>0</v>
      </c>
      <c r="I97" s="251">
        <v>25887589</v>
      </c>
      <c r="J97" s="262" t="s">
        <v>250</v>
      </c>
      <c r="K97" s="257" t="s">
        <v>25</v>
      </c>
      <c r="L97" s="256" t="s">
        <v>26</v>
      </c>
      <c r="M97" s="251">
        <v>93995997</v>
      </c>
      <c r="N97" s="258">
        <v>45655</v>
      </c>
      <c r="O97" s="291" t="s">
        <v>870</v>
      </c>
    </row>
    <row r="98" spans="1:16" x14ac:dyDescent="0.2">
      <c r="A98" s="251">
        <v>95</v>
      </c>
      <c r="B98" s="251">
        <v>3254</v>
      </c>
      <c r="C98" s="252" t="s">
        <v>251</v>
      </c>
      <c r="D98" s="253">
        <v>563.6</v>
      </c>
      <c r="E98" s="254">
        <v>0.4</v>
      </c>
      <c r="F98" s="254">
        <f t="shared" si="2"/>
        <v>225.44000000000003</v>
      </c>
      <c r="G98" s="254">
        <f>222.39+3.05</f>
        <v>225.44</v>
      </c>
      <c r="H98" s="254">
        <f t="shared" si="3"/>
        <v>0</v>
      </c>
      <c r="I98" s="251">
        <v>6668983</v>
      </c>
      <c r="J98" s="262" t="s">
        <v>252</v>
      </c>
      <c r="K98" s="257" t="s">
        <v>25</v>
      </c>
      <c r="L98" s="256" t="s">
        <v>26</v>
      </c>
      <c r="M98" s="251">
        <v>92321002</v>
      </c>
      <c r="N98" s="258">
        <v>45658</v>
      </c>
      <c r="O98" s="338">
        <v>45691</v>
      </c>
    </row>
    <row r="99" spans="1:16" x14ac:dyDescent="0.2">
      <c r="A99" s="251">
        <v>96</v>
      </c>
      <c r="B99" s="251">
        <v>3255</v>
      </c>
      <c r="C99" s="252" t="s">
        <v>253</v>
      </c>
      <c r="D99" s="253">
        <v>459</v>
      </c>
      <c r="E99" s="254">
        <v>0.4</v>
      </c>
      <c r="F99" s="254">
        <f t="shared" si="2"/>
        <v>183.60000000000002</v>
      </c>
      <c r="G99" s="254">
        <f>181.75+1.85</f>
        <v>183.6</v>
      </c>
      <c r="H99" s="254">
        <f t="shared" si="3"/>
        <v>0</v>
      </c>
      <c r="I99" s="251">
        <v>5851949</v>
      </c>
      <c r="J99" s="256" t="s">
        <v>254</v>
      </c>
      <c r="K99" s="257" t="s">
        <v>75</v>
      </c>
      <c r="L99" s="256" t="s">
        <v>76</v>
      </c>
      <c r="M99" s="251"/>
      <c r="N99" s="258">
        <v>45663</v>
      </c>
      <c r="O99" s="338">
        <v>45691</v>
      </c>
    </row>
    <row r="100" spans="1:16" x14ac:dyDescent="0.2">
      <c r="A100" s="284">
        <v>97</v>
      </c>
      <c r="B100" s="284">
        <v>3256</v>
      </c>
      <c r="C100" s="285" t="s">
        <v>255</v>
      </c>
      <c r="D100" s="286">
        <v>2076.1</v>
      </c>
      <c r="E100" s="287">
        <v>0.4</v>
      </c>
      <c r="F100" s="287">
        <f t="shared" si="2"/>
        <v>830.44</v>
      </c>
      <c r="G100" s="254">
        <f>470+358.05+2.39</f>
        <v>830.43999999999994</v>
      </c>
      <c r="H100" s="254">
        <f t="shared" si="3"/>
        <v>0</v>
      </c>
      <c r="I100" s="284">
        <v>6147152</v>
      </c>
      <c r="J100" s="333" t="s">
        <v>256</v>
      </c>
      <c r="K100" s="290" t="s">
        <v>257</v>
      </c>
      <c r="L100" s="289" t="s">
        <v>258</v>
      </c>
      <c r="M100" s="284">
        <v>99889778</v>
      </c>
      <c r="N100" s="290" t="s">
        <v>716</v>
      </c>
      <c r="O100" s="329" t="s">
        <v>855</v>
      </c>
      <c r="P100" s="219" t="s">
        <v>886</v>
      </c>
    </row>
    <row r="101" spans="1:16" s="269" customFormat="1" x14ac:dyDescent="0.2">
      <c r="A101" s="251">
        <v>98</v>
      </c>
      <c r="B101" s="251">
        <v>3258</v>
      </c>
      <c r="C101" s="252" t="s">
        <v>259</v>
      </c>
      <c r="D101" s="253">
        <v>885.6</v>
      </c>
      <c r="E101" s="254">
        <v>0.4</v>
      </c>
      <c r="F101" s="254">
        <f t="shared" si="2"/>
        <v>354.24</v>
      </c>
      <c r="G101" s="254">
        <f>351.38</f>
        <v>351.38</v>
      </c>
      <c r="H101" s="254">
        <f t="shared" si="3"/>
        <v>2.8600000000000136</v>
      </c>
      <c r="I101" s="251">
        <v>15335306</v>
      </c>
      <c r="J101" s="262" t="s">
        <v>260</v>
      </c>
      <c r="K101" s="263" t="s">
        <v>75</v>
      </c>
      <c r="L101" s="256" t="s">
        <v>76</v>
      </c>
      <c r="M101" s="251">
        <v>99772646</v>
      </c>
      <c r="N101" s="258" t="s">
        <v>895</v>
      </c>
      <c r="O101" s="351"/>
    </row>
    <row r="102" spans="1:16" x14ac:dyDescent="0.2">
      <c r="A102" s="251">
        <v>99</v>
      </c>
      <c r="B102" s="251">
        <v>3260</v>
      </c>
      <c r="C102" s="252" t="s">
        <v>261</v>
      </c>
      <c r="D102" s="253">
        <v>167.9</v>
      </c>
      <c r="E102" s="254">
        <v>0.4</v>
      </c>
      <c r="F102" s="254">
        <f t="shared" si="2"/>
        <v>67.160000000000011</v>
      </c>
      <c r="G102" s="254">
        <f>F102</f>
        <v>67.160000000000011</v>
      </c>
      <c r="H102" s="254">
        <f t="shared" si="3"/>
        <v>0</v>
      </c>
      <c r="I102" s="251">
        <v>19361936</v>
      </c>
      <c r="J102" s="322" t="s">
        <v>262</v>
      </c>
      <c r="K102" s="263" t="s">
        <v>25</v>
      </c>
      <c r="L102" s="322" t="s">
        <v>26</v>
      </c>
      <c r="M102" s="251">
        <v>99550633</v>
      </c>
      <c r="N102" s="258">
        <v>45691</v>
      </c>
    </row>
    <row r="103" spans="1:16" x14ac:dyDescent="0.2">
      <c r="A103" s="229">
        <v>100</v>
      </c>
      <c r="B103" s="229">
        <v>3261</v>
      </c>
      <c r="C103" s="231" t="s">
        <v>263</v>
      </c>
      <c r="D103" s="232">
        <v>280.7</v>
      </c>
      <c r="E103" s="233">
        <v>0.4</v>
      </c>
      <c r="F103" s="233">
        <f t="shared" si="2"/>
        <v>112.28</v>
      </c>
      <c r="G103" s="233"/>
      <c r="H103" s="233">
        <f t="shared" si="3"/>
        <v>112.28</v>
      </c>
      <c r="I103" s="229">
        <v>8124516</v>
      </c>
      <c r="J103" s="243" t="s">
        <v>264</v>
      </c>
      <c r="K103" s="235" t="s">
        <v>25</v>
      </c>
      <c r="L103" s="236" t="s">
        <v>26</v>
      </c>
      <c r="M103" s="229">
        <v>92661167</v>
      </c>
      <c r="N103" s="244"/>
    </row>
    <row r="104" spans="1:16" x14ac:dyDescent="0.2">
      <c r="A104" s="229">
        <v>101</v>
      </c>
      <c r="B104" s="229">
        <v>3262</v>
      </c>
      <c r="C104" s="231" t="s">
        <v>265</v>
      </c>
      <c r="D104" s="232">
        <v>33.799999999999997</v>
      </c>
      <c r="E104" s="233">
        <v>0.4</v>
      </c>
      <c r="F104" s="233">
        <f t="shared" si="2"/>
        <v>13.52</v>
      </c>
      <c r="G104" s="233"/>
      <c r="H104" s="233">
        <f t="shared" si="3"/>
        <v>13.52</v>
      </c>
      <c r="I104" s="229">
        <v>1483142</v>
      </c>
      <c r="J104" s="243" t="s">
        <v>266</v>
      </c>
      <c r="K104" s="244" t="s">
        <v>43</v>
      </c>
      <c r="L104" s="236" t="s">
        <v>44</v>
      </c>
      <c r="M104" s="229">
        <v>99499613</v>
      </c>
      <c r="N104" s="244"/>
    </row>
    <row r="105" spans="1:16" x14ac:dyDescent="0.2">
      <c r="A105" s="229">
        <v>102</v>
      </c>
      <c r="B105" s="229">
        <v>3263</v>
      </c>
      <c r="C105" s="231" t="s">
        <v>267</v>
      </c>
      <c r="D105" s="232">
        <v>299.39999999999998</v>
      </c>
      <c r="E105" s="233">
        <v>0.4</v>
      </c>
      <c r="F105" s="233">
        <f t="shared" si="2"/>
        <v>119.75999999999999</v>
      </c>
      <c r="G105" s="233"/>
      <c r="H105" s="233">
        <f t="shared" si="3"/>
        <v>119.75999999999999</v>
      </c>
      <c r="I105" s="229">
        <v>986981</v>
      </c>
      <c r="J105" s="236" t="s">
        <v>268</v>
      </c>
      <c r="K105" s="244" t="s">
        <v>75</v>
      </c>
      <c r="L105" s="236" t="s">
        <v>76</v>
      </c>
      <c r="M105" s="229">
        <v>99667979</v>
      </c>
      <c r="N105" s="244"/>
    </row>
    <row r="106" spans="1:16" x14ac:dyDescent="0.2">
      <c r="A106" s="251">
        <v>103</v>
      </c>
      <c r="B106" s="251">
        <v>3266</v>
      </c>
      <c r="C106" s="252" t="s">
        <v>269</v>
      </c>
      <c r="D106" s="253">
        <v>667</v>
      </c>
      <c r="E106" s="254">
        <v>0.4</v>
      </c>
      <c r="F106" s="254">
        <f t="shared" si="2"/>
        <v>266.8</v>
      </c>
      <c r="G106" s="254">
        <f>F106</f>
        <v>266.8</v>
      </c>
      <c r="H106" s="254">
        <f t="shared" si="3"/>
        <v>0</v>
      </c>
      <c r="I106" s="251">
        <v>25891616</v>
      </c>
      <c r="J106" s="262" t="s">
        <v>270</v>
      </c>
      <c r="K106" s="257" t="s">
        <v>25</v>
      </c>
      <c r="L106" s="256" t="s">
        <v>26</v>
      </c>
      <c r="M106" s="251">
        <v>99157779</v>
      </c>
      <c r="N106" s="258">
        <v>45685</v>
      </c>
    </row>
    <row r="107" spans="1:16" x14ac:dyDescent="0.2">
      <c r="A107" s="284">
        <v>104</v>
      </c>
      <c r="B107" s="284">
        <v>3268</v>
      </c>
      <c r="C107" s="285" t="s">
        <v>271</v>
      </c>
      <c r="D107" s="286">
        <v>899.8</v>
      </c>
      <c r="E107" s="287">
        <v>0.4</v>
      </c>
      <c r="F107" s="287">
        <f t="shared" si="2"/>
        <v>359.92</v>
      </c>
      <c r="G107" s="287">
        <f>F107</f>
        <v>359.92</v>
      </c>
      <c r="H107" s="287">
        <f t="shared" si="3"/>
        <v>0</v>
      </c>
      <c r="I107" s="345">
        <v>22373123</v>
      </c>
      <c r="J107" s="346" t="s">
        <v>272</v>
      </c>
      <c r="K107" s="347" t="s">
        <v>25</v>
      </c>
      <c r="L107" s="346" t="s">
        <v>26</v>
      </c>
      <c r="M107" s="284"/>
      <c r="N107" s="290" t="s">
        <v>716</v>
      </c>
    </row>
    <row r="108" spans="1:16" x14ac:dyDescent="0.2">
      <c r="A108" s="251">
        <v>105</v>
      </c>
      <c r="B108" s="251">
        <v>3269</v>
      </c>
      <c r="C108" s="252" t="s">
        <v>273</v>
      </c>
      <c r="D108" s="253">
        <v>356</v>
      </c>
      <c r="E108" s="254">
        <v>0.4</v>
      </c>
      <c r="F108" s="254">
        <f t="shared" si="2"/>
        <v>142.4</v>
      </c>
      <c r="G108" s="254">
        <f>142.05+0.35</f>
        <v>142.4</v>
      </c>
      <c r="H108" s="254">
        <f t="shared" si="3"/>
        <v>0</v>
      </c>
      <c r="I108" s="321">
        <v>14052947</v>
      </c>
      <c r="J108" s="322" t="s">
        <v>274</v>
      </c>
      <c r="K108" s="257" t="s">
        <v>210</v>
      </c>
      <c r="L108" s="322" t="s">
        <v>211</v>
      </c>
      <c r="M108" s="251">
        <v>92203300</v>
      </c>
      <c r="N108" s="258">
        <v>45658</v>
      </c>
      <c r="O108" s="329" t="s">
        <v>885</v>
      </c>
    </row>
    <row r="109" spans="1:16" ht="15" x14ac:dyDescent="0.25">
      <c r="A109" s="251">
        <v>106</v>
      </c>
      <c r="B109" s="251">
        <v>3270</v>
      </c>
      <c r="C109" s="252" t="s">
        <v>275</v>
      </c>
      <c r="D109" s="253">
        <v>611</v>
      </c>
      <c r="E109" s="254">
        <v>0.4</v>
      </c>
      <c r="F109" s="254">
        <f t="shared" si="2"/>
        <v>244.4</v>
      </c>
      <c r="G109" s="254">
        <f>239.03+5.37</f>
        <v>244.4</v>
      </c>
      <c r="H109" s="254">
        <f t="shared" si="3"/>
        <v>0</v>
      </c>
      <c r="I109" s="251">
        <v>11242698</v>
      </c>
      <c r="J109" s="262" t="s">
        <v>276</v>
      </c>
      <c r="K109" s="263" t="s">
        <v>17</v>
      </c>
      <c r="L109" s="263" t="s">
        <v>18</v>
      </c>
      <c r="M109" s="251">
        <v>93839955</v>
      </c>
      <c r="N109" s="258">
        <v>45658</v>
      </c>
      <c r="O109" s="415" t="s">
        <v>875</v>
      </c>
    </row>
    <row r="110" spans="1:16" x14ac:dyDescent="0.2">
      <c r="A110" s="251">
        <v>107</v>
      </c>
      <c r="B110" s="251">
        <v>3271</v>
      </c>
      <c r="C110" s="352" t="s">
        <v>277</v>
      </c>
      <c r="D110" s="253">
        <v>447.7</v>
      </c>
      <c r="E110" s="254">
        <v>0.4</v>
      </c>
      <c r="F110" s="254">
        <f t="shared" si="2"/>
        <v>179.08</v>
      </c>
      <c r="G110" s="254">
        <f>178.14+0.94</f>
        <v>179.07999999999998</v>
      </c>
      <c r="H110" s="254">
        <f t="shared" si="3"/>
        <v>0</v>
      </c>
      <c r="I110" s="353">
        <v>24503986</v>
      </c>
      <c r="J110" s="354" t="s">
        <v>278</v>
      </c>
      <c r="K110" s="352" t="s">
        <v>17</v>
      </c>
      <c r="L110" s="355" t="s">
        <v>18</v>
      </c>
      <c r="M110" s="353">
        <v>92235243</v>
      </c>
      <c r="N110" s="356">
        <v>45663</v>
      </c>
      <c r="O110" s="338">
        <v>45691</v>
      </c>
    </row>
    <row r="111" spans="1:16" x14ac:dyDescent="0.2">
      <c r="A111" s="229">
        <v>108</v>
      </c>
      <c r="B111" s="229">
        <v>3272</v>
      </c>
      <c r="C111" s="276" t="s">
        <v>279</v>
      </c>
      <c r="D111" s="232">
        <v>88.5</v>
      </c>
      <c r="E111" s="233">
        <v>0.4</v>
      </c>
      <c r="F111" s="233">
        <f t="shared" si="2"/>
        <v>35.4</v>
      </c>
      <c r="G111" s="233"/>
      <c r="H111" s="233">
        <f t="shared" si="3"/>
        <v>35.4</v>
      </c>
      <c r="I111" s="277">
        <v>22977225</v>
      </c>
      <c r="J111" s="248" t="s">
        <v>280</v>
      </c>
      <c r="K111" s="276" t="s">
        <v>25</v>
      </c>
      <c r="L111" s="279" t="s">
        <v>26</v>
      </c>
      <c r="M111" s="277"/>
      <c r="N111" s="276"/>
    </row>
    <row r="112" spans="1:16" x14ac:dyDescent="0.2">
      <c r="A112" s="284">
        <v>109</v>
      </c>
      <c r="B112" s="284">
        <v>3273</v>
      </c>
      <c r="C112" s="285" t="s">
        <v>281</v>
      </c>
      <c r="D112" s="286">
        <v>597</v>
      </c>
      <c r="E112" s="287">
        <v>0.4</v>
      </c>
      <c r="F112" s="287">
        <f t="shared" si="2"/>
        <v>238.8</v>
      </c>
      <c r="G112" s="287">
        <f>F112</f>
        <v>238.8</v>
      </c>
      <c r="H112" s="287">
        <f t="shared" si="3"/>
        <v>0</v>
      </c>
      <c r="I112" s="284">
        <v>7047221</v>
      </c>
      <c r="J112" s="333" t="s">
        <v>282</v>
      </c>
      <c r="K112" s="290" t="s">
        <v>17</v>
      </c>
      <c r="L112" s="290" t="s">
        <v>18</v>
      </c>
      <c r="M112" s="284">
        <v>92152241</v>
      </c>
      <c r="N112" s="290" t="s">
        <v>716</v>
      </c>
    </row>
    <row r="113" spans="1:15" x14ac:dyDescent="0.2">
      <c r="A113" s="284">
        <v>110</v>
      </c>
      <c r="B113" s="284">
        <v>3277</v>
      </c>
      <c r="C113" s="285" t="s">
        <v>283</v>
      </c>
      <c r="D113" s="286">
        <v>505.2</v>
      </c>
      <c r="E113" s="287">
        <v>0.4</v>
      </c>
      <c r="F113" s="287">
        <f t="shared" si="2"/>
        <v>202.08</v>
      </c>
      <c r="G113" s="287">
        <f>F113</f>
        <v>202.08</v>
      </c>
      <c r="H113" s="287">
        <f t="shared" si="3"/>
        <v>0</v>
      </c>
      <c r="I113" s="284">
        <v>14277741</v>
      </c>
      <c r="J113" s="333" t="s">
        <v>284</v>
      </c>
      <c r="K113" s="301" t="s">
        <v>25</v>
      </c>
      <c r="L113" s="289" t="s">
        <v>26</v>
      </c>
      <c r="M113" s="284">
        <v>92160872</v>
      </c>
      <c r="N113" s="290" t="s">
        <v>890</v>
      </c>
    </row>
    <row r="114" spans="1:15" x14ac:dyDescent="0.2">
      <c r="A114" s="229">
        <v>111</v>
      </c>
      <c r="B114" s="229">
        <v>3278</v>
      </c>
      <c r="C114" s="231" t="s">
        <v>285</v>
      </c>
      <c r="D114" s="232">
        <v>172.6</v>
      </c>
      <c r="E114" s="233">
        <v>0.4</v>
      </c>
      <c r="F114" s="233">
        <f t="shared" si="2"/>
        <v>69.040000000000006</v>
      </c>
      <c r="G114" s="233"/>
      <c r="H114" s="233">
        <f t="shared" si="3"/>
        <v>69.040000000000006</v>
      </c>
      <c r="I114" s="229">
        <v>27713998</v>
      </c>
      <c r="J114" s="243" t="s">
        <v>286</v>
      </c>
      <c r="K114" s="244" t="s">
        <v>75</v>
      </c>
      <c r="L114" s="236" t="s">
        <v>76</v>
      </c>
      <c r="M114" s="229">
        <v>99257989</v>
      </c>
      <c r="N114" s="244"/>
    </row>
    <row r="115" spans="1:15" x14ac:dyDescent="0.2">
      <c r="A115" s="284">
        <v>112</v>
      </c>
      <c r="B115" s="284">
        <v>3279</v>
      </c>
      <c r="C115" s="285" t="s">
        <v>287</v>
      </c>
      <c r="D115" s="286">
        <v>1423.9</v>
      </c>
      <c r="E115" s="287">
        <v>0.4</v>
      </c>
      <c r="F115" s="287">
        <f t="shared" si="2"/>
        <v>569.56000000000006</v>
      </c>
      <c r="G115" s="287">
        <f>F115</f>
        <v>569.56000000000006</v>
      </c>
      <c r="H115" s="287">
        <f t="shared" si="3"/>
        <v>0</v>
      </c>
      <c r="I115" s="357">
        <v>20468811</v>
      </c>
      <c r="J115" s="289" t="s">
        <v>244</v>
      </c>
      <c r="K115" s="301" t="s">
        <v>25</v>
      </c>
      <c r="L115" s="289" t="s">
        <v>26</v>
      </c>
      <c r="M115" s="284"/>
      <c r="N115" s="290" t="s">
        <v>716</v>
      </c>
    </row>
    <row r="116" spans="1:15" s="269" customFormat="1" x14ac:dyDescent="0.2">
      <c r="A116" s="251">
        <v>113</v>
      </c>
      <c r="B116" s="251">
        <v>3280</v>
      </c>
      <c r="C116" s="252" t="s">
        <v>288</v>
      </c>
      <c r="D116" s="253">
        <v>592.9</v>
      </c>
      <c r="E116" s="254">
        <v>0.4</v>
      </c>
      <c r="F116" s="254">
        <f t="shared" si="2"/>
        <v>237.16</v>
      </c>
      <c r="G116" s="254">
        <f>236.85+0.31</f>
        <v>237.16</v>
      </c>
      <c r="H116" s="254">
        <f t="shared" si="3"/>
        <v>0</v>
      </c>
      <c r="I116" s="251">
        <v>25887523</v>
      </c>
      <c r="J116" s="262" t="s">
        <v>289</v>
      </c>
      <c r="K116" s="263" t="s">
        <v>290</v>
      </c>
      <c r="L116" s="256" t="s">
        <v>291</v>
      </c>
      <c r="M116" s="251">
        <v>91774010</v>
      </c>
      <c r="N116" s="258">
        <v>45645</v>
      </c>
      <c r="O116" s="281">
        <v>45671</v>
      </c>
    </row>
    <row r="117" spans="1:15" x14ac:dyDescent="0.2">
      <c r="A117" s="251">
        <v>114</v>
      </c>
      <c r="B117" s="251">
        <v>3281</v>
      </c>
      <c r="C117" s="252" t="s">
        <v>292</v>
      </c>
      <c r="D117" s="253">
        <v>621.4</v>
      </c>
      <c r="E117" s="254">
        <v>0.4</v>
      </c>
      <c r="F117" s="254">
        <f t="shared" si="2"/>
        <v>248.56</v>
      </c>
      <c r="G117" s="254">
        <f>247.7+0.86</f>
        <v>248.56</v>
      </c>
      <c r="H117" s="254">
        <f t="shared" si="3"/>
        <v>0</v>
      </c>
      <c r="I117" s="251">
        <v>1045575</v>
      </c>
      <c r="J117" s="262" t="s">
        <v>293</v>
      </c>
      <c r="K117" s="263" t="s">
        <v>134</v>
      </c>
      <c r="L117" s="256" t="s">
        <v>135</v>
      </c>
      <c r="M117" s="251">
        <v>99841917</v>
      </c>
      <c r="N117" s="258">
        <v>45658</v>
      </c>
      <c r="O117" s="338">
        <v>45685</v>
      </c>
    </row>
    <row r="118" spans="1:15" x14ac:dyDescent="0.2">
      <c r="A118" s="251">
        <v>115</v>
      </c>
      <c r="B118" s="251">
        <v>3286</v>
      </c>
      <c r="C118" s="252" t="s">
        <v>295</v>
      </c>
      <c r="D118" s="253">
        <v>435</v>
      </c>
      <c r="E118" s="254">
        <v>0.4</v>
      </c>
      <c r="F118" s="254">
        <f t="shared" si="2"/>
        <v>174</v>
      </c>
      <c r="G118" s="254">
        <f>173.61+0.39</f>
        <v>174</v>
      </c>
      <c r="H118" s="254">
        <f t="shared" si="3"/>
        <v>0</v>
      </c>
      <c r="I118" s="251">
        <v>23232841</v>
      </c>
      <c r="J118" s="262" t="s">
        <v>296</v>
      </c>
      <c r="K118" s="257" t="s">
        <v>25</v>
      </c>
      <c r="L118" s="256" t="s">
        <v>26</v>
      </c>
      <c r="M118" s="251"/>
      <c r="N118" s="258">
        <v>45677</v>
      </c>
      <c r="O118" s="281">
        <v>45691</v>
      </c>
    </row>
    <row r="119" spans="1:15" x14ac:dyDescent="0.2">
      <c r="A119" s="251">
        <v>116</v>
      </c>
      <c r="B119" s="251">
        <v>3287</v>
      </c>
      <c r="C119" s="252" t="s">
        <v>297</v>
      </c>
      <c r="D119" s="253">
        <v>535.70000000000005</v>
      </c>
      <c r="E119" s="254">
        <v>0.4</v>
      </c>
      <c r="F119" s="254">
        <f t="shared" si="2"/>
        <v>214.28000000000003</v>
      </c>
      <c r="G119" s="254">
        <f>213+1.28</f>
        <v>214.28</v>
      </c>
      <c r="H119" s="254">
        <f t="shared" si="3"/>
        <v>0</v>
      </c>
      <c r="I119" s="251">
        <v>6504554</v>
      </c>
      <c r="J119" s="262" t="s">
        <v>298</v>
      </c>
      <c r="K119" s="257" t="s">
        <v>25</v>
      </c>
      <c r="L119" s="256" t="s">
        <v>26</v>
      </c>
      <c r="M119" s="251">
        <v>95606029</v>
      </c>
      <c r="N119" s="258">
        <v>45663</v>
      </c>
      <c r="O119" s="281">
        <v>45677</v>
      </c>
    </row>
    <row r="120" spans="1:15" x14ac:dyDescent="0.2">
      <c r="A120" s="251">
        <v>117</v>
      </c>
      <c r="B120" s="251">
        <v>3288</v>
      </c>
      <c r="C120" s="252" t="s">
        <v>300</v>
      </c>
      <c r="D120" s="253">
        <v>535.6</v>
      </c>
      <c r="E120" s="254">
        <v>0.4</v>
      </c>
      <c r="F120" s="254">
        <f t="shared" si="2"/>
        <v>214.24</v>
      </c>
      <c r="G120" s="254">
        <f>210.58+3.66</f>
        <v>214.24</v>
      </c>
      <c r="H120" s="254">
        <f t="shared" si="3"/>
        <v>0</v>
      </c>
      <c r="I120" s="255">
        <v>1460824</v>
      </c>
      <c r="J120" s="256" t="s">
        <v>301</v>
      </c>
      <c r="K120" s="257" t="s">
        <v>302</v>
      </c>
      <c r="L120" s="256" t="s">
        <v>18</v>
      </c>
      <c r="M120" s="251"/>
      <c r="N120" s="358">
        <v>45658</v>
      </c>
      <c r="O120" s="338">
        <v>45691</v>
      </c>
    </row>
    <row r="121" spans="1:15" x14ac:dyDescent="0.2">
      <c r="A121" s="229">
        <v>118</v>
      </c>
      <c r="B121" s="229">
        <v>3291</v>
      </c>
      <c r="C121" s="231" t="s">
        <v>303</v>
      </c>
      <c r="D121" s="239">
        <v>772.6</v>
      </c>
      <c r="E121" s="233">
        <v>0.4</v>
      </c>
      <c r="F121" s="233">
        <f t="shared" si="2"/>
        <v>309.04000000000002</v>
      </c>
      <c r="G121" s="233"/>
      <c r="H121" s="233">
        <f t="shared" si="3"/>
        <v>309.04000000000002</v>
      </c>
      <c r="I121" s="229">
        <v>1974735</v>
      </c>
      <c r="J121" s="243" t="s">
        <v>304</v>
      </c>
      <c r="K121" s="236" t="s">
        <v>75</v>
      </c>
      <c r="L121" s="243" t="s">
        <v>76</v>
      </c>
      <c r="M121" s="229">
        <v>99085848</v>
      </c>
      <c r="N121" s="244"/>
    </row>
    <row r="122" spans="1:15" x14ac:dyDescent="0.2">
      <c r="A122" s="251">
        <v>119</v>
      </c>
      <c r="B122" s="251">
        <v>3292</v>
      </c>
      <c r="C122" s="252" t="s">
        <v>305</v>
      </c>
      <c r="D122" s="253">
        <v>790.3</v>
      </c>
      <c r="E122" s="254">
        <v>0.4</v>
      </c>
      <c r="F122" s="254">
        <f t="shared" si="2"/>
        <v>316.12</v>
      </c>
      <c r="G122" s="254">
        <f>312.45+3.67</f>
        <v>316.12</v>
      </c>
      <c r="H122" s="254">
        <f t="shared" si="3"/>
        <v>0</v>
      </c>
      <c r="I122" s="321">
        <v>13282353</v>
      </c>
      <c r="J122" s="322" t="s">
        <v>306</v>
      </c>
      <c r="K122" s="263" t="s">
        <v>17</v>
      </c>
      <c r="L122" s="322" t="s">
        <v>18</v>
      </c>
      <c r="M122" s="251"/>
      <c r="N122" s="258">
        <v>45658</v>
      </c>
      <c r="O122" s="338">
        <v>45691</v>
      </c>
    </row>
    <row r="123" spans="1:15" x14ac:dyDescent="0.2">
      <c r="A123" s="251">
        <v>120</v>
      </c>
      <c r="B123" s="251">
        <v>3293</v>
      </c>
      <c r="C123" s="252" t="s">
        <v>307</v>
      </c>
      <c r="D123" s="253">
        <v>243.7</v>
      </c>
      <c r="E123" s="254">
        <v>0.4</v>
      </c>
      <c r="F123" s="254">
        <f t="shared" si="2"/>
        <v>97.48</v>
      </c>
      <c r="G123" s="254">
        <f>93.29+4.19</f>
        <v>97.48</v>
      </c>
      <c r="H123" s="254">
        <f t="shared" si="3"/>
        <v>0</v>
      </c>
      <c r="I123" s="251">
        <v>4048259</v>
      </c>
      <c r="J123" s="256" t="s">
        <v>308</v>
      </c>
      <c r="K123" s="263" t="s">
        <v>75</v>
      </c>
      <c r="L123" s="256" t="s">
        <v>76</v>
      </c>
      <c r="M123" s="251">
        <v>92970078</v>
      </c>
      <c r="N123" s="258">
        <v>45658</v>
      </c>
      <c r="O123" s="338">
        <v>45691</v>
      </c>
    </row>
    <row r="124" spans="1:15" x14ac:dyDescent="0.2">
      <c r="A124" s="251">
        <v>121</v>
      </c>
      <c r="B124" s="251">
        <v>3294</v>
      </c>
      <c r="C124" s="252" t="s">
        <v>309</v>
      </c>
      <c r="D124" s="253">
        <v>526</v>
      </c>
      <c r="E124" s="254">
        <v>0.4</v>
      </c>
      <c r="F124" s="254">
        <f t="shared" si="2"/>
        <v>210.4</v>
      </c>
      <c r="G124" s="254">
        <f>206+4.4</f>
        <v>210.4</v>
      </c>
      <c r="H124" s="254">
        <f t="shared" si="3"/>
        <v>0</v>
      </c>
      <c r="I124" s="251">
        <v>19263029</v>
      </c>
      <c r="J124" s="262" t="s">
        <v>310</v>
      </c>
      <c r="K124" s="257" t="s">
        <v>25</v>
      </c>
      <c r="L124" s="256" t="s">
        <v>26</v>
      </c>
      <c r="M124" s="251">
        <v>92387034</v>
      </c>
      <c r="N124" s="258">
        <v>45658</v>
      </c>
      <c r="O124" s="338">
        <v>45685</v>
      </c>
    </row>
    <row r="125" spans="1:15" x14ac:dyDescent="0.2">
      <c r="A125" s="229">
        <v>122</v>
      </c>
      <c r="B125" s="229">
        <v>3295</v>
      </c>
      <c r="C125" s="231" t="s">
        <v>311</v>
      </c>
      <c r="D125" s="232">
        <v>312</v>
      </c>
      <c r="E125" s="233">
        <v>0.4</v>
      </c>
      <c r="F125" s="233">
        <f t="shared" si="2"/>
        <v>124.80000000000001</v>
      </c>
      <c r="G125" s="233"/>
      <c r="H125" s="233">
        <f t="shared" si="3"/>
        <v>124.80000000000001</v>
      </c>
      <c r="I125" s="229">
        <v>20378353</v>
      </c>
      <c r="J125" s="243" t="s">
        <v>312</v>
      </c>
      <c r="K125" s="244" t="s">
        <v>17</v>
      </c>
      <c r="L125" s="244" t="s">
        <v>18</v>
      </c>
      <c r="M125" s="229">
        <v>99489171</v>
      </c>
      <c r="N125" s="244"/>
    </row>
    <row r="126" spans="1:15" s="269" customFormat="1" x14ac:dyDescent="0.2">
      <c r="A126" s="251">
        <v>123</v>
      </c>
      <c r="B126" s="251">
        <v>3297</v>
      </c>
      <c r="C126" s="252" t="s">
        <v>313</v>
      </c>
      <c r="D126" s="253">
        <v>235.9</v>
      </c>
      <c r="E126" s="254">
        <v>0.4</v>
      </c>
      <c r="F126" s="254">
        <f t="shared" si="2"/>
        <v>94.360000000000014</v>
      </c>
      <c r="G126" s="254">
        <f>92.79</f>
        <v>92.79</v>
      </c>
      <c r="H126" s="254">
        <f t="shared" si="3"/>
        <v>1.5700000000000074</v>
      </c>
      <c r="I126" s="251">
        <v>5359682</v>
      </c>
      <c r="J126" s="236" t="s">
        <v>314</v>
      </c>
      <c r="K126" s="244" t="s">
        <v>25</v>
      </c>
      <c r="L126" s="244" t="s">
        <v>26</v>
      </c>
      <c r="M126" s="251">
        <v>93240442</v>
      </c>
      <c r="N126" s="258">
        <v>45691</v>
      </c>
      <c r="O126" s="351" t="s">
        <v>719</v>
      </c>
    </row>
    <row r="127" spans="1:15" x14ac:dyDescent="0.2">
      <c r="A127" s="229">
        <v>124</v>
      </c>
      <c r="B127" s="229">
        <v>3298</v>
      </c>
      <c r="C127" s="231" t="s">
        <v>315</v>
      </c>
      <c r="D127" s="239">
        <v>439.9</v>
      </c>
      <c r="E127" s="233">
        <v>0.4</v>
      </c>
      <c r="F127" s="233">
        <f t="shared" si="2"/>
        <v>175.96</v>
      </c>
      <c r="G127" s="233"/>
      <c r="H127" s="233">
        <f t="shared" si="3"/>
        <v>175.96</v>
      </c>
      <c r="I127" s="240">
        <v>6160236</v>
      </c>
      <c r="J127" s="260" t="s">
        <v>316</v>
      </c>
      <c r="K127" s="238" t="s">
        <v>25</v>
      </c>
      <c r="L127" s="260" t="s">
        <v>26</v>
      </c>
      <c r="M127" s="229"/>
      <c r="N127" s="244"/>
    </row>
    <row r="128" spans="1:15" x14ac:dyDescent="0.2">
      <c r="A128" s="284">
        <v>125</v>
      </c>
      <c r="B128" s="284">
        <v>3302</v>
      </c>
      <c r="C128" s="285" t="s">
        <v>317</v>
      </c>
      <c r="D128" s="286">
        <v>528.4</v>
      </c>
      <c r="E128" s="287">
        <v>0.4</v>
      </c>
      <c r="F128" s="287">
        <f t="shared" si="2"/>
        <v>211.36</v>
      </c>
      <c r="G128" s="287">
        <f>F128</f>
        <v>211.36</v>
      </c>
      <c r="H128" s="287">
        <f t="shared" si="3"/>
        <v>0</v>
      </c>
      <c r="I128" s="284">
        <v>71004483</v>
      </c>
      <c r="J128" s="359" t="s">
        <v>318</v>
      </c>
      <c r="K128" s="301" t="s">
        <v>25</v>
      </c>
      <c r="L128" s="289" t="s">
        <v>26</v>
      </c>
      <c r="M128" s="284">
        <v>92557761</v>
      </c>
      <c r="N128" s="291">
        <v>45664</v>
      </c>
    </row>
    <row r="129" spans="1:15" x14ac:dyDescent="0.2">
      <c r="A129" s="360">
        <v>126</v>
      </c>
      <c r="B129" s="360">
        <v>3303</v>
      </c>
      <c r="C129" s="361" t="s">
        <v>319</v>
      </c>
      <c r="D129" s="362">
        <v>403.9</v>
      </c>
      <c r="E129" s="363">
        <v>0.4</v>
      </c>
      <c r="F129" s="363">
        <f t="shared" si="2"/>
        <v>161.56</v>
      </c>
      <c r="G129" s="363">
        <f>F129</f>
        <v>161.56</v>
      </c>
      <c r="H129" s="363">
        <f t="shared" si="3"/>
        <v>0</v>
      </c>
      <c r="I129" s="364">
        <v>3172781</v>
      </c>
      <c r="J129" s="365" t="s">
        <v>320</v>
      </c>
      <c r="K129" s="366" t="s">
        <v>17</v>
      </c>
      <c r="L129" s="367" t="s">
        <v>18</v>
      </c>
      <c r="M129" s="360">
        <v>99282770</v>
      </c>
      <c r="N129" s="361" t="s">
        <v>863</v>
      </c>
    </row>
    <row r="130" spans="1:15" x14ac:dyDescent="0.2">
      <c r="A130" s="360">
        <v>127</v>
      </c>
      <c r="B130" s="360">
        <v>3309</v>
      </c>
      <c r="C130" s="361" t="s">
        <v>321</v>
      </c>
      <c r="D130" s="362">
        <v>209.5</v>
      </c>
      <c r="E130" s="363">
        <v>0.4</v>
      </c>
      <c r="F130" s="363">
        <f t="shared" si="2"/>
        <v>83.800000000000011</v>
      </c>
      <c r="G130" s="363">
        <f>F130</f>
        <v>83.800000000000011</v>
      </c>
      <c r="H130" s="363">
        <f t="shared" si="3"/>
        <v>0</v>
      </c>
      <c r="I130" s="364">
        <v>21453611</v>
      </c>
      <c r="J130" s="365" t="s">
        <v>322</v>
      </c>
      <c r="K130" s="366" t="s">
        <v>25</v>
      </c>
      <c r="L130" s="367" t="s">
        <v>26</v>
      </c>
      <c r="M130" s="360">
        <v>93389969</v>
      </c>
      <c r="N130" s="361" t="s">
        <v>848</v>
      </c>
    </row>
    <row r="131" spans="1:15" x14ac:dyDescent="0.2">
      <c r="A131" s="229">
        <v>128</v>
      </c>
      <c r="B131" s="229">
        <v>3311</v>
      </c>
      <c r="C131" s="231" t="s">
        <v>323</v>
      </c>
      <c r="D131" s="232">
        <v>550.4</v>
      </c>
      <c r="E131" s="233">
        <v>0.4</v>
      </c>
      <c r="F131" s="233">
        <f t="shared" si="2"/>
        <v>220.16</v>
      </c>
      <c r="G131" s="233"/>
      <c r="H131" s="233">
        <f t="shared" si="3"/>
        <v>220.16</v>
      </c>
      <c r="I131" s="229" t="s">
        <v>324</v>
      </c>
      <c r="J131" s="243" t="s">
        <v>325</v>
      </c>
      <c r="K131" s="238" t="s">
        <v>326</v>
      </c>
      <c r="L131" s="243" t="s">
        <v>327</v>
      </c>
      <c r="M131" s="229">
        <v>92817378</v>
      </c>
      <c r="N131" s="244"/>
    </row>
    <row r="132" spans="1:15" x14ac:dyDescent="0.2">
      <c r="A132" s="251">
        <v>129</v>
      </c>
      <c r="B132" s="251">
        <v>3312</v>
      </c>
      <c r="C132" s="252" t="s">
        <v>328</v>
      </c>
      <c r="D132" s="253">
        <v>613</v>
      </c>
      <c r="E132" s="254">
        <v>0.4</v>
      </c>
      <c r="F132" s="254">
        <f t="shared" ref="F132:F195" si="4">E132*D132</f>
        <v>245.20000000000002</v>
      </c>
      <c r="G132" s="254">
        <f>242.4+2.8</f>
        <v>245.20000000000002</v>
      </c>
      <c r="H132" s="254">
        <f t="shared" ref="H132:H195" si="5">F132-G132</f>
        <v>0</v>
      </c>
      <c r="I132" s="251">
        <v>881326</v>
      </c>
      <c r="J132" s="262" t="s">
        <v>329</v>
      </c>
      <c r="K132" s="263" t="s">
        <v>121</v>
      </c>
      <c r="L132" s="263" t="s">
        <v>122</v>
      </c>
      <c r="M132" s="251">
        <v>99481799</v>
      </c>
      <c r="N132" s="258">
        <v>45664</v>
      </c>
      <c r="O132" s="338">
        <v>45660</v>
      </c>
    </row>
    <row r="133" spans="1:15" x14ac:dyDescent="0.2">
      <c r="A133" s="251">
        <v>130</v>
      </c>
      <c r="B133" s="251">
        <v>3314</v>
      </c>
      <c r="C133" s="252" t="s">
        <v>330</v>
      </c>
      <c r="D133" s="253">
        <v>481.2</v>
      </c>
      <c r="E133" s="254">
        <v>0.4</v>
      </c>
      <c r="F133" s="254">
        <f t="shared" si="4"/>
        <v>192.48000000000002</v>
      </c>
      <c r="G133" s="254">
        <f>F133</f>
        <v>192.48000000000002</v>
      </c>
      <c r="H133" s="254">
        <f t="shared" si="5"/>
        <v>0</v>
      </c>
      <c r="I133" s="251">
        <v>766893</v>
      </c>
      <c r="J133" s="262" t="s">
        <v>331</v>
      </c>
      <c r="K133" s="257" t="s">
        <v>25</v>
      </c>
      <c r="L133" s="256" t="s">
        <v>26</v>
      </c>
      <c r="M133" s="251">
        <v>99257989</v>
      </c>
      <c r="N133" s="258">
        <v>45691</v>
      </c>
    </row>
    <row r="134" spans="1:15" s="398" customFormat="1" x14ac:dyDescent="0.2">
      <c r="A134" s="392">
        <v>131</v>
      </c>
      <c r="B134" s="392">
        <v>3315</v>
      </c>
      <c r="C134" s="393" t="s">
        <v>333</v>
      </c>
      <c r="D134" s="394">
        <v>157.6</v>
      </c>
      <c r="E134" s="395">
        <v>0.4</v>
      </c>
      <c r="F134" s="395">
        <f t="shared" si="4"/>
        <v>63.04</v>
      </c>
      <c r="G134" s="395">
        <f>F134</f>
        <v>63.04</v>
      </c>
      <c r="H134" s="395">
        <f t="shared" si="5"/>
        <v>0</v>
      </c>
      <c r="I134" s="392">
        <v>23957422</v>
      </c>
      <c r="J134" s="407" t="s">
        <v>334</v>
      </c>
      <c r="K134" s="397" t="s">
        <v>25</v>
      </c>
      <c r="L134" s="408" t="s">
        <v>26</v>
      </c>
      <c r="M134" s="392">
        <v>99601665</v>
      </c>
      <c r="N134" s="397" t="s">
        <v>866</v>
      </c>
      <c r="O134" s="409"/>
    </row>
    <row r="135" spans="1:15" x14ac:dyDescent="0.2">
      <c r="A135" s="360">
        <v>132</v>
      </c>
      <c r="B135" s="360">
        <v>3316</v>
      </c>
      <c r="C135" s="361" t="s">
        <v>335</v>
      </c>
      <c r="D135" s="362">
        <v>191.5</v>
      </c>
      <c r="E135" s="363">
        <v>0.4</v>
      </c>
      <c r="F135" s="363">
        <f t="shared" si="4"/>
        <v>76.600000000000009</v>
      </c>
      <c r="G135" s="363">
        <f>F135</f>
        <v>76.600000000000009</v>
      </c>
      <c r="H135" s="363">
        <f t="shared" si="5"/>
        <v>0</v>
      </c>
      <c r="I135" s="360">
        <v>26159748</v>
      </c>
      <c r="J135" s="367" t="s">
        <v>336</v>
      </c>
      <c r="K135" s="369" t="s">
        <v>25</v>
      </c>
      <c r="L135" s="370" t="s">
        <v>26</v>
      </c>
      <c r="M135" s="360">
        <v>99601665</v>
      </c>
      <c r="N135" s="368" t="s">
        <v>848</v>
      </c>
    </row>
    <row r="136" spans="1:15" x14ac:dyDescent="0.2">
      <c r="A136" s="229">
        <v>133</v>
      </c>
      <c r="B136" s="229">
        <v>3320</v>
      </c>
      <c r="C136" s="231" t="s">
        <v>337</v>
      </c>
      <c r="D136" s="232">
        <v>345</v>
      </c>
      <c r="E136" s="233">
        <v>0.4</v>
      </c>
      <c r="F136" s="233">
        <f t="shared" si="4"/>
        <v>138</v>
      </c>
      <c r="G136" s="233"/>
      <c r="H136" s="233">
        <f t="shared" si="5"/>
        <v>138</v>
      </c>
      <c r="I136" s="229">
        <v>2096234</v>
      </c>
      <c r="J136" s="243" t="s">
        <v>338</v>
      </c>
      <c r="K136" s="235" t="s">
        <v>25</v>
      </c>
      <c r="L136" s="236" t="s">
        <v>26</v>
      </c>
      <c r="M136" s="229">
        <v>99495933</v>
      </c>
      <c r="N136" s="244"/>
    </row>
    <row r="137" spans="1:15" x14ac:dyDescent="0.2">
      <c r="A137" s="229">
        <v>134</v>
      </c>
      <c r="B137" s="229">
        <v>3321</v>
      </c>
      <c r="C137" s="231" t="s">
        <v>339</v>
      </c>
      <c r="D137" s="232">
        <v>230</v>
      </c>
      <c r="E137" s="233">
        <v>0.4</v>
      </c>
      <c r="F137" s="233">
        <f t="shared" si="4"/>
        <v>92</v>
      </c>
      <c r="G137" s="233"/>
      <c r="H137" s="233">
        <f t="shared" si="5"/>
        <v>92</v>
      </c>
      <c r="I137" s="229">
        <v>10721505</v>
      </c>
      <c r="J137" s="243" t="s">
        <v>340</v>
      </c>
      <c r="K137" s="235" t="s">
        <v>25</v>
      </c>
      <c r="L137" s="236" t="s">
        <v>26</v>
      </c>
      <c r="M137" s="229">
        <v>93955800</v>
      </c>
      <c r="N137" s="244"/>
      <c r="O137" s="329" t="s">
        <v>845</v>
      </c>
    </row>
    <row r="138" spans="1:15" x14ac:dyDescent="0.2">
      <c r="A138" s="229">
        <v>135</v>
      </c>
      <c r="B138" s="229">
        <v>3322</v>
      </c>
      <c r="C138" s="231" t="s">
        <v>341</v>
      </c>
      <c r="D138" s="232">
        <v>582</v>
      </c>
      <c r="E138" s="233">
        <v>0.4</v>
      </c>
      <c r="F138" s="233">
        <f t="shared" si="4"/>
        <v>232.8</v>
      </c>
      <c r="G138" s="233"/>
      <c r="H138" s="233">
        <f t="shared" si="5"/>
        <v>232.8</v>
      </c>
      <c r="I138" s="229">
        <v>6047858</v>
      </c>
      <c r="J138" s="243" t="s">
        <v>342</v>
      </c>
      <c r="K138" s="244" t="s">
        <v>43</v>
      </c>
      <c r="L138" s="236" t="s">
        <v>44</v>
      </c>
      <c r="M138" s="229"/>
      <c r="N138" s="244"/>
    </row>
    <row r="139" spans="1:15" x14ac:dyDescent="0.2">
      <c r="A139" s="251">
        <v>136</v>
      </c>
      <c r="B139" s="251">
        <v>3325</v>
      </c>
      <c r="C139" s="252" t="s">
        <v>153</v>
      </c>
      <c r="D139" s="253">
        <v>184.8</v>
      </c>
      <c r="E139" s="254">
        <v>0.4</v>
      </c>
      <c r="F139" s="254">
        <f t="shared" si="4"/>
        <v>73.92</v>
      </c>
      <c r="G139" s="254">
        <f>69.72+4.2</f>
        <v>73.92</v>
      </c>
      <c r="H139" s="254">
        <f t="shared" si="5"/>
        <v>0</v>
      </c>
      <c r="I139" s="251">
        <v>21849398</v>
      </c>
      <c r="J139" s="262" t="s">
        <v>343</v>
      </c>
      <c r="K139" s="257" t="s">
        <v>25</v>
      </c>
      <c r="L139" s="256" t="s">
        <v>26</v>
      </c>
      <c r="M139" s="251">
        <v>93233323</v>
      </c>
      <c r="N139" s="258">
        <v>45670</v>
      </c>
      <c r="O139" s="338">
        <v>45685</v>
      </c>
    </row>
    <row r="140" spans="1:15" x14ac:dyDescent="0.2">
      <c r="A140" s="251">
        <v>137</v>
      </c>
      <c r="B140" s="251">
        <v>3326</v>
      </c>
      <c r="C140" s="252" t="s">
        <v>344</v>
      </c>
      <c r="D140" s="253">
        <v>726.9</v>
      </c>
      <c r="E140" s="254">
        <v>0.4</v>
      </c>
      <c r="F140" s="254">
        <f t="shared" si="4"/>
        <v>290.76</v>
      </c>
      <c r="G140" s="254">
        <f>287.06+3.7</f>
        <v>290.76</v>
      </c>
      <c r="H140" s="254">
        <f t="shared" si="5"/>
        <v>0</v>
      </c>
      <c r="I140" s="251">
        <v>1466865</v>
      </c>
      <c r="J140" s="262" t="s">
        <v>345</v>
      </c>
      <c r="K140" s="263" t="s">
        <v>17</v>
      </c>
      <c r="L140" s="263" t="s">
        <v>18</v>
      </c>
      <c r="M140" s="251"/>
      <c r="N140" s="258">
        <v>45658</v>
      </c>
      <c r="O140" s="338">
        <v>45691</v>
      </c>
    </row>
    <row r="141" spans="1:15" x14ac:dyDescent="0.2">
      <c r="A141" s="251">
        <v>138</v>
      </c>
      <c r="B141" s="251">
        <v>3328</v>
      </c>
      <c r="C141" s="252" t="s">
        <v>346</v>
      </c>
      <c r="D141" s="253">
        <v>625.5</v>
      </c>
      <c r="E141" s="254">
        <v>0.4</v>
      </c>
      <c r="F141" s="254">
        <f t="shared" si="4"/>
        <v>250.20000000000002</v>
      </c>
      <c r="G141" s="254">
        <f>248.71+1.49</f>
        <v>250.20000000000002</v>
      </c>
      <c r="H141" s="254">
        <f t="shared" si="5"/>
        <v>0</v>
      </c>
      <c r="I141" s="251">
        <v>1934204</v>
      </c>
      <c r="J141" s="256" t="s">
        <v>347</v>
      </c>
      <c r="K141" s="257" t="s">
        <v>25</v>
      </c>
      <c r="L141" s="256" t="s">
        <v>26</v>
      </c>
      <c r="M141" s="251"/>
      <c r="N141" s="258">
        <v>45658</v>
      </c>
      <c r="O141" s="338">
        <v>45691</v>
      </c>
    </row>
    <row r="142" spans="1:15" x14ac:dyDescent="0.2">
      <c r="A142" s="251">
        <v>139</v>
      </c>
      <c r="B142" s="251">
        <v>3329</v>
      </c>
      <c r="C142" s="252" t="s">
        <v>348</v>
      </c>
      <c r="D142" s="253">
        <v>346</v>
      </c>
      <c r="E142" s="254">
        <v>0.4</v>
      </c>
      <c r="F142" s="254">
        <f t="shared" si="4"/>
        <v>138.4</v>
      </c>
      <c r="G142" s="254">
        <f>137.55+0.85</f>
        <v>138.4</v>
      </c>
      <c r="H142" s="254">
        <f t="shared" si="5"/>
        <v>0</v>
      </c>
      <c r="I142" s="251">
        <v>9086292</v>
      </c>
      <c r="J142" s="256" t="s">
        <v>349</v>
      </c>
      <c r="K142" s="263" t="s">
        <v>75</v>
      </c>
      <c r="L142" s="256" t="s">
        <v>76</v>
      </c>
      <c r="M142" s="251">
        <v>95976260</v>
      </c>
      <c r="N142" s="258">
        <v>45662</v>
      </c>
      <c r="O142" s="338">
        <v>45691</v>
      </c>
    </row>
    <row r="143" spans="1:15" s="292" customFormat="1" ht="9.75" customHeight="1" x14ac:dyDescent="0.2">
      <c r="A143" s="284">
        <v>140</v>
      </c>
      <c r="B143" s="284">
        <v>3331</v>
      </c>
      <c r="C143" s="285" t="s">
        <v>350</v>
      </c>
      <c r="D143" s="286">
        <v>622.1</v>
      </c>
      <c r="E143" s="287">
        <v>0.4</v>
      </c>
      <c r="F143" s="287">
        <f t="shared" si="4"/>
        <v>248.84000000000003</v>
      </c>
      <c r="G143" s="287">
        <f>F143</f>
        <v>248.84000000000003</v>
      </c>
      <c r="H143" s="287">
        <f t="shared" si="5"/>
        <v>0</v>
      </c>
      <c r="I143" s="284">
        <v>18048861</v>
      </c>
      <c r="J143" s="333" t="s">
        <v>351</v>
      </c>
      <c r="K143" s="290" t="s">
        <v>352</v>
      </c>
      <c r="L143" s="289" t="s">
        <v>129</v>
      </c>
      <c r="M143" s="284"/>
      <c r="N143" s="291">
        <v>45693</v>
      </c>
      <c r="O143" s="383"/>
    </row>
    <row r="144" spans="1:15" x14ac:dyDescent="0.2">
      <c r="A144" s="229">
        <v>141</v>
      </c>
      <c r="B144" s="229">
        <v>3332</v>
      </c>
      <c r="C144" s="231" t="s">
        <v>721</v>
      </c>
      <c r="D144" s="232">
        <v>124.7</v>
      </c>
      <c r="E144" s="233">
        <v>0.4</v>
      </c>
      <c r="F144" s="233">
        <f t="shared" si="4"/>
        <v>49.88</v>
      </c>
      <c r="G144" s="233"/>
      <c r="H144" s="233">
        <f t="shared" si="5"/>
        <v>49.88</v>
      </c>
      <c r="I144" s="229">
        <v>1320775</v>
      </c>
      <c r="J144" s="243"/>
      <c r="K144" s="244"/>
      <c r="L144" s="236"/>
      <c r="M144" s="229">
        <v>99490105</v>
      </c>
      <c r="N144" s="244"/>
    </row>
    <row r="145" spans="1:16" x14ac:dyDescent="0.2">
      <c r="A145" s="229">
        <v>142</v>
      </c>
      <c r="B145" s="229">
        <v>3334</v>
      </c>
      <c r="C145" s="231" t="s">
        <v>353</v>
      </c>
      <c r="D145" s="232">
        <v>460</v>
      </c>
      <c r="E145" s="233">
        <v>0.4</v>
      </c>
      <c r="F145" s="233">
        <f t="shared" si="4"/>
        <v>184</v>
      </c>
      <c r="G145" s="233"/>
      <c r="H145" s="233">
        <f t="shared" si="5"/>
        <v>184</v>
      </c>
      <c r="I145" s="229">
        <v>1176211</v>
      </c>
      <c r="J145" s="243" t="s">
        <v>354</v>
      </c>
      <c r="K145" s="244" t="s">
        <v>17</v>
      </c>
      <c r="L145" s="244" t="s">
        <v>18</v>
      </c>
      <c r="M145" s="229">
        <v>99480111</v>
      </c>
      <c r="N145" s="244"/>
    </row>
    <row r="146" spans="1:16" x14ac:dyDescent="0.2">
      <c r="A146" s="229">
        <v>143</v>
      </c>
      <c r="B146" s="229">
        <v>3335</v>
      </c>
      <c r="C146" s="231" t="s">
        <v>355</v>
      </c>
      <c r="D146" s="232">
        <v>264.60000000000002</v>
      </c>
      <c r="E146" s="233">
        <v>0.4</v>
      </c>
      <c r="F146" s="233">
        <f t="shared" si="4"/>
        <v>105.84000000000002</v>
      </c>
      <c r="G146" s="233"/>
      <c r="H146" s="233">
        <f t="shared" si="5"/>
        <v>105.84000000000002</v>
      </c>
      <c r="I146" s="229">
        <v>2022545</v>
      </c>
      <c r="J146" s="243" t="s">
        <v>356</v>
      </c>
      <c r="K146" s="235" t="s">
        <v>25</v>
      </c>
      <c r="L146" s="236" t="s">
        <v>26</v>
      </c>
      <c r="M146" s="229">
        <v>99489989</v>
      </c>
      <c r="N146" s="244"/>
    </row>
    <row r="147" spans="1:16" x14ac:dyDescent="0.2">
      <c r="A147" s="251">
        <v>144</v>
      </c>
      <c r="B147" s="251">
        <v>3336</v>
      </c>
      <c r="C147" s="252" t="s">
        <v>357</v>
      </c>
      <c r="D147" s="253">
        <v>318.7</v>
      </c>
      <c r="E147" s="254">
        <v>0.4</v>
      </c>
      <c r="F147" s="254">
        <f t="shared" si="4"/>
        <v>127.48</v>
      </c>
      <c r="G147" s="254">
        <f>125.21+2.27</f>
        <v>127.47999999999999</v>
      </c>
      <c r="H147" s="254">
        <f t="shared" si="5"/>
        <v>0</v>
      </c>
      <c r="I147" s="251">
        <v>905756</v>
      </c>
      <c r="J147" s="262" t="s">
        <v>358</v>
      </c>
      <c r="K147" s="257" t="s">
        <v>25</v>
      </c>
      <c r="L147" s="256" t="s">
        <v>26</v>
      </c>
      <c r="M147" s="251">
        <v>92321799</v>
      </c>
      <c r="N147" s="258">
        <v>45670</v>
      </c>
      <c r="O147" s="338">
        <v>45779</v>
      </c>
    </row>
    <row r="148" spans="1:16" x14ac:dyDescent="0.2">
      <c r="A148" s="229">
        <v>145</v>
      </c>
      <c r="B148" s="229">
        <v>3337</v>
      </c>
      <c r="C148" s="231" t="s">
        <v>359</v>
      </c>
      <c r="D148" s="232">
        <v>259.39999999999998</v>
      </c>
      <c r="E148" s="233">
        <v>0.4</v>
      </c>
      <c r="F148" s="233">
        <f t="shared" si="4"/>
        <v>103.75999999999999</v>
      </c>
      <c r="G148" s="233"/>
      <c r="H148" s="233">
        <f t="shared" si="5"/>
        <v>103.75999999999999</v>
      </c>
      <c r="I148" s="229">
        <v>19344361</v>
      </c>
      <c r="J148" s="243" t="s">
        <v>360</v>
      </c>
      <c r="K148" s="235" t="s">
        <v>25</v>
      </c>
      <c r="L148" s="236" t="s">
        <v>26</v>
      </c>
      <c r="M148" s="229"/>
      <c r="N148" s="244"/>
    </row>
    <row r="149" spans="1:16" x14ac:dyDescent="0.2">
      <c r="A149" s="251">
        <v>146</v>
      </c>
      <c r="B149" s="251">
        <v>3338</v>
      </c>
      <c r="C149" s="252" t="s">
        <v>361</v>
      </c>
      <c r="D149" s="253">
        <v>378.8</v>
      </c>
      <c r="E149" s="254">
        <v>0.4</v>
      </c>
      <c r="F149" s="254">
        <f t="shared" si="4"/>
        <v>151.52000000000001</v>
      </c>
      <c r="G149" s="254">
        <f>93.6+53.35+4.57</f>
        <v>151.51999999999998</v>
      </c>
      <c r="H149" s="254">
        <f t="shared" si="5"/>
        <v>0</v>
      </c>
      <c r="I149" s="251">
        <v>1078791</v>
      </c>
      <c r="J149" s="262" t="s">
        <v>362</v>
      </c>
      <c r="K149" s="263" t="s">
        <v>17</v>
      </c>
      <c r="L149" s="263" t="s">
        <v>18</v>
      </c>
      <c r="M149" s="251"/>
      <c r="N149" s="258">
        <v>45658</v>
      </c>
      <c r="O149" s="338">
        <v>45670</v>
      </c>
      <c r="P149" s="294">
        <v>45691</v>
      </c>
    </row>
    <row r="150" spans="1:16" x14ac:dyDescent="0.2">
      <c r="A150" s="229">
        <v>147</v>
      </c>
      <c r="B150" s="229">
        <v>3340</v>
      </c>
      <c r="C150" s="231" t="s">
        <v>363</v>
      </c>
      <c r="D150" s="232">
        <v>298.8</v>
      </c>
      <c r="E150" s="233">
        <v>0.4</v>
      </c>
      <c r="F150" s="233">
        <f t="shared" si="4"/>
        <v>119.52000000000001</v>
      </c>
      <c r="G150" s="233"/>
      <c r="H150" s="233">
        <f t="shared" si="5"/>
        <v>119.52000000000001</v>
      </c>
      <c r="I150" s="229">
        <v>906355</v>
      </c>
      <c r="J150" s="243" t="s">
        <v>364</v>
      </c>
      <c r="K150" s="235" t="s">
        <v>25</v>
      </c>
      <c r="L150" s="236" t="s">
        <v>26</v>
      </c>
      <c r="M150" s="229">
        <v>95333933</v>
      </c>
      <c r="N150" s="244"/>
    </row>
    <row r="151" spans="1:16" x14ac:dyDescent="0.2">
      <c r="A151" s="251">
        <v>148</v>
      </c>
      <c r="B151" s="251">
        <v>3342</v>
      </c>
      <c r="C151" s="252" t="s">
        <v>366</v>
      </c>
      <c r="D151" s="253">
        <v>245.1</v>
      </c>
      <c r="E151" s="254">
        <v>0.4</v>
      </c>
      <c r="F151" s="254">
        <f t="shared" si="4"/>
        <v>98.04</v>
      </c>
      <c r="G151" s="254">
        <f>94.95+3.09</f>
        <v>98.04</v>
      </c>
      <c r="H151" s="254">
        <f t="shared" si="5"/>
        <v>0</v>
      </c>
      <c r="I151" s="251">
        <v>1779485</v>
      </c>
      <c r="J151" s="262" t="s">
        <v>367</v>
      </c>
      <c r="K151" s="263" t="s">
        <v>17</v>
      </c>
      <c r="L151" s="263" t="s">
        <v>18</v>
      </c>
      <c r="M151" s="251"/>
      <c r="N151" s="258">
        <v>45658</v>
      </c>
      <c r="O151" s="338">
        <v>45691</v>
      </c>
    </row>
    <row r="152" spans="1:16" x14ac:dyDescent="0.2">
      <c r="A152" s="251">
        <v>149</v>
      </c>
      <c r="B152" s="251">
        <v>3346</v>
      </c>
      <c r="C152" s="252" t="s">
        <v>368</v>
      </c>
      <c r="D152" s="253">
        <v>405.2</v>
      </c>
      <c r="E152" s="254">
        <v>0.4</v>
      </c>
      <c r="F152" s="254">
        <f t="shared" si="4"/>
        <v>162.08000000000001</v>
      </c>
      <c r="G152" s="254">
        <f>157.59+4.49</f>
        <v>162.08000000000001</v>
      </c>
      <c r="H152" s="254">
        <f t="shared" si="5"/>
        <v>0</v>
      </c>
      <c r="I152" s="251">
        <v>1586848</v>
      </c>
      <c r="J152" s="262" t="s">
        <v>369</v>
      </c>
      <c r="K152" s="263" t="s">
        <v>166</v>
      </c>
      <c r="L152" s="263" t="s">
        <v>129</v>
      </c>
      <c r="M152" s="251">
        <v>92930610</v>
      </c>
      <c r="N152" s="258">
        <v>45658</v>
      </c>
      <c r="O152" s="281">
        <v>45677</v>
      </c>
    </row>
    <row r="153" spans="1:16" s="269" customFormat="1" x14ac:dyDescent="0.2">
      <c r="A153" s="251">
        <v>150</v>
      </c>
      <c r="B153" s="251">
        <v>3700</v>
      </c>
      <c r="C153" s="252" t="s">
        <v>27</v>
      </c>
      <c r="D153" s="253">
        <v>870.1</v>
      </c>
      <c r="E153" s="254">
        <v>0.4</v>
      </c>
      <c r="F153" s="254">
        <f t="shared" si="4"/>
        <v>348.04</v>
      </c>
      <c r="G153" s="254">
        <f>343.49+4.55</f>
        <v>348.04</v>
      </c>
      <c r="H153" s="254">
        <f t="shared" si="5"/>
        <v>0</v>
      </c>
      <c r="I153" s="251">
        <v>19729836</v>
      </c>
      <c r="J153" s="256" t="s">
        <v>28</v>
      </c>
      <c r="K153" s="257" t="s">
        <v>25</v>
      </c>
      <c r="L153" s="263" t="s">
        <v>26</v>
      </c>
      <c r="M153" s="251">
        <v>99633838</v>
      </c>
      <c r="N153" s="258">
        <v>45644</v>
      </c>
      <c r="O153" s="281">
        <v>45671</v>
      </c>
    </row>
    <row r="154" spans="1:16" x14ac:dyDescent="0.2">
      <c r="A154" s="251">
        <v>151</v>
      </c>
      <c r="B154" s="251">
        <v>3702</v>
      </c>
      <c r="C154" s="252" t="s">
        <v>370</v>
      </c>
      <c r="D154" s="253">
        <v>296.89999999999998</v>
      </c>
      <c r="E154" s="254">
        <v>0.4</v>
      </c>
      <c r="F154" s="254">
        <f t="shared" si="4"/>
        <v>118.75999999999999</v>
      </c>
      <c r="G154" s="254">
        <f>118.22+0.54</f>
        <v>118.76</v>
      </c>
      <c r="H154" s="254">
        <f t="shared" si="5"/>
        <v>0</v>
      </c>
      <c r="I154" s="293" t="s">
        <v>371</v>
      </c>
      <c r="J154" s="256" t="s">
        <v>372</v>
      </c>
      <c r="K154" s="263" t="s">
        <v>17</v>
      </c>
      <c r="L154" s="263" t="s">
        <v>18</v>
      </c>
      <c r="M154" s="251">
        <v>90939111</v>
      </c>
      <c r="N154" s="258">
        <v>45662</v>
      </c>
      <c r="O154" s="338">
        <v>45691</v>
      </c>
    </row>
    <row r="155" spans="1:16" x14ac:dyDescent="0.2">
      <c r="A155" s="251">
        <v>152</v>
      </c>
      <c r="B155" s="251">
        <v>3703</v>
      </c>
      <c r="C155" s="252" t="s">
        <v>373</v>
      </c>
      <c r="D155" s="253">
        <v>663.6</v>
      </c>
      <c r="E155" s="254">
        <v>0.4</v>
      </c>
      <c r="F155" s="254">
        <f t="shared" si="4"/>
        <v>265.44</v>
      </c>
      <c r="G155" s="254">
        <f>262.78+2.66</f>
        <v>265.44</v>
      </c>
      <c r="H155" s="254">
        <f t="shared" si="5"/>
        <v>0</v>
      </c>
      <c r="I155" s="251">
        <v>6332137</v>
      </c>
      <c r="J155" s="256" t="s">
        <v>374</v>
      </c>
      <c r="K155" s="263" t="s">
        <v>121</v>
      </c>
      <c r="L155" s="263" t="s">
        <v>122</v>
      </c>
      <c r="M155" s="251">
        <v>98239666</v>
      </c>
      <c r="N155" s="258">
        <v>45665</v>
      </c>
      <c r="O155" s="258">
        <v>45679</v>
      </c>
    </row>
    <row r="156" spans="1:16" x14ac:dyDescent="0.2">
      <c r="A156" s="229">
        <v>153</v>
      </c>
      <c r="B156" s="229">
        <v>3704</v>
      </c>
      <c r="C156" s="231" t="s">
        <v>375</v>
      </c>
      <c r="D156" s="239">
        <v>629.9</v>
      </c>
      <c r="E156" s="233">
        <v>0.4</v>
      </c>
      <c r="F156" s="233">
        <f t="shared" si="4"/>
        <v>251.96</v>
      </c>
      <c r="G156" s="233"/>
      <c r="H156" s="233">
        <f t="shared" si="5"/>
        <v>251.96</v>
      </c>
      <c r="I156" s="229">
        <v>730722</v>
      </c>
      <c r="J156" s="243" t="s">
        <v>376</v>
      </c>
      <c r="K156" s="244" t="s">
        <v>25</v>
      </c>
      <c r="L156" s="236" t="s">
        <v>26</v>
      </c>
      <c r="M156" s="229">
        <v>92499000</v>
      </c>
      <c r="N156" s="244"/>
    </row>
    <row r="157" spans="1:16" x14ac:dyDescent="0.2">
      <c r="A157" s="251">
        <v>154</v>
      </c>
      <c r="B157" s="251">
        <v>3705</v>
      </c>
      <c r="C157" s="252" t="s">
        <v>377</v>
      </c>
      <c r="D157" s="253">
        <v>277.3</v>
      </c>
      <c r="E157" s="254">
        <v>0.4</v>
      </c>
      <c r="F157" s="254">
        <f t="shared" si="4"/>
        <v>110.92000000000002</v>
      </c>
      <c r="G157" s="254">
        <f>108.8</f>
        <v>108.8</v>
      </c>
      <c r="H157" s="254">
        <f t="shared" si="5"/>
        <v>2.1200000000000188</v>
      </c>
      <c r="I157" s="251">
        <v>738486</v>
      </c>
      <c r="J157" s="262" t="s">
        <v>378</v>
      </c>
      <c r="K157" s="263" t="s">
        <v>25</v>
      </c>
      <c r="L157" s="256" t="s">
        <v>26</v>
      </c>
      <c r="M157" s="251">
        <v>99486030</v>
      </c>
      <c r="N157" s="258">
        <v>45677</v>
      </c>
      <c r="O157" s="351"/>
    </row>
    <row r="158" spans="1:16" x14ac:dyDescent="0.2">
      <c r="A158" s="251">
        <v>155</v>
      </c>
      <c r="B158" s="251">
        <v>3706</v>
      </c>
      <c r="C158" s="252" t="s">
        <v>379</v>
      </c>
      <c r="D158" s="253">
        <v>278.60000000000002</v>
      </c>
      <c r="E158" s="254">
        <v>0.4</v>
      </c>
      <c r="F158" s="254">
        <f t="shared" si="4"/>
        <v>111.44000000000001</v>
      </c>
      <c r="G158" s="254">
        <f>111</f>
        <v>111</v>
      </c>
      <c r="H158" s="254">
        <f t="shared" si="5"/>
        <v>0.44000000000001194</v>
      </c>
      <c r="I158" s="251">
        <v>8098795</v>
      </c>
      <c r="J158" s="262" t="s">
        <v>380</v>
      </c>
      <c r="K158" s="263" t="s">
        <v>25</v>
      </c>
      <c r="L158" s="256" t="s">
        <v>26</v>
      </c>
      <c r="M158" s="251">
        <v>93567000</v>
      </c>
      <c r="N158" s="258">
        <v>45677</v>
      </c>
      <c r="O158" s="351"/>
    </row>
    <row r="159" spans="1:16" x14ac:dyDescent="0.2">
      <c r="A159" s="284">
        <v>156</v>
      </c>
      <c r="B159" s="284">
        <v>3708</v>
      </c>
      <c r="C159" s="285" t="s">
        <v>381</v>
      </c>
      <c r="D159" s="286">
        <v>578.9</v>
      </c>
      <c r="E159" s="287">
        <v>0.4</v>
      </c>
      <c r="F159" s="287">
        <f t="shared" si="4"/>
        <v>231.56</v>
      </c>
      <c r="G159" s="287">
        <f>F159</f>
        <v>231.56</v>
      </c>
      <c r="H159" s="287">
        <f t="shared" si="5"/>
        <v>0</v>
      </c>
      <c r="I159" s="287">
        <v>5304255</v>
      </c>
      <c r="J159" s="289" t="s">
        <v>383</v>
      </c>
      <c r="K159" s="301" t="s">
        <v>25</v>
      </c>
      <c r="L159" s="289" t="s">
        <v>26</v>
      </c>
      <c r="M159" s="284">
        <v>98822655</v>
      </c>
      <c r="N159" s="290" t="s">
        <v>716</v>
      </c>
    </row>
    <row r="160" spans="1:16" x14ac:dyDescent="0.2">
      <c r="A160" s="229">
        <v>157</v>
      </c>
      <c r="B160" s="229">
        <v>3709</v>
      </c>
      <c r="C160" s="231" t="s">
        <v>384</v>
      </c>
      <c r="D160" s="239">
        <v>502.2</v>
      </c>
      <c r="E160" s="233">
        <v>0.4</v>
      </c>
      <c r="F160" s="233">
        <f t="shared" si="4"/>
        <v>200.88</v>
      </c>
      <c r="G160" s="233"/>
      <c r="H160" s="233">
        <f t="shared" si="5"/>
        <v>200.88</v>
      </c>
      <c r="I160" s="275" t="s">
        <v>385</v>
      </c>
      <c r="J160" s="236" t="s">
        <v>386</v>
      </c>
      <c r="K160" s="235" t="s">
        <v>25</v>
      </c>
      <c r="L160" s="236" t="s">
        <v>26</v>
      </c>
      <c r="M160" s="229">
        <v>97799855</v>
      </c>
      <c r="N160" s="244"/>
    </row>
    <row r="161" spans="1:15" x14ac:dyDescent="0.2">
      <c r="A161" s="251">
        <v>158</v>
      </c>
      <c r="B161" s="251">
        <v>3711</v>
      </c>
      <c r="C161" s="252" t="s">
        <v>387</v>
      </c>
      <c r="D161" s="253">
        <v>396</v>
      </c>
      <c r="E161" s="254">
        <v>0.4</v>
      </c>
      <c r="F161" s="254">
        <f t="shared" si="4"/>
        <v>158.4</v>
      </c>
      <c r="G161" s="254">
        <f>156.33+2.07</f>
        <v>158.4</v>
      </c>
      <c r="H161" s="254">
        <f t="shared" si="5"/>
        <v>0</v>
      </c>
      <c r="I161" s="293" t="s">
        <v>388</v>
      </c>
      <c r="J161" s="256" t="s">
        <v>389</v>
      </c>
      <c r="K161" s="263" t="s">
        <v>17</v>
      </c>
      <c r="L161" s="263" t="s">
        <v>18</v>
      </c>
      <c r="M161" s="251">
        <v>99590400</v>
      </c>
      <c r="N161" s="258">
        <v>45662</v>
      </c>
      <c r="O161" s="338">
        <v>45685</v>
      </c>
    </row>
    <row r="162" spans="1:15" x14ac:dyDescent="0.2">
      <c r="A162" s="251">
        <v>159</v>
      </c>
      <c r="B162" s="251">
        <v>3712</v>
      </c>
      <c r="C162" s="252" t="s">
        <v>390</v>
      </c>
      <c r="D162" s="253">
        <v>248.6</v>
      </c>
      <c r="E162" s="254">
        <v>0.4</v>
      </c>
      <c r="F162" s="254">
        <f t="shared" si="4"/>
        <v>99.44</v>
      </c>
      <c r="G162" s="254">
        <f>96.49+2.95</f>
        <v>99.44</v>
      </c>
      <c r="H162" s="254">
        <f t="shared" si="5"/>
        <v>0</v>
      </c>
      <c r="I162" s="293" t="s">
        <v>391</v>
      </c>
      <c r="J162" s="256" t="s">
        <v>392</v>
      </c>
      <c r="K162" s="257" t="s">
        <v>25</v>
      </c>
      <c r="L162" s="256" t="s">
        <v>26</v>
      </c>
      <c r="M162" s="251">
        <v>99586643</v>
      </c>
      <c r="N162" s="258">
        <v>45658</v>
      </c>
      <c r="O162" s="338">
        <v>45685</v>
      </c>
    </row>
    <row r="163" spans="1:15" x14ac:dyDescent="0.2">
      <c r="A163" s="229">
        <v>160</v>
      </c>
      <c r="B163" s="229">
        <v>3713</v>
      </c>
      <c r="C163" s="231" t="s">
        <v>393</v>
      </c>
      <c r="D163" s="239">
        <v>325.10000000000002</v>
      </c>
      <c r="E163" s="233">
        <v>0.4</v>
      </c>
      <c r="F163" s="233">
        <f t="shared" si="4"/>
        <v>130.04000000000002</v>
      </c>
      <c r="G163" s="233"/>
      <c r="H163" s="233">
        <f t="shared" si="5"/>
        <v>130.04000000000002</v>
      </c>
      <c r="I163" s="275" t="s">
        <v>394</v>
      </c>
      <c r="J163" s="244" t="s">
        <v>395</v>
      </c>
      <c r="K163" s="244" t="s">
        <v>121</v>
      </c>
      <c r="L163" s="244" t="s">
        <v>122</v>
      </c>
      <c r="M163" s="229">
        <v>99490438</v>
      </c>
      <c r="N163" s="244"/>
    </row>
    <row r="164" spans="1:15" x14ac:dyDescent="0.2">
      <c r="A164" s="251">
        <v>161</v>
      </c>
      <c r="B164" s="251">
        <v>3716</v>
      </c>
      <c r="C164" s="252" t="s">
        <v>396</v>
      </c>
      <c r="D164" s="253">
        <v>595.1</v>
      </c>
      <c r="E164" s="254">
        <v>0.4</v>
      </c>
      <c r="F164" s="254">
        <f t="shared" si="4"/>
        <v>238.04000000000002</v>
      </c>
      <c r="G164" s="254">
        <f>237.522+0.518</f>
        <v>238.04</v>
      </c>
      <c r="H164" s="254">
        <f t="shared" si="5"/>
        <v>0</v>
      </c>
      <c r="I164" s="255" t="s">
        <v>397</v>
      </c>
      <c r="J164" s="256" t="s">
        <v>398</v>
      </c>
      <c r="K164" s="257" t="s">
        <v>25</v>
      </c>
      <c r="L164" s="256" t="s">
        <v>26</v>
      </c>
      <c r="M164" s="251"/>
      <c r="N164" s="258">
        <v>45658</v>
      </c>
      <c r="O164" s="338">
        <v>45691</v>
      </c>
    </row>
    <row r="165" spans="1:15" x14ac:dyDescent="0.2">
      <c r="A165" s="229">
        <v>162</v>
      </c>
      <c r="B165" s="229">
        <v>3717</v>
      </c>
      <c r="C165" s="231" t="s">
        <v>399</v>
      </c>
      <c r="D165" s="239">
        <v>639.4</v>
      </c>
      <c r="E165" s="233">
        <v>0.4</v>
      </c>
      <c r="F165" s="233">
        <f t="shared" si="4"/>
        <v>255.76</v>
      </c>
      <c r="G165" s="233"/>
      <c r="H165" s="233">
        <f t="shared" si="5"/>
        <v>255.76</v>
      </c>
      <c r="I165" s="240" t="s">
        <v>400</v>
      </c>
      <c r="J165" s="236" t="s">
        <v>401</v>
      </c>
      <c r="K165" s="235" t="s">
        <v>25</v>
      </c>
      <c r="L165" s="241" t="s">
        <v>26</v>
      </c>
      <c r="M165" s="229"/>
      <c r="N165" s="244"/>
    </row>
    <row r="166" spans="1:15" x14ac:dyDescent="0.2">
      <c r="A166" s="229">
        <v>163</v>
      </c>
      <c r="B166" s="229">
        <v>3718</v>
      </c>
      <c r="C166" s="231" t="s">
        <v>403</v>
      </c>
      <c r="D166" s="239">
        <v>76.3</v>
      </c>
      <c r="E166" s="233">
        <v>0.4</v>
      </c>
      <c r="F166" s="233">
        <f t="shared" si="4"/>
        <v>30.52</v>
      </c>
      <c r="G166" s="233"/>
      <c r="H166" s="233">
        <f t="shared" si="5"/>
        <v>30.52</v>
      </c>
      <c r="I166" s="275" t="s">
        <v>404</v>
      </c>
      <c r="J166" s="236" t="s">
        <v>405</v>
      </c>
      <c r="K166" s="244" t="s">
        <v>43</v>
      </c>
      <c r="L166" s="236" t="s">
        <v>44</v>
      </c>
      <c r="M166" s="229">
        <v>92955331</v>
      </c>
      <c r="N166" s="244"/>
    </row>
    <row r="167" spans="1:15" x14ac:dyDescent="0.2">
      <c r="A167" s="229">
        <v>164</v>
      </c>
      <c r="B167" s="229">
        <v>3719</v>
      </c>
      <c r="C167" s="231" t="s">
        <v>406</v>
      </c>
      <c r="D167" s="239">
        <v>345</v>
      </c>
      <c r="E167" s="233">
        <v>0.4</v>
      </c>
      <c r="F167" s="233">
        <f t="shared" si="4"/>
        <v>138</v>
      </c>
      <c r="G167" s="233"/>
      <c r="H167" s="233">
        <f t="shared" si="5"/>
        <v>138</v>
      </c>
      <c r="I167" s="275" t="s">
        <v>407</v>
      </c>
      <c r="J167" s="236" t="s">
        <v>408</v>
      </c>
      <c r="K167" s="243" t="s">
        <v>75</v>
      </c>
      <c r="L167" s="244" t="s">
        <v>76</v>
      </c>
      <c r="M167" s="229">
        <v>99083559</v>
      </c>
      <c r="N167" s="244"/>
    </row>
    <row r="168" spans="1:15" x14ac:dyDescent="0.2">
      <c r="A168" s="284">
        <v>165</v>
      </c>
      <c r="B168" s="284">
        <v>3720</v>
      </c>
      <c r="C168" s="285" t="s">
        <v>409</v>
      </c>
      <c r="D168" s="286">
        <v>327.8</v>
      </c>
      <c r="E168" s="287">
        <v>0.4</v>
      </c>
      <c r="F168" s="287">
        <f t="shared" si="4"/>
        <v>131.12</v>
      </c>
      <c r="G168" s="287">
        <f>F168</f>
        <v>131.12</v>
      </c>
      <c r="H168" s="287">
        <f t="shared" si="5"/>
        <v>0</v>
      </c>
      <c r="I168" s="288" t="s">
        <v>410</v>
      </c>
      <c r="J168" s="289" t="s">
        <v>411</v>
      </c>
      <c r="K168" s="290" t="s">
        <v>17</v>
      </c>
      <c r="L168" s="290" t="s">
        <v>18</v>
      </c>
      <c r="M168" s="284">
        <v>91731345</v>
      </c>
      <c r="N168" s="290" t="s">
        <v>716</v>
      </c>
    </row>
    <row r="169" spans="1:15" s="269" customFormat="1" x14ac:dyDescent="0.2">
      <c r="A169" s="251">
        <v>166</v>
      </c>
      <c r="B169" s="251">
        <v>3722</v>
      </c>
      <c r="C169" s="252" t="s">
        <v>412</v>
      </c>
      <c r="D169" s="253">
        <v>336</v>
      </c>
      <c r="E169" s="254">
        <v>0.4</v>
      </c>
      <c r="F169" s="254">
        <f t="shared" si="4"/>
        <v>134.4</v>
      </c>
      <c r="G169" s="254">
        <f>F169</f>
        <v>134.4</v>
      </c>
      <c r="H169" s="254">
        <f t="shared" si="5"/>
        <v>0</v>
      </c>
      <c r="I169" s="325" t="s">
        <v>413</v>
      </c>
      <c r="J169" s="256" t="s">
        <v>414</v>
      </c>
      <c r="K169" s="344" t="s">
        <v>75</v>
      </c>
      <c r="L169" s="263" t="s">
        <v>76</v>
      </c>
      <c r="M169" s="251">
        <v>96912200</v>
      </c>
      <c r="N169" s="258">
        <v>45691</v>
      </c>
      <c r="O169" s="351"/>
    </row>
    <row r="170" spans="1:15" x14ac:dyDescent="0.2">
      <c r="A170" s="229">
        <v>167</v>
      </c>
      <c r="B170" s="229">
        <v>3723</v>
      </c>
      <c r="C170" s="231" t="s">
        <v>415</v>
      </c>
      <c r="D170" s="232">
        <v>251.2</v>
      </c>
      <c r="E170" s="233">
        <v>0.4</v>
      </c>
      <c r="F170" s="233">
        <f t="shared" si="4"/>
        <v>100.48</v>
      </c>
      <c r="G170" s="233"/>
      <c r="H170" s="233">
        <f t="shared" si="5"/>
        <v>100.48</v>
      </c>
      <c r="I170" s="230">
        <v>993752</v>
      </c>
      <c r="J170" s="283" t="s">
        <v>416</v>
      </c>
      <c r="K170" s="267" t="s">
        <v>25</v>
      </c>
      <c r="L170" s="283" t="s">
        <v>26</v>
      </c>
      <c r="M170" s="230">
        <v>99100344</v>
      </c>
      <c r="N170" s="244"/>
    </row>
    <row r="171" spans="1:15" x14ac:dyDescent="0.2">
      <c r="A171" s="251">
        <v>168</v>
      </c>
      <c r="B171" s="251">
        <v>3725</v>
      </c>
      <c r="C171" s="252" t="s">
        <v>297</v>
      </c>
      <c r="D171" s="253">
        <v>527.70000000000005</v>
      </c>
      <c r="E171" s="254">
        <v>0.4</v>
      </c>
      <c r="F171" s="254">
        <f t="shared" si="4"/>
        <v>211.08000000000004</v>
      </c>
      <c r="G171" s="254">
        <f>209.84</f>
        <v>209.84</v>
      </c>
      <c r="H171" s="254">
        <f t="shared" si="5"/>
        <v>1.2400000000000375</v>
      </c>
      <c r="I171" s="321">
        <v>1648248</v>
      </c>
      <c r="J171" s="349" t="s">
        <v>417</v>
      </c>
      <c r="K171" s="323" t="s">
        <v>25</v>
      </c>
      <c r="L171" s="326" t="s">
        <v>26</v>
      </c>
      <c r="M171" s="251">
        <v>99497550</v>
      </c>
      <c r="N171" s="341">
        <v>45558</v>
      </c>
      <c r="O171" s="338">
        <v>45658</v>
      </c>
    </row>
    <row r="172" spans="1:15" x14ac:dyDescent="0.2">
      <c r="A172" s="251">
        <v>169</v>
      </c>
      <c r="B172" s="251">
        <v>3727</v>
      </c>
      <c r="C172" s="252" t="s">
        <v>419</v>
      </c>
      <c r="D172" s="253">
        <v>242</v>
      </c>
      <c r="E172" s="254">
        <v>0.4</v>
      </c>
      <c r="F172" s="254">
        <f t="shared" si="4"/>
        <v>96.800000000000011</v>
      </c>
      <c r="G172" s="254">
        <f>95.42+1.38</f>
        <v>96.8</v>
      </c>
      <c r="H172" s="254">
        <f t="shared" si="5"/>
        <v>0</v>
      </c>
      <c r="I172" s="293" t="s">
        <v>420</v>
      </c>
      <c r="J172" s="256" t="s">
        <v>421</v>
      </c>
      <c r="K172" s="257" t="s">
        <v>25</v>
      </c>
      <c r="L172" s="256" t="s">
        <v>26</v>
      </c>
      <c r="M172" s="251">
        <v>99679943</v>
      </c>
      <c r="N172" s="258">
        <v>45663</v>
      </c>
      <c r="O172" s="338">
        <v>45691</v>
      </c>
    </row>
    <row r="173" spans="1:15" x14ac:dyDescent="0.2">
      <c r="A173" s="251">
        <v>170</v>
      </c>
      <c r="B173" s="251">
        <v>3728</v>
      </c>
      <c r="C173" s="252" t="s">
        <v>422</v>
      </c>
      <c r="D173" s="253">
        <v>252.4</v>
      </c>
      <c r="E173" s="254">
        <v>0.4</v>
      </c>
      <c r="F173" s="254">
        <f t="shared" si="4"/>
        <v>100.96000000000001</v>
      </c>
      <c r="G173" s="254">
        <f>97.45</f>
        <v>97.45</v>
      </c>
      <c r="H173" s="254">
        <f t="shared" si="5"/>
        <v>3.5100000000000051</v>
      </c>
      <c r="I173" s="321">
        <v>25886784</v>
      </c>
      <c r="J173" s="349" t="s">
        <v>423</v>
      </c>
      <c r="K173" s="323" t="s">
        <v>25</v>
      </c>
      <c r="L173" s="326" t="s">
        <v>26</v>
      </c>
      <c r="M173" s="251">
        <v>99564153</v>
      </c>
      <c r="N173" s="258">
        <v>45663</v>
      </c>
    </row>
    <row r="174" spans="1:15" x14ac:dyDescent="0.2">
      <c r="A174" s="251">
        <v>171</v>
      </c>
      <c r="B174" s="251">
        <v>3729</v>
      </c>
      <c r="C174" s="252" t="s">
        <v>424</v>
      </c>
      <c r="D174" s="324">
        <v>171.5</v>
      </c>
      <c r="E174" s="254">
        <v>0.4</v>
      </c>
      <c r="F174" s="254">
        <f t="shared" si="4"/>
        <v>68.600000000000009</v>
      </c>
      <c r="G174" s="254">
        <f>F174</f>
        <v>68.600000000000009</v>
      </c>
      <c r="H174" s="254">
        <f t="shared" si="5"/>
        <v>0</v>
      </c>
      <c r="I174" s="325" t="s">
        <v>425</v>
      </c>
      <c r="J174" s="256" t="s">
        <v>426</v>
      </c>
      <c r="K174" s="323" t="s">
        <v>25</v>
      </c>
      <c r="L174" s="326" t="s">
        <v>26</v>
      </c>
      <c r="M174" s="251">
        <v>91288200</v>
      </c>
      <c r="N174" s="258">
        <v>45658</v>
      </c>
      <c r="O174" s="329" t="s">
        <v>843</v>
      </c>
    </row>
    <row r="175" spans="1:15" x14ac:dyDescent="0.2">
      <c r="A175" s="251">
        <v>172</v>
      </c>
      <c r="B175" s="251">
        <v>3730</v>
      </c>
      <c r="C175" s="252" t="s">
        <v>427</v>
      </c>
      <c r="D175" s="253">
        <v>377.4</v>
      </c>
      <c r="E175" s="254">
        <v>0.4</v>
      </c>
      <c r="F175" s="254">
        <f t="shared" si="4"/>
        <v>150.96</v>
      </c>
      <c r="G175" s="254">
        <f>147.63+3.33</f>
        <v>150.96</v>
      </c>
      <c r="H175" s="254">
        <f t="shared" si="5"/>
        <v>0</v>
      </c>
      <c r="I175" s="293" t="s">
        <v>428</v>
      </c>
      <c r="J175" s="256" t="s">
        <v>429</v>
      </c>
      <c r="K175" s="257" t="s">
        <v>25</v>
      </c>
      <c r="L175" s="256" t="s">
        <v>26</v>
      </c>
      <c r="M175" s="251">
        <v>93504408</v>
      </c>
      <c r="N175" s="258">
        <v>45658</v>
      </c>
      <c r="O175" s="338">
        <v>45662</v>
      </c>
    </row>
    <row r="176" spans="1:15" x14ac:dyDescent="0.2">
      <c r="A176" s="284">
        <v>173</v>
      </c>
      <c r="B176" s="284">
        <v>3731</v>
      </c>
      <c r="C176" s="285" t="s">
        <v>430</v>
      </c>
      <c r="D176" s="286">
        <v>660.5</v>
      </c>
      <c r="E176" s="287">
        <v>0.4</v>
      </c>
      <c r="F176" s="287">
        <f t="shared" si="4"/>
        <v>264.2</v>
      </c>
      <c r="G176" s="287">
        <f>F176</f>
        <v>264.2</v>
      </c>
      <c r="H176" s="287">
        <f t="shared" si="5"/>
        <v>0</v>
      </c>
      <c r="I176" s="371">
        <v>4640285</v>
      </c>
      <c r="J176" s="289" t="s">
        <v>431</v>
      </c>
      <c r="K176" s="301" t="s">
        <v>25</v>
      </c>
      <c r="L176" s="289" t="s">
        <v>26</v>
      </c>
      <c r="M176" s="284">
        <v>99493301</v>
      </c>
      <c r="N176" s="291">
        <v>45664</v>
      </c>
    </row>
    <row r="177" spans="1:15" x14ac:dyDescent="0.2">
      <c r="A177" s="229">
        <v>174</v>
      </c>
      <c r="B177" s="229">
        <v>3732</v>
      </c>
      <c r="C177" s="276" t="s">
        <v>791</v>
      </c>
      <c r="D177" s="239">
        <v>274.10000000000002</v>
      </c>
      <c r="E177" s="233">
        <v>0.4</v>
      </c>
      <c r="F177" s="233">
        <f t="shared" si="4"/>
        <v>109.64000000000001</v>
      </c>
      <c r="G177" s="233"/>
      <c r="H177" s="233">
        <f t="shared" si="5"/>
        <v>109.64000000000001</v>
      </c>
      <c r="I177" s="296">
        <v>194498</v>
      </c>
      <c r="J177" s="279" t="s">
        <v>841</v>
      </c>
      <c r="K177" s="297" t="s">
        <v>17</v>
      </c>
      <c r="L177" s="298" t="s">
        <v>18</v>
      </c>
      <c r="M177" s="229"/>
      <c r="N177" s="244"/>
    </row>
    <row r="178" spans="1:15" x14ac:dyDescent="0.2">
      <c r="A178" s="229">
        <v>175</v>
      </c>
      <c r="B178" s="229">
        <v>3733</v>
      </c>
      <c r="C178" s="231" t="s">
        <v>432</v>
      </c>
      <c r="D178" s="239">
        <v>38.5</v>
      </c>
      <c r="E178" s="233">
        <v>0.4</v>
      </c>
      <c r="F178" s="233">
        <f t="shared" si="4"/>
        <v>15.4</v>
      </c>
      <c r="G178" s="233"/>
      <c r="H178" s="233">
        <f t="shared" si="5"/>
        <v>15.4</v>
      </c>
      <c r="I178" s="299">
        <v>23270163</v>
      </c>
      <c r="J178" s="236" t="s">
        <v>433</v>
      </c>
      <c r="K178" s="267" t="s">
        <v>25</v>
      </c>
      <c r="L178" s="265" t="s">
        <v>26</v>
      </c>
      <c r="M178" s="229">
        <v>92212553</v>
      </c>
      <c r="N178" s="372">
        <v>45558</v>
      </c>
    </row>
    <row r="179" spans="1:15" x14ac:dyDescent="0.2">
      <c r="A179" s="229">
        <v>176</v>
      </c>
      <c r="B179" s="229">
        <v>3734</v>
      </c>
      <c r="C179" s="231" t="s">
        <v>434</v>
      </c>
      <c r="D179" s="239">
        <v>390.1</v>
      </c>
      <c r="E179" s="233">
        <v>0.4</v>
      </c>
      <c r="F179" s="233">
        <f t="shared" si="4"/>
        <v>156.04000000000002</v>
      </c>
      <c r="G179" s="233"/>
      <c r="H179" s="233">
        <f t="shared" si="5"/>
        <v>156.04000000000002</v>
      </c>
      <c r="I179" s="240">
        <v>6680216</v>
      </c>
      <c r="J179" s="236" t="s">
        <v>435</v>
      </c>
      <c r="K179" s="244" t="s">
        <v>17</v>
      </c>
      <c r="L179" s="244" t="s">
        <v>18</v>
      </c>
      <c r="M179" s="229">
        <v>92333311</v>
      </c>
      <c r="N179" s="244"/>
    </row>
    <row r="180" spans="1:15" x14ac:dyDescent="0.2">
      <c r="A180" s="229">
        <v>177</v>
      </c>
      <c r="B180" s="229">
        <v>3735</v>
      </c>
      <c r="C180" s="231" t="s">
        <v>436</v>
      </c>
      <c r="D180" s="239">
        <v>260.5</v>
      </c>
      <c r="E180" s="233">
        <v>0.4</v>
      </c>
      <c r="F180" s="233">
        <f t="shared" si="4"/>
        <v>104.2</v>
      </c>
      <c r="G180" s="233"/>
      <c r="H180" s="233">
        <f t="shared" si="5"/>
        <v>104.2</v>
      </c>
      <c r="I180" s="240">
        <v>19952467</v>
      </c>
      <c r="J180" s="236" t="s">
        <v>437</v>
      </c>
      <c r="K180" s="235" t="s">
        <v>25</v>
      </c>
      <c r="L180" s="236" t="s">
        <v>26</v>
      </c>
      <c r="M180" s="229">
        <v>91222276</v>
      </c>
      <c r="N180" s="244"/>
    </row>
    <row r="181" spans="1:15" x14ac:dyDescent="0.2">
      <c r="A181" s="229">
        <v>178</v>
      </c>
      <c r="B181" s="229">
        <v>3739</v>
      </c>
      <c r="C181" s="276" t="s">
        <v>438</v>
      </c>
      <c r="D181" s="239">
        <v>215.1</v>
      </c>
      <c r="E181" s="233">
        <v>0.4</v>
      </c>
      <c r="F181" s="233">
        <f t="shared" si="4"/>
        <v>86.04</v>
      </c>
      <c r="G181" s="233"/>
      <c r="H181" s="233">
        <f t="shared" si="5"/>
        <v>86.04</v>
      </c>
      <c r="I181" s="296">
        <v>22187694</v>
      </c>
      <c r="J181" s="279" t="s">
        <v>439</v>
      </c>
      <c r="K181" s="297" t="s">
        <v>25</v>
      </c>
      <c r="L181" s="279" t="s">
        <v>26</v>
      </c>
      <c r="M181" s="277">
        <v>93000079</v>
      </c>
      <c r="N181" s="244"/>
    </row>
    <row r="182" spans="1:15" x14ac:dyDescent="0.2">
      <c r="A182" s="251">
        <v>179</v>
      </c>
      <c r="B182" s="251">
        <v>3740</v>
      </c>
      <c r="C182" s="252" t="s">
        <v>440</v>
      </c>
      <c r="D182" s="253">
        <v>612.29999999999995</v>
      </c>
      <c r="E182" s="254">
        <v>0.4</v>
      </c>
      <c r="F182" s="254">
        <f t="shared" si="4"/>
        <v>244.92</v>
      </c>
      <c r="G182" s="254">
        <f>244.44+0.48</f>
        <v>244.92</v>
      </c>
      <c r="H182" s="254">
        <f t="shared" si="5"/>
        <v>0</v>
      </c>
      <c r="I182" s="255">
        <v>25472616</v>
      </c>
      <c r="J182" s="256" t="s">
        <v>441</v>
      </c>
      <c r="K182" s="263" t="s">
        <v>17</v>
      </c>
      <c r="L182" s="263" t="s">
        <v>18</v>
      </c>
      <c r="M182" s="251">
        <v>93318821</v>
      </c>
      <c r="N182" s="258">
        <v>45670</v>
      </c>
      <c r="O182" s="338">
        <v>45691</v>
      </c>
    </row>
    <row r="183" spans="1:15" x14ac:dyDescent="0.2">
      <c r="A183" s="229">
        <v>180</v>
      </c>
      <c r="B183" s="229">
        <v>3742</v>
      </c>
      <c r="C183" s="231" t="s">
        <v>442</v>
      </c>
      <c r="D183" s="239">
        <v>158.69999999999999</v>
      </c>
      <c r="E183" s="233">
        <v>0.4</v>
      </c>
      <c r="F183" s="233">
        <f t="shared" si="4"/>
        <v>63.48</v>
      </c>
      <c r="G183" s="233"/>
      <c r="H183" s="233">
        <f t="shared" si="5"/>
        <v>63.48</v>
      </c>
      <c r="I183" s="299">
        <v>1930281</v>
      </c>
      <c r="J183" s="236" t="s">
        <v>443</v>
      </c>
      <c r="K183" s="236" t="s">
        <v>418</v>
      </c>
      <c r="L183" s="260" t="s">
        <v>258</v>
      </c>
      <c r="M183" s="229">
        <v>99330095</v>
      </c>
      <c r="N183" s="244"/>
    </row>
    <row r="184" spans="1:15" x14ac:dyDescent="0.2">
      <c r="A184" s="229">
        <v>181</v>
      </c>
      <c r="B184" s="229">
        <v>3743</v>
      </c>
      <c r="C184" s="231" t="s">
        <v>444</v>
      </c>
      <c r="D184" s="239">
        <v>530.5</v>
      </c>
      <c r="E184" s="233">
        <v>0.4</v>
      </c>
      <c r="F184" s="233">
        <f t="shared" si="4"/>
        <v>212.20000000000002</v>
      </c>
      <c r="G184" s="233"/>
      <c r="H184" s="233">
        <f t="shared" si="5"/>
        <v>212.20000000000002</v>
      </c>
      <c r="I184" s="240">
        <v>599336</v>
      </c>
      <c r="J184" s="236" t="s">
        <v>445</v>
      </c>
      <c r="K184" s="235" t="s">
        <v>25</v>
      </c>
      <c r="L184" s="236" t="s">
        <v>26</v>
      </c>
      <c r="M184" s="229">
        <v>99497544</v>
      </c>
      <c r="N184" s="244"/>
    </row>
    <row r="185" spans="1:15" x14ac:dyDescent="0.2">
      <c r="A185" s="251">
        <v>182</v>
      </c>
      <c r="B185" s="251">
        <v>3745</v>
      </c>
      <c r="C185" s="252" t="s">
        <v>446</v>
      </c>
      <c r="D185" s="253">
        <v>143</v>
      </c>
      <c r="E185" s="254">
        <v>0.4</v>
      </c>
      <c r="F185" s="254">
        <f t="shared" si="4"/>
        <v>57.2</v>
      </c>
      <c r="G185" s="254">
        <f>50.54+6.66</f>
        <v>57.2</v>
      </c>
      <c r="H185" s="254">
        <f t="shared" si="5"/>
        <v>0</v>
      </c>
      <c r="I185" s="255">
        <v>2199772</v>
      </c>
      <c r="J185" s="256" t="s">
        <v>447</v>
      </c>
      <c r="K185" s="257" t="s">
        <v>25</v>
      </c>
      <c r="L185" s="256" t="s">
        <v>26</v>
      </c>
      <c r="M185" s="251">
        <v>72556787</v>
      </c>
      <c r="N185" s="258">
        <v>45658</v>
      </c>
      <c r="O185" s="329" t="s">
        <v>893</v>
      </c>
    </row>
    <row r="186" spans="1:15" x14ac:dyDescent="0.2">
      <c r="A186" s="251">
        <v>183</v>
      </c>
      <c r="B186" s="251">
        <v>3746</v>
      </c>
      <c r="C186" s="252" t="s">
        <v>448</v>
      </c>
      <c r="D186" s="253">
        <v>391</v>
      </c>
      <c r="E186" s="254">
        <v>0.4</v>
      </c>
      <c r="F186" s="254">
        <f t="shared" si="4"/>
        <v>156.4</v>
      </c>
      <c r="G186" s="254">
        <f>154.63+1.77</f>
        <v>156.4</v>
      </c>
      <c r="H186" s="254">
        <f t="shared" si="5"/>
        <v>0</v>
      </c>
      <c r="I186" s="255">
        <v>21973713</v>
      </c>
      <c r="J186" s="256" t="s">
        <v>449</v>
      </c>
      <c r="K186" s="257" t="s">
        <v>25</v>
      </c>
      <c r="L186" s="256" t="s">
        <v>26</v>
      </c>
      <c r="M186" s="251">
        <v>95710331</v>
      </c>
      <c r="N186" s="258">
        <v>45663</v>
      </c>
      <c r="O186" s="338">
        <v>45779</v>
      </c>
    </row>
    <row r="187" spans="1:15" x14ac:dyDescent="0.2">
      <c r="A187" s="229">
        <v>184</v>
      </c>
      <c r="B187" s="229">
        <v>3748</v>
      </c>
      <c r="C187" s="231" t="s">
        <v>450</v>
      </c>
      <c r="D187" s="239">
        <v>180.1</v>
      </c>
      <c r="E187" s="233">
        <v>0.4</v>
      </c>
      <c r="F187" s="233">
        <f t="shared" si="4"/>
        <v>72.040000000000006</v>
      </c>
      <c r="G187" s="233"/>
      <c r="H187" s="233">
        <f t="shared" si="5"/>
        <v>72.040000000000006</v>
      </c>
      <c r="I187" s="240">
        <v>18620918</v>
      </c>
      <c r="J187" s="236" t="s">
        <v>451</v>
      </c>
      <c r="K187" s="235" t="s">
        <v>25</v>
      </c>
      <c r="L187" s="236" t="s">
        <v>26</v>
      </c>
      <c r="M187" s="229">
        <v>91222276</v>
      </c>
      <c r="N187" s="244"/>
    </row>
    <row r="188" spans="1:15" x14ac:dyDescent="0.2">
      <c r="A188" s="284">
        <v>185</v>
      </c>
      <c r="B188" s="284">
        <v>3750</v>
      </c>
      <c r="C188" s="285" t="s">
        <v>452</v>
      </c>
      <c r="D188" s="286">
        <v>393.7</v>
      </c>
      <c r="E188" s="287">
        <v>0.4</v>
      </c>
      <c r="F188" s="287">
        <f t="shared" si="4"/>
        <v>157.48000000000002</v>
      </c>
      <c r="G188" s="287">
        <f>F188</f>
        <v>157.48000000000002</v>
      </c>
      <c r="H188" s="287">
        <f t="shared" si="5"/>
        <v>0</v>
      </c>
      <c r="I188" s="300">
        <v>939641</v>
      </c>
      <c r="J188" s="289" t="s">
        <v>453</v>
      </c>
      <c r="K188" s="301" t="s">
        <v>25</v>
      </c>
      <c r="L188" s="289" t="s">
        <v>26</v>
      </c>
      <c r="M188" s="284">
        <v>99588609</v>
      </c>
      <c r="N188" s="290" t="s">
        <v>716</v>
      </c>
    </row>
    <row r="189" spans="1:15" x14ac:dyDescent="0.2">
      <c r="A189" s="251">
        <v>186</v>
      </c>
      <c r="B189" s="251">
        <v>3751</v>
      </c>
      <c r="C189" s="252" t="s">
        <v>454</v>
      </c>
      <c r="D189" s="253">
        <v>1063.3</v>
      </c>
      <c r="E189" s="254">
        <v>0.4</v>
      </c>
      <c r="F189" s="254">
        <f t="shared" si="4"/>
        <v>425.32</v>
      </c>
      <c r="G189" s="254">
        <f>421.24+4.08</f>
        <v>425.32</v>
      </c>
      <c r="H189" s="254">
        <f t="shared" si="5"/>
        <v>0</v>
      </c>
      <c r="I189" s="251">
        <v>2116627</v>
      </c>
      <c r="J189" s="256" t="s">
        <v>455</v>
      </c>
      <c r="K189" s="257" t="s">
        <v>25</v>
      </c>
      <c r="L189" s="256" t="s">
        <v>26</v>
      </c>
      <c r="M189" s="251">
        <v>99493880</v>
      </c>
      <c r="N189" s="258">
        <v>45665</v>
      </c>
      <c r="O189" s="338">
        <v>45690</v>
      </c>
    </row>
    <row r="190" spans="1:15" x14ac:dyDescent="0.2">
      <c r="A190" s="229">
        <v>187</v>
      </c>
      <c r="B190" s="229">
        <v>3752</v>
      </c>
      <c r="C190" s="231" t="s">
        <v>456</v>
      </c>
      <c r="D190" s="239">
        <v>345</v>
      </c>
      <c r="E190" s="233">
        <v>0.4</v>
      </c>
      <c r="F190" s="233">
        <f t="shared" si="4"/>
        <v>138</v>
      </c>
      <c r="G190" s="233"/>
      <c r="H190" s="233">
        <f t="shared" si="5"/>
        <v>138</v>
      </c>
      <c r="I190" s="240">
        <v>2789493</v>
      </c>
      <c r="J190" s="236" t="s">
        <v>457</v>
      </c>
      <c r="K190" s="235" t="s">
        <v>25</v>
      </c>
      <c r="L190" s="236" t="s">
        <v>26</v>
      </c>
      <c r="M190" s="229">
        <v>97884330</v>
      </c>
      <c r="N190" s="244"/>
    </row>
    <row r="191" spans="1:15" x14ac:dyDescent="0.2">
      <c r="A191" s="251">
        <v>188</v>
      </c>
      <c r="B191" s="251">
        <v>3753</v>
      </c>
      <c r="C191" s="252" t="s">
        <v>458</v>
      </c>
      <c r="D191" s="253">
        <v>248.3</v>
      </c>
      <c r="E191" s="254">
        <v>0.4</v>
      </c>
      <c r="F191" s="254">
        <f t="shared" si="4"/>
        <v>99.320000000000007</v>
      </c>
      <c r="G191" s="254">
        <f>97.55+1.77</f>
        <v>99.32</v>
      </c>
      <c r="H191" s="254">
        <f t="shared" si="5"/>
        <v>0</v>
      </c>
      <c r="I191" s="255">
        <v>13938302</v>
      </c>
      <c r="J191" s="256" t="s">
        <v>459</v>
      </c>
      <c r="K191" s="263" t="s">
        <v>17</v>
      </c>
      <c r="L191" s="263" t="s">
        <v>18</v>
      </c>
      <c r="M191" s="251">
        <v>99054621</v>
      </c>
      <c r="N191" s="258">
        <v>45663</v>
      </c>
      <c r="O191" s="338">
        <v>45691</v>
      </c>
    </row>
    <row r="192" spans="1:15" x14ac:dyDescent="0.2">
      <c r="A192" s="229">
        <v>189</v>
      </c>
      <c r="B192" s="229">
        <v>3754</v>
      </c>
      <c r="C192" s="231" t="s">
        <v>460</v>
      </c>
      <c r="D192" s="239">
        <v>780.5</v>
      </c>
      <c r="E192" s="233">
        <v>0.4</v>
      </c>
      <c r="F192" s="233">
        <f t="shared" si="4"/>
        <v>312.20000000000005</v>
      </c>
      <c r="G192" s="233"/>
      <c r="H192" s="233">
        <f t="shared" si="5"/>
        <v>312.20000000000005</v>
      </c>
      <c r="I192" s="240">
        <v>443075</v>
      </c>
      <c r="J192" s="236" t="s">
        <v>461</v>
      </c>
      <c r="K192" s="244" t="s">
        <v>210</v>
      </c>
      <c r="L192" s="243" t="s">
        <v>211</v>
      </c>
      <c r="M192" s="229">
        <v>90937047</v>
      </c>
      <c r="N192" s="244"/>
    </row>
    <row r="193" spans="1:15" x14ac:dyDescent="0.2">
      <c r="A193" s="251">
        <v>190</v>
      </c>
      <c r="B193" s="251">
        <v>3755</v>
      </c>
      <c r="C193" s="252" t="s">
        <v>462</v>
      </c>
      <c r="D193" s="253">
        <v>616</v>
      </c>
      <c r="E193" s="254">
        <v>0.4</v>
      </c>
      <c r="F193" s="254">
        <f t="shared" si="4"/>
        <v>246.4</v>
      </c>
      <c r="G193" s="254">
        <f>244.43</f>
        <v>244.43</v>
      </c>
      <c r="H193" s="254">
        <f t="shared" si="5"/>
        <v>1.9699999999999989</v>
      </c>
      <c r="I193" s="255">
        <v>15536654</v>
      </c>
      <c r="J193" s="256" t="s">
        <v>463</v>
      </c>
      <c r="K193" s="257" t="s">
        <v>25</v>
      </c>
      <c r="L193" s="256" t="s">
        <v>26</v>
      </c>
      <c r="M193" s="251">
        <v>92826690</v>
      </c>
      <c r="N193" s="258">
        <v>45658</v>
      </c>
    </row>
    <row r="194" spans="1:15" x14ac:dyDescent="0.2">
      <c r="A194" s="251">
        <v>191</v>
      </c>
      <c r="B194" s="251">
        <v>3756</v>
      </c>
      <c r="C194" s="252" t="s">
        <v>464</v>
      </c>
      <c r="D194" s="253">
        <v>250.2</v>
      </c>
      <c r="E194" s="254">
        <v>0.4</v>
      </c>
      <c r="F194" s="254">
        <f t="shared" si="4"/>
        <v>100.08</v>
      </c>
      <c r="G194" s="254">
        <f>F194</f>
        <v>100.08</v>
      </c>
      <c r="H194" s="254">
        <f t="shared" si="5"/>
        <v>0</v>
      </c>
      <c r="I194" s="255">
        <v>630458</v>
      </c>
      <c r="J194" s="256" t="s">
        <v>465</v>
      </c>
      <c r="K194" s="257" t="s">
        <v>25</v>
      </c>
      <c r="L194" s="256" t="s">
        <v>26</v>
      </c>
      <c r="M194" s="251"/>
      <c r="N194" s="258">
        <v>45685</v>
      </c>
    </row>
    <row r="195" spans="1:15" x14ac:dyDescent="0.2">
      <c r="A195" s="251">
        <v>192</v>
      </c>
      <c r="B195" s="251">
        <v>3757</v>
      </c>
      <c r="C195" s="252" t="s">
        <v>466</v>
      </c>
      <c r="D195" s="253">
        <v>346</v>
      </c>
      <c r="E195" s="254">
        <v>0.4</v>
      </c>
      <c r="F195" s="254">
        <f t="shared" si="4"/>
        <v>138.4</v>
      </c>
      <c r="G195" s="254">
        <f>131.72+6.68</f>
        <v>138.4</v>
      </c>
      <c r="H195" s="254">
        <f t="shared" si="5"/>
        <v>0</v>
      </c>
      <c r="I195" s="255">
        <v>729973</v>
      </c>
      <c r="J195" s="256" t="s">
        <v>467</v>
      </c>
      <c r="K195" s="256" t="s">
        <v>121</v>
      </c>
      <c r="L195" s="263" t="s">
        <v>122</v>
      </c>
      <c r="M195" s="251">
        <v>92283227</v>
      </c>
      <c r="N195" s="258">
        <v>45691</v>
      </c>
      <c r="O195" s="338">
        <v>45779</v>
      </c>
    </row>
    <row r="196" spans="1:15" x14ac:dyDescent="0.2">
      <c r="A196" s="251">
        <v>193</v>
      </c>
      <c r="B196" s="251">
        <v>3758</v>
      </c>
      <c r="C196" s="252" t="s">
        <v>468</v>
      </c>
      <c r="D196" s="253">
        <v>329.3</v>
      </c>
      <c r="E196" s="254">
        <v>0.4</v>
      </c>
      <c r="F196" s="254">
        <f t="shared" ref="F196:F259" si="6">E196*D196</f>
        <v>131.72</v>
      </c>
      <c r="G196" s="254">
        <f>130.25+1.47</f>
        <v>131.72</v>
      </c>
      <c r="H196" s="254">
        <f t="shared" ref="H196:H259" si="7">F196-G196</f>
        <v>0</v>
      </c>
      <c r="I196" s="255">
        <v>18899068</v>
      </c>
      <c r="J196" s="256" t="s">
        <v>469</v>
      </c>
      <c r="K196" s="257" t="s">
        <v>25</v>
      </c>
      <c r="L196" s="256" t="s">
        <v>26</v>
      </c>
      <c r="M196" s="251">
        <v>92672061</v>
      </c>
      <c r="N196" s="258">
        <v>45665</v>
      </c>
      <c r="O196" s="338">
        <v>45679</v>
      </c>
    </row>
    <row r="197" spans="1:15" x14ac:dyDescent="0.2">
      <c r="A197" s="251">
        <v>194</v>
      </c>
      <c r="B197" s="251">
        <v>3759</v>
      </c>
      <c r="C197" s="252" t="s">
        <v>774</v>
      </c>
      <c r="D197" s="253">
        <v>344</v>
      </c>
      <c r="E197" s="254">
        <v>0.4</v>
      </c>
      <c r="F197" s="254">
        <f t="shared" si="6"/>
        <v>137.6</v>
      </c>
      <c r="G197" s="254">
        <f>136.78+0.82</f>
        <v>137.6</v>
      </c>
      <c r="H197" s="254">
        <f t="shared" si="7"/>
        <v>0</v>
      </c>
      <c r="I197" s="255">
        <v>5634282</v>
      </c>
      <c r="J197" s="256" t="s">
        <v>30</v>
      </c>
      <c r="K197" s="257" t="s">
        <v>25</v>
      </c>
      <c r="L197" s="256" t="s">
        <v>26</v>
      </c>
      <c r="M197" s="251">
        <v>99293745</v>
      </c>
      <c r="N197" s="258">
        <v>45665</v>
      </c>
      <c r="O197" s="338">
        <v>45679</v>
      </c>
    </row>
    <row r="198" spans="1:15" x14ac:dyDescent="0.2">
      <c r="A198" s="251">
        <v>195</v>
      </c>
      <c r="B198" s="251">
        <v>3760</v>
      </c>
      <c r="C198" s="252" t="s">
        <v>470</v>
      </c>
      <c r="D198" s="253">
        <v>308.2</v>
      </c>
      <c r="E198" s="254">
        <v>0.4</v>
      </c>
      <c r="F198" s="254">
        <f t="shared" si="6"/>
        <v>123.28</v>
      </c>
      <c r="G198" s="254">
        <f>118.48+4.8</f>
        <v>123.28</v>
      </c>
      <c r="H198" s="254">
        <f t="shared" si="7"/>
        <v>0</v>
      </c>
      <c r="I198" s="255">
        <v>19531566</v>
      </c>
      <c r="J198" s="256" t="s">
        <v>471</v>
      </c>
      <c r="K198" s="263" t="s">
        <v>17</v>
      </c>
      <c r="L198" s="263" t="s">
        <v>18</v>
      </c>
      <c r="M198" s="251">
        <v>90988855</v>
      </c>
      <c r="N198" s="258">
        <v>45670</v>
      </c>
      <c r="O198" s="338">
        <v>45691</v>
      </c>
    </row>
    <row r="199" spans="1:15" x14ac:dyDescent="0.2">
      <c r="A199" s="251">
        <v>196</v>
      </c>
      <c r="B199" s="251">
        <v>3762</v>
      </c>
      <c r="C199" s="252" t="s">
        <v>472</v>
      </c>
      <c r="D199" s="253">
        <v>411.1</v>
      </c>
      <c r="E199" s="254">
        <v>0.4</v>
      </c>
      <c r="F199" s="254">
        <f t="shared" si="6"/>
        <v>164.44000000000003</v>
      </c>
      <c r="G199" s="254">
        <f>163.43+1.01</f>
        <v>164.44</v>
      </c>
      <c r="H199" s="254">
        <f t="shared" si="7"/>
        <v>0</v>
      </c>
      <c r="I199" s="255">
        <v>15664101</v>
      </c>
      <c r="J199" s="256" t="s">
        <v>473</v>
      </c>
      <c r="K199" s="257" t="s">
        <v>25</v>
      </c>
      <c r="L199" s="256" t="s">
        <v>26</v>
      </c>
      <c r="M199" s="251"/>
      <c r="N199" s="258">
        <v>45658</v>
      </c>
      <c r="O199" s="338">
        <v>45685</v>
      </c>
    </row>
    <row r="200" spans="1:15" x14ac:dyDescent="0.2">
      <c r="A200" s="229">
        <v>197</v>
      </c>
      <c r="B200" s="229">
        <v>3764</v>
      </c>
      <c r="C200" s="231" t="s">
        <v>474</v>
      </c>
      <c r="D200" s="239">
        <v>816.4</v>
      </c>
      <c r="E200" s="233">
        <v>0.4</v>
      </c>
      <c r="F200" s="233">
        <f t="shared" si="6"/>
        <v>326.56</v>
      </c>
      <c r="G200" s="233"/>
      <c r="H200" s="233">
        <f t="shared" si="7"/>
        <v>326.56</v>
      </c>
      <c r="I200" s="240">
        <v>1996843</v>
      </c>
      <c r="J200" s="236" t="s">
        <v>475</v>
      </c>
      <c r="K200" s="235" t="s">
        <v>25</v>
      </c>
      <c r="L200" s="236" t="s">
        <v>26</v>
      </c>
      <c r="M200" s="229">
        <v>91918493</v>
      </c>
      <c r="N200" s="244"/>
    </row>
    <row r="201" spans="1:15" x14ac:dyDescent="0.2">
      <c r="A201" s="251">
        <v>198</v>
      </c>
      <c r="B201" s="251">
        <v>3765</v>
      </c>
      <c r="C201" s="252" t="s">
        <v>31</v>
      </c>
      <c r="D201" s="253">
        <v>836</v>
      </c>
      <c r="E201" s="254">
        <v>0.4</v>
      </c>
      <c r="F201" s="254">
        <f t="shared" si="6"/>
        <v>334.40000000000003</v>
      </c>
      <c r="G201" s="254">
        <f>F201</f>
        <v>334.40000000000003</v>
      </c>
      <c r="H201" s="254">
        <f t="shared" si="7"/>
        <v>0</v>
      </c>
      <c r="I201" s="255">
        <v>19752023</v>
      </c>
      <c r="J201" s="256" t="s">
        <v>32</v>
      </c>
      <c r="K201" s="257" t="s">
        <v>25</v>
      </c>
      <c r="L201" s="256" t="s">
        <v>26</v>
      </c>
      <c r="M201" s="251">
        <v>99499894</v>
      </c>
      <c r="N201" s="258">
        <v>45691</v>
      </c>
    </row>
    <row r="202" spans="1:15" s="269" customFormat="1" x14ac:dyDescent="0.2">
      <c r="A202" s="251">
        <v>199</v>
      </c>
      <c r="B202" s="251">
        <v>3766</v>
      </c>
      <c r="C202" s="252" t="s">
        <v>476</v>
      </c>
      <c r="D202" s="253">
        <v>307.7</v>
      </c>
      <c r="E202" s="254">
        <v>0.4</v>
      </c>
      <c r="F202" s="254">
        <f t="shared" si="6"/>
        <v>123.08</v>
      </c>
      <c r="G202" s="254">
        <f>122.71</f>
        <v>122.71</v>
      </c>
      <c r="H202" s="254">
        <f t="shared" si="7"/>
        <v>0.37000000000000455</v>
      </c>
      <c r="I202" s="255">
        <v>5729117</v>
      </c>
      <c r="J202" s="256" t="s">
        <v>477</v>
      </c>
      <c r="K202" s="263" t="s">
        <v>17</v>
      </c>
      <c r="L202" s="263" t="s">
        <v>18</v>
      </c>
      <c r="M202" s="251">
        <v>97297211</v>
      </c>
      <c r="N202" s="263" t="s">
        <v>893</v>
      </c>
      <c r="O202" s="351"/>
    </row>
    <row r="203" spans="1:15" x14ac:dyDescent="0.2">
      <c r="A203" s="229">
        <v>200</v>
      </c>
      <c r="B203" s="229">
        <v>3767</v>
      </c>
      <c r="C203" s="231" t="s">
        <v>478</v>
      </c>
      <c r="D203" s="239">
        <v>1242</v>
      </c>
      <c r="E203" s="233">
        <v>0.4</v>
      </c>
      <c r="F203" s="233">
        <f t="shared" si="6"/>
        <v>496.8</v>
      </c>
      <c r="G203" s="233"/>
      <c r="H203" s="233">
        <f t="shared" si="7"/>
        <v>496.8</v>
      </c>
      <c r="I203" s="240">
        <v>971428</v>
      </c>
      <c r="J203" s="236" t="s">
        <v>479</v>
      </c>
      <c r="K203" s="235" t="s">
        <v>25</v>
      </c>
      <c r="L203" s="236" t="s">
        <v>26</v>
      </c>
      <c r="M203" s="229">
        <v>92214819</v>
      </c>
      <c r="N203" s="244"/>
    </row>
    <row r="204" spans="1:15" x14ac:dyDescent="0.2">
      <c r="A204" s="251">
        <v>201</v>
      </c>
      <c r="B204" s="251">
        <v>3768</v>
      </c>
      <c r="C204" s="252" t="s">
        <v>480</v>
      </c>
      <c r="D204" s="253">
        <v>275</v>
      </c>
      <c r="E204" s="254">
        <v>0.4</v>
      </c>
      <c r="F204" s="254">
        <f t="shared" si="6"/>
        <v>110</v>
      </c>
      <c r="G204" s="254">
        <f>105.38+4.62</f>
        <v>110</v>
      </c>
      <c r="H204" s="254">
        <f t="shared" si="7"/>
        <v>0</v>
      </c>
      <c r="I204" s="255">
        <v>21349024</v>
      </c>
      <c r="J204" s="256" t="s">
        <v>481</v>
      </c>
      <c r="K204" s="257" t="s">
        <v>25</v>
      </c>
      <c r="L204" s="256" t="s">
        <v>26</v>
      </c>
      <c r="M204" s="251">
        <v>71536935</v>
      </c>
      <c r="N204" s="258">
        <v>45658</v>
      </c>
      <c r="O204" s="258">
        <v>45691</v>
      </c>
    </row>
    <row r="205" spans="1:15" x14ac:dyDescent="0.2">
      <c r="A205" s="251">
        <v>202</v>
      </c>
      <c r="B205" s="251">
        <v>3769</v>
      </c>
      <c r="C205" s="252" t="s">
        <v>482</v>
      </c>
      <c r="D205" s="253">
        <v>341.6</v>
      </c>
      <c r="E205" s="254">
        <v>0.4</v>
      </c>
      <c r="F205" s="254">
        <f t="shared" si="6"/>
        <v>136.64000000000001</v>
      </c>
      <c r="G205" s="254">
        <f>136.19+0.45</f>
        <v>136.63999999999999</v>
      </c>
      <c r="H205" s="254">
        <f t="shared" si="7"/>
        <v>0</v>
      </c>
      <c r="I205" s="255">
        <v>24915633</v>
      </c>
      <c r="J205" s="256" t="s">
        <v>483</v>
      </c>
      <c r="K205" s="263" t="s">
        <v>43</v>
      </c>
      <c r="L205" s="256" t="s">
        <v>44</v>
      </c>
      <c r="M205" s="251">
        <v>99605319</v>
      </c>
      <c r="N205" s="258">
        <v>45665</v>
      </c>
      <c r="O205" s="258">
        <v>45691</v>
      </c>
    </row>
    <row r="206" spans="1:15" x14ac:dyDescent="0.2">
      <c r="A206" s="229">
        <v>203</v>
      </c>
      <c r="B206" s="229">
        <v>3770</v>
      </c>
      <c r="C206" s="231" t="s">
        <v>33</v>
      </c>
      <c r="D206" s="239">
        <v>242</v>
      </c>
      <c r="E206" s="233">
        <v>0.4</v>
      </c>
      <c r="F206" s="233">
        <f t="shared" si="6"/>
        <v>96.800000000000011</v>
      </c>
      <c r="G206" s="233"/>
      <c r="H206" s="233">
        <f t="shared" si="7"/>
        <v>96.800000000000011</v>
      </c>
      <c r="I206" s="240">
        <v>7198036</v>
      </c>
      <c r="J206" s="236" t="s">
        <v>34</v>
      </c>
      <c r="K206" s="235" t="s">
        <v>25</v>
      </c>
      <c r="L206" s="236" t="s">
        <v>26</v>
      </c>
      <c r="M206" s="229">
        <v>92321799</v>
      </c>
      <c r="N206" s="244"/>
    </row>
    <row r="207" spans="1:15" x14ac:dyDescent="0.2">
      <c r="A207" s="284">
        <v>204</v>
      </c>
      <c r="B207" s="284">
        <v>3771</v>
      </c>
      <c r="C207" s="285" t="s">
        <v>484</v>
      </c>
      <c r="D207" s="286">
        <v>622</v>
      </c>
      <c r="E207" s="287">
        <v>0.4</v>
      </c>
      <c r="F207" s="287">
        <f t="shared" si="6"/>
        <v>248.8</v>
      </c>
      <c r="G207" s="287">
        <f>F207</f>
        <v>248.8</v>
      </c>
      <c r="H207" s="287">
        <f t="shared" si="7"/>
        <v>0</v>
      </c>
      <c r="I207" s="300">
        <v>1977962</v>
      </c>
      <c r="J207" s="289" t="s">
        <v>485</v>
      </c>
      <c r="K207" s="301" t="s">
        <v>25</v>
      </c>
      <c r="L207" s="289" t="s">
        <v>26</v>
      </c>
      <c r="M207" s="284">
        <v>99488815</v>
      </c>
      <c r="N207" s="290" t="s">
        <v>716</v>
      </c>
    </row>
    <row r="208" spans="1:15" x14ac:dyDescent="0.2">
      <c r="A208" s="229">
        <v>205</v>
      </c>
      <c r="B208" s="229">
        <v>3772</v>
      </c>
      <c r="C208" s="231" t="s">
        <v>486</v>
      </c>
      <c r="D208" s="239">
        <v>331.6</v>
      </c>
      <c r="E208" s="233">
        <v>0.4</v>
      </c>
      <c r="F208" s="233">
        <f t="shared" si="6"/>
        <v>132.64000000000001</v>
      </c>
      <c r="G208" s="233"/>
      <c r="H208" s="233">
        <f t="shared" si="7"/>
        <v>132.64000000000001</v>
      </c>
      <c r="I208" s="240">
        <v>6419804</v>
      </c>
      <c r="J208" s="236" t="s">
        <v>487</v>
      </c>
      <c r="K208" s="235" t="s">
        <v>25</v>
      </c>
      <c r="L208" s="241" t="s">
        <v>26</v>
      </c>
      <c r="M208" s="229"/>
      <c r="N208" s="244"/>
    </row>
    <row r="209" spans="1:15" x14ac:dyDescent="0.2">
      <c r="A209" s="229">
        <v>206</v>
      </c>
      <c r="B209" s="229">
        <v>3773</v>
      </c>
      <c r="C209" s="231" t="s">
        <v>488</v>
      </c>
      <c r="D209" s="239">
        <v>321.2</v>
      </c>
      <c r="E209" s="233">
        <v>0.4</v>
      </c>
      <c r="F209" s="233">
        <f t="shared" si="6"/>
        <v>128.47999999999999</v>
      </c>
      <c r="G209" s="233"/>
      <c r="H209" s="233">
        <f t="shared" si="7"/>
        <v>128.47999999999999</v>
      </c>
      <c r="I209" s="240">
        <v>2023936</v>
      </c>
      <c r="J209" s="236" t="s">
        <v>489</v>
      </c>
      <c r="K209" s="235" t="s">
        <v>210</v>
      </c>
      <c r="L209" s="241" t="s">
        <v>211</v>
      </c>
      <c r="M209" s="229"/>
      <c r="N209" s="244"/>
    </row>
    <row r="210" spans="1:15" x14ac:dyDescent="0.2">
      <c r="A210" s="251">
        <v>207</v>
      </c>
      <c r="B210" s="251">
        <v>3774</v>
      </c>
      <c r="C210" s="252" t="s">
        <v>490</v>
      </c>
      <c r="D210" s="253">
        <v>247.2</v>
      </c>
      <c r="E210" s="254">
        <v>0.4</v>
      </c>
      <c r="F210" s="254">
        <f t="shared" si="6"/>
        <v>98.88</v>
      </c>
      <c r="G210" s="254">
        <f>97.73+1.15</f>
        <v>98.88000000000001</v>
      </c>
      <c r="H210" s="254">
        <f t="shared" si="7"/>
        <v>0</v>
      </c>
      <c r="I210" s="255">
        <v>889849</v>
      </c>
      <c r="J210" s="256" t="s">
        <v>491</v>
      </c>
      <c r="K210" s="263" t="s">
        <v>17</v>
      </c>
      <c r="L210" s="263" t="s">
        <v>18</v>
      </c>
      <c r="M210" s="251">
        <v>93011211</v>
      </c>
      <c r="N210" s="258">
        <v>45644</v>
      </c>
      <c r="O210" s="281">
        <v>45677</v>
      </c>
    </row>
    <row r="211" spans="1:15" x14ac:dyDescent="0.2">
      <c r="A211" s="251">
        <v>208</v>
      </c>
      <c r="B211" s="251">
        <v>3775</v>
      </c>
      <c r="C211" s="252" t="s">
        <v>492</v>
      </c>
      <c r="D211" s="253">
        <v>216</v>
      </c>
      <c r="E211" s="254">
        <v>0.4</v>
      </c>
      <c r="F211" s="254">
        <f t="shared" si="6"/>
        <v>86.4</v>
      </c>
      <c r="G211" s="254">
        <f>83.39</f>
        <v>83.39</v>
      </c>
      <c r="H211" s="254">
        <f t="shared" si="7"/>
        <v>3.0100000000000051</v>
      </c>
      <c r="I211" s="255">
        <v>7198074</v>
      </c>
      <c r="J211" s="256" t="s">
        <v>493</v>
      </c>
      <c r="K211" s="263" t="s">
        <v>210</v>
      </c>
      <c r="L211" s="262" t="s">
        <v>211</v>
      </c>
      <c r="M211" s="251">
        <v>98182322</v>
      </c>
      <c r="N211" s="258">
        <v>45670</v>
      </c>
    </row>
    <row r="212" spans="1:15" x14ac:dyDescent="0.2">
      <c r="A212" s="229">
        <v>209</v>
      </c>
      <c r="B212" s="229">
        <v>3776</v>
      </c>
      <c r="C212" s="231" t="s">
        <v>494</v>
      </c>
      <c r="D212" s="239">
        <v>277.3</v>
      </c>
      <c r="E212" s="233">
        <v>0.4</v>
      </c>
      <c r="F212" s="233">
        <f t="shared" si="6"/>
        <v>110.92000000000002</v>
      </c>
      <c r="G212" s="233"/>
      <c r="H212" s="233">
        <f t="shared" si="7"/>
        <v>110.92000000000002</v>
      </c>
      <c r="I212" s="240">
        <v>5530783</v>
      </c>
      <c r="J212" s="236" t="s">
        <v>495</v>
      </c>
      <c r="K212" s="235" t="s">
        <v>25</v>
      </c>
      <c r="L212" s="236" t="s">
        <v>26</v>
      </c>
      <c r="M212" s="229">
        <v>97170030</v>
      </c>
      <c r="N212" s="244"/>
    </row>
    <row r="213" spans="1:15" x14ac:dyDescent="0.2">
      <c r="A213" s="229">
        <v>210</v>
      </c>
      <c r="B213" s="229">
        <v>3777</v>
      </c>
      <c r="C213" s="231" t="s">
        <v>496</v>
      </c>
      <c r="D213" s="239">
        <v>780.8</v>
      </c>
      <c r="E213" s="233">
        <v>0.4</v>
      </c>
      <c r="F213" s="233">
        <f t="shared" si="6"/>
        <v>312.32</v>
      </c>
      <c r="G213" s="233"/>
      <c r="H213" s="233">
        <f t="shared" si="7"/>
        <v>312.32</v>
      </c>
      <c r="I213" s="240">
        <v>6538875</v>
      </c>
      <c r="J213" s="236" t="s">
        <v>497</v>
      </c>
      <c r="K213" s="235" t="s">
        <v>25</v>
      </c>
      <c r="L213" s="236" t="s">
        <v>26</v>
      </c>
      <c r="M213" s="229">
        <v>91750033</v>
      </c>
      <c r="N213" s="244"/>
    </row>
    <row r="214" spans="1:15" ht="15" x14ac:dyDescent="0.25">
      <c r="A214" s="251">
        <v>211</v>
      </c>
      <c r="B214" s="251">
        <v>3778</v>
      </c>
      <c r="C214" s="252" t="s">
        <v>498</v>
      </c>
      <c r="D214" s="253">
        <v>401.5</v>
      </c>
      <c r="E214" s="254">
        <v>0.4</v>
      </c>
      <c r="F214" s="254">
        <f t="shared" si="6"/>
        <v>160.60000000000002</v>
      </c>
      <c r="G214" s="254">
        <f>156.52+4.08</f>
        <v>160.60000000000002</v>
      </c>
      <c r="H214" s="254">
        <f t="shared" si="7"/>
        <v>0</v>
      </c>
      <c r="I214" s="255">
        <v>1481822</v>
      </c>
      <c r="J214" s="256" t="s">
        <v>499</v>
      </c>
      <c r="K214" s="263" t="s">
        <v>17</v>
      </c>
      <c r="L214" s="263" t="s">
        <v>18</v>
      </c>
      <c r="M214" s="251">
        <v>92951944</v>
      </c>
      <c r="N214" s="258">
        <v>45658</v>
      </c>
      <c r="O214" s="415" t="s">
        <v>875</v>
      </c>
    </row>
    <row r="215" spans="1:15" x14ac:dyDescent="0.2">
      <c r="A215" s="251">
        <v>212</v>
      </c>
      <c r="B215" s="251">
        <v>3781</v>
      </c>
      <c r="C215" s="252" t="s">
        <v>500</v>
      </c>
      <c r="D215" s="253">
        <v>654.29999999999995</v>
      </c>
      <c r="E215" s="254">
        <v>0.4</v>
      </c>
      <c r="F215" s="254">
        <f t="shared" si="6"/>
        <v>261.71999999999997</v>
      </c>
      <c r="G215" s="254">
        <f>259.063+2.657</f>
        <v>261.71999999999997</v>
      </c>
      <c r="H215" s="254">
        <f t="shared" si="7"/>
        <v>0</v>
      </c>
      <c r="I215" s="373" t="s">
        <v>501</v>
      </c>
      <c r="J215" s="256" t="s">
        <v>502</v>
      </c>
      <c r="K215" s="256" t="s">
        <v>503</v>
      </c>
      <c r="L215" s="322" t="s">
        <v>504</v>
      </c>
      <c r="M215" s="251">
        <v>95655550</v>
      </c>
      <c r="N215" s="258">
        <v>45658</v>
      </c>
      <c r="O215" s="338">
        <v>45691</v>
      </c>
    </row>
    <row r="216" spans="1:15" x14ac:dyDescent="0.2">
      <c r="A216" s="251">
        <v>213</v>
      </c>
      <c r="B216" s="251">
        <v>3782</v>
      </c>
      <c r="C216" s="252" t="s">
        <v>505</v>
      </c>
      <c r="D216" s="253">
        <v>600.4</v>
      </c>
      <c r="E216" s="254">
        <v>0.4</v>
      </c>
      <c r="F216" s="254">
        <f t="shared" si="6"/>
        <v>240.16</v>
      </c>
      <c r="G216" s="254">
        <f>237.42+2.74</f>
        <v>240.16</v>
      </c>
      <c r="H216" s="254">
        <f t="shared" si="7"/>
        <v>0</v>
      </c>
      <c r="I216" s="255">
        <v>8467003</v>
      </c>
      <c r="J216" s="256" t="s">
        <v>506</v>
      </c>
      <c r="K216" s="257" t="s">
        <v>17</v>
      </c>
      <c r="L216" s="256" t="s">
        <v>18</v>
      </c>
      <c r="M216" s="251">
        <v>96138831</v>
      </c>
      <c r="N216" s="258">
        <v>45658</v>
      </c>
      <c r="O216" s="281">
        <v>45677</v>
      </c>
    </row>
    <row r="217" spans="1:15" x14ac:dyDescent="0.2">
      <c r="A217" s="251">
        <v>214</v>
      </c>
      <c r="B217" s="251">
        <v>3783</v>
      </c>
      <c r="C217" s="252" t="s">
        <v>507</v>
      </c>
      <c r="D217" s="253">
        <v>280</v>
      </c>
      <c r="E217" s="254">
        <v>0.4</v>
      </c>
      <c r="F217" s="254">
        <f t="shared" si="6"/>
        <v>112</v>
      </c>
      <c r="G217" s="254">
        <f>106.78</f>
        <v>106.78</v>
      </c>
      <c r="H217" s="254">
        <f t="shared" si="7"/>
        <v>5.2199999999999989</v>
      </c>
      <c r="I217" s="255">
        <v>25019867</v>
      </c>
      <c r="J217" s="236" t="s">
        <v>508</v>
      </c>
      <c r="K217" s="244" t="s">
        <v>17</v>
      </c>
      <c r="L217" s="244" t="s">
        <v>18</v>
      </c>
      <c r="M217" s="251">
        <v>97264292</v>
      </c>
      <c r="N217" s="258">
        <v>45691</v>
      </c>
    </row>
    <row r="218" spans="1:15" x14ac:dyDescent="0.2">
      <c r="A218" s="229">
        <v>215</v>
      </c>
      <c r="B218" s="229">
        <v>3784</v>
      </c>
      <c r="C218" s="231" t="s">
        <v>509</v>
      </c>
      <c r="D218" s="239">
        <v>525</v>
      </c>
      <c r="E218" s="233">
        <v>0.4</v>
      </c>
      <c r="F218" s="233">
        <f t="shared" si="6"/>
        <v>210</v>
      </c>
      <c r="G218" s="233"/>
      <c r="H218" s="233">
        <f t="shared" si="7"/>
        <v>210</v>
      </c>
      <c r="I218" s="240">
        <v>19870884</v>
      </c>
      <c r="J218" s="236" t="s">
        <v>510</v>
      </c>
      <c r="K218" s="235" t="s">
        <v>25</v>
      </c>
      <c r="L218" s="236" t="s">
        <v>26</v>
      </c>
      <c r="M218" s="229">
        <v>94847877</v>
      </c>
      <c r="N218" s="244"/>
    </row>
    <row r="219" spans="1:15" x14ac:dyDescent="0.2">
      <c r="A219" s="374">
        <v>216</v>
      </c>
      <c r="B219" s="374">
        <v>3786</v>
      </c>
      <c r="C219" s="375" t="s">
        <v>511</v>
      </c>
      <c r="D219" s="376">
        <v>458</v>
      </c>
      <c r="E219" s="377">
        <v>0.4</v>
      </c>
      <c r="F219" s="377">
        <f t="shared" si="6"/>
        <v>183.20000000000002</v>
      </c>
      <c r="G219" s="377">
        <f>F219</f>
        <v>183.20000000000002</v>
      </c>
      <c r="H219" s="377">
        <f t="shared" si="7"/>
        <v>0</v>
      </c>
      <c r="I219" s="378">
        <v>941209</v>
      </c>
      <c r="J219" s="379" t="s">
        <v>512</v>
      </c>
      <c r="K219" s="380" t="s">
        <v>290</v>
      </c>
      <c r="L219" s="379" t="s">
        <v>291</v>
      </c>
      <c r="M219" s="374">
        <v>92975256</v>
      </c>
      <c r="N219" s="381" t="s">
        <v>853</v>
      </c>
    </row>
    <row r="220" spans="1:15" x14ac:dyDescent="0.2">
      <c r="A220" s="229">
        <v>217</v>
      </c>
      <c r="B220" s="229">
        <v>3787</v>
      </c>
      <c r="C220" s="231" t="s">
        <v>513</v>
      </c>
      <c r="D220" s="239">
        <v>668</v>
      </c>
      <c r="E220" s="233">
        <v>0.4</v>
      </c>
      <c r="F220" s="233">
        <f t="shared" si="6"/>
        <v>267.2</v>
      </c>
      <c r="G220" s="233"/>
      <c r="H220" s="233">
        <f t="shared" si="7"/>
        <v>267.2</v>
      </c>
      <c r="I220" s="240">
        <v>813786</v>
      </c>
      <c r="J220" s="236" t="s">
        <v>514</v>
      </c>
      <c r="K220" s="235" t="s">
        <v>25</v>
      </c>
      <c r="L220" s="236" t="s">
        <v>26</v>
      </c>
      <c r="M220" s="229">
        <v>99293129</v>
      </c>
      <c r="N220" s="244"/>
    </row>
    <row r="221" spans="1:15" x14ac:dyDescent="0.2">
      <c r="A221" s="229">
        <v>218</v>
      </c>
      <c r="B221" s="229">
        <v>3789</v>
      </c>
      <c r="C221" s="231" t="s">
        <v>515</v>
      </c>
      <c r="D221" s="239">
        <v>276</v>
      </c>
      <c r="E221" s="233">
        <v>0.4</v>
      </c>
      <c r="F221" s="233">
        <f t="shared" si="6"/>
        <v>110.4</v>
      </c>
      <c r="G221" s="233"/>
      <c r="H221" s="233">
        <f t="shared" si="7"/>
        <v>110.4</v>
      </c>
      <c r="I221" s="240">
        <v>22338686</v>
      </c>
      <c r="J221" s="236" t="s">
        <v>516</v>
      </c>
      <c r="K221" s="235" t="s">
        <v>25</v>
      </c>
      <c r="L221" s="236" t="s">
        <v>26</v>
      </c>
      <c r="M221" s="229">
        <v>92552232</v>
      </c>
      <c r="N221" s="244"/>
    </row>
    <row r="222" spans="1:15" s="292" customFormat="1" x14ac:dyDescent="0.2">
      <c r="A222" s="284">
        <v>219</v>
      </c>
      <c r="B222" s="284">
        <v>3791</v>
      </c>
      <c r="C222" s="285" t="s">
        <v>517</v>
      </c>
      <c r="D222" s="286">
        <v>300.8</v>
      </c>
      <c r="E222" s="287">
        <v>0.4</v>
      </c>
      <c r="F222" s="287">
        <f t="shared" si="6"/>
        <v>120.32000000000001</v>
      </c>
      <c r="G222" s="287">
        <f>F222</f>
        <v>120.32000000000001</v>
      </c>
      <c r="H222" s="287">
        <f t="shared" si="7"/>
        <v>0</v>
      </c>
      <c r="I222" s="300">
        <v>20365611</v>
      </c>
      <c r="J222" s="289" t="s">
        <v>518</v>
      </c>
      <c r="K222" s="301" t="s">
        <v>25</v>
      </c>
      <c r="L222" s="289" t="s">
        <v>26</v>
      </c>
      <c r="M222" s="284">
        <v>9257761</v>
      </c>
      <c r="N222" s="291">
        <v>45932</v>
      </c>
      <c r="O222" s="383"/>
    </row>
    <row r="223" spans="1:15" x14ac:dyDescent="0.2">
      <c r="A223" s="251">
        <v>220</v>
      </c>
      <c r="B223" s="251">
        <v>3792</v>
      </c>
      <c r="C223" s="352" t="s">
        <v>519</v>
      </c>
      <c r="D223" s="253">
        <v>297.7</v>
      </c>
      <c r="E223" s="254">
        <v>0.4</v>
      </c>
      <c r="F223" s="254">
        <f t="shared" si="6"/>
        <v>119.08</v>
      </c>
      <c r="G223" s="254">
        <f>115.92+3.16</f>
        <v>119.08</v>
      </c>
      <c r="H223" s="254">
        <f t="shared" si="7"/>
        <v>0</v>
      </c>
      <c r="I223" s="382">
        <v>23169608</v>
      </c>
      <c r="J223" s="355" t="s">
        <v>520</v>
      </c>
      <c r="K223" s="352" t="s">
        <v>290</v>
      </c>
      <c r="L223" s="355" t="s">
        <v>291</v>
      </c>
      <c r="M223" s="353">
        <v>93380506</v>
      </c>
      <c r="N223" s="258">
        <v>45658</v>
      </c>
      <c r="O223" s="281">
        <v>45691</v>
      </c>
    </row>
    <row r="224" spans="1:15" s="368" customFormat="1" x14ac:dyDescent="0.2">
      <c r="A224" s="360">
        <v>221</v>
      </c>
      <c r="B224" s="360">
        <v>3793</v>
      </c>
      <c r="C224" s="361" t="s">
        <v>521</v>
      </c>
      <c r="D224" s="362">
        <v>482.7</v>
      </c>
      <c r="E224" s="363">
        <v>0.4</v>
      </c>
      <c r="F224" s="363">
        <f t="shared" si="6"/>
        <v>193.08</v>
      </c>
      <c r="G224" s="363">
        <f>F224</f>
        <v>193.08</v>
      </c>
      <c r="H224" s="363">
        <f t="shared" si="7"/>
        <v>0</v>
      </c>
      <c r="I224" s="364">
        <v>1283875</v>
      </c>
      <c r="J224" s="367" t="s">
        <v>522</v>
      </c>
      <c r="K224" s="369" t="s">
        <v>43</v>
      </c>
      <c r="L224" s="367" t="s">
        <v>44</v>
      </c>
      <c r="M224" s="360">
        <v>92348115</v>
      </c>
      <c r="N224" s="369" t="s">
        <v>881</v>
      </c>
      <c r="O224" s="413"/>
    </row>
    <row r="225" spans="1:15" x14ac:dyDescent="0.2">
      <c r="A225" s="251">
        <v>222</v>
      </c>
      <c r="B225" s="251">
        <v>3794</v>
      </c>
      <c r="C225" s="252" t="s">
        <v>523</v>
      </c>
      <c r="D225" s="253">
        <v>735.2</v>
      </c>
      <c r="E225" s="254">
        <v>0.4</v>
      </c>
      <c r="F225" s="254">
        <f t="shared" si="6"/>
        <v>294.08000000000004</v>
      </c>
      <c r="G225" s="254">
        <f>288.106+5.974</f>
        <v>294.08</v>
      </c>
      <c r="H225" s="254">
        <f t="shared" si="7"/>
        <v>0</v>
      </c>
      <c r="I225" s="255">
        <v>8222931</v>
      </c>
      <c r="J225" s="256" t="s">
        <v>524</v>
      </c>
      <c r="K225" s="257" t="s">
        <v>25</v>
      </c>
      <c r="L225" s="256" t="s">
        <v>26</v>
      </c>
      <c r="M225" s="251">
        <v>93377666</v>
      </c>
      <c r="N225" s="258">
        <v>45658</v>
      </c>
      <c r="O225" s="338">
        <v>45779</v>
      </c>
    </row>
    <row r="226" spans="1:15" s="269" customFormat="1" x14ac:dyDescent="0.2">
      <c r="A226" s="251">
        <v>223</v>
      </c>
      <c r="B226" s="251">
        <v>3795</v>
      </c>
      <c r="C226" s="252" t="s">
        <v>525</v>
      </c>
      <c r="D226" s="253">
        <v>336.4</v>
      </c>
      <c r="E226" s="254">
        <v>0.4</v>
      </c>
      <c r="F226" s="254">
        <f t="shared" si="6"/>
        <v>134.56</v>
      </c>
      <c r="G226" s="254">
        <f>133.91</f>
        <v>133.91</v>
      </c>
      <c r="H226" s="254">
        <f t="shared" si="7"/>
        <v>0.65000000000000568</v>
      </c>
      <c r="I226" s="255">
        <v>2331658</v>
      </c>
      <c r="J226" s="256" t="s">
        <v>526</v>
      </c>
      <c r="K226" s="263" t="s">
        <v>17</v>
      </c>
      <c r="L226" s="263" t="s">
        <v>18</v>
      </c>
      <c r="M226" s="251">
        <v>91790440</v>
      </c>
      <c r="N226" s="258">
        <v>45691</v>
      </c>
      <c r="O226" s="351"/>
    </row>
    <row r="227" spans="1:15" x14ac:dyDescent="0.2">
      <c r="A227" s="251">
        <v>224</v>
      </c>
      <c r="B227" s="251">
        <v>3796</v>
      </c>
      <c r="C227" s="252" t="s">
        <v>527</v>
      </c>
      <c r="D227" s="253">
        <v>253</v>
      </c>
      <c r="E227" s="254">
        <v>0.4</v>
      </c>
      <c r="F227" s="254">
        <f t="shared" si="6"/>
        <v>101.2</v>
      </c>
      <c r="G227" s="254">
        <f>101.07</f>
        <v>101.07</v>
      </c>
      <c r="H227" s="254">
        <f t="shared" si="7"/>
        <v>0.13000000000000966</v>
      </c>
      <c r="I227" s="255">
        <v>6455206</v>
      </c>
      <c r="J227" s="256" t="s">
        <v>528</v>
      </c>
      <c r="K227" s="257" t="s">
        <v>25</v>
      </c>
      <c r="L227" s="256" t="s">
        <v>26</v>
      </c>
      <c r="M227" s="251">
        <v>97312444</v>
      </c>
      <c r="N227" s="258">
        <v>45670</v>
      </c>
    </row>
    <row r="228" spans="1:15" x14ac:dyDescent="0.2">
      <c r="A228" s="251">
        <v>225</v>
      </c>
      <c r="B228" s="251">
        <v>3798</v>
      </c>
      <c r="C228" s="252" t="s">
        <v>529</v>
      </c>
      <c r="D228" s="253">
        <v>285</v>
      </c>
      <c r="E228" s="254">
        <v>0.4</v>
      </c>
      <c r="F228" s="254">
        <f t="shared" si="6"/>
        <v>114</v>
      </c>
      <c r="G228" s="254">
        <f>113.27+0.73</f>
        <v>114</v>
      </c>
      <c r="H228" s="254">
        <f t="shared" si="7"/>
        <v>0</v>
      </c>
      <c r="I228" s="255">
        <v>6048954</v>
      </c>
      <c r="J228" s="256" t="s">
        <v>530</v>
      </c>
      <c r="K228" s="257" t="s">
        <v>25</v>
      </c>
      <c r="L228" s="256" t="s">
        <v>26</v>
      </c>
      <c r="M228" s="251">
        <v>92833445</v>
      </c>
      <c r="N228" s="258">
        <v>45658</v>
      </c>
      <c r="O228" s="338">
        <v>45685</v>
      </c>
    </row>
    <row r="229" spans="1:15" x14ac:dyDescent="0.2">
      <c r="A229" s="251">
        <v>226</v>
      </c>
      <c r="B229" s="251">
        <v>3799</v>
      </c>
      <c r="C229" s="252" t="s">
        <v>531</v>
      </c>
      <c r="D229" s="253">
        <v>765.2</v>
      </c>
      <c r="E229" s="254">
        <v>0.4</v>
      </c>
      <c r="F229" s="254">
        <f t="shared" si="6"/>
        <v>306.08000000000004</v>
      </c>
      <c r="G229" s="254">
        <f>304.81+1.27</f>
        <v>306.08</v>
      </c>
      <c r="H229" s="254">
        <f t="shared" si="7"/>
        <v>0</v>
      </c>
      <c r="I229" s="255">
        <v>12494672</v>
      </c>
      <c r="J229" s="256" t="s">
        <v>532</v>
      </c>
      <c r="K229" s="263" t="s">
        <v>17</v>
      </c>
      <c r="L229" s="263" t="s">
        <v>18</v>
      </c>
      <c r="M229" s="251">
        <v>98872720</v>
      </c>
      <c r="N229" s="258">
        <v>45670</v>
      </c>
      <c r="O229" s="329" t="s">
        <v>893</v>
      </c>
    </row>
    <row r="230" spans="1:15" x14ac:dyDescent="0.2">
      <c r="A230" s="229">
        <v>227</v>
      </c>
      <c r="B230" s="229">
        <v>3800</v>
      </c>
      <c r="C230" s="231" t="s">
        <v>534</v>
      </c>
      <c r="D230" s="239">
        <v>344</v>
      </c>
      <c r="E230" s="233">
        <v>0.4</v>
      </c>
      <c r="F230" s="233">
        <f t="shared" si="6"/>
        <v>137.6</v>
      </c>
      <c r="G230" s="233"/>
      <c r="H230" s="233">
        <f t="shared" si="7"/>
        <v>137.6</v>
      </c>
      <c r="I230" s="240">
        <v>11566758</v>
      </c>
      <c r="J230" s="236" t="s">
        <v>535</v>
      </c>
      <c r="K230" s="235" t="s">
        <v>25</v>
      </c>
      <c r="L230" s="241" t="s">
        <v>26</v>
      </c>
      <c r="M230" s="229"/>
      <c r="N230" s="244"/>
    </row>
    <row r="231" spans="1:15" x14ac:dyDescent="0.2">
      <c r="A231" s="251">
        <v>228</v>
      </c>
      <c r="B231" s="251">
        <v>3801</v>
      </c>
      <c r="C231" s="252" t="s">
        <v>536</v>
      </c>
      <c r="D231" s="253">
        <v>414.4</v>
      </c>
      <c r="E231" s="254">
        <v>0.4</v>
      </c>
      <c r="F231" s="254">
        <f t="shared" si="6"/>
        <v>165.76</v>
      </c>
      <c r="G231" s="254">
        <f>164.45+1.31</f>
        <v>165.76</v>
      </c>
      <c r="H231" s="254">
        <f t="shared" si="7"/>
        <v>0</v>
      </c>
      <c r="I231" s="255">
        <v>19559588</v>
      </c>
      <c r="J231" s="322" t="s">
        <v>537</v>
      </c>
      <c r="K231" s="257" t="s">
        <v>75</v>
      </c>
      <c r="L231" s="322" t="s">
        <v>76</v>
      </c>
      <c r="M231" s="251">
        <v>93200888</v>
      </c>
      <c r="N231" s="258">
        <v>45663</v>
      </c>
      <c r="O231" s="338">
        <v>45691</v>
      </c>
    </row>
    <row r="232" spans="1:15" x14ac:dyDescent="0.2">
      <c r="A232" s="251">
        <v>229</v>
      </c>
      <c r="B232" s="251">
        <v>3802</v>
      </c>
      <c r="C232" s="252" t="s">
        <v>538</v>
      </c>
      <c r="D232" s="253">
        <v>441.5</v>
      </c>
      <c r="E232" s="254">
        <v>0.4</v>
      </c>
      <c r="F232" s="254">
        <f t="shared" si="6"/>
        <v>176.60000000000002</v>
      </c>
      <c r="G232" s="254">
        <f>174.03+2.57</f>
        <v>176.6</v>
      </c>
      <c r="H232" s="254">
        <f t="shared" si="7"/>
        <v>0</v>
      </c>
      <c r="I232" s="255">
        <v>1260268</v>
      </c>
      <c r="J232" s="256" t="s">
        <v>539</v>
      </c>
      <c r="K232" s="257" t="s">
        <v>25</v>
      </c>
      <c r="L232" s="256" t="s">
        <v>26</v>
      </c>
      <c r="M232" s="251">
        <v>99692231</v>
      </c>
      <c r="N232" s="258">
        <v>45672</v>
      </c>
      <c r="O232" s="258">
        <v>45779</v>
      </c>
    </row>
    <row r="233" spans="1:15" x14ac:dyDescent="0.2">
      <c r="A233" s="229">
        <v>230</v>
      </c>
      <c r="B233" s="229">
        <v>3803</v>
      </c>
      <c r="C233" s="231" t="s">
        <v>540</v>
      </c>
      <c r="D233" s="239">
        <v>478.6</v>
      </c>
      <c r="E233" s="233">
        <v>0.4</v>
      </c>
      <c r="F233" s="233">
        <f t="shared" si="6"/>
        <v>191.44000000000003</v>
      </c>
      <c r="G233" s="233"/>
      <c r="H233" s="233">
        <f t="shared" si="7"/>
        <v>191.44000000000003</v>
      </c>
      <c r="I233" s="240">
        <v>4890484</v>
      </c>
      <c r="J233" s="236" t="s">
        <v>541</v>
      </c>
      <c r="K233" s="244" t="s">
        <v>17</v>
      </c>
      <c r="L233" s="244" t="s">
        <v>18</v>
      </c>
      <c r="M233" s="229">
        <v>93231221</v>
      </c>
      <c r="N233" s="244"/>
    </row>
    <row r="234" spans="1:15" x14ac:dyDescent="0.2">
      <c r="A234" s="229">
        <v>231</v>
      </c>
      <c r="B234" s="229">
        <v>3804</v>
      </c>
      <c r="C234" s="231" t="s">
        <v>542</v>
      </c>
      <c r="D234" s="239">
        <v>316.7</v>
      </c>
      <c r="E234" s="233">
        <v>0.4</v>
      </c>
      <c r="F234" s="233">
        <f t="shared" si="6"/>
        <v>126.68</v>
      </c>
      <c r="G234" s="233"/>
      <c r="H234" s="233">
        <f t="shared" si="7"/>
        <v>126.68</v>
      </c>
      <c r="I234" s="240">
        <v>18102928</v>
      </c>
      <c r="J234" s="236" t="s">
        <v>543</v>
      </c>
      <c r="K234" s="244" t="s">
        <v>17</v>
      </c>
      <c r="L234" s="244" t="s">
        <v>18</v>
      </c>
      <c r="M234" s="229">
        <v>95933733</v>
      </c>
      <c r="N234" s="244"/>
    </row>
    <row r="235" spans="1:15" x14ac:dyDescent="0.2">
      <c r="A235" s="251">
        <v>232</v>
      </c>
      <c r="B235" s="251">
        <v>3805</v>
      </c>
      <c r="C235" s="252" t="s">
        <v>544</v>
      </c>
      <c r="D235" s="253">
        <v>267.7</v>
      </c>
      <c r="E235" s="254">
        <v>0.4</v>
      </c>
      <c r="F235" s="254">
        <f t="shared" si="6"/>
        <v>107.08</v>
      </c>
      <c r="G235" s="254">
        <f>106.69+0.39</f>
        <v>107.08</v>
      </c>
      <c r="H235" s="254">
        <f t="shared" si="7"/>
        <v>0</v>
      </c>
      <c r="I235" s="321">
        <v>18675553</v>
      </c>
      <c r="J235" s="322" t="s">
        <v>545</v>
      </c>
      <c r="K235" s="262" t="s">
        <v>75</v>
      </c>
      <c r="L235" s="263" t="s">
        <v>76</v>
      </c>
      <c r="M235" s="251">
        <v>77588303</v>
      </c>
      <c r="N235" s="258">
        <v>45658</v>
      </c>
      <c r="O235" s="258">
        <v>45779</v>
      </c>
    </row>
    <row r="236" spans="1:15" x14ac:dyDescent="0.2">
      <c r="A236" s="251">
        <v>233</v>
      </c>
      <c r="B236" s="251">
        <v>3807</v>
      </c>
      <c r="C236" s="252" t="s">
        <v>546</v>
      </c>
      <c r="D236" s="253">
        <v>178.2</v>
      </c>
      <c r="E236" s="254">
        <v>0.4</v>
      </c>
      <c r="F236" s="254">
        <f t="shared" si="6"/>
        <v>71.28</v>
      </c>
      <c r="G236" s="254">
        <f>64.35+6.93</f>
        <v>71.28</v>
      </c>
      <c r="H236" s="254">
        <f t="shared" si="7"/>
        <v>0</v>
      </c>
      <c r="I236" s="255">
        <v>2110484</v>
      </c>
      <c r="J236" s="256" t="s">
        <v>547</v>
      </c>
      <c r="K236" s="263" t="s">
        <v>17</v>
      </c>
      <c r="L236" s="263" t="s">
        <v>18</v>
      </c>
      <c r="M236" s="251">
        <v>95918256</v>
      </c>
      <c r="N236" s="258">
        <v>45658</v>
      </c>
      <c r="O236" s="258">
        <v>45779</v>
      </c>
    </row>
    <row r="237" spans="1:15" x14ac:dyDescent="0.2">
      <c r="A237" s="251">
        <v>234</v>
      </c>
      <c r="B237" s="251">
        <v>3808</v>
      </c>
      <c r="C237" s="252" t="s">
        <v>548</v>
      </c>
      <c r="D237" s="253">
        <v>580.1</v>
      </c>
      <c r="E237" s="254">
        <v>0.4</v>
      </c>
      <c r="F237" s="254">
        <f t="shared" si="6"/>
        <v>232.04000000000002</v>
      </c>
      <c r="G237" s="254">
        <f>198.85+33.19</f>
        <v>232.04</v>
      </c>
      <c r="H237" s="254">
        <f t="shared" si="7"/>
        <v>0</v>
      </c>
      <c r="I237" s="255">
        <v>1366005</v>
      </c>
      <c r="J237" s="256" t="s">
        <v>549</v>
      </c>
      <c r="K237" s="263" t="s">
        <v>17</v>
      </c>
      <c r="L237" s="263" t="s">
        <v>18</v>
      </c>
      <c r="M237" s="251">
        <v>99589981</v>
      </c>
      <c r="N237" s="258">
        <v>45783</v>
      </c>
      <c r="O237" s="338">
        <v>45902</v>
      </c>
    </row>
    <row r="238" spans="1:15" x14ac:dyDescent="0.2">
      <c r="A238" s="251">
        <v>235</v>
      </c>
      <c r="B238" s="251">
        <v>3809</v>
      </c>
      <c r="C238" s="252" t="s">
        <v>550</v>
      </c>
      <c r="D238" s="253">
        <v>649.4</v>
      </c>
      <c r="E238" s="254">
        <v>0.4</v>
      </c>
      <c r="F238" s="254">
        <f t="shared" si="6"/>
        <v>259.76</v>
      </c>
      <c r="G238" s="254">
        <f>257.57+2.19</f>
        <v>259.76</v>
      </c>
      <c r="H238" s="254">
        <f t="shared" si="7"/>
        <v>0</v>
      </c>
      <c r="I238" s="255">
        <v>10913998</v>
      </c>
      <c r="J238" s="256" t="s">
        <v>551</v>
      </c>
      <c r="K238" s="257" t="s">
        <v>25</v>
      </c>
      <c r="L238" s="256" t="s">
        <v>26</v>
      </c>
      <c r="M238" s="251">
        <v>99080863</v>
      </c>
      <c r="N238" s="258">
        <v>45691</v>
      </c>
      <c r="O238" s="338">
        <v>45810</v>
      </c>
    </row>
    <row r="239" spans="1:15" x14ac:dyDescent="0.2">
      <c r="A239" s="229">
        <v>236</v>
      </c>
      <c r="B239" s="229">
        <v>3810</v>
      </c>
      <c r="C239" s="276" t="s">
        <v>553</v>
      </c>
      <c r="D239" s="239">
        <v>182.3</v>
      </c>
      <c r="E239" s="233">
        <v>0.4</v>
      </c>
      <c r="F239" s="233">
        <f t="shared" si="6"/>
        <v>72.92</v>
      </c>
      <c r="G239" s="233"/>
      <c r="H239" s="233">
        <f t="shared" si="7"/>
        <v>72.92</v>
      </c>
      <c r="I239" s="302">
        <v>9442232</v>
      </c>
      <c r="J239" s="279" t="s">
        <v>554</v>
      </c>
      <c r="K239" s="303" t="s">
        <v>25</v>
      </c>
      <c r="L239" s="304" t="s">
        <v>26</v>
      </c>
      <c r="M239" s="277">
        <v>98255338</v>
      </c>
      <c r="N239" s="244"/>
    </row>
    <row r="240" spans="1:15" x14ac:dyDescent="0.2">
      <c r="A240" s="251">
        <v>237</v>
      </c>
      <c r="B240" s="251">
        <v>3811</v>
      </c>
      <c r="C240" s="252" t="s">
        <v>555</v>
      </c>
      <c r="D240" s="253">
        <v>274.39999999999998</v>
      </c>
      <c r="E240" s="254">
        <v>0.4</v>
      </c>
      <c r="F240" s="254">
        <f t="shared" si="6"/>
        <v>109.75999999999999</v>
      </c>
      <c r="G240" s="254">
        <f>107.04+2.72</f>
        <v>109.76</v>
      </c>
      <c r="H240" s="254">
        <f t="shared" si="7"/>
        <v>0</v>
      </c>
      <c r="I240" s="255">
        <v>6865286</v>
      </c>
      <c r="J240" s="256" t="s">
        <v>556</v>
      </c>
      <c r="K240" s="262" t="s">
        <v>75</v>
      </c>
      <c r="L240" s="263" t="s">
        <v>76</v>
      </c>
      <c r="M240" s="251">
        <v>92441715</v>
      </c>
      <c r="N240" s="258">
        <v>45665</v>
      </c>
      <c r="O240" s="338">
        <v>45932</v>
      </c>
    </row>
    <row r="241" spans="1:15" x14ac:dyDescent="0.2">
      <c r="A241" s="251">
        <v>238</v>
      </c>
      <c r="B241" s="251">
        <v>3812</v>
      </c>
      <c r="C241" s="252" t="s">
        <v>557</v>
      </c>
      <c r="D241" s="253">
        <v>408.8</v>
      </c>
      <c r="E241" s="254">
        <v>0.4</v>
      </c>
      <c r="F241" s="254">
        <f t="shared" si="6"/>
        <v>163.52000000000001</v>
      </c>
      <c r="G241" s="254">
        <f>160.05</f>
        <v>160.05000000000001</v>
      </c>
      <c r="H241" s="254">
        <f t="shared" si="7"/>
        <v>3.4699999999999989</v>
      </c>
      <c r="I241" s="255">
        <v>2441718</v>
      </c>
      <c r="J241" s="256" t="s">
        <v>558</v>
      </c>
      <c r="K241" s="257" t="s">
        <v>25</v>
      </c>
      <c r="L241" s="256" t="s">
        <v>26</v>
      </c>
      <c r="M241" s="251"/>
      <c r="N241" s="258">
        <v>45691</v>
      </c>
    </row>
    <row r="242" spans="1:15" x14ac:dyDescent="0.2">
      <c r="A242" s="229">
        <v>239</v>
      </c>
      <c r="B242" s="229">
        <v>3813</v>
      </c>
      <c r="C242" s="231" t="s">
        <v>559</v>
      </c>
      <c r="D242" s="239">
        <v>16.399999999999999</v>
      </c>
      <c r="E242" s="233">
        <v>0.4</v>
      </c>
      <c r="F242" s="233">
        <f t="shared" si="6"/>
        <v>6.56</v>
      </c>
      <c r="G242" s="233"/>
      <c r="H242" s="233">
        <f t="shared" si="7"/>
        <v>6.56</v>
      </c>
      <c r="I242" s="240">
        <v>18842378</v>
      </c>
      <c r="J242" s="236" t="s">
        <v>560</v>
      </c>
      <c r="K242" s="235" t="s">
        <v>25</v>
      </c>
      <c r="L242" s="241" t="s">
        <v>26</v>
      </c>
      <c r="M242" s="229">
        <v>91102135</v>
      </c>
      <c r="N242" s="244"/>
    </row>
    <row r="243" spans="1:15" x14ac:dyDescent="0.2">
      <c r="A243" s="251">
        <v>240</v>
      </c>
      <c r="B243" s="251">
        <v>3814</v>
      </c>
      <c r="C243" s="252" t="s">
        <v>561</v>
      </c>
      <c r="D243" s="253">
        <v>314.5</v>
      </c>
      <c r="E243" s="254">
        <v>0.4</v>
      </c>
      <c r="F243" s="254">
        <f t="shared" si="6"/>
        <v>125.80000000000001</v>
      </c>
      <c r="G243" s="254">
        <f>F243</f>
        <v>125.80000000000001</v>
      </c>
      <c r="H243" s="254">
        <f t="shared" si="7"/>
        <v>0</v>
      </c>
      <c r="I243" s="327">
        <v>6998672</v>
      </c>
      <c r="J243" s="256" t="s">
        <v>562</v>
      </c>
      <c r="K243" s="323" t="s">
        <v>25</v>
      </c>
      <c r="L243" s="326" t="s">
        <v>26</v>
      </c>
      <c r="M243" s="251">
        <v>94051423</v>
      </c>
      <c r="N243" s="258">
        <v>45677</v>
      </c>
    </row>
    <row r="244" spans="1:15" x14ac:dyDescent="0.2">
      <c r="A244" s="251">
        <v>241</v>
      </c>
      <c r="B244" s="251">
        <v>3815</v>
      </c>
      <c r="C244" s="252" t="s">
        <v>563</v>
      </c>
      <c r="D244" s="253">
        <v>431.4</v>
      </c>
      <c r="E244" s="254">
        <v>0.4</v>
      </c>
      <c r="F244" s="254">
        <f t="shared" si="6"/>
        <v>172.56</v>
      </c>
      <c r="G244" s="254">
        <f>170.97+1.59</f>
        <v>172.56</v>
      </c>
      <c r="H244" s="254">
        <f t="shared" si="7"/>
        <v>0</v>
      </c>
      <c r="I244" s="321">
        <v>24909353</v>
      </c>
      <c r="J244" s="322" t="s">
        <v>564</v>
      </c>
      <c r="K244" s="257" t="s">
        <v>25</v>
      </c>
      <c r="L244" s="256" t="s">
        <v>26</v>
      </c>
      <c r="M244" s="251">
        <v>97797883</v>
      </c>
      <c r="N244" s="258">
        <v>45685</v>
      </c>
      <c r="O244" s="338">
        <v>45691</v>
      </c>
    </row>
    <row r="245" spans="1:15" x14ac:dyDescent="0.2">
      <c r="A245" s="251">
        <v>242</v>
      </c>
      <c r="B245" s="251">
        <v>3816</v>
      </c>
      <c r="C245" s="252" t="s">
        <v>565</v>
      </c>
      <c r="D245" s="253">
        <v>364.5</v>
      </c>
      <c r="E245" s="254">
        <v>0.4</v>
      </c>
      <c r="F245" s="254">
        <f t="shared" si="6"/>
        <v>145.80000000000001</v>
      </c>
      <c r="G245" s="254">
        <f>145.5+0.3</f>
        <v>145.80000000000001</v>
      </c>
      <c r="H245" s="254">
        <f t="shared" si="7"/>
        <v>0</v>
      </c>
      <c r="I245" s="255">
        <v>27389488</v>
      </c>
      <c r="J245" s="256" t="s">
        <v>566</v>
      </c>
      <c r="K245" s="257" t="s">
        <v>25</v>
      </c>
      <c r="L245" s="256" t="s">
        <v>26</v>
      </c>
      <c r="M245" s="251"/>
      <c r="N245" s="258">
        <v>45663</v>
      </c>
      <c r="O245" s="338">
        <v>45691</v>
      </c>
    </row>
    <row r="246" spans="1:15" x14ac:dyDescent="0.2">
      <c r="A246" s="284">
        <v>243</v>
      </c>
      <c r="B246" s="284">
        <v>3817</v>
      </c>
      <c r="C246" s="285" t="s">
        <v>567</v>
      </c>
      <c r="D246" s="286">
        <v>453.4</v>
      </c>
      <c r="E246" s="287">
        <v>0.4</v>
      </c>
      <c r="F246" s="287">
        <f t="shared" si="6"/>
        <v>181.36</v>
      </c>
      <c r="G246" s="287">
        <f>F246</f>
        <v>181.36</v>
      </c>
      <c r="H246" s="287">
        <f t="shared" si="7"/>
        <v>0</v>
      </c>
      <c r="I246" s="300">
        <v>7851322</v>
      </c>
      <c r="J246" s="289" t="s">
        <v>568</v>
      </c>
      <c r="K246" s="301" t="s">
        <v>25</v>
      </c>
      <c r="L246" s="289" t="s">
        <v>26</v>
      </c>
      <c r="M246" s="284">
        <v>96288881</v>
      </c>
      <c r="N246" s="290" t="s">
        <v>716</v>
      </c>
    </row>
    <row r="247" spans="1:15" x14ac:dyDescent="0.2">
      <c r="A247" s="229">
        <v>244</v>
      </c>
      <c r="B247" s="229">
        <v>3818</v>
      </c>
      <c r="C247" s="231" t="s">
        <v>569</v>
      </c>
      <c r="D247" s="232">
        <v>703.6</v>
      </c>
      <c r="E247" s="233">
        <v>0.4</v>
      </c>
      <c r="F247" s="233">
        <f t="shared" si="6"/>
        <v>281.44</v>
      </c>
      <c r="G247" s="233"/>
      <c r="H247" s="233">
        <f t="shared" si="7"/>
        <v>281.44</v>
      </c>
      <c r="I247" s="240">
        <v>2520858</v>
      </c>
      <c r="J247" s="236" t="s">
        <v>570</v>
      </c>
      <c r="K247" s="235" t="s">
        <v>25</v>
      </c>
      <c r="L247" s="241" t="s">
        <v>26</v>
      </c>
      <c r="M247" s="229">
        <v>99699976</v>
      </c>
      <c r="N247" s="244"/>
    </row>
    <row r="248" spans="1:15" s="292" customFormat="1" x14ac:dyDescent="0.2">
      <c r="A248" s="284">
        <v>245</v>
      </c>
      <c r="B248" s="284">
        <v>3819</v>
      </c>
      <c r="C248" s="285" t="s">
        <v>571</v>
      </c>
      <c r="D248" s="286">
        <v>1031.4000000000001</v>
      </c>
      <c r="E248" s="287">
        <v>0.4</v>
      </c>
      <c r="F248" s="287">
        <f t="shared" si="6"/>
        <v>412.56000000000006</v>
      </c>
      <c r="G248" s="287">
        <f>F248</f>
        <v>412.56000000000006</v>
      </c>
      <c r="H248" s="287">
        <f t="shared" si="7"/>
        <v>0</v>
      </c>
      <c r="I248" s="300">
        <v>3952839</v>
      </c>
      <c r="J248" s="236" t="s">
        <v>572</v>
      </c>
      <c r="K248" s="244" t="s">
        <v>17</v>
      </c>
      <c r="L248" s="244" t="s">
        <v>18</v>
      </c>
      <c r="M248" s="284">
        <v>98856929</v>
      </c>
      <c r="N248" s="290" t="s">
        <v>716</v>
      </c>
      <c r="O248" s="383"/>
    </row>
    <row r="249" spans="1:15" s="269" customFormat="1" x14ac:dyDescent="0.2">
      <c r="A249" s="251">
        <v>246</v>
      </c>
      <c r="B249" s="251">
        <v>3820</v>
      </c>
      <c r="C249" s="252" t="s">
        <v>573</v>
      </c>
      <c r="D249" s="253">
        <v>320.89999999999998</v>
      </c>
      <c r="E249" s="254">
        <v>0.4</v>
      </c>
      <c r="F249" s="254">
        <f t="shared" si="6"/>
        <v>128.35999999999999</v>
      </c>
      <c r="G249" s="254">
        <f>124.46</f>
        <v>124.46</v>
      </c>
      <c r="H249" s="254">
        <f t="shared" si="7"/>
        <v>3.8999999999999915</v>
      </c>
      <c r="I249" s="255">
        <v>20898806</v>
      </c>
      <c r="J249" s="256" t="s">
        <v>574</v>
      </c>
      <c r="K249" s="257" t="s">
        <v>25</v>
      </c>
      <c r="L249" s="256" t="s">
        <v>26</v>
      </c>
      <c r="M249" s="251">
        <v>95855255</v>
      </c>
      <c r="N249" s="263" t="s">
        <v>893</v>
      </c>
      <c r="O249" s="351"/>
    </row>
    <row r="250" spans="1:15" x14ac:dyDescent="0.2">
      <c r="A250" s="251">
        <v>247</v>
      </c>
      <c r="B250" s="251">
        <v>3821</v>
      </c>
      <c r="C250" s="252" t="s">
        <v>575</v>
      </c>
      <c r="D250" s="253">
        <v>220.7</v>
      </c>
      <c r="E250" s="254">
        <v>0.4</v>
      </c>
      <c r="F250" s="254">
        <f t="shared" si="6"/>
        <v>88.28</v>
      </c>
      <c r="G250" s="254">
        <f>86.49+1.79</f>
        <v>88.28</v>
      </c>
      <c r="H250" s="254">
        <f t="shared" si="7"/>
        <v>0</v>
      </c>
      <c r="I250" s="255">
        <v>5773746</v>
      </c>
      <c r="J250" s="256" t="s">
        <v>576</v>
      </c>
      <c r="K250" s="263" t="s">
        <v>210</v>
      </c>
      <c r="L250" s="262" t="s">
        <v>211</v>
      </c>
      <c r="M250" s="251">
        <v>96780867</v>
      </c>
      <c r="N250" s="258">
        <v>45670</v>
      </c>
      <c r="O250" s="338">
        <v>45932</v>
      </c>
    </row>
    <row r="251" spans="1:15" x14ac:dyDescent="0.2">
      <c r="A251" s="251">
        <v>248</v>
      </c>
      <c r="B251" s="251">
        <v>3822</v>
      </c>
      <c r="C251" s="252" t="s">
        <v>577</v>
      </c>
      <c r="D251" s="253">
        <v>1123</v>
      </c>
      <c r="E251" s="254">
        <v>0.4</v>
      </c>
      <c r="F251" s="254">
        <f t="shared" si="6"/>
        <v>449.20000000000005</v>
      </c>
      <c r="G251" s="254">
        <f>445.74+3.46</f>
        <v>449.2</v>
      </c>
      <c r="H251" s="254">
        <f t="shared" si="7"/>
        <v>0</v>
      </c>
      <c r="I251" s="255">
        <v>1522824</v>
      </c>
      <c r="J251" s="256" t="s">
        <v>578</v>
      </c>
      <c r="K251" s="263" t="s">
        <v>43</v>
      </c>
      <c r="L251" s="256" t="s">
        <v>44</v>
      </c>
      <c r="M251" s="251">
        <v>92733857</v>
      </c>
      <c r="N251" s="258">
        <v>45658</v>
      </c>
      <c r="O251" s="338">
        <v>45691</v>
      </c>
    </row>
    <row r="252" spans="1:15" x14ac:dyDescent="0.2">
      <c r="A252" s="251">
        <v>249</v>
      </c>
      <c r="B252" s="251">
        <v>3823</v>
      </c>
      <c r="C252" s="252" t="s">
        <v>579</v>
      </c>
      <c r="D252" s="253">
        <v>295.3</v>
      </c>
      <c r="E252" s="254">
        <v>0.4</v>
      </c>
      <c r="F252" s="254">
        <f t="shared" si="6"/>
        <v>118.12</v>
      </c>
      <c r="G252" s="254">
        <f>117.74+0.38</f>
        <v>118.11999999999999</v>
      </c>
      <c r="H252" s="254">
        <f t="shared" si="7"/>
        <v>0</v>
      </c>
      <c r="I252" s="255">
        <v>865789</v>
      </c>
      <c r="J252" s="256" t="s">
        <v>580</v>
      </c>
      <c r="K252" s="257" t="s">
        <v>25</v>
      </c>
      <c r="L252" s="256" t="s">
        <v>26</v>
      </c>
      <c r="M252" s="251">
        <v>99366841</v>
      </c>
      <c r="N252" s="258">
        <v>45672</v>
      </c>
      <c r="O252" s="338">
        <v>45691</v>
      </c>
    </row>
    <row r="253" spans="1:15" x14ac:dyDescent="0.2">
      <c r="A253" s="284">
        <v>250</v>
      </c>
      <c r="B253" s="284">
        <v>3824</v>
      </c>
      <c r="C253" s="285" t="s">
        <v>581</v>
      </c>
      <c r="D253" s="286">
        <v>742.7</v>
      </c>
      <c r="E253" s="287">
        <v>0.4</v>
      </c>
      <c r="F253" s="287">
        <f t="shared" si="6"/>
        <v>297.08000000000004</v>
      </c>
      <c r="G253" s="287">
        <f>F253</f>
        <v>297.08000000000004</v>
      </c>
      <c r="H253" s="287">
        <f t="shared" si="7"/>
        <v>0</v>
      </c>
      <c r="I253" s="300">
        <v>18878869</v>
      </c>
      <c r="J253" s="289" t="s">
        <v>582</v>
      </c>
      <c r="K253" s="301" t="s">
        <v>25</v>
      </c>
      <c r="L253" s="289" t="s">
        <v>26</v>
      </c>
      <c r="M253" s="284">
        <v>91287415</v>
      </c>
      <c r="N253" s="290" t="s">
        <v>716</v>
      </c>
    </row>
    <row r="254" spans="1:15" x14ac:dyDescent="0.2">
      <c r="A254" s="251">
        <v>251</v>
      </c>
      <c r="B254" s="251">
        <v>3827</v>
      </c>
      <c r="C254" s="252" t="s">
        <v>583</v>
      </c>
      <c r="D254" s="253">
        <v>826.7</v>
      </c>
      <c r="E254" s="254">
        <v>0.4</v>
      </c>
      <c r="F254" s="254">
        <f t="shared" si="6"/>
        <v>330.68000000000006</v>
      </c>
      <c r="G254" s="254">
        <f>327.05+3.63</f>
        <v>330.68</v>
      </c>
      <c r="H254" s="254">
        <f t="shared" si="7"/>
        <v>0</v>
      </c>
      <c r="I254" s="255">
        <v>19049113</v>
      </c>
      <c r="J254" s="256" t="s">
        <v>584</v>
      </c>
      <c r="K254" s="257" t="s">
        <v>25</v>
      </c>
      <c r="L254" s="256" t="s">
        <v>26</v>
      </c>
      <c r="M254" s="251">
        <v>97778037</v>
      </c>
      <c r="N254" s="258">
        <v>45658</v>
      </c>
      <c r="O254" s="423">
        <v>45686</v>
      </c>
    </row>
    <row r="255" spans="1:15" x14ac:dyDescent="0.2">
      <c r="A255" s="251">
        <v>252</v>
      </c>
      <c r="B255" s="251">
        <v>3828</v>
      </c>
      <c r="C255" s="252" t="s">
        <v>585</v>
      </c>
      <c r="D255" s="253">
        <v>323.39999999999998</v>
      </c>
      <c r="E255" s="254">
        <v>0.4</v>
      </c>
      <c r="F255" s="254">
        <f t="shared" si="6"/>
        <v>129.35999999999999</v>
      </c>
      <c r="G255" s="254">
        <f>128.79+0.57</f>
        <v>129.35999999999999</v>
      </c>
      <c r="H255" s="254">
        <f t="shared" si="7"/>
        <v>0</v>
      </c>
      <c r="I255" s="255">
        <v>5520522</v>
      </c>
      <c r="J255" s="256" t="s">
        <v>586</v>
      </c>
      <c r="K255" s="262" t="s">
        <v>75</v>
      </c>
      <c r="L255" s="263" t="s">
        <v>76</v>
      </c>
      <c r="M255" s="251">
        <v>99589277</v>
      </c>
      <c r="N255" s="258">
        <v>45658</v>
      </c>
      <c r="O255" s="258">
        <v>45677</v>
      </c>
    </row>
    <row r="256" spans="1:15" x14ac:dyDescent="0.2">
      <c r="A256" s="251">
        <v>253</v>
      </c>
      <c r="B256" s="251">
        <v>3829</v>
      </c>
      <c r="C256" s="252" t="s">
        <v>587</v>
      </c>
      <c r="D256" s="253">
        <v>228</v>
      </c>
      <c r="E256" s="254">
        <v>0.4</v>
      </c>
      <c r="F256" s="254">
        <f t="shared" si="6"/>
        <v>91.2</v>
      </c>
      <c r="G256" s="254">
        <f>89.14</f>
        <v>89.14</v>
      </c>
      <c r="H256" s="254">
        <f t="shared" si="7"/>
        <v>2.0600000000000023</v>
      </c>
      <c r="I256" s="255">
        <v>897384</v>
      </c>
      <c r="J256" s="256" t="s">
        <v>588</v>
      </c>
      <c r="K256" s="263" t="s">
        <v>17</v>
      </c>
      <c r="L256" s="263" t="s">
        <v>18</v>
      </c>
      <c r="M256" s="251"/>
      <c r="N256" s="258">
        <v>45670</v>
      </c>
    </row>
    <row r="257" spans="1:16" x14ac:dyDescent="0.2">
      <c r="A257" s="251">
        <v>254</v>
      </c>
      <c r="B257" s="251">
        <v>3830</v>
      </c>
      <c r="C257" s="252" t="s">
        <v>589</v>
      </c>
      <c r="D257" s="253">
        <v>414.1</v>
      </c>
      <c r="E257" s="254">
        <v>0.4</v>
      </c>
      <c r="F257" s="254">
        <f t="shared" si="6"/>
        <v>165.64000000000001</v>
      </c>
      <c r="G257" s="254">
        <f>F257</f>
        <v>165.64000000000001</v>
      </c>
      <c r="H257" s="254">
        <f t="shared" si="7"/>
        <v>0</v>
      </c>
      <c r="I257" s="255">
        <v>2153706</v>
      </c>
      <c r="J257" s="256" t="s">
        <v>590</v>
      </c>
      <c r="K257" s="257" t="s">
        <v>25</v>
      </c>
      <c r="L257" s="256" t="s">
        <v>26</v>
      </c>
      <c r="M257" s="251">
        <v>92740607</v>
      </c>
      <c r="N257" s="258">
        <v>45691</v>
      </c>
    </row>
    <row r="258" spans="1:16" x14ac:dyDescent="0.2">
      <c r="A258" s="229">
        <v>255</v>
      </c>
      <c r="B258" s="229">
        <v>3831</v>
      </c>
      <c r="C258" s="231" t="s">
        <v>591</v>
      </c>
      <c r="D258" s="239">
        <v>361.3</v>
      </c>
      <c r="E258" s="233">
        <v>0.4</v>
      </c>
      <c r="F258" s="233">
        <f t="shared" si="6"/>
        <v>144.52000000000001</v>
      </c>
      <c r="G258" s="233"/>
      <c r="H258" s="233">
        <f t="shared" si="7"/>
        <v>144.52000000000001</v>
      </c>
      <c r="I258" s="240">
        <v>873604</v>
      </c>
      <c r="J258" s="236" t="s">
        <v>592</v>
      </c>
      <c r="K258" s="244" t="s">
        <v>17</v>
      </c>
      <c r="L258" s="244" t="s">
        <v>18</v>
      </c>
      <c r="M258" s="229">
        <v>98145449</v>
      </c>
      <c r="N258" s="244"/>
    </row>
    <row r="259" spans="1:16" x14ac:dyDescent="0.2">
      <c r="A259" s="251">
        <v>256</v>
      </c>
      <c r="B259" s="251">
        <v>3832</v>
      </c>
      <c r="C259" s="252" t="s">
        <v>792</v>
      </c>
      <c r="D259" s="253">
        <v>132</v>
      </c>
      <c r="E259" s="254">
        <v>0.4</v>
      </c>
      <c r="F259" s="254">
        <f t="shared" si="6"/>
        <v>52.800000000000004</v>
      </c>
      <c r="G259" s="254">
        <f>22.64+29.1+1.06</f>
        <v>52.800000000000004</v>
      </c>
      <c r="H259" s="254">
        <f t="shared" si="7"/>
        <v>0</v>
      </c>
      <c r="I259" s="255">
        <v>1985192</v>
      </c>
      <c r="J259" s="384" t="s">
        <v>840</v>
      </c>
      <c r="K259" s="385" t="s">
        <v>25</v>
      </c>
      <c r="L259" s="384" t="s">
        <v>26</v>
      </c>
      <c r="M259" s="251">
        <v>99695515</v>
      </c>
      <c r="N259" s="258">
        <v>45658</v>
      </c>
      <c r="O259" s="338">
        <v>45663</v>
      </c>
      <c r="P259" s="294">
        <v>45680</v>
      </c>
    </row>
    <row r="260" spans="1:16" x14ac:dyDescent="0.2">
      <c r="A260" s="284">
        <v>257</v>
      </c>
      <c r="B260" s="284">
        <v>3833</v>
      </c>
      <c r="C260" s="285" t="s">
        <v>593</v>
      </c>
      <c r="D260" s="286">
        <v>316.39999999999998</v>
      </c>
      <c r="E260" s="287">
        <v>0.4</v>
      </c>
      <c r="F260" s="287">
        <f t="shared" ref="F260:F313" si="8">E260*D260</f>
        <v>126.56</v>
      </c>
      <c r="G260" s="287">
        <f>F260</f>
        <v>126.56</v>
      </c>
      <c r="H260" s="287">
        <f t="shared" ref="H260:H313" si="9">F260-G260</f>
        <v>0</v>
      </c>
      <c r="I260" s="300">
        <v>19179619</v>
      </c>
      <c r="J260" s="289" t="s">
        <v>594</v>
      </c>
      <c r="K260" s="290" t="s">
        <v>17</v>
      </c>
      <c r="L260" s="290" t="s">
        <v>18</v>
      </c>
      <c r="M260" s="284">
        <v>91133123</v>
      </c>
      <c r="N260" s="290" t="s">
        <v>716</v>
      </c>
    </row>
    <row r="261" spans="1:16" x14ac:dyDescent="0.2">
      <c r="A261" s="284">
        <v>258</v>
      </c>
      <c r="B261" s="284">
        <v>3834</v>
      </c>
      <c r="C261" s="285" t="s">
        <v>595</v>
      </c>
      <c r="D261" s="286">
        <v>591.1</v>
      </c>
      <c r="E261" s="287">
        <v>0.4</v>
      </c>
      <c r="F261" s="287">
        <f t="shared" si="8"/>
        <v>236.44000000000003</v>
      </c>
      <c r="G261" s="287">
        <f>F261</f>
        <v>236.44000000000003</v>
      </c>
      <c r="H261" s="287">
        <f t="shared" si="9"/>
        <v>0</v>
      </c>
      <c r="I261" s="300">
        <v>5544756</v>
      </c>
      <c r="J261" s="289" t="s">
        <v>596</v>
      </c>
      <c r="K261" s="301" t="s">
        <v>25</v>
      </c>
      <c r="L261" s="289" t="s">
        <v>26</v>
      </c>
      <c r="M261" s="284">
        <v>92444788</v>
      </c>
      <c r="N261" s="290" t="s">
        <v>716</v>
      </c>
    </row>
    <row r="262" spans="1:16" x14ac:dyDescent="0.2">
      <c r="A262" s="251">
        <v>259</v>
      </c>
      <c r="B262" s="251">
        <v>3835</v>
      </c>
      <c r="C262" s="252" t="s">
        <v>598</v>
      </c>
      <c r="D262" s="253">
        <v>297.89999999999998</v>
      </c>
      <c r="E262" s="254">
        <v>0.4</v>
      </c>
      <c r="F262" s="254">
        <f t="shared" si="8"/>
        <v>119.16</v>
      </c>
      <c r="G262" s="254">
        <f>117.62+1.54</f>
        <v>119.16000000000001</v>
      </c>
      <c r="H262" s="254">
        <f t="shared" si="9"/>
        <v>0</v>
      </c>
      <c r="I262" s="255">
        <v>781845</v>
      </c>
      <c r="J262" s="256" t="s">
        <v>599</v>
      </c>
      <c r="K262" s="263" t="s">
        <v>17</v>
      </c>
      <c r="L262" s="263" t="s">
        <v>18</v>
      </c>
      <c r="M262" s="251">
        <v>99297720</v>
      </c>
      <c r="N262" s="258">
        <v>45658</v>
      </c>
      <c r="O262" s="338">
        <v>45691</v>
      </c>
    </row>
    <row r="263" spans="1:16" x14ac:dyDescent="0.2">
      <c r="A263" s="251">
        <v>260</v>
      </c>
      <c r="B263" s="251">
        <v>3836</v>
      </c>
      <c r="C263" s="252" t="s">
        <v>600</v>
      </c>
      <c r="D263" s="253">
        <v>534.5</v>
      </c>
      <c r="E263" s="254">
        <v>0.4</v>
      </c>
      <c r="F263" s="254">
        <f t="shared" si="8"/>
        <v>213.8</v>
      </c>
      <c r="G263" s="254">
        <f>212.38+1.42</f>
        <v>213.79999999999998</v>
      </c>
      <c r="H263" s="254">
        <f t="shared" si="9"/>
        <v>0</v>
      </c>
      <c r="I263" s="255">
        <v>20264434</v>
      </c>
      <c r="J263" s="256" t="s">
        <v>601</v>
      </c>
      <c r="K263" s="257" t="s">
        <v>25</v>
      </c>
      <c r="L263" s="256" t="s">
        <v>26</v>
      </c>
      <c r="M263" s="251"/>
      <c r="N263" s="258">
        <v>45658</v>
      </c>
      <c r="O263" s="338">
        <v>45686</v>
      </c>
    </row>
    <row r="264" spans="1:16" x14ac:dyDescent="0.2">
      <c r="A264" s="229">
        <v>261</v>
      </c>
      <c r="B264" s="229">
        <v>3837</v>
      </c>
      <c r="C264" s="231" t="s">
        <v>602</v>
      </c>
      <c r="D264" s="239">
        <v>437.8</v>
      </c>
      <c r="E264" s="233">
        <v>0.4</v>
      </c>
      <c r="F264" s="233">
        <f t="shared" si="8"/>
        <v>175.12</v>
      </c>
      <c r="G264" s="233"/>
      <c r="H264" s="233">
        <f t="shared" si="9"/>
        <v>175.12</v>
      </c>
      <c r="I264" s="240">
        <v>1935947</v>
      </c>
      <c r="J264" s="236" t="s">
        <v>603</v>
      </c>
      <c r="K264" s="235" t="s">
        <v>25</v>
      </c>
      <c r="L264" s="241" t="s">
        <v>26</v>
      </c>
      <c r="M264" s="229">
        <v>99499566</v>
      </c>
      <c r="N264" s="244"/>
    </row>
    <row r="265" spans="1:16" x14ac:dyDescent="0.2">
      <c r="A265" s="229">
        <v>262</v>
      </c>
      <c r="B265" s="229">
        <v>3838</v>
      </c>
      <c r="C265" s="231" t="s">
        <v>604</v>
      </c>
      <c r="D265" s="239">
        <v>366.1</v>
      </c>
      <c r="E265" s="233">
        <v>0.4</v>
      </c>
      <c r="F265" s="233">
        <f t="shared" si="8"/>
        <v>146.44000000000003</v>
      </c>
      <c r="G265" s="233"/>
      <c r="H265" s="233">
        <f t="shared" si="9"/>
        <v>146.44000000000003</v>
      </c>
      <c r="I265" s="240">
        <v>18553115</v>
      </c>
      <c r="J265" s="236" t="s">
        <v>605</v>
      </c>
      <c r="K265" s="235" t="s">
        <v>25</v>
      </c>
      <c r="L265" s="241" t="s">
        <v>26</v>
      </c>
      <c r="M265" s="229"/>
      <c r="N265" s="244"/>
    </row>
    <row r="266" spans="1:16" x14ac:dyDescent="0.2">
      <c r="A266" s="251">
        <v>263</v>
      </c>
      <c r="B266" s="251">
        <v>3839</v>
      </c>
      <c r="C266" s="252" t="s">
        <v>606</v>
      </c>
      <c r="D266" s="253">
        <v>1319.7</v>
      </c>
      <c r="E266" s="254">
        <v>0.4</v>
      </c>
      <c r="F266" s="254">
        <f t="shared" si="8"/>
        <v>527.88</v>
      </c>
      <c r="G266" s="254">
        <f>524.86+3.02</f>
        <v>527.88</v>
      </c>
      <c r="H266" s="254">
        <f t="shared" si="9"/>
        <v>0</v>
      </c>
      <c r="I266" s="255">
        <v>22799311</v>
      </c>
      <c r="J266" s="256" t="s">
        <v>607</v>
      </c>
      <c r="K266" s="257" t="s">
        <v>25</v>
      </c>
      <c r="L266" s="256" t="s">
        <v>26</v>
      </c>
      <c r="M266" s="251"/>
      <c r="N266" s="258">
        <v>45658</v>
      </c>
      <c r="O266" s="423">
        <v>45686</v>
      </c>
    </row>
    <row r="267" spans="1:16" x14ac:dyDescent="0.2">
      <c r="A267" s="251">
        <v>264</v>
      </c>
      <c r="B267" s="251">
        <v>3840</v>
      </c>
      <c r="C267" s="252" t="s">
        <v>608</v>
      </c>
      <c r="D267" s="253">
        <v>433.3</v>
      </c>
      <c r="E267" s="254">
        <v>0.4</v>
      </c>
      <c r="F267" s="254">
        <f t="shared" si="8"/>
        <v>173.32000000000002</v>
      </c>
      <c r="G267" s="254">
        <f>170.99</f>
        <v>170.99</v>
      </c>
      <c r="H267" s="254">
        <f t="shared" si="9"/>
        <v>2.3300000000000125</v>
      </c>
      <c r="I267" s="255">
        <v>19777334</v>
      </c>
      <c r="J267" s="256" t="s">
        <v>609</v>
      </c>
      <c r="K267" s="257" t="s">
        <v>25</v>
      </c>
      <c r="L267" s="256" t="s">
        <v>26</v>
      </c>
      <c r="M267" s="251"/>
      <c r="N267" s="258">
        <v>45665</v>
      </c>
    </row>
    <row r="268" spans="1:16" x14ac:dyDescent="0.2">
      <c r="A268" s="229">
        <v>265</v>
      </c>
      <c r="B268" s="229">
        <v>3841</v>
      </c>
      <c r="C268" s="231" t="s">
        <v>610</v>
      </c>
      <c r="D268" s="239">
        <v>609.20000000000005</v>
      </c>
      <c r="E268" s="233">
        <v>0.4</v>
      </c>
      <c r="F268" s="233">
        <f t="shared" si="8"/>
        <v>243.68000000000004</v>
      </c>
      <c r="G268" s="233"/>
      <c r="H268" s="233">
        <f t="shared" si="9"/>
        <v>243.68000000000004</v>
      </c>
      <c r="I268" s="240">
        <v>2538202</v>
      </c>
      <c r="J268" s="236" t="s">
        <v>611</v>
      </c>
      <c r="K268" s="243" t="s">
        <v>75</v>
      </c>
      <c r="L268" s="244" t="s">
        <v>76</v>
      </c>
      <c r="M268" s="229">
        <v>92735668</v>
      </c>
      <c r="N268" s="244"/>
    </row>
    <row r="269" spans="1:16" s="292" customFormat="1" x14ac:dyDescent="0.2">
      <c r="A269" s="284">
        <v>266</v>
      </c>
      <c r="B269" s="284">
        <v>3843</v>
      </c>
      <c r="C269" s="285" t="s">
        <v>612</v>
      </c>
      <c r="D269" s="286">
        <v>920</v>
      </c>
      <c r="E269" s="287">
        <v>0.4</v>
      </c>
      <c r="F269" s="287">
        <f t="shared" si="8"/>
        <v>368</v>
      </c>
      <c r="G269" s="287">
        <f>F269</f>
        <v>368</v>
      </c>
      <c r="H269" s="287">
        <f t="shared" si="9"/>
        <v>0</v>
      </c>
      <c r="I269" s="300">
        <v>19564247</v>
      </c>
      <c r="J269" s="289" t="s">
        <v>613</v>
      </c>
      <c r="K269" s="301" t="s">
        <v>25</v>
      </c>
      <c r="L269" s="289" t="s">
        <v>26</v>
      </c>
      <c r="M269" s="284"/>
      <c r="N269" s="291">
        <v>45779</v>
      </c>
      <c r="O269" s="383"/>
    </row>
    <row r="270" spans="1:16" x14ac:dyDescent="0.2">
      <c r="A270" s="251">
        <v>267</v>
      </c>
      <c r="B270" s="251">
        <v>3844</v>
      </c>
      <c r="C270" s="252" t="s">
        <v>614</v>
      </c>
      <c r="D270" s="253">
        <v>1350.1</v>
      </c>
      <c r="E270" s="254">
        <v>0.4</v>
      </c>
      <c r="F270" s="254">
        <f t="shared" si="8"/>
        <v>540.04</v>
      </c>
      <c r="G270" s="254">
        <f>539.99+0.05</f>
        <v>540.04</v>
      </c>
      <c r="H270" s="254">
        <f t="shared" si="9"/>
        <v>0</v>
      </c>
      <c r="I270" s="255">
        <v>1036602</v>
      </c>
      <c r="J270" s="256" t="s">
        <v>615</v>
      </c>
      <c r="K270" s="263" t="s">
        <v>43</v>
      </c>
      <c r="L270" s="256" t="s">
        <v>44</v>
      </c>
      <c r="M270" s="251">
        <v>98112999</v>
      </c>
      <c r="N270" s="258">
        <v>45658</v>
      </c>
      <c r="O270" s="423">
        <v>45686</v>
      </c>
    </row>
    <row r="271" spans="1:16" x14ac:dyDescent="0.2">
      <c r="A271" s="284">
        <v>268</v>
      </c>
      <c r="B271" s="284">
        <v>3845</v>
      </c>
      <c r="C271" s="285" t="s">
        <v>616</v>
      </c>
      <c r="D271" s="286">
        <v>1330.9</v>
      </c>
      <c r="E271" s="287">
        <v>0.4</v>
      </c>
      <c r="F271" s="287">
        <f t="shared" si="8"/>
        <v>532.36</v>
      </c>
      <c r="G271" s="287">
        <f>F271</f>
        <v>532.36</v>
      </c>
      <c r="H271" s="287">
        <f t="shared" si="9"/>
        <v>0</v>
      </c>
      <c r="I271" s="300">
        <v>1432563</v>
      </c>
      <c r="J271" s="289" t="s">
        <v>617</v>
      </c>
      <c r="K271" s="290" t="s">
        <v>17</v>
      </c>
      <c r="L271" s="290" t="s">
        <v>18</v>
      </c>
      <c r="M271" s="284"/>
      <c r="N271" s="290" t="s">
        <v>889</v>
      </c>
    </row>
    <row r="272" spans="1:16" x14ac:dyDescent="0.2">
      <c r="A272" s="251">
        <v>269</v>
      </c>
      <c r="B272" s="251">
        <v>3846</v>
      </c>
      <c r="C272" s="252" t="s">
        <v>618</v>
      </c>
      <c r="D272" s="253">
        <v>317.10000000000002</v>
      </c>
      <c r="E272" s="254">
        <v>0.4</v>
      </c>
      <c r="F272" s="254">
        <f t="shared" si="8"/>
        <v>126.84000000000002</v>
      </c>
      <c r="G272" s="254">
        <f>F272</f>
        <v>126.84000000000002</v>
      </c>
      <c r="H272" s="254">
        <f t="shared" si="9"/>
        <v>0</v>
      </c>
      <c r="I272" s="255">
        <v>8115103</v>
      </c>
      <c r="J272" s="256" t="s">
        <v>619</v>
      </c>
      <c r="K272" s="262" t="s">
        <v>75</v>
      </c>
      <c r="L272" s="263" t="s">
        <v>76</v>
      </c>
      <c r="M272" s="251">
        <v>99298488</v>
      </c>
      <c r="N272" s="258">
        <v>45691</v>
      </c>
    </row>
    <row r="273" spans="1:15" x14ac:dyDescent="0.2">
      <c r="A273" s="229">
        <v>270</v>
      </c>
      <c r="B273" s="229">
        <v>3847</v>
      </c>
      <c r="C273" s="231" t="s">
        <v>620</v>
      </c>
      <c r="D273" s="239">
        <v>1372.9</v>
      </c>
      <c r="E273" s="233">
        <v>0.4</v>
      </c>
      <c r="F273" s="233">
        <f t="shared" si="8"/>
        <v>549.16000000000008</v>
      </c>
      <c r="G273" s="233"/>
      <c r="H273" s="233">
        <f t="shared" si="9"/>
        <v>549.16000000000008</v>
      </c>
      <c r="I273" s="240">
        <v>238234</v>
      </c>
      <c r="J273" s="236" t="s">
        <v>621</v>
      </c>
      <c r="K273" s="235" t="s">
        <v>25</v>
      </c>
      <c r="L273" s="241" t="s">
        <v>26</v>
      </c>
      <c r="M273" s="229">
        <v>99495154</v>
      </c>
      <c r="N273" s="244"/>
    </row>
    <row r="274" spans="1:15" x14ac:dyDescent="0.2">
      <c r="A274" s="229">
        <v>271</v>
      </c>
      <c r="B274" s="229">
        <v>3848</v>
      </c>
      <c r="C274" s="231" t="s">
        <v>622</v>
      </c>
      <c r="D274" s="239">
        <v>1332.5</v>
      </c>
      <c r="E274" s="233">
        <v>0.4</v>
      </c>
      <c r="F274" s="233">
        <f t="shared" si="8"/>
        <v>533</v>
      </c>
      <c r="G274" s="233"/>
      <c r="H274" s="233">
        <f t="shared" si="9"/>
        <v>533</v>
      </c>
      <c r="I274" s="240">
        <v>19231852</v>
      </c>
      <c r="J274" s="236" t="s">
        <v>623</v>
      </c>
      <c r="K274" s="244" t="s">
        <v>43</v>
      </c>
      <c r="L274" s="236" t="s">
        <v>44</v>
      </c>
      <c r="M274" s="229">
        <v>92341000</v>
      </c>
      <c r="N274" s="244"/>
    </row>
    <row r="275" spans="1:15" x14ac:dyDescent="0.2">
      <c r="A275" s="229">
        <v>272</v>
      </c>
      <c r="B275" s="229">
        <v>3849</v>
      </c>
      <c r="C275" s="231" t="s">
        <v>624</v>
      </c>
      <c r="D275" s="239">
        <v>382</v>
      </c>
      <c r="E275" s="233">
        <v>0.4</v>
      </c>
      <c r="F275" s="233">
        <f t="shared" si="8"/>
        <v>152.80000000000001</v>
      </c>
      <c r="G275" s="233"/>
      <c r="H275" s="233">
        <f t="shared" si="9"/>
        <v>152.80000000000001</v>
      </c>
      <c r="I275" s="295">
        <v>18693727</v>
      </c>
      <c r="J275" s="312" t="s">
        <v>625</v>
      </c>
      <c r="K275" s="244" t="s">
        <v>17</v>
      </c>
      <c r="L275" s="244" t="s">
        <v>18</v>
      </c>
      <c r="M275" s="229">
        <v>93264185</v>
      </c>
      <c r="N275" s="244"/>
    </row>
    <row r="276" spans="1:15" s="269" customFormat="1" x14ac:dyDescent="0.2">
      <c r="A276" s="251">
        <v>273</v>
      </c>
      <c r="B276" s="251">
        <v>3850</v>
      </c>
      <c r="C276" s="252" t="s">
        <v>626</v>
      </c>
      <c r="D276" s="253">
        <v>543</v>
      </c>
      <c r="E276" s="254">
        <v>0.4</v>
      </c>
      <c r="F276" s="254">
        <f t="shared" si="8"/>
        <v>217.20000000000002</v>
      </c>
      <c r="G276" s="254">
        <f>213.82</f>
        <v>213.82</v>
      </c>
      <c r="H276" s="254">
        <f t="shared" si="9"/>
        <v>3.3800000000000239</v>
      </c>
      <c r="I276" s="255">
        <v>5742985</v>
      </c>
      <c r="J276" s="256" t="s">
        <v>627</v>
      </c>
      <c r="K276" s="257" t="s">
        <v>25</v>
      </c>
      <c r="L276" s="256" t="s">
        <v>26</v>
      </c>
      <c r="M276" s="251">
        <v>93693543</v>
      </c>
      <c r="N276" s="258">
        <v>45932</v>
      </c>
      <c r="O276" s="351"/>
    </row>
    <row r="277" spans="1:15" x14ac:dyDescent="0.2">
      <c r="A277" s="251">
        <v>274</v>
      </c>
      <c r="B277" s="251">
        <v>3851</v>
      </c>
      <c r="C277" s="252" t="s">
        <v>629</v>
      </c>
      <c r="D277" s="253">
        <v>368.8</v>
      </c>
      <c r="E277" s="254">
        <v>0.4</v>
      </c>
      <c r="F277" s="254">
        <f t="shared" si="8"/>
        <v>147.52000000000001</v>
      </c>
      <c r="G277" s="254">
        <f>145.05</f>
        <v>145.05000000000001</v>
      </c>
      <c r="H277" s="254">
        <f t="shared" si="9"/>
        <v>2.4699999999999989</v>
      </c>
      <c r="I277" s="255">
        <v>22766611</v>
      </c>
      <c r="J277" s="256" t="s">
        <v>630</v>
      </c>
      <c r="K277" s="256" t="s">
        <v>257</v>
      </c>
      <c r="L277" s="256" t="s">
        <v>258</v>
      </c>
      <c r="M277" s="251">
        <v>92688007</v>
      </c>
      <c r="N277" s="258">
        <v>45663</v>
      </c>
    </row>
    <row r="278" spans="1:15" x14ac:dyDescent="0.2">
      <c r="A278" s="251">
        <v>275</v>
      </c>
      <c r="B278" s="251">
        <v>3852</v>
      </c>
      <c r="C278" s="252" t="s">
        <v>631</v>
      </c>
      <c r="D278" s="253">
        <v>498.1</v>
      </c>
      <c r="E278" s="254">
        <v>0.4</v>
      </c>
      <c r="F278" s="254">
        <f t="shared" si="8"/>
        <v>199.24</v>
      </c>
      <c r="G278" s="254">
        <f>197.42+1.82</f>
        <v>199.23999999999998</v>
      </c>
      <c r="H278" s="254">
        <f t="shared" si="9"/>
        <v>0</v>
      </c>
      <c r="I278" s="255">
        <v>8827979</v>
      </c>
      <c r="J278" s="256" t="s">
        <v>632</v>
      </c>
      <c r="K278" s="257" t="s">
        <v>25</v>
      </c>
      <c r="L278" s="256" t="s">
        <v>26</v>
      </c>
      <c r="M278" s="251">
        <v>92698971</v>
      </c>
      <c r="N278" s="258">
        <v>45652</v>
      </c>
      <c r="O278" s="338">
        <v>45670</v>
      </c>
    </row>
    <row r="279" spans="1:15" x14ac:dyDescent="0.2">
      <c r="A279" s="284">
        <v>276</v>
      </c>
      <c r="B279" s="284">
        <v>3853</v>
      </c>
      <c r="C279" s="285" t="s">
        <v>633</v>
      </c>
      <c r="D279" s="286">
        <v>293.5</v>
      </c>
      <c r="E279" s="287">
        <v>0.4</v>
      </c>
      <c r="F279" s="287">
        <f t="shared" si="8"/>
        <v>117.4</v>
      </c>
      <c r="G279" s="287">
        <f>F279</f>
        <v>117.4</v>
      </c>
      <c r="H279" s="287">
        <f t="shared" si="9"/>
        <v>0</v>
      </c>
      <c r="I279" s="300">
        <v>5857446</v>
      </c>
      <c r="J279" s="289" t="s">
        <v>634</v>
      </c>
      <c r="K279" s="301" t="s">
        <v>25</v>
      </c>
      <c r="L279" s="289" t="s">
        <v>26</v>
      </c>
      <c r="M279" s="284">
        <v>97799611</v>
      </c>
      <c r="N279" s="290" t="s">
        <v>716</v>
      </c>
    </row>
    <row r="280" spans="1:15" x14ac:dyDescent="0.2">
      <c r="A280" s="251">
        <v>277</v>
      </c>
      <c r="B280" s="251">
        <v>3854</v>
      </c>
      <c r="C280" s="252" t="s">
        <v>635</v>
      </c>
      <c r="D280" s="253">
        <v>249.8</v>
      </c>
      <c r="E280" s="254">
        <v>0.4</v>
      </c>
      <c r="F280" s="254">
        <f t="shared" si="8"/>
        <v>99.920000000000016</v>
      </c>
      <c r="G280" s="254">
        <f>95.11</f>
        <v>95.11</v>
      </c>
      <c r="H280" s="254">
        <f t="shared" si="9"/>
        <v>4.8100000000000165</v>
      </c>
      <c r="I280" s="255">
        <v>1085838</v>
      </c>
      <c r="J280" s="256" t="s">
        <v>636</v>
      </c>
      <c r="K280" s="256" t="s">
        <v>166</v>
      </c>
      <c r="L280" s="263" t="s">
        <v>129</v>
      </c>
      <c r="M280" s="251">
        <v>92928848</v>
      </c>
      <c r="N280" s="258">
        <v>45672</v>
      </c>
    </row>
    <row r="281" spans="1:15" x14ac:dyDescent="0.2">
      <c r="A281" s="251">
        <v>278</v>
      </c>
      <c r="B281" s="251">
        <v>3855</v>
      </c>
      <c r="C281" s="252" t="s">
        <v>637</v>
      </c>
      <c r="D281" s="253">
        <v>347.5</v>
      </c>
      <c r="E281" s="254">
        <v>0.4</v>
      </c>
      <c r="F281" s="254">
        <f t="shared" si="8"/>
        <v>139</v>
      </c>
      <c r="G281" s="254">
        <f>137.01</f>
        <v>137.01</v>
      </c>
      <c r="H281" s="254">
        <f t="shared" si="9"/>
        <v>1.9900000000000091</v>
      </c>
      <c r="I281" s="255">
        <v>4948259</v>
      </c>
      <c r="J281" s="256" t="s">
        <v>638</v>
      </c>
      <c r="K281" s="257" t="s">
        <v>25</v>
      </c>
      <c r="L281" s="256" t="s">
        <v>26</v>
      </c>
      <c r="M281" s="251">
        <v>98252880</v>
      </c>
      <c r="N281" s="258">
        <v>45691</v>
      </c>
    </row>
    <row r="282" spans="1:15" x14ac:dyDescent="0.2">
      <c r="A282" s="251">
        <v>279</v>
      </c>
      <c r="B282" s="251">
        <v>3856</v>
      </c>
      <c r="C282" s="252" t="s">
        <v>639</v>
      </c>
      <c r="D282" s="253">
        <v>193.7</v>
      </c>
      <c r="E282" s="254">
        <v>0.4</v>
      </c>
      <c r="F282" s="254">
        <f t="shared" si="8"/>
        <v>77.48</v>
      </c>
      <c r="G282" s="254">
        <f>F282</f>
        <v>77.48</v>
      </c>
      <c r="H282" s="254">
        <f t="shared" si="9"/>
        <v>0</v>
      </c>
      <c r="I282" s="255">
        <v>15097631</v>
      </c>
      <c r="J282" s="256" t="s">
        <v>640</v>
      </c>
      <c r="K282" s="257" t="s">
        <v>25</v>
      </c>
      <c r="L282" s="256" t="s">
        <v>26</v>
      </c>
      <c r="M282" s="251">
        <v>93262015</v>
      </c>
      <c r="N282" s="258">
        <v>45677</v>
      </c>
    </row>
    <row r="283" spans="1:15" x14ac:dyDescent="0.2">
      <c r="A283" s="284">
        <v>280</v>
      </c>
      <c r="B283" s="284">
        <v>3857</v>
      </c>
      <c r="C283" s="285" t="s">
        <v>36</v>
      </c>
      <c r="D283" s="286">
        <v>734.7</v>
      </c>
      <c r="E283" s="287">
        <v>0.4</v>
      </c>
      <c r="F283" s="287">
        <f t="shared" si="8"/>
        <v>293.88000000000005</v>
      </c>
      <c r="G283" s="287">
        <f>F283</f>
        <v>293.88000000000005</v>
      </c>
      <c r="H283" s="287">
        <f t="shared" si="9"/>
        <v>0</v>
      </c>
      <c r="I283" s="300">
        <v>28903474</v>
      </c>
      <c r="J283" s="289" t="s">
        <v>37</v>
      </c>
      <c r="K283" s="290" t="s">
        <v>17</v>
      </c>
      <c r="L283" s="290" t="s">
        <v>18</v>
      </c>
      <c r="M283" s="284">
        <v>77588901</v>
      </c>
      <c r="N283" s="290" t="s">
        <v>716</v>
      </c>
    </row>
    <row r="284" spans="1:15" x14ac:dyDescent="0.2">
      <c r="A284" s="251">
        <v>281</v>
      </c>
      <c r="B284" s="251">
        <v>3858</v>
      </c>
      <c r="C284" s="252" t="s">
        <v>641</v>
      </c>
      <c r="D284" s="253">
        <v>318.5</v>
      </c>
      <c r="E284" s="254">
        <v>0.4</v>
      </c>
      <c r="F284" s="254">
        <f t="shared" si="8"/>
        <v>127.4</v>
      </c>
      <c r="G284" s="254">
        <f>124.86+2.54</f>
        <v>127.4</v>
      </c>
      <c r="H284" s="254">
        <f t="shared" si="9"/>
        <v>0</v>
      </c>
      <c r="I284" s="255">
        <v>18451569</v>
      </c>
      <c r="J284" s="256" t="s">
        <v>642</v>
      </c>
      <c r="K284" s="257" t="s">
        <v>25</v>
      </c>
      <c r="L284" s="256" t="s">
        <v>26</v>
      </c>
      <c r="M284" s="251">
        <v>99298699</v>
      </c>
      <c r="N284" s="258">
        <v>45658</v>
      </c>
      <c r="O284" s="338">
        <v>45670</v>
      </c>
    </row>
    <row r="285" spans="1:15" s="274" customFormat="1" x14ac:dyDescent="0.2">
      <c r="A285" s="251">
        <v>282</v>
      </c>
      <c r="B285" s="251">
        <v>3859</v>
      </c>
      <c r="C285" s="252" t="s">
        <v>442</v>
      </c>
      <c r="D285" s="253">
        <v>631.4</v>
      </c>
      <c r="E285" s="254">
        <v>0.4</v>
      </c>
      <c r="F285" s="254">
        <f t="shared" si="8"/>
        <v>252.56</v>
      </c>
      <c r="G285" s="254">
        <f>F285</f>
        <v>252.56</v>
      </c>
      <c r="H285" s="254">
        <f t="shared" si="9"/>
        <v>0</v>
      </c>
      <c r="I285" s="255">
        <v>6038764</v>
      </c>
      <c r="J285" s="256" t="s">
        <v>643</v>
      </c>
      <c r="K285" s="263" t="s">
        <v>17</v>
      </c>
      <c r="L285" s="263" t="s">
        <v>18</v>
      </c>
      <c r="M285" s="251">
        <v>98525646</v>
      </c>
      <c r="N285" s="263"/>
      <c r="O285" s="348"/>
    </row>
    <row r="286" spans="1:15" x14ac:dyDescent="0.2">
      <c r="A286" s="229">
        <v>283</v>
      </c>
      <c r="B286" s="229">
        <v>3860</v>
      </c>
      <c r="C286" s="231" t="s">
        <v>644</v>
      </c>
      <c r="D286" s="239">
        <v>344.6</v>
      </c>
      <c r="E286" s="233">
        <v>0.4</v>
      </c>
      <c r="F286" s="233">
        <f t="shared" si="8"/>
        <v>137.84</v>
      </c>
      <c r="G286" s="233"/>
      <c r="H286" s="233">
        <f t="shared" si="9"/>
        <v>137.84</v>
      </c>
      <c r="I286" s="240">
        <v>6132261</v>
      </c>
      <c r="J286" s="236" t="s">
        <v>645</v>
      </c>
      <c r="K286" s="235" t="s">
        <v>25</v>
      </c>
      <c r="L286" s="241" t="s">
        <v>26</v>
      </c>
      <c r="M286" s="229">
        <v>92527857</v>
      </c>
      <c r="N286" s="244"/>
    </row>
    <row r="287" spans="1:15" x14ac:dyDescent="0.2">
      <c r="A287" s="251">
        <v>284</v>
      </c>
      <c r="B287" s="251">
        <v>3861</v>
      </c>
      <c r="C287" s="252" t="s">
        <v>646</v>
      </c>
      <c r="D287" s="253">
        <v>454.9</v>
      </c>
      <c r="E287" s="254">
        <v>0.4</v>
      </c>
      <c r="F287" s="254">
        <f t="shared" si="8"/>
        <v>181.96</v>
      </c>
      <c r="G287" s="254">
        <f>180.1+1.86</f>
        <v>181.96</v>
      </c>
      <c r="H287" s="254">
        <f t="shared" si="9"/>
        <v>0</v>
      </c>
      <c r="I287" s="255">
        <v>14330506</v>
      </c>
      <c r="J287" s="256" t="s">
        <v>647</v>
      </c>
      <c r="K287" s="263" t="s">
        <v>17</v>
      </c>
      <c r="L287" s="263" t="s">
        <v>18</v>
      </c>
      <c r="M287" s="251">
        <v>98187484</v>
      </c>
      <c r="N287" s="258">
        <v>45658</v>
      </c>
      <c r="O287" s="338">
        <v>45691</v>
      </c>
    </row>
    <row r="288" spans="1:15" x14ac:dyDescent="0.2">
      <c r="A288" s="284">
        <v>285</v>
      </c>
      <c r="B288" s="284">
        <v>3862</v>
      </c>
      <c r="C288" s="285" t="s">
        <v>648</v>
      </c>
      <c r="D288" s="286">
        <v>401.3</v>
      </c>
      <c r="E288" s="287">
        <v>0.4</v>
      </c>
      <c r="F288" s="287">
        <f t="shared" si="8"/>
        <v>160.52000000000001</v>
      </c>
      <c r="G288" s="287">
        <f>F288</f>
        <v>160.52000000000001</v>
      </c>
      <c r="H288" s="287">
        <f t="shared" si="9"/>
        <v>0</v>
      </c>
      <c r="I288" s="300">
        <v>5892019</v>
      </c>
      <c r="J288" s="289" t="s">
        <v>649</v>
      </c>
      <c r="K288" s="301" t="s">
        <v>25</v>
      </c>
      <c r="L288" s="289" t="s">
        <v>26</v>
      </c>
      <c r="M288" s="284"/>
      <c r="N288" s="290" t="s">
        <v>716</v>
      </c>
    </row>
    <row r="289" spans="1:15" x14ac:dyDescent="0.2">
      <c r="A289" s="229">
        <v>286</v>
      </c>
      <c r="B289" s="229">
        <v>3863</v>
      </c>
      <c r="C289" s="231" t="s">
        <v>650</v>
      </c>
      <c r="D289" s="239">
        <v>328.6</v>
      </c>
      <c r="E289" s="233">
        <v>0.4</v>
      </c>
      <c r="F289" s="233">
        <f t="shared" si="8"/>
        <v>131.44000000000003</v>
      </c>
      <c r="G289" s="233"/>
      <c r="H289" s="233">
        <f t="shared" si="9"/>
        <v>131.44000000000003</v>
      </c>
      <c r="I289" s="240">
        <v>10772417</v>
      </c>
      <c r="J289" s="236" t="s">
        <v>651</v>
      </c>
      <c r="K289" s="235" t="s">
        <v>25</v>
      </c>
      <c r="L289" s="241" t="s">
        <v>26</v>
      </c>
      <c r="M289" s="229"/>
      <c r="N289" s="244"/>
    </row>
    <row r="290" spans="1:15" x14ac:dyDescent="0.2">
      <c r="A290" s="284">
        <v>287</v>
      </c>
      <c r="B290" s="284">
        <v>3864</v>
      </c>
      <c r="C290" s="285" t="s">
        <v>652</v>
      </c>
      <c r="D290" s="286">
        <v>554.1</v>
      </c>
      <c r="E290" s="287">
        <v>0.4</v>
      </c>
      <c r="F290" s="287">
        <f t="shared" si="8"/>
        <v>221.64000000000001</v>
      </c>
      <c r="G290" s="287">
        <f>F290</f>
        <v>221.64000000000001</v>
      </c>
      <c r="H290" s="287">
        <f t="shared" si="9"/>
        <v>0</v>
      </c>
      <c r="I290" s="300">
        <v>6493803</v>
      </c>
      <c r="J290" s="289" t="s">
        <v>653</v>
      </c>
      <c r="K290" s="290" t="s">
        <v>17</v>
      </c>
      <c r="L290" s="290" t="s">
        <v>18</v>
      </c>
      <c r="M290" s="284">
        <v>99810408</v>
      </c>
      <c r="N290" s="291">
        <v>45778</v>
      </c>
    </row>
    <row r="291" spans="1:15" x14ac:dyDescent="0.2">
      <c r="A291" s="284">
        <v>288</v>
      </c>
      <c r="B291" s="284">
        <v>3865</v>
      </c>
      <c r="C291" s="285" t="s">
        <v>654</v>
      </c>
      <c r="D291" s="286">
        <v>662</v>
      </c>
      <c r="E291" s="287">
        <v>0.4</v>
      </c>
      <c r="F291" s="287">
        <f t="shared" si="8"/>
        <v>264.8</v>
      </c>
      <c r="G291" s="287">
        <f>F291</f>
        <v>264.8</v>
      </c>
      <c r="H291" s="287">
        <f t="shared" si="9"/>
        <v>0</v>
      </c>
      <c r="I291" s="300">
        <v>15219317</v>
      </c>
      <c r="J291" s="289" t="s">
        <v>655</v>
      </c>
      <c r="K291" s="301" t="s">
        <v>25</v>
      </c>
      <c r="L291" s="289" t="s">
        <v>26</v>
      </c>
      <c r="M291" s="284"/>
      <c r="N291" s="290" t="s">
        <v>716</v>
      </c>
    </row>
    <row r="292" spans="1:15" x14ac:dyDescent="0.2">
      <c r="A292" s="284">
        <v>289</v>
      </c>
      <c r="B292" s="284">
        <v>3866</v>
      </c>
      <c r="C292" s="285" t="s">
        <v>656</v>
      </c>
      <c r="D292" s="286">
        <v>225.5</v>
      </c>
      <c r="E292" s="287">
        <v>0.4</v>
      </c>
      <c r="F292" s="287">
        <f t="shared" si="8"/>
        <v>90.2</v>
      </c>
      <c r="G292" s="287">
        <f>F292</f>
        <v>90.2</v>
      </c>
      <c r="H292" s="287">
        <f t="shared" si="9"/>
        <v>0</v>
      </c>
      <c r="I292" s="300">
        <v>11772662</v>
      </c>
      <c r="J292" s="289" t="s">
        <v>657</v>
      </c>
      <c r="K292" s="301" t="s">
        <v>25</v>
      </c>
      <c r="L292" s="289" t="s">
        <v>26</v>
      </c>
      <c r="M292" s="284"/>
      <c r="N292" s="291" t="s">
        <v>878</v>
      </c>
    </row>
    <row r="293" spans="1:15" x14ac:dyDescent="0.2">
      <c r="A293" s="229">
        <v>290</v>
      </c>
      <c r="B293" s="229">
        <v>3867</v>
      </c>
      <c r="C293" s="231" t="s">
        <v>658</v>
      </c>
      <c r="D293" s="239">
        <v>344</v>
      </c>
      <c r="E293" s="233">
        <v>0.4</v>
      </c>
      <c r="F293" s="233">
        <f t="shared" si="8"/>
        <v>137.6</v>
      </c>
      <c r="G293" s="233"/>
      <c r="H293" s="233">
        <f t="shared" si="9"/>
        <v>137.6</v>
      </c>
      <c r="I293" s="240">
        <v>18189491</v>
      </c>
      <c r="J293" s="236" t="s">
        <v>659</v>
      </c>
      <c r="K293" s="235" t="s">
        <v>25</v>
      </c>
      <c r="L293" s="241" t="s">
        <v>26</v>
      </c>
      <c r="M293" s="229">
        <v>92236482</v>
      </c>
      <c r="N293" s="244"/>
    </row>
    <row r="294" spans="1:15" x14ac:dyDescent="0.2">
      <c r="A294" s="229">
        <v>291</v>
      </c>
      <c r="B294" s="229">
        <v>3868</v>
      </c>
      <c r="C294" s="231" t="s">
        <v>660</v>
      </c>
      <c r="D294" s="239">
        <v>264.10000000000002</v>
      </c>
      <c r="E294" s="233">
        <v>0.4</v>
      </c>
      <c r="F294" s="233">
        <f t="shared" si="8"/>
        <v>105.64000000000001</v>
      </c>
      <c r="G294" s="233"/>
      <c r="H294" s="233">
        <f t="shared" si="9"/>
        <v>105.64000000000001</v>
      </c>
      <c r="I294" s="240">
        <v>23619706</v>
      </c>
      <c r="J294" s="236" t="s">
        <v>661</v>
      </c>
      <c r="K294" s="235" t="s">
        <v>25</v>
      </c>
      <c r="L294" s="241" t="s">
        <v>26</v>
      </c>
      <c r="M294" s="229">
        <v>93392527</v>
      </c>
      <c r="N294" s="244"/>
    </row>
    <row r="295" spans="1:15" x14ac:dyDescent="0.2">
      <c r="A295" s="229">
        <v>292</v>
      </c>
      <c r="B295" s="229">
        <v>3869</v>
      </c>
      <c r="C295" s="231" t="s">
        <v>662</v>
      </c>
      <c r="D295" s="239">
        <v>266</v>
      </c>
      <c r="E295" s="233">
        <v>0.4</v>
      </c>
      <c r="F295" s="233">
        <f t="shared" si="8"/>
        <v>106.4</v>
      </c>
      <c r="G295" s="233"/>
      <c r="H295" s="233">
        <f t="shared" si="9"/>
        <v>106.4</v>
      </c>
      <c r="I295" s="240">
        <v>1265569</v>
      </c>
      <c r="J295" s="236" t="s">
        <v>663</v>
      </c>
      <c r="K295" s="235" t="s">
        <v>25</v>
      </c>
      <c r="L295" s="241" t="s">
        <v>26</v>
      </c>
      <c r="M295" s="229">
        <v>93392527</v>
      </c>
      <c r="N295" s="244"/>
    </row>
    <row r="296" spans="1:15" x14ac:dyDescent="0.2">
      <c r="A296" s="284">
        <v>293</v>
      </c>
      <c r="B296" s="284">
        <v>3870</v>
      </c>
      <c r="C296" s="285" t="s">
        <v>664</v>
      </c>
      <c r="D296" s="286">
        <v>943.9</v>
      </c>
      <c r="E296" s="287">
        <v>0.4</v>
      </c>
      <c r="F296" s="287">
        <f t="shared" si="8"/>
        <v>377.56</v>
      </c>
      <c r="G296" s="287">
        <f>F296</f>
        <v>377.56</v>
      </c>
      <c r="H296" s="287">
        <f t="shared" si="9"/>
        <v>0</v>
      </c>
      <c r="I296" s="300">
        <v>7138058</v>
      </c>
      <c r="J296" s="289" t="s">
        <v>665</v>
      </c>
      <c r="K296" s="290" t="s">
        <v>17</v>
      </c>
      <c r="L296" s="290" t="s">
        <v>18</v>
      </c>
      <c r="M296" s="284">
        <v>98187475</v>
      </c>
      <c r="N296" s="290" t="s">
        <v>716</v>
      </c>
    </row>
    <row r="297" spans="1:15" x14ac:dyDescent="0.2">
      <c r="A297" s="229">
        <v>294</v>
      </c>
      <c r="B297" s="229">
        <v>3871</v>
      </c>
      <c r="C297" s="231" t="s">
        <v>38</v>
      </c>
      <c r="D297" s="239">
        <v>774.4</v>
      </c>
      <c r="E297" s="233">
        <v>0.4</v>
      </c>
      <c r="F297" s="233">
        <f t="shared" si="8"/>
        <v>309.76</v>
      </c>
      <c r="G297" s="233"/>
      <c r="H297" s="233">
        <f t="shared" si="9"/>
        <v>309.76</v>
      </c>
      <c r="I297" s="240">
        <v>6920684</v>
      </c>
      <c r="J297" s="236" t="s">
        <v>39</v>
      </c>
      <c r="K297" s="244" t="s">
        <v>17</v>
      </c>
      <c r="L297" s="244" t="s">
        <v>18</v>
      </c>
      <c r="M297" s="229"/>
      <c r="N297" s="244"/>
    </row>
    <row r="298" spans="1:15" x14ac:dyDescent="0.2">
      <c r="A298" s="251">
        <v>295</v>
      </c>
      <c r="B298" s="251">
        <v>3872</v>
      </c>
      <c r="C298" s="252" t="s">
        <v>666</v>
      </c>
      <c r="D298" s="253">
        <v>753</v>
      </c>
      <c r="E298" s="254">
        <v>0.4</v>
      </c>
      <c r="F298" s="254">
        <f t="shared" si="8"/>
        <v>301.2</v>
      </c>
      <c r="G298" s="254">
        <f>300.17+1.03</f>
        <v>301.2</v>
      </c>
      <c r="H298" s="254">
        <f t="shared" si="9"/>
        <v>0</v>
      </c>
      <c r="I298" s="255">
        <v>5546892</v>
      </c>
      <c r="J298" s="256" t="s">
        <v>667</v>
      </c>
      <c r="K298" s="263" t="s">
        <v>17</v>
      </c>
      <c r="L298" s="263" t="s">
        <v>18</v>
      </c>
      <c r="M298" s="251">
        <v>93117757</v>
      </c>
      <c r="N298" s="258">
        <v>45665</v>
      </c>
      <c r="O298" s="329" t="s">
        <v>884</v>
      </c>
    </row>
    <row r="299" spans="1:15" x14ac:dyDescent="0.2">
      <c r="A299" s="251">
        <v>296</v>
      </c>
      <c r="B299" s="251">
        <v>3873</v>
      </c>
      <c r="C299" s="252" t="s">
        <v>668</v>
      </c>
      <c r="D299" s="253">
        <v>914.5</v>
      </c>
      <c r="E299" s="254">
        <v>0.4</v>
      </c>
      <c r="F299" s="254">
        <f t="shared" si="8"/>
        <v>365.8</v>
      </c>
      <c r="G299" s="254">
        <f>364.45+1.35</f>
        <v>365.8</v>
      </c>
      <c r="H299" s="254">
        <f t="shared" si="9"/>
        <v>0</v>
      </c>
      <c r="I299" s="255">
        <v>6560744</v>
      </c>
      <c r="J299" s="256" t="s">
        <v>669</v>
      </c>
      <c r="K299" s="257" t="s">
        <v>25</v>
      </c>
      <c r="L299" s="256" t="s">
        <v>26</v>
      </c>
      <c r="M299" s="251">
        <v>99291997</v>
      </c>
      <c r="N299" s="258">
        <v>45672</v>
      </c>
      <c r="O299" s="338">
        <v>45932</v>
      </c>
    </row>
    <row r="300" spans="1:15" x14ac:dyDescent="0.2">
      <c r="A300" s="229">
        <v>297</v>
      </c>
      <c r="B300" s="229">
        <v>3874</v>
      </c>
      <c r="C300" s="231" t="s">
        <v>670</v>
      </c>
      <c r="D300" s="239">
        <v>384.8</v>
      </c>
      <c r="E300" s="233">
        <v>0.4</v>
      </c>
      <c r="F300" s="233">
        <f t="shared" si="8"/>
        <v>153.92000000000002</v>
      </c>
      <c r="G300" s="233"/>
      <c r="H300" s="233">
        <f t="shared" si="9"/>
        <v>153.92000000000002</v>
      </c>
      <c r="I300" s="240">
        <v>8105354</v>
      </c>
      <c r="J300" s="236" t="s">
        <v>671</v>
      </c>
      <c r="K300" s="235" t="s">
        <v>25</v>
      </c>
      <c r="L300" s="241" t="s">
        <v>26</v>
      </c>
      <c r="M300" s="229">
        <v>96249000</v>
      </c>
      <c r="N300" s="244"/>
    </row>
    <row r="301" spans="1:15" x14ac:dyDescent="0.2">
      <c r="A301" s="229">
        <v>298</v>
      </c>
      <c r="B301" s="229">
        <v>3875</v>
      </c>
      <c r="C301" s="231" t="s">
        <v>672</v>
      </c>
      <c r="D301" s="239">
        <v>467</v>
      </c>
      <c r="E301" s="233">
        <v>0.4</v>
      </c>
      <c r="F301" s="233">
        <f t="shared" si="8"/>
        <v>186.8</v>
      </c>
      <c r="G301" s="233"/>
      <c r="H301" s="233">
        <f t="shared" si="9"/>
        <v>186.8</v>
      </c>
      <c r="I301" s="240">
        <v>1345289</v>
      </c>
      <c r="J301" s="236" t="s">
        <v>673</v>
      </c>
      <c r="K301" s="235" t="s">
        <v>25</v>
      </c>
      <c r="L301" s="241" t="s">
        <v>26</v>
      </c>
      <c r="M301" s="229">
        <v>99495936</v>
      </c>
      <c r="N301" s="244"/>
    </row>
    <row r="302" spans="1:15" x14ac:dyDescent="0.2">
      <c r="A302" s="284">
        <v>299</v>
      </c>
      <c r="B302" s="284">
        <v>3876</v>
      </c>
      <c r="C302" s="285" t="s">
        <v>674</v>
      </c>
      <c r="D302" s="286">
        <v>438.1</v>
      </c>
      <c r="E302" s="287">
        <v>0.4</v>
      </c>
      <c r="F302" s="287">
        <f t="shared" si="8"/>
        <v>175.24</v>
      </c>
      <c r="G302" s="287">
        <f>F302</f>
        <v>175.24</v>
      </c>
      <c r="H302" s="287">
        <f t="shared" si="9"/>
        <v>0</v>
      </c>
      <c r="I302" s="300">
        <v>4767948</v>
      </c>
      <c r="J302" s="289" t="s">
        <v>675</v>
      </c>
      <c r="K302" s="290" t="s">
        <v>17</v>
      </c>
      <c r="L302" s="290" t="s">
        <v>18</v>
      </c>
      <c r="M302" s="284"/>
      <c r="N302" s="291">
        <v>45664</v>
      </c>
    </row>
    <row r="303" spans="1:15" s="368" customFormat="1" x14ac:dyDescent="0.2">
      <c r="A303" s="360">
        <v>300</v>
      </c>
      <c r="B303" s="360">
        <v>3877</v>
      </c>
      <c r="C303" s="361" t="s">
        <v>41</v>
      </c>
      <c r="D303" s="362">
        <v>344.5</v>
      </c>
      <c r="E303" s="363">
        <v>0.4</v>
      </c>
      <c r="F303" s="363">
        <f t="shared" si="8"/>
        <v>137.80000000000001</v>
      </c>
      <c r="G303" s="363">
        <f>F303</f>
        <v>137.80000000000001</v>
      </c>
      <c r="H303" s="363">
        <f t="shared" si="9"/>
        <v>0</v>
      </c>
      <c r="I303" s="364">
        <v>14897254</v>
      </c>
      <c r="J303" s="367" t="s">
        <v>42</v>
      </c>
      <c r="K303" s="369" t="s">
        <v>43</v>
      </c>
      <c r="L303" s="367" t="s">
        <v>44</v>
      </c>
      <c r="M303" s="360">
        <v>92226297</v>
      </c>
      <c r="N303" s="369" t="s">
        <v>871</v>
      </c>
      <c r="O303" s="413"/>
    </row>
    <row r="304" spans="1:15" s="269" customFormat="1" x14ac:dyDescent="0.2">
      <c r="A304" s="251">
        <v>301</v>
      </c>
      <c r="B304" s="251">
        <v>3878</v>
      </c>
      <c r="C304" s="252" t="s">
        <v>676</v>
      </c>
      <c r="D304" s="253">
        <v>336.4</v>
      </c>
      <c r="E304" s="254">
        <v>0.4</v>
      </c>
      <c r="F304" s="254">
        <f t="shared" si="8"/>
        <v>134.56</v>
      </c>
      <c r="G304" s="254">
        <f>F304</f>
        <v>134.56</v>
      </c>
      <c r="H304" s="254">
        <f t="shared" si="9"/>
        <v>0</v>
      </c>
      <c r="I304" s="255">
        <v>22687078</v>
      </c>
      <c r="J304" s="256" t="s">
        <v>677</v>
      </c>
      <c r="K304" s="262" t="s">
        <v>75</v>
      </c>
      <c r="L304" s="263" t="s">
        <v>76</v>
      </c>
      <c r="M304" s="251">
        <v>92338070</v>
      </c>
      <c r="N304" s="258">
        <v>45932</v>
      </c>
      <c r="O304" s="351"/>
    </row>
    <row r="305" spans="1:15" s="274" customFormat="1" x14ac:dyDescent="0.2">
      <c r="A305" s="251">
        <v>302</v>
      </c>
      <c r="B305" s="251">
        <v>3879</v>
      </c>
      <c r="C305" s="252" t="s">
        <v>678</v>
      </c>
      <c r="D305" s="424">
        <v>180</v>
      </c>
      <c r="E305" s="254">
        <v>0.4</v>
      </c>
      <c r="F305" s="254">
        <f t="shared" si="8"/>
        <v>72</v>
      </c>
      <c r="G305" s="254">
        <f>F305</f>
        <v>72</v>
      </c>
      <c r="H305" s="254">
        <f t="shared" si="9"/>
        <v>0</v>
      </c>
      <c r="I305" s="255">
        <v>23178497</v>
      </c>
      <c r="J305" s="256" t="s">
        <v>679</v>
      </c>
      <c r="K305" s="257" t="s">
        <v>25</v>
      </c>
      <c r="L305" s="256" t="s">
        <v>26</v>
      </c>
      <c r="M305" s="251"/>
      <c r="N305" s="258">
        <v>45691</v>
      </c>
      <c r="O305" s="348"/>
    </row>
    <row r="306" spans="1:15" s="269" customFormat="1" x14ac:dyDescent="0.2">
      <c r="A306" s="251">
        <v>303</v>
      </c>
      <c r="B306" s="251">
        <v>3880</v>
      </c>
      <c r="C306" s="252" t="s">
        <v>680</v>
      </c>
      <c r="D306" s="253">
        <v>858.7</v>
      </c>
      <c r="E306" s="254">
        <v>0.4</v>
      </c>
      <c r="F306" s="254">
        <f t="shared" si="8"/>
        <v>343.48</v>
      </c>
      <c r="G306" s="254">
        <f>F306</f>
        <v>343.48</v>
      </c>
      <c r="H306" s="254">
        <f t="shared" si="9"/>
        <v>0</v>
      </c>
      <c r="I306" s="255">
        <v>6370697</v>
      </c>
      <c r="J306" s="256" t="s">
        <v>681</v>
      </c>
      <c r="K306" s="257" t="s">
        <v>25</v>
      </c>
      <c r="L306" s="256" t="s">
        <v>26</v>
      </c>
      <c r="M306" s="251">
        <v>99239896</v>
      </c>
      <c r="N306" s="438">
        <v>45932</v>
      </c>
      <c r="O306" s="351"/>
    </row>
    <row r="307" spans="1:15" x14ac:dyDescent="0.2">
      <c r="A307" s="251">
        <v>304</v>
      </c>
      <c r="B307" s="251">
        <v>3882</v>
      </c>
      <c r="C307" s="252" t="s">
        <v>684</v>
      </c>
      <c r="D307" s="253">
        <v>408.7</v>
      </c>
      <c r="E307" s="254">
        <v>0.4</v>
      </c>
      <c r="F307" s="254">
        <f t="shared" si="8"/>
        <v>163.48000000000002</v>
      </c>
      <c r="G307" s="254">
        <f>158.1+5.38</f>
        <v>163.47999999999999</v>
      </c>
      <c r="H307" s="254">
        <f t="shared" si="9"/>
        <v>0</v>
      </c>
      <c r="I307" s="255">
        <v>26752992</v>
      </c>
      <c r="J307" s="256" t="s">
        <v>685</v>
      </c>
      <c r="K307" s="257" t="s">
        <v>210</v>
      </c>
      <c r="L307" s="256" t="s">
        <v>211</v>
      </c>
      <c r="M307" s="251"/>
      <c r="N307" s="258">
        <v>45658</v>
      </c>
      <c r="O307" s="338">
        <v>45691</v>
      </c>
    </row>
    <row r="308" spans="1:15" s="269" customFormat="1" x14ac:dyDescent="0.2">
      <c r="A308" s="251">
        <v>305</v>
      </c>
      <c r="B308" s="251">
        <v>3884</v>
      </c>
      <c r="C308" s="252" t="s">
        <v>688</v>
      </c>
      <c r="D308" s="253">
        <v>193</v>
      </c>
      <c r="E308" s="254">
        <v>0.4</v>
      </c>
      <c r="F308" s="254">
        <f t="shared" si="8"/>
        <v>77.2</v>
      </c>
      <c r="G308" s="254">
        <f>F308</f>
        <v>77.2</v>
      </c>
      <c r="H308" s="254">
        <f t="shared" si="9"/>
        <v>0</v>
      </c>
      <c r="I308" s="255">
        <v>22716378</v>
      </c>
      <c r="J308" s="256" t="s">
        <v>689</v>
      </c>
      <c r="K308" s="257" t="s">
        <v>25</v>
      </c>
      <c r="L308" s="256" t="s">
        <v>26</v>
      </c>
      <c r="M308" s="251"/>
      <c r="N308" s="263" t="s">
        <v>893</v>
      </c>
      <c r="O308" s="351"/>
    </row>
    <row r="309" spans="1:15" x14ac:dyDescent="0.2">
      <c r="A309" s="251">
        <v>306</v>
      </c>
      <c r="B309" s="251">
        <v>3885</v>
      </c>
      <c r="C309" s="252" t="s">
        <v>690</v>
      </c>
      <c r="D309" s="253">
        <v>199.6</v>
      </c>
      <c r="E309" s="254">
        <v>0.4</v>
      </c>
      <c r="F309" s="254">
        <f t="shared" si="8"/>
        <v>79.84</v>
      </c>
      <c r="G309" s="254">
        <f>79.63+0.21</f>
        <v>79.839999999999989</v>
      </c>
      <c r="H309" s="254">
        <f t="shared" si="9"/>
        <v>0</v>
      </c>
      <c r="I309" s="255">
        <v>9920479</v>
      </c>
      <c r="J309" s="256" t="s">
        <v>691</v>
      </c>
      <c r="K309" s="257" t="s">
        <v>326</v>
      </c>
      <c r="L309" s="256" t="s">
        <v>327</v>
      </c>
      <c r="M309" s="251"/>
      <c r="N309" s="258">
        <v>45658</v>
      </c>
      <c r="O309" s="338">
        <v>45685</v>
      </c>
    </row>
    <row r="310" spans="1:15" x14ac:dyDescent="0.2">
      <c r="A310" s="251">
        <v>307</v>
      </c>
      <c r="B310" s="251">
        <v>3886</v>
      </c>
      <c r="C310" s="252" t="s">
        <v>692</v>
      </c>
      <c r="D310" s="253">
        <v>401.8</v>
      </c>
      <c r="E310" s="254">
        <v>0.4</v>
      </c>
      <c r="F310" s="254">
        <f t="shared" si="8"/>
        <v>160.72000000000003</v>
      </c>
      <c r="G310" s="254">
        <f>159.14+1.58</f>
        <v>160.72</v>
      </c>
      <c r="H310" s="254">
        <f t="shared" si="9"/>
        <v>0</v>
      </c>
      <c r="I310" s="255">
        <v>21941594</v>
      </c>
      <c r="J310" s="256" t="s">
        <v>693</v>
      </c>
      <c r="K310" s="257" t="s">
        <v>25</v>
      </c>
      <c r="L310" s="256" t="s">
        <v>26</v>
      </c>
      <c r="M310" s="251">
        <v>92094818</v>
      </c>
      <c r="N310" s="258">
        <v>45677</v>
      </c>
      <c r="O310" s="338">
        <v>45932</v>
      </c>
    </row>
    <row r="311" spans="1:15" x14ac:dyDescent="0.2">
      <c r="A311" s="251">
        <v>308</v>
      </c>
      <c r="B311" s="251">
        <v>3887</v>
      </c>
      <c r="C311" s="252" t="s">
        <v>694</v>
      </c>
      <c r="D311" s="253">
        <v>229.7</v>
      </c>
      <c r="E311" s="254">
        <v>0.4</v>
      </c>
      <c r="F311" s="254">
        <f t="shared" si="8"/>
        <v>91.88</v>
      </c>
      <c r="G311" s="254">
        <f>87.88+4</f>
        <v>91.88</v>
      </c>
      <c r="H311" s="254">
        <f t="shared" si="9"/>
        <v>0</v>
      </c>
      <c r="I311" s="255">
        <v>13204809</v>
      </c>
      <c r="J311" s="256" t="s">
        <v>695</v>
      </c>
      <c r="K311" s="257" t="s">
        <v>25</v>
      </c>
      <c r="L311" s="256" t="s">
        <v>26</v>
      </c>
      <c r="M311" s="251">
        <v>93332329</v>
      </c>
      <c r="N311" s="258">
        <v>45658</v>
      </c>
      <c r="O311" s="338">
        <v>45677</v>
      </c>
    </row>
    <row r="312" spans="1:15" s="269" customFormat="1" x14ac:dyDescent="0.2">
      <c r="A312" s="251">
        <v>309</v>
      </c>
      <c r="B312" s="251">
        <v>3888</v>
      </c>
      <c r="C312" s="252" t="s">
        <v>696</v>
      </c>
      <c r="D312" s="253">
        <v>400.9</v>
      </c>
      <c r="E312" s="254">
        <v>0.4</v>
      </c>
      <c r="F312" s="254">
        <f t="shared" si="8"/>
        <v>160.36000000000001</v>
      </c>
      <c r="G312" s="254">
        <f>F312</f>
        <v>160.36000000000001</v>
      </c>
      <c r="H312" s="254">
        <f t="shared" si="9"/>
        <v>0</v>
      </c>
      <c r="I312" s="255">
        <v>1808869</v>
      </c>
      <c r="J312" s="256" t="s">
        <v>697</v>
      </c>
      <c r="K312" s="263" t="s">
        <v>17</v>
      </c>
      <c r="L312" s="263" t="s">
        <v>18</v>
      </c>
      <c r="M312" s="251">
        <v>98003381</v>
      </c>
      <c r="N312" s="343">
        <v>45691</v>
      </c>
      <c r="O312" s="351"/>
    </row>
    <row r="313" spans="1:15" x14ac:dyDescent="0.2">
      <c r="A313" s="284">
        <v>310</v>
      </c>
      <c r="B313" s="284">
        <v>3889</v>
      </c>
      <c r="C313" s="285" t="s">
        <v>698</v>
      </c>
      <c r="D313" s="286">
        <v>459.5</v>
      </c>
      <c r="E313" s="287">
        <v>0.4</v>
      </c>
      <c r="F313" s="287">
        <f t="shared" si="8"/>
        <v>183.8</v>
      </c>
      <c r="G313" s="287">
        <f>F313</f>
        <v>183.8</v>
      </c>
      <c r="H313" s="287">
        <f t="shared" si="9"/>
        <v>0</v>
      </c>
      <c r="I313" s="300">
        <v>6499103</v>
      </c>
      <c r="J313" s="289" t="s">
        <v>699</v>
      </c>
      <c r="K313" s="301" t="s">
        <v>25</v>
      </c>
      <c r="L313" s="289" t="s">
        <v>26</v>
      </c>
      <c r="M313" s="284">
        <v>98200299</v>
      </c>
      <c r="N313" s="290" t="s">
        <v>716</v>
      </c>
    </row>
    <row r="314" spans="1:15" x14ac:dyDescent="0.2">
      <c r="A314" s="277"/>
      <c r="B314" s="313"/>
      <c r="C314" s="314" t="s">
        <v>45</v>
      </c>
      <c r="D314" s="315">
        <f>SUM(D4:D313)</f>
        <v>146771.30000000002</v>
      </c>
      <c r="E314" s="316"/>
      <c r="F314" s="317">
        <f>SUM(F4:F313)</f>
        <v>58708.520000000004</v>
      </c>
      <c r="G314" s="317">
        <f>SUM(G4:G313)</f>
        <v>40002.689999999995</v>
      </c>
      <c r="H314" s="317">
        <f>SUM(H4:H313)</f>
        <v>18705.829999999998</v>
      </c>
      <c r="I314" s="277"/>
      <c r="J314" s="318"/>
      <c r="K314" s="318"/>
      <c r="L314" s="318"/>
      <c r="M314" s="276"/>
      <c r="N314" s="276"/>
    </row>
    <row r="315" spans="1:15" x14ac:dyDescent="0.2">
      <c r="D315" s="319"/>
    </row>
    <row r="316" spans="1:15" x14ac:dyDescent="0.2">
      <c r="D316" s="320"/>
      <c r="G316" s="386">
        <f>G314/F314</f>
        <v>0.68137793287924808</v>
      </c>
    </row>
  </sheetData>
  <autoFilter ref="A3:N314" xr:uid="{B52E8734-A792-4906-BECD-E88C46CFCC0B}"/>
  <mergeCells count="1">
    <mergeCell ref="A1:O2"/>
  </mergeCells>
  <phoneticPr fontId="29" type="noConversion"/>
  <conditionalFormatting sqref="J24">
    <cfRule type="duplicateValues" dxfId="129" priority="17"/>
  </conditionalFormatting>
  <conditionalFormatting sqref="J31">
    <cfRule type="duplicateValues" dxfId="128" priority="18"/>
  </conditionalFormatting>
  <conditionalFormatting sqref="J37">
    <cfRule type="duplicateValues" dxfId="127" priority="19"/>
  </conditionalFormatting>
  <conditionalFormatting sqref="J47">
    <cfRule type="duplicateValues" dxfId="126" priority="10"/>
  </conditionalFormatting>
  <conditionalFormatting sqref="J48">
    <cfRule type="duplicateValues" dxfId="125" priority="11"/>
  </conditionalFormatting>
  <conditionalFormatting sqref="J49">
    <cfRule type="duplicateValues" dxfId="124" priority="12"/>
  </conditionalFormatting>
  <conditionalFormatting sqref="J56">
    <cfRule type="duplicateValues" dxfId="123" priority="13"/>
  </conditionalFormatting>
  <conditionalFormatting sqref="J59">
    <cfRule type="duplicateValues" dxfId="122" priority="14"/>
  </conditionalFormatting>
  <conditionalFormatting sqref="J69">
    <cfRule type="duplicateValues" dxfId="121" priority="15"/>
  </conditionalFormatting>
  <conditionalFormatting sqref="J95">
    <cfRule type="duplicateValues" dxfId="120" priority="16"/>
  </conditionalFormatting>
  <conditionalFormatting sqref="J105">
    <cfRule type="duplicateValues" dxfId="119" priority="1"/>
  </conditionalFormatting>
  <conditionalFormatting sqref="J106">
    <cfRule type="duplicateValues" dxfId="118" priority="2"/>
  </conditionalFormatting>
  <conditionalFormatting sqref="J112">
    <cfRule type="duplicateValues" dxfId="117" priority="3"/>
  </conditionalFormatting>
  <conditionalFormatting sqref="J131">
    <cfRule type="duplicateValues" dxfId="116" priority="4"/>
  </conditionalFormatting>
  <conditionalFormatting sqref="J132">
    <cfRule type="duplicateValues" dxfId="115" priority="5"/>
  </conditionalFormatting>
  <conditionalFormatting sqref="K60">
    <cfRule type="duplicateValues" dxfId="114" priority="6"/>
  </conditionalFormatting>
  <conditionalFormatting sqref="K96">
    <cfRule type="duplicateValues" dxfId="113" priority="8"/>
  </conditionalFormatting>
  <conditionalFormatting sqref="M60">
    <cfRule type="duplicateValues" dxfId="112" priority="7"/>
  </conditionalFormatting>
  <conditionalFormatting sqref="N96">
    <cfRule type="duplicateValues" dxfId="111" priority="9"/>
  </conditionalFormatting>
  <hyperlinks>
    <hyperlink ref="D305" location="'Center-Oct'!Print_Area" display="'Center-Oct'!Print_Area" xr:uid="{6895633C-40C8-48CE-B434-304C1420D481}"/>
  </hyperlinks>
  <pageMargins left="0.7" right="0.7" top="0.75" bottom="0.75" header="0.3" footer="0.3"/>
  <pageSetup paperSize="9" scale="4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E86F-839F-4B19-A03B-D79A9D41CF76}">
  <dimension ref="A1:Q316"/>
  <sheetViews>
    <sheetView view="pageBreakPreview" topLeftCell="A250" zoomScale="148" zoomScaleNormal="100" zoomScaleSheetLayoutView="148" workbookViewId="0">
      <pane xSplit="2" topLeftCell="C1" activePane="topRight" state="frozen"/>
      <selection activeCell="N149" sqref="N149"/>
      <selection pane="topRight" activeCell="N149" sqref="N149"/>
    </sheetView>
  </sheetViews>
  <sheetFormatPr defaultColWidth="9.28515625" defaultRowHeight="11.25" x14ac:dyDescent="0.2"/>
  <cols>
    <col min="1" max="2" width="9.28515625" style="219" bestFit="1" customWidth="1"/>
    <col min="3" max="3" width="23.7109375" style="219" customWidth="1"/>
    <col min="4" max="4" width="12.28515625" style="219" customWidth="1"/>
    <col min="5" max="5" width="9.28515625" style="219" bestFit="1" customWidth="1"/>
    <col min="6" max="6" width="13.5703125" style="219" customWidth="1"/>
    <col min="7" max="7" width="9.28515625" style="219" customWidth="1"/>
    <col min="8" max="8" width="10.28515625" style="219" customWidth="1"/>
    <col min="9" max="9" width="9.42578125" style="219" customWidth="1"/>
    <col min="10" max="10" width="19" style="219" hidden="1" customWidth="1"/>
    <col min="11" max="11" width="18.28515625" style="219" hidden="1" customWidth="1"/>
    <col min="12" max="12" width="13.42578125" style="219" hidden="1" customWidth="1"/>
    <col min="13" max="13" width="10.7109375" style="219" hidden="1" customWidth="1"/>
    <col min="14" max="14" width="20" style="427" bestFit="1" customWidth="1"/>
    <col min="15" max="15" width="12.5703125" style="428" customWidth="1"/>
    <col min="16" max="16384" width="9.28515625" style="219"/>
  </cols>
  <sheetData>
    <row r="1" spans="1:15" x14ac:dyDescent="0.2">
      <c r="A1" s="602" t="s">
        <v>860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5" ht="12" thickBot="1" x14ac:dyDescent="0.25">
      <c r="A2" s="602"/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</row>
    <row r="3" spans="1:15" ht="22.5" x14ac:dyDescent="0.2">
      <c r="A3" s="220" t="s">
        <v>1</v>
      </c>
      <c r="B3" s="221" t="s">
        <v>2</v>
      </c>
      <c r="C3" s="222" t="s">
        <v>3</v>
      </c>
      <c r="D3" s="223" t="s">
        <v>4</v>
      </c>
      <c r="E3" s="221" t="s">
        <v>5</v>
      </c>
      <c r="F3" s="221" t="s">
        <v>6</v>
      </c>
      <c r="G3" s="221" t="s">
        <v>703</v>
      </c>
      <c r="H3" s="221" t="s">
        <v>859</v>
      </c>
      <c r="I3" s="224" t="s">
        <v>9</v>
      </c>
      <c r="J3" s="225" t="s">
        <v>10</v>
      </c>
      <c r="K3" s="225" t="s">
        <v>11</v>
      </c>
      <c r="L3" s="226" t="s">
        <v>12</v>
      </c>
      <c r="M3" s="227" t="s">
        <v>13</v>
      </c>
      <c r="N3" s="436" t="s">
        <v>14</v>
      </c>
    </row>
    <row r="4" spans="1:15" x14ac:dyDescent="0.2">
      <c r="A4" s="229">
        <v>1</v>
      </c>
      <c r="B4" s="230">
        <v>1108</v>
      </c>
      <c r="C4" s="231" t="s">
        <v>49</v>
      </c>
      <c r="D4" s="232">
        <v>812.9</v>
      </c>
      <c r="E4" s="233">
        <v>0.4</v>
      </c>
      <c r="F4" s="233">
        <f t="shared" ref="F4:F67" si="0">E4*D4</f>
        <v>325.16000000000003</v>
      </c>
      <c r="G4" s="233"/>
      <c r="H4" s="233">
        <f t="shared" ref="H4:H35" si="1">F4-G4</f>
        <v>325.16000000000003</v>
      </c>
      <c r="I4" s="234">
        <v>15218386</v>
      </c>
      <c r="J4" s="235" t="s">
        <v>50</v>
      </c>
      <c r="K4" s="235" t="s">
        <v>25</v>
      </c>
      <c r="L4" s="236" t="s">
        <v>26</v>
      </c>
      <c r="M4" s="234">
        <v>92776884</v>
      </c>
      <c r="N4" s="437"/>
    </row>
    <row r="5" spans="1:15" x14ac:dyDescent="0.2">
      <c r="A5" s="251">
        <v>2</v>
      </c>
      <c r="B5" s="251">
        <v>1390</v>
      </c>
      <c r="C5" s="252" t="s">
        <v>51</v>
      </c>
      <c r="D5" s="253">
        <v>250.7</v>
      </c>
      <c r="E5" s="254">
        <v>0.4</v>
      </c>
      <c r="F5" s="254">
        <f t="shared" si="0"/>
        <v>100.28</v>
      </c>
      <c r="G5" s="254">
        <f>96.21</f>
        <v>96.21</v>
      </c>
      <c r="H5" s="254">
        <f t="shared" si="1"/>
        <v>4.0700000000000074</v>
      </c>
      <c r="I5" s="251">
        <v>12181822</v>
      </c>
      <c r="J5" s="238" t="s">
        <v>52</v>
      </c>
      <c r="K5" s="235" t="s">
        <v>25</v>
      </c>
      <c r="L5" s="236" t="s">
        <v>26</v>
      </c>
      <c r="M5" s="229">
        <v>92442060</v>
      </c>
      <c r="N5" s="438">
        <v>45691</v>
      </c>
    </row>
    <row r="6" spans="1:15" x14ac:dyDescent="0.2">
      <c r="A6" s="251">
        <v>3</v>
      </c>
      <c r="B6" s="251">
        <v>1399</v>
      </c>
      <c r="C6" s="252" t="s">
        <v>53</v>
      </c>
      <c r="D6" s="253">
        <v>187.7</v>
      </c>
      <c r="E6" s="254">
        <v>0.4</v>
      </c>
      <c r="F6" s="254">
        <f t="shared" si="0"/>
        <v>75.08</v>
      </c>
      <c r="G6" s="254">
        <f>70.44</f>
        <v>70.44</v>
      </c>
      <c r="H6" s="254">
        <f t="shared" si="1"/>
        <v>4.6400000000000006</v>
      </c>
      <c r="I6" s="255">
        <v>10065546</v>
      </c>
      <c r="J6" s="236" t="s">
        <v>54</v>
      </c>
      <c r="K6" s="235" t="s">
        <v>43</v>
      </c>
      <c r="L6" s="241" t="s">
        <v>44</v>
      </c>
      <c r="M6" s="229"/>
      <c r="N6" s="438">
        <v>45691</v>
      </c>
    </row>
    <row r="7" spans="1:15" x14ac:dyDescent="0.2">
      <c r="A7" s="251">
        <v>4</v>
      </c>
      <c r="B7" s="251">
        <v>1422</v>
      </c>
      <c r="C7" s="252" t="s">
        <v>56</v>
      </c>
      <c r="D7" s="253">
        <v>185.2</v>
      </c>
      <c r="E7" s="254">
        <v>0.4</v>
      </c>
      <c r="F7" s="254">
        <f t="shared" si="0"/>
        <v>74.08</v>
      </c>
      <c r="G7" s="254">
        <f>72.63</f>
        <v>72.63</v>
      </c>
      <c r="H7" s="254">
        <f t="shared" si="1"/>
        <v>1.4500000000000028</v>
      </c>
      <c r="I7" s="264">
        <v>3280016</v>
      </c>
      <c r="J7" s="257" t="s">
        <v>57</v>
      </c>
      <c r="K7" s="257" t="s">
        <v>25</v>
      </c>
      <c r="L7" s="256" t="s">
        <v>26</v>
      </c>
      <c r="M7" s="264"/>
      <c r="N7" s="438">
        <v>45691</v>
      </c>
    </row>
    <row r="8" spans="1:15" x14ac:dyDescent="0.2">
      <c r="A8" s="251">
        <v>5</v>
      </c>
      <c r="B8" s="251">
        <v>1424</v>
      </c>
      <c r="C8" s="252" t="s">
        <v>58</v>
      </c>
      <c r="D8" s="253">
        <v>299.89999999999998</v>
      </c>
      <c r="E8" s="254">
        <v>0.4</v>
      </c>
      <c r="F8" s="254">
        <f t="shared" si="0"/>
        <v>119.96</v>
      </c>
      <c r="G8" s="254">
        <f>115.42+4.54</f>
        <v>119.96000000000001</v>
      </c>
      <c r="H8" s="254">
        <f t="shared" si="1"/>
        <v>0</v>
      </c>
      <c r="I8" s="264">
        <v>748395</v>
      </c>
      <c r="J8" s="262" t="s">
        <v>59</v>
      </c>
      <c r="K8" s="263" t="s">
        <v>17</v>
      </c>
      <c r="L8" s="263" t="s">
        <v>18</v>
      </c>
      <c r="M8" s="264">
        <v>93011211</v>
      </c>
      <c r="N8" s="438">
        <v>45677</v>
      </c>
      <c r="O8" s="427">
        <v>45902</v>
      </c>
    </row>
    <row r="9" spans="1:15" x14ac:dyDescent="0.2">
      <c r="A9" s="229">
        <v>6</v>
      </c>
      <c r="B9" s="229">
        <v>1429</v>
      </c>
      <c r="C9" s="231" t="s">
        <v>60</v>
      </c>
      <c r="D9" s="239">
        <v>349</v>
      </c>
      <c r="E9" s="233">
        <v>0.4</v>
      </c>
      <c r="F9" s="233">
        <f t="shared" si="0"/>
        <v>139.6</v>
      </c>
      <c r="G9" s="233"/>
      <c r="H9" s="233">
        <f t="shared" si="1"/>
        <v>139.6</v>
      </c>
      <c r="I9" s="240">
        <v>339725</v>
      </c>
      <c r="J9" s="236" t="s">
        <v>61</v>
      </c>
      <c r="K9" s="235" t="s">
        <v>25</v>
      </c>
      <c r="L9" s="241" t="s">
        <v>26</v>
      </c>
      <c r="M9" s="229"/>
      <c r="N9" s="437"/>
    </row>
    <row r="10" spans="1:15" x14ac:dyDescent="0.2">
      <c r="A10" s="251">
        <v>7</v>
      </c>
      <c r="B10" s="251">
        <v>1431</v>
      </c>
      <c r="C10" s="252" t="s">
        <v>62</v>
      </c>
      <c r="D10" s="253">
        <v>265.89999999999998</v>
      </c>
      <c r="E10" s="254">
        <v>0.4</v>
      </c>
      <c r="F10" s="254">
        <f t="shared" si="0"/>
        <v>106.36</v>
      </c>
      <c r="G10" s="254">
        <f>104.02</f>
        <v>104.02</v>
      </c>
      <c r="H10" s="254">
        <f t="shared" si="1"/>
        <v>2.3400000000000034</v>
      </c>
      <c r="I10" s="264">
        <v>721445</v>
      </c>
      <c r="J10" s="257" t="s">
        <v>63</v>
      </c>
      <c r="K10" s="263" t="s">
        <v>17</v>
      </c>
      <c r="L10" s="263" t="s">
        <v>18</v>
      </c>
      <c r="M10" s="264">
        <v>99291700</v>
      </c>
      <c r="N10" s="438">
        <v>45680</v>
      </c>
    </row>
    <row r="11" spans="1:15" x14ac:dyDescent="0.2">
      <c r="A11" s="229">
        <v>8</v>
      </c>
      <c r="B11" s="229">
        <v>1443</v>
      </c>
      <c r="C11" s="231" t="s">
        <v>65</v>
      </c>
      <c r="D11" s="232">
        <v>944.6</v>
      </c>
      <c r="E11" s="233">
        <v>0.4</v>
      </c>
      <c r="F11" s="233">
        <f t="shared" si="0"/>
        <v>377.84000000000003</v>
      </c>
      <c r="G11" s="233"/>
      <c r="H11" s="233">
        <f t="shared" si="1"/>
        <v>377.84000000000003</v>
      </c>
      <c r="I11" s="242">
        <v>6026992</v>
      </c>
      <c r="J11" s="238" t="s">
        <v>66</v>
      </c>
      <c r="K11" s="235" t="s">
        <v>25</v>
      </c>
      <c r="L11" s="236" t="s">
        <v>26</v>
      </c>
      <c r="M11" s="242">
        <v>95863774</v>
      </c>
      <c r="N11" s="437"/>
    </row>
    <row r="12" spans="1:15" x14ac:dyDescent="0.2">
      <c r="A12" s="251">
        <v>9</v>
      </c>
      <c r="B12" s="251">
        <v>1452</v>
      </c>
      <c r="C12" s="252" t="s">
        <v>67</v>
      </c>
      <c r="D12" s="253">
        <v>327.7</v>
      </c>
      <c r="E12" s="254">
        <v>0.4</v>
      </c>
      <c r="F12" s="254">
        <f t="shared" si="0"/>
        <v>131.08000000000001</v>
      </c>
      <c r="G12" s="254">
        <f>127.24</f>
        <v>127.24</v>
      </c>
      <c r="H12" s="254">
        <f t="shared" si="1"/>
        <v>3.8400000000000176</v>
      </c>
      <c r="I12" s="330">
        <v>20917176</v>
      </c>
      <c r="J12" s="331" t="s">
        <v>68</v>
      </c>
      <c r="K12" s="323" t="s">
        <v>25</v>
      </c>
      <c r="L12" s="331" t="s">
        <v>26</v>
      </c>
      <c r="M12" s="330">
        <v>95863774</v>
      </c>
      <c r="N12" s="439">
        <v>45779</v>
      </c>
    </row>
    <row r="13" spans="1:15" x14ac:dyDescent="0.2">
      <c r="A13" s="229">
        <v>10</v>
      </c>
      <c r="B13" s="229">
        <v>1458</v>
      </c>
      <c r="C13" s="231" t="s">
        <v>69</v>
      </c>
      <c r="D13" s="232">
        <v>260.3</v>
      </c>
      <c r="E13" s="233">
        <v>0.4</v>
      </c>
      <c r="F13" s="233">
        <f t="shared" si="0"/>
        <v>104.12</v>
      </c>
      <c r="G13" s="233"/>
      <c r="H13" s="233">
        <f t="shared" si="1"/>
        <v>104.12</v>
      </c>
      <c r="I13" s="242">
        <v>77628</v>
      </c>
      <c r="J13" s="238" t="s">
        <v>70</v>
      </c>
      <c r="K13" s="244" t="s">
        <v>17</v>
      </c>
      <c r="L13" s="244" t="s">
        <v>18</v>
      </c>
      <c r="M13" s="242">
        <v>99275608</v>
      </c>
      <c r="N13" s="437"/>
    </row>
    <row r="14" spans="1:15" x14ac:dyDescent="0.2">
      <c r="A14" s="229">
        <v>11</v>
      </c>
      <c r="B14" s="229">
        <v>1461</v>
      </c>
      <c r="C14" s="231" t="s">
        <v>71</v>
      </c>
      <c r="D14" s="232">
        <v>259.8</v>
      </c>
      <c r="E14" s="233">
        <v>0.4</v>
      </c>
      <c r="F14" s="233">
        <f t="shared" si="0"/>
        <v>103.92000000000002</v>
      </c>
      <c r="G14" s="233"/>
      <c r="H14" s="233">
        <f t="shared" si="1"/>
        <v>103.92000000000002</v>
      </c>
      <c r="I14" s="242">
        <v>6828806</v>
      </c>
      <c r="J14" s="238" t="s">
        <v>72</v>
      </c>
      <c r="K14" s="235" t="s">
        <v>25</v>
      </c>
      <c r="L14" s="236" t="s">
        <v>26</v>
      </c>
      <c r="M14" s="242">
        <v>92330321</v>
      </c>
      <c r="N14" s="437"/>
    </row>
    <row r="15" spans="1:15" x14ac:dyDescent="0.2">
      <c r="A15" s="284">
        <v>12</v>
      </c>
      <c r="B15" s="284">
        <v>1465</v>
      </c>
      <c r="C15" s="285" t="s">
        <v>73</v>
      </c>
      <c r="D15" s="286">
        <v>266.7</v>
      </c>
      <c r="E15" s="287">
        <v>0.4</v>
      </c>
      <c r="F15" s="287">
        <f t="shared" si="0"/>
        <v>106.68</v>
      </c>
      <c r="G15" s="287">
        <f>F15</f>
        <v>106.68</v>
      </c>
      <c r="H15" s="287">
        <f t="shared" si="1"/>
        <v>0</v>
      </c>
      <c r="I15" s="284">
        <v>757601</v>
      </c>
      <c r="J15" s="289" t="s">
        <v>74</v>
      </c>
      <c r="K15" s="333" t="s">
        <v>75</v>
      </c>
      <c r="L15" s="290" t="s">
        <v>76</v>
      </c>
      <c r="M15" s="284">
        <v>99892131</v>
      </c>
      <c r="N15" s="440" t="s">
        <v>880</v>
      </c>
    </row>
    <row r="16" spans="1:15" x14ac:dyDescent="0.2">
      <c r="A16" s="229">
        <v>13</v>
      </c>
      <c r="B16" s="229">
        <v>1474</v>
      </c>
      <c r="C16" s="231" t="s">
        <v>15</v>
      </c>
      <c r="D16" s="232">
        <v>614.70000000000005</v>
      </c>
      <c r="E16" s="233">
        <v>0.4</v>
      </c>
      <c r="F16" s="233">
        <f t="shared" si="0"/>
        <v>245.88000000000002</v>
      </c>
      <c r="G16" s="233"/>
      <c r="H16" s="233">
        <f t="shared" si="1"/>
        <v>245.88000000000002</v>
      </c>
      <c r="I16" s="229">
        <v>4603773</v>
      </c>
      <c r="J16" s="244" t="s">
        <v>16</v>
      </c>
      <c r="K16" s="244" t="s">
        <v>17</v>
      </c>
      <c r="L16" s="244" t="s">
        <v>18</v>
      </c>
      <c r="M16" s="229">
        <v>98820843</v>
      </c>
      <c r="N16" s="437"/>
    </row>
    <row r="17" spans="1:15" x14ac:dyDescent="0.2">
      <c r="A17" s="229">
        <v>14</v>
      </c>
      <c r="B17" s="229">
        <v>1479</v>
      </c>
      <c r="C17" s="246" t="s">
        <v>77</v>
      </c>
      <c r="D17" s="239">
        <v>263.2</v>
      </c>
      <c r="E17" s="233">
        <v>0.4</v>
      </c>
      <c r="F17" s="233">
        <f t="shared" si="0"/>
        <v>105.28</v>
      </c>
      <c r="G17" s="233"/>
      <c r="H17" s="233">
        <f t="shared" si="1"/>
        <v>105.28</v>
      </c>
      <c r="I17" s="247">
        <v>5217726</v>
      </c>
      <c r="J17" s="248" t="s">
        <v>78</v>
      </c>
      <c r="K17" s="249" t="s">
        <v>25</v>
      </c>
      <c r="L17" s="249" t="s">
        <v>26</v>
      </c>
      <c r="M17" s="247">
        <v>92610234</v>
      </c>
      <c r="N17" s="441"/>
    </row>
    <row r="18" spans="1:15" x14ac:dyDescent="0.2">
      <c r="A18" s="251">
        <v>15</v>
      </c>
      <c r="B18" s="251">
        <v>1483</v>
      </c>
      <c r="C18" s="252" t="s">
        <v>79</v>
      </c>
      <c r="D18" s="253">
        <v>678.4</v>
      </c>
      <c r="E18" s="254">
        <v>0.4</v>
      </c>
      <c r="F18" s="254">
        <f t="shared" si="0"/>
        <v>271.36</v>
      </c>
      <c r="G18" s="254">
        <f>270.82</f>
        <v>270.82</v>
      </c>
      <c r="H18" s="254">
        <f t="shared" si="1"/>
        <v>0.54000000000002046</v>
      </c>
      <c r="I18" s="251">
        <v>1567826</v>
      </c>
      <c r="J18" s="262" t="s">
        <v>80</v>
      </c>
      <c r="K18" s="263" t="s">
        <v>75</v>
      </c>
      <c r="L18" s="256" t="s">
        <v>76</v>
      </c>
      <c r="M18" s="251">
        <v>98532884</v>
      </c>
      <c r="N18" s="438">
        <v>45691</v>
      </c>
    </row>
    <row r="19" spans="1:15" x14ac:dyDescent="0.2">
      <c r="A19" s="251">
        <v>16</v>
      </c>
      <c r="B19" s="251">
        <v>1486</v>
      </c>
      <c r="C19" s="252" t="s">
        <v>714</v>
      </c>
      <c r="D19" s="253">
        <v>286.8</v>
      </c>
      <c r="E19" s="254">
        <v>0.4</v>
      </c>
      <c r="F19" s="254">
        <f t="shared" si="0"/>
        <v>114.72000000000001</v>
      </c>
      <c r="G19" s="254">
        <f>110.53</f>
        <v>110.53</v>
      </c>
      <c r="H19" s="254">
        <f t="shared" si="1"/>
        <v>4.1900000000000119</v>
      </c>
      <c r="I19" s="251">
        <v>22792564</v>
      </c>
      <c r="J19" s="262" t="s">
        <v>715</v>
      </c>
      <c r="K19" s="337" t="s">
        <v>25</v>
      </c>
      <c r="L19" s="337" t="s">
        <v>26</v>
      </c>
      <c r="M19" s="251"/>
      <c r="N19" s="438">
        <v>45685</v>
      </c>
    </row>
    <row r="20" spans="1:15" x14ac:dyDescent="0.2">
      <c r="A20" s="251">
        <v>17</v>
      </c>
      <c r="B20" s="251">
        <v>1762</v>
      </c>
      <c r="C20" s="252" t="s">
        <v>82</v>
      </c>
      <c r="D20" s="253">
        <v>900</v>
      </c>
      <c r="E20" s="254">
        <v>0.4</v>
      </c>
      <c r="F20" s="254">
        <f t="shared" si="0"/>
        <v>360</v>
      </c>
      <c r="G20" s="254">
        <f>358.65</f>
        <v>358.65</v>
      </c>
      <c r="H20" s="254">
        <f t="shared" si="1"/>
        <v>1.3500000000000227</v>
      </c>
      <c r="I20" s="255">
        <v>1409527</v>
      </c>
      <c r="J20" s="256" t="s">
        <v>83</v>
      </c>
      <c r="K20" s="257" t="s">
        <v>84</v>
      </c>
      <c r="L20" s="256" t="s">
        <v>26</v>
      </c>
      <c r="M20" s="251"/>
      <c r="N20" s="438">
        <v>45677</v>
      </c>
    </row>
    <row r="21" spans="1:15" x14ac:dyDescent="0.2">
      <c r="A21" s="229">
        <v>18</v>
      </c>
      <c r="B21" s="229">
        <v>1792</v>
      </c>
      <c r="C21" s="231" t="s">
        <v>85</v>
      </c>
      <c r="D21" s="239">
        <v>240.8</v>
      </c>
      <c r="E21" s="233">
        <v>0.4</v>
      </c>
      <c r="F21" s="233">
        <f t="shared" si="0"/>
        <v>96.320000000000007</v>
      </c>
      <c r="G21" s="233"/>
      <c r="H21" s="233">
        <f t="shared" si="1"/>
        <v>96.320000000000007</v>
      </c>
      <c r="I21" s="259">
        <v>9545556</v>
      </c>
      <c r="J21" s="260" t="s">
        <v>86</v>
      </c>
      <c r="K21" s="244" t="s">
        <v>17</v>
      </c>
      <c r="L21" s="260" t="s">
        <v>18</v>
      </c>
      <c r="M21" s="229"/>
      <c r="N21" s="437"/>
    </row>
    <row r="22" spans="1:15" x14ac:dyDescent="0.2">
      <c r="A22" s="229">
        <v>19</v>
      </c>
      <c r="B22" s="229">
        <v>3009</v>
      </c>
      <c r="C22" s="231" t="s">
        <v>87</v>
      </c>
      <c r="D22" s="232">
        <v>56.8</v>
      </c>
      <c r="E22" s="233">
        <v>0.4</v>
      </c>
      <c r="F22" s="233">
        <f t="shared" si="0"/>
        <v>22.72</v>
      </c>
      <c r="G22" s="233"/>
      <c r="H22" s="233">
        <f t="shared" si="1"/>
        <v>22.72</v>
      </c>
      <c r="I22" s="229">
        <v>1448391</v>
      </c>
      <c r="J22" s="261" t="s">
        <v>88</v>
      </c>
      <c r="K22" s="244" t="s">
        <v>43</v>
      </c>
      <c r="L22" s="244" t="s">
        <v>44</v>
      </c>
      <c r="M22" s="229">
        <v>99100144</v>
      </c>
      <c r="N22" s="437"/>
    </row>
    <row r="23" spans="1:15" x14ac:dyDescent="0.2">
      <c r="A23" s="251">
        <v>20</v>
      </c>
      <c r="B23" s="251">
        <v>3012</v>
      </c>
      <c r="C23" s="252" t="s">
        <v>90</v>
      </c>
      <c r="D23" s="253">
        <v>267.60000000000002</v>
      </c>
      <c r="E23" s="254">
        <v>0.4</v>
      </c>
      <c r="F23" s="254">
        <f t="shared" si="0"/>
        <v>107.04000000000002</v>
      </c>
      <c r="G23" s="254">
        <f>101.12+5.92</f>
        <v>107.04</v>
      </c>
      <c r="H23" s="254">
        <f t="shared" si="1"/>
        <v>0</v>
      </c>
      <c r="I23" s="251">
        <v>5634422</v>
      </c>
      <c r="J23" s="262" t="s">
        <v>91</v>
      </c>
      <c r="K23" s="257" t="s">
        <v>25</v>
      </c>
      <c r="L23" s="256" t="s">
        <v>26</v>
      </c>
      <c r="M23" s="251">
        <v>96922118</v>
      </c>
      <c r="N23" s="438">
        <v>45677</v>
      </c>
      <c r="O23" s="427">
        <v>45993</v>
      </c>
    </row>
    <row r="24" spans="1:15" x14ac:dyDescent="0.2">
      <c r="A24" s="251">
        <v>21</v>
      </c>
      <c r="B24" s="251">
        <v>3014</v>
      </c>
      <c r="C24" s="252" t="s">
        <v>92</v>
      </c>
      <c r="D24" s="253">
        <v>214.3</v>
      </c>
      <c r="E24" s="254">
        <v>0.4</v>
      </c>
      <c r="F24" s="254">
        <f t="shared" si="0"/>
        <v>85.720000000000013</v>
      </c>
      <c r="G24" s="254">
        <f>84.43</f>
        <v>84.43</v>
      </c>
      <c r="H24" s="254">
        <f t="shared" si="1"/>
        <v>1.2900000000000063</v>
      </c>
      <c r="I24" s="251">
        <v>648421</v>
      </c>
      <c r="J24" s="262" t="s">
        <v>93</v>
      </c>
      <c r="K24" s="263" t="s">
        <v>43</v>
      </c>
      <c r="L24" s="263" t="s">
        <v>44</v>
      </c>
      <c r="M24" s="251">
        <v>98815665</v>
      </c>
      <c r="N24" s="438">
        <v>45685</v>
      </c>
    </row>
    <row r="25" spans="1:15" x14ac:dyDescent="0.2">
      <c r="A25" s="229">
        <v>22</v>
      </c>
      <c r="B25" s="229">
        <v>3015</v>
      </c>
      <c r="C25" s="231" t="s">
        <v>94</v>
      </c>
      <c r="D25" s="232">
        <v>252.7</v>
      </c>
      <c r="E25" s="233">
        <v>0.4</v>
      </c>
      <c r="F25" s="233">
        <f t="shared" si="0"/>
        <v>101.08</v>
      </c>
      <c r="G25" s="233"/>
      <c r="H25" s="233">
        <f t="shared" si="1"/>
        <v>101.08</v>
      </c>
      <c r="I25" s="229">
        <v>5753033</v>
      </c>
      <c r="J25" s="243" t="s">
        <v>95</v>
      </c>
      <c r="K25" s="235" t="s">
        <v>25</v>
      </c>
      <c r="L25" s="236" t="s">
        <v>26</v>
      </c>
      <c r="M25" s="229">
        <v>92838405</v>
      </c>
      <c r="N25" s="437"/>
    </row>
    <row r="26" spans="1:15" x14ac:dyDescent="0.2">
      <c r="A26" s="251">
        <v>23</v>
      </c>
      <c r="B26" s="251">
        <v>3018</v>
      </c>
      <c r="C26" s="252" t="s">
        <v>96</v>
      </c>
      <c r="D26" s="253">
        <v>189.3</v>
      </c>
      <c r="E26" s="254">
        <v>0.4</v>
      </c>
      <c r="F26" s="254">
        <f t="shared" si="0"/>
        <v>75.720000000000013</v>
      </c>
      <c r="G26" s="254">
        <f>71.44</f>
        <v>71.44</v>
      </c>
      <c r="H26" s="254">
        <f t="shared" si="1"/>
        <v>4.2800000000000153</v>
      </c>
      <c r="I26" s="255">
        <v>1528087</v>
      </c>
      <c r="J26" s="322" t="s">
        <v>97</v>
      </c>
      <c r="K26" s="257" t="s">
        <v>25</v>
      </c>
      <c r="L26" s="256" t="s">
        <v>26</v>
      </c>
      <c r="M26" s="251"/>
      <c r="N26" s="438">
        <v>45679</v>
      </c>
    </row>
    <row r="27" spans="1:15" x14ac:dyDescent="0.2">
      <c r="A27" s="251">
        <v>24</v>
      </c>
      <c r="B27" s="251">
        <v>3020</v>
      </c>
      <c r="C27" s="252" t="s">
        <v>98</v>
      </c>
      <c r="D27" s="253">
        <v>370.8</v>
      </c>
      <c r="E27" s="254">
        <v>0.4</v>
      </c>
      <c r="F27" s="254">
        <f t="shared" si="0"/>
        <v>148.32000000000002</v>
      </c>
      <c r="G27" s="254">
        <f>F27</f>
        <v>148.32000000000002</v>
      </c>
      <c r="H27" s="254">
        <f t="shared" si="1"/>
        <v>0</v>
      </c>
      <c r="I27" s="251">
        <v>5418422</v>
      </c>
      <c r="J27" s="262" t="s">
        <v>99</v>
      </c>
      <c r="K27" s="257" t="s">
        <v>25</v>
      </c>
      <c r="L27" s="256" t="s">
        <v>26</v>
      </c>
      <c r="M27" s="251">
        <v>99495434</v>
      </c>
      <c r="N27" s="438">
        <v>45677</v>
      </c>
    </row>
    <row r="28" spans="1:15" x14ac:dyDescent="0.2">
      <c r="A28" s="251">
        <v>25</v>
      </c>
      <c r="B28" s="251">
        <v>3022</v>
      </c>
      <c r="C28" s="252" t="s">
        <v>100</v>
      </c>
      <c r="D28" s="253">
        <v>648.6</v>
      </c>
      <c r="E28" s="254">
        <v>0.4</v>
      </c>
      <c r="F28" s="254">
        <f t="shared" si="0"/>
        <v>259.44</v>
      </c>
      <c r="G28" s="254">
        <f>257.95</f>
        <v>257.95</v>
      </c>
      <c r="H28" s="254">
        <f t="shared" si="1"/>
        <v>1.4900000000000091</v>
      </c>
      <c r="I28" s="251">
        <v>5360253</v>
      </c>
      <c r="J28" s="262" t="s">
        <v>101</v>
      </c>
      <c r="K28" s="263" t="s">
        <v>75</v>
      </c>
      <c r="L28" s="256" t="s">
        <v>76</v>
      </c>
      <c r="M28" s="251">
        <v>99257989</v>
      </c>
      <c r="N28" s="438">
        <v>45685</v>
      </c>
    </row>
    <row r="29" spans="1:15" x14ac:dyDescent="0.2">
      <c r="A29" s="229">
        <v>26</v>
      </c>
      <c r="B29" s="229">
        <v>3025</v>
      </c>
      <c r="C29" s="231" t="s">
        <v>102</v>
      </c>
      <c r="D29" s="232">
        <v>512.4</v>
      </c>
      <c r="E29" s="233">
        <v>0.4</v>
      </c>
      <c r="F29" s="233">
        <f t="shared" si="0"/>
        <v>204.96</v>
      </c>
      <c r="G29" s="233"/>
      <c r="H29" s="233">
        <f t="shared" si="1"/>
        <v>204.96</v>
      </c>
      <c r="I29" s="229">
        <v>7542172</v>
      </c>
      <c r="J29" s="243" t="s">
        <v>103</v>
      </c>
      <c r="K29" s="235" t="s">
        <v>25</v>
      </c>
      <c r="L29" s="236" t="s">
        <v>26</v>
      </c>
      <c r="M29" s="229"/>
      <c r="N29" s="437"/>
    </row>
    <row r="30" spans="1:15" x14ac:dyDescent="0.2">
      <c r="A30" s="229">
        <v>27</v>
      </c>
      <c r="B30" s="229">
        <v>3026</v>
      </c>
      <c r="C30" s="231" t="s">
        <v>105</v>
      </c>
      <c r="D30" s="232">
        <v>264.10000000000002</v>
      </c>
      <c r="E30" s="233">
        <v>0.4</v>
      </c>
      <c r="F30" s="233">
        <f t="shared" si="0"/>
        <v>105.64000000000001</v>
      </c>
      <c r="G30" s="233"/>
      <c r="H30" s="233">
        <f t="shared" si="1"/>
        <v>105.64000000000001</v>
      </c>
      <c r="I30" s="229">
        <v>7033819</v>
      </c>
      <c r="J30" s="243" t="s">
        <v>106</v>
      </c>
      <c r="K30" s="235" t="s">
        <v>25</v>
      </c>
      <c r="L30" s="236" t="s">
        <v>26</v>
      </c>
      <c r="M30" s="229">
        <v>92256918</v>
      </c>
      <c r="N30" s="437"/>
    </row>
    <row r="31" spans="1:15" x14ac:dyDescent="0.2">
      <c r="A31" s="251">
        <v>28</v>
      </c>
      <c r="B31" s="251">
        <v>3027</v>
      </c>
      <c r="C31" s="252" t="s">
        <v>107</v>
      </c>
      <c r="D31" s="253">
        <v>551</v>
      </c>
      <c r="E31" s="254">
        <v>0.4</v>
      </c>
      <c r="F31" s="254">
        <f t="shared" si="0"/>
        <v>220.4</v>
      </c>
      <c r="G31" s="254">
        <f>216.17</f>
        <v>216.17</v>
      </c>
      <c r="H31" s="254">
        <f t="shared" si="1"/>
        <v>4.2300000000000182</v>
      </c>
      <c r="I31" s="251">
        <v>6420643</v>
      </c>
      <c r="J31" s="262" t="s">
        <v>108</v>
      </c>
      <c r="K31" s="257" t="s">
        <v>17</v>
      </c>
      <c r="L31" s="256" t="s">
        <v>18</v>
      </c>
      <c r="M31" s="251">
        <v>92288434</v>
      </c>
      <c r="N31" s="438">
        <v>45685</v>
      </c>
    </row>
    <row r="32" spans="1:15" x14ac:dyDescent="0.2">
      <c r="A32" s="251">
        <v>29</v>
      </c>
      <c r="B32" s="251">
        <v>3030</v>
      </c>
      <c r="C32" s="252" t="s">
        <v>109</v>
      </c>
      <c r="D32" s="253">
        <v>282</v>
      </c>
      <c r="E32" s="254">
        <v>0.4</v>
      </c>
      <c r="F32" s="254">
        <f t="shared" si="0"/>
        <v>112.80000000000001</v>
      </c>
      <c r="G32" s="254">
        <f>111.25</f>
        <v>111.25</v>
      </c>
      <c r="H32" s="254">
        <f t="shared" si="1"/>
        <v>1.5500000000000114</v>
      </c>
      <c r="I32" s="251">
        <v>6021175</v>
      </c>
      <c r="J32" s="243" t="s">
        <v>110</v>
      </c>
      <c r="K32" s="235" t="s">
        <v>25</v>
      </c>
      <c r="L32" s="236" t="s">
        <v>26</v>
      </c>
      <c r="M32" s="229">
        <v>91716888</v>
      </c>
      <c r="N32" s="438">
        <v>45691</v>
      </c>
    </row>
    <row r="33" spans="1:15" x14ac:dyDescent="0.2">
      <c r="A33" s="251">
        <v>30</v>
      </c>
      <c r="B33" s="251">
        <v>3038</v>
      </c>
      <c r="C33" s="252" t="s">
        <v>111</v>
      </c>
      <c r="D33" s="253">
        <v>551</v>
      </c>
      <c r="E33" s="254">
        <v>0.4</v>
      </c>
      <c r="F33" s="254">
        <f t="shared" si="0"/>
        <v>220.4</v>
      </c>
      <c r="G33" s="254">
        <f>219.15+1.25</f>
        <v>220.4</v>
      </c>
      <c r="H33" s="254">
        <f t="shared" si="1"/>
        <v>0</v>
      </c>
      <c r="I33" s="251">
        <v>7976</v>
      </c>
      <c r="J33" s="262" t="s">
        <v>112</v>
      </c>
      <c r="K33" s="263" t="s">
        <v>43</v>
      </c>
      <c r="L33" s="263" t="s">
        <v>44</v>
      </c>
      <c r="M33" s="251">
        <v>98920007</v>
      </c>
      <c r="N33" s="438">
        <v>45670</v>
      </c>
      <c r="O33" s="427">
        <v>45932</v>
      </c>
    </row>
    <row r="34" spans="1:15" s="269" customFormat="1" x14ac:dyDescent="0.2">
      <c r="A34" s="251">
        <v>31</v>
      </c>
      <c r="B34" s="251">
        <v>3043</v>
      </c>
      <c r="C34" s="252" t="s">
        <v>113</v>
      </c>
      <c r="D34" s="253">
        <v>240.8</v>
      </c>
      <c r="E34" s="254">
        <v>0.4</v>
      </c>
      <c r="F34" s="254">
        <f t="shared" si="0"/>
        <v>96.320000000000007</v>
      </c>
      <c r="G34" s="254">
        <f>95.11</f>
        <v>95.11</v>
      </c>
      <c r="H34" s="254">
        <f t="shared" si="1"/>
        <v>1.210000000000008</v>
      </c>
      <c r="I34" s="251">
        <v>396336</v>
      </c>
      <c r="J34" s="262" t="s">
        <v>114</v>
      </c>
      <c r="K34" s="257" t="s">
        <v>25</v>
      </c>
      <c r="L34" s="256" t="s">
        <v>26</v>
      </c>
      <c r="M34" s="251">
        <v>99498844</v>
      </c>
      <c r="N34" s="438">
        <v>45932</v>
      </c>
      <c r="O34" s="429"/>
    </row>
    <row r="35" spans="1:15" x14ac:dyDescent="0.2">
      <c r="A35" s="229">
        <v>32</v>
      </c>
      <c r="B35" s="229">
        <v>3058</v>
      </c>
      <c r="C35" s="231" t="s">
        <v>115</v>
      </c>
      <c r="D35" s="232">
        <v>908.5</v>
      </c>
      <c r="E35" s="233">
        <v>0.4</v>
      </c>
      <c r="F35" s="233">
        <f t="shared" si="0"/>
        <v>363.40000000000003</v>
      </c>
      <c r="G35" s="233"/>
      <c r="H35" s="233">
        <f t="shared" si="1"/>
        <v>363.40000000000003</v>
      </c>
      <c r="I35" s="229">
        <v>965148</v>
      </c>
      <c r="J35" s="243" t="s">
        <v>116</v>
      </c>
      <c r="K35" s="244" t="s">
        <v>43</v>
      </c>
      <c r="L35" s="244" t="s">
        <v>44</v>
      </c>
      <c r="M35" s="229">
        <v>90980121</v>
      </c>
      <c r="N35" s="437"/>
    </row>
    <row r="36" spans="1:15" x14ac:dyDescent="0.2">
      <c r="A36" s="251">
        <v>33</v>
      </c>
      <c r="B36" s="251">
        <v>3070</v>
      </c>
      <c r="C36" s="252" t="s">
        <v>117</v>
      </c>
      <c r="D36" s="253">
        <v>840.6</v>
      </c>
      <c r="E36" s="254">
        <v>0.4</v>
      </c>
      <c r="F36" s="254">
        <f t="shared" si="0"/>
        <v>336.24</v>
      </c>
      <c r="G36" s="254">
        <f>F36</f>
        <v>336.24</v>
      </c>
      <c r="H36" s="254">
        <f t="shared" ref="H36:H58" si="2">F36-G36</f>
        <v>0</v>
      </c>
      <c r="I36" s="264">
        <v>1918001</v>
      </c>
      <c r="J36" s="262" t="s">
        <v>118</v>
      </c>
      <c r="K36" s="257" t="s">
        <v>25</v>
      </c>
      <c r="L36" s="256" t="s">
        <v>26</v>
      </c>
      <c r="M36" s="264">
        <v>92863640</v>
      </c>
      <c r="N36" s="438">
        <v>45670</v>
      </c>
    </row>
    <row r="37" spans="1:15" x14ac:dyDescent="0.2">
      <c r="A37" s="229">
        <v>34</v>
      </c>
      <c r="B37" s="229">
        <v>3072</v>
      </c>
      <c r="C37" s="231" t="s">
        <v>119</v>
      </c>
      <c r="D37" s="232">
        <v>266</v>
      </c>
      <c r="E37" s="233">
        <v>0.4</v>
      </c>
      <c r="F37" s="233">
        <f t="shared" si="0"/>
        <v>106.4</v>
      </c>
      <c r="G37" s="233"/>
      <c r="H37" s="233">
        <f t="shared" si="2"/>
        <v>106.4</v>
      </c>
      <c r="I37" s="229">
        <v>993077</v>
      </c>
      <c r="J37" s="243" t="s">
        <v>120</v>
      </c>
      <c r="K37" s="244" t="s">
        <v>121</v>
      </c>
      <c r="L37" s="244" t="s">
        <v>122</v>
      </c>
      <c r="M37" s="229">
        <v>92252981</v>
      </c>
      <c r="N37" s="437"/>
    </row>
    <row r="38" spans="1:15" x14ac:dyDescent="0.2">
      <c r="A38" s="229">
        <v>35</v>
      </c>
      <c r="B38" s="229">
        <v>3077</v>
      </c>
      <c r="C38" s="231" t="s">
        <v>123</v>
      </c>
      <c r="D38" s="232">
        <v>506.9</v>
      </c>
      <c r="E38" s="233">
        <v>0.4</v>
      </c>
      <c r="F38" s="233">
        <f t="shared" si="0"/>
        <v>202.76</v>
      </c>
      <c r="G38" s="233"/>
      <c r="H38" s="233">
        <f t="shared" si="2"/>
        <v>202.76</v>
      </c>
      <c r="I38" s="229">
        <v>21978752</v>
      </c>
      <c r="J38" s="243" t="s">
        <v>124</v>
      </c>
      <c r="K38" s="235" t="s">
        <v>25</v>
      </c>
      <c r="L38" s="236" t="s">
        <v>26</v>
      </c>
      <c r="M38" s="229">
        <v>90833336</v>
      </c>
      <c r="N38" s="437"/>
    </row>
    <row r="39" spans="1:15" x14ac:dyDescent="0.2">
      <c r="A39" s="284">
        <v>36</v>
      </c>
      <c r="B39" s="284">
        <v>3081</v>
      </c>
      <c r="C39" s="285" t="s">
        <v>126</v>
      </c>
      <c r="D39" s="286">
        <v>360</v>
      </c>
      <c r="E39" s="287">
        <v>0.4</v>
      </c>
      <c r="F39" s="287">
        <f t="shared" si="0"/>
        <v>144</v>
      </c>
      <c r="G39" s="287">
        <f>F39</f>
        <v>144</v>
      </c>
      <c r="H39" s="287">
        <f t="shared" si="2"/>
        <v>0</v>
      </c>
      <c r="I39" s="284">
        <v>21219868</v>
      </c>
      <c r="J39" s="339" t="s">
        <v>127</v>
      </c>
      <c r="K39" s="290" t="s">
        <v>128</v>
      </c>
      <c r="L39" s="340" t="s">
        <v>129</v>
      </c>
      <c r="M39" s="284">
        <v>93288777</v>
      </c>
      <c r="N39" s="440" t="s">
        <v>858</v>
      </c>
    </row>
    <row r="40" spans="1:15" x14ac:dyDescent="0.2">
      <c r="A40" s="251">
        <v>37</v>
      </c>
      <c r="B40" s="251">
        <v>3089</v>
      </c>
      <c r="C40" s="252" t="s">
        <v>130</v>
      </c>
      <c r="D40" s="253">
        <v>211.1</v>
      </c>
      <c r="E40" s="254">
        <v>0.4</v>
      </c>
      <c r="F40" s="254">
        <f t="shared" si="0"/>
        <v>84.44</v>
      </c>
      <c r="G40" s="254">
        <f>82.71</f>
        <v>82.71</v>
      </c>
      <c r="H40" s="254">
        <f t="shared" si="2"/>
        <v>1.730000000000004</v>
      </c>
      <c r="I40" s="251">
        <v>18790484</v>
      </c>
      <c r="J40" s="262" t="s">
        <v>131</v>
      </c>
      <c r="K40" s="257" t="s">
        <v>25</v>
      </c>
      <c r="L40" s="256" t="s">
        <v>26</v>
      </c>
      <c r="M40" s="251"/>
      <c r="N40" s="438">
        <v>45677</v>
      </c>
    </row>
    <row r="41" spans="1:15" x14ac:dyDescent="0.2">
      <c r="A41" s="229">
        <v>38</v>
      </c>
      <c r="B41" s="229">
        <v>3093</v>
      </c>
      <c r="C41" s="231" t="s">
        <v>132</v>
      </c>
      <c r="D41" s="232">
        <v>358</v>
      </c>
      <c r="E41" s="233">
        <v>0.4</v>
      </c>
      <c r="F41" s="233">
        <f t="shared" si="0"/>
        <v>143.20000000000002</v>
      </c>
      <c r="G41" s="233"/>
      <c r="H41" s="233">
        <f t="shared" si="2"/>
        <v>143.20000000000002</v>
      </c>
      <c r="I41" s="229">
        <v>6361035</v>
      </c>
      <c r="J41" s="243" t="s">
        <v>133</v>
      </c>
      <c r="K41" s="244" t="s">
        <v>134</v>
      </c>
      <c r="L41" s="236" t="s">
        <v>135</v>
      </c>
      <c r="M41" s="229">
        <v>99497919</v>
      </c>
      <c r="N41" s="437"/>
    </row>
    <row r="42" spans="1:15" x14ac:dyDescent="0.2">
      <c r="A42" s="229">
        <v>39</v>
      </c>
      <c r="B42" s="229">
        <v>3094</v>
      </c>
      <c r="C42" s="231" t="s">
        <v>136</v>
      </c>
      <c r="D42" s="232">
        <v>702.4</v>
      </c>
      <c r="E42" s="233">
        <v>0.4</v>
      </c>
      <c r="F42" s="233">
        <f t="shared" si="0"/>
        <v>280.95999999999998</v>
      </c>
      <c r="G42" s="233"/>
      <c r="H42" s="233">
        <f t="shared" si="2"/>
        <v>280.95999999999998</v>
      </c>
      <c r="I42" s="229">
        <v>26343985</v>
      </c>
      <c r="J42" s="243" t="s">
        <v>137</v>
      </c>
      <c r="K42" s="235" t="s">
        <v>25</v>
      </c>
      <c r="L42" s="236" t="s">
        <v>26</v>
      </c>
      <c r="M42" s="229">
        <v>93327740</v>
      </c>
      <c r="N42" s="437"/>
    </row>
    <row r="43" spans="1:15" x14ac:dyDescent="0.2">
      <c r="A43" s="229">
        <v>40</v>
      </c>
      <c r="B43" s="229">
        <v>3100</v>
      </c>
      <c r="C43" s="231" t="s">
        <v>138</v>
      </c>
      <c r="D43" s="232">
        <v>1140</v>
      </c>
      <c r="E43" s="233">
        <v>0.4</v>
      </c>
      <c r="F43" s="233">
        <f t="shared" si="0"/>
        <v>456</v>
      </c>
      <c r="G43" s="233"/>
      <c r="H43" s="233">
        <f t="shared" si="2"/>
        <v>456</v>
      </c>
      <c r="I43" s="229">
        <v>1278615</v>
      </c>
      <c r="J43" s="243" t="s">
        <v>139</v>
      </c>
      <c r="K43" s="244" t="s">
        <v>75</v>
      </c>
      <c r="L43" s="236" t="s">
        <v>26</v>
      </c>
      <c r="M43" s="229">
        <v>99806386</v>
      </c>
      <c r="N43" s="437"/>
    </row>
    <row r="44" spans="1:15" x14ac:dyDescent="0.2">
      <c r="A44" s="229">
        <v>41</v>
      </c>
      <c r="B44" s="229">
        <v>3101</v>
      </c>
      <c r="C44" s="231" t="s">
        <v>140</v>
      </c>
      <c r="D44" s="232">
        <v>300.5</v>
      </c>
      <c r="E44" s="233">
        <v>0.4</v>
      </c>
      <c r="F44" s="233">
        <f t="shared" si="0"/>
        <v>120.2</v>
      </c>
      <c r="G44" s="233"/>
      <c r="H44" s="233">
        <f t="shared" si="2"/>
        <v>120.2</v>
      </c>
      <c r="I44" s="229">
        <v>6767598</v>
      </c>
      <c r="J44" s="243" t="s">
        <v>141</v>
      </c>
      <c r="K44" s="235" t="s">
        <v>25</v>
      </c>
      <c r="L44" s="236" t="s">
        <v>26</v>
      </c>
      <c r="M44" s="229">
        <v>99100344</v>
      </c>
      <c r="N44" s="437"/>
    </row>
    <row r="45" spans="1:15" x14ac:dyDescent="0.2">
      <c r="A45" s="251">
        <v>42</v>
      </c>
      <c r="B45" s="251">
        <v>3102</v>
      </c>
      <c r="C45" s="252" t="s">
        <v>142</v>
      </c>
      <c r="D45" s="253">
        <v>515.1</v>
      </c>
      <c r="E45" s="254">
        <v>0.4</v>
      </c>
      <c r="F45" s="254">
        <f t="shared" si="0"/>
        <v>206.04000000000002</v>
      </c>
      <c r="G45" s="254">
        <f>200.06+5.98</f>
        <v>206.04</v>
      </c>
      <c r="H45" s="254">
        <f t="shared" si="2"/>
        <v>0</v>
      </c>
      <c r="I45" s="251">
        <v>5916838</v>
      </c>
      <c r="J45" s="256" t="s">
        <v>143</v>
      </c>
      <c r="K45" s="257" t="s">
        <v>25</v>
      </c>
      <c r="L45" s="256" t="s">
        <v>26</v>
      </c>
      <c r="M45" s="251">
        <v>91917520</v>
      </c>
      <c r="N45" s="438">
        <v>45685</v>
      </c>
      <c r="O45" s="427">
        <v>45932</v>
      </c>
    </row>
    <row r="46" spans="1:15" x14ac:dyDescent="0.2">
      <c r="A46" s="251">
        <v>43</v>
      </c>
      <c r="B46" s="251">
        <v>3119</v>
      </c>
      <c r="C46" s="252" t="s">
        <v>144</v>
      </c>
      <c r="D46" s="253">
        <v>798</v>
      </c>
      <c r="E46" s="254">
        <v>0.4</v>
      </c>
      <c r="F46" s="254">
        <f t="shared" si="0"/>
        <v>319.20000000000005</v>
      </c>
      <c r="G46" s="254">
        <f>316.73</f>
        <v>316.73</v>
      </c>
      <c r="H46" s="254">
        <f t="shared" si="2"/>
        <v>2.4700000000000273</v>
      </c>
      <c r="I46" s="251">
        <v>5903061</v>
      </c>
      <c r="J46" s="262" t="s">
        <v>145</v>
      </c>
      <c r="K46" s="257" t="s">
        <v>25</v>
      </c>
      <c r="L46" s="256" t="s">
        <v>26</v>
      </c>
      <c r="M46" s="251">
        <v>91904279</v>
      </c>
      <c r="N46" s="438">
        <v>45685</v>
      </c>
    </row>
    <row r="47" spans="1:15" x14ac:dyDescent="0.2">
      <c r="A47" s="229">
        <v>44</v>
      </c>
      <c r="B47" s="229">
        <v>3122</v>
      </c>
      <c r="C47" s="231" t="s">
        <v>146</v>
      </c>
      <c r="D47" s="232">
        <v>285</v>
      </c>
      <c r="E47" s="233">
        <v>0.4</v>
      </c>
      <c r="F47" s="233">
        <f t="shared" si="0"/>
        <v>114</v>
      </c>
      <c r="G47" s="233"/>
      <c r="H47" s="233">
        <f t="shared" si="2"/>
        <v>114</v>
      </c>
      <c r="I47" s="229">
        <v>12415718</v>
      </c>
      <c r="J47" s="243" t="s">
        <v>110</v>
      </c>
      <c r="K47" s="235" t="s">
        <v>25</v>
      </c>
      <c r="L47" s="236" t="s">
        <v>26</v>
      </c>
      <c r="M47" s="229">
        <v>99481799</v>
      </c>
      <c r="N47" s="437"/>
    </row>
    <row r="48" spans="1:15" x14ac:dyDescent="0.2">
      <c r="A48" s="251">
        <v>45</v>
      </c>
      <c r="B48" s="251">
        <v>3136</v>
      </c>
      <c r="C48" s="252" t="s">
        <v>20</v>
      </c>
      <c r="D48" s="253">
        <v>420.5</v>
      </c>
      <c r="E48" s="254">
        <v>0.4</v>
      </c>
      <c r="F48" s="254">
        <f t="shared" si="0"/>
        <v>168.20000000000002</v>
      </c>
      <c r="G48" s="254">
        <f>166.79</f>
        <v>166.79</v>
      </c>
      <c r="H48" s="254">
        <f t="shared" si="2"/>
        <v>1.410000000000025</v>
      </c>
      <c r="I48" s="251">
        <v>183498</v>
      </c>
      <c r="J48" s="243" t="s">
        <v>21</v>
      </c>
      <c r="K48" s="235" t="s">
        <v>17</v>
      </c>
      <c r="L48" s="236" t="s">
        <v>18</v>
      </c>
      <c r="M48" s="229">
        <v>99481314</v>
      </c>
      <c r="N48" s="438">
        <v>45691</v>
      </c>
    </row>
    <row r="49" spans="1:15" x14ac:dyDescent="0.2">
      <c r="A49" s="229">
        <v>46</v>
      </c>
      <c r="B49" s="229">
        <v>3178</v>
      </c>
      <c r="C49" s="231" t="s">
        <v>147</v>
      </c>
      <c r="D49" s="232">
        <v>1914</v>
      </c>
      <c r="E49" s="233">
        <v>0.4</v>
      </c>
      <c r="F49" s="233">
        <f t="shared" si="0"/>
        <v>765.6</v>
      </c>
      <c r="G49" s="233"/>
      <c r="H49" s="233">
        <f t="shared" si="2"/>
        <v>765.6</v>
      </c>
      <c r="I49" s="229">
        <v>1511754</v>
      </c>
      <c r="J49" s="243" t="s">
        <v>148</v>
      </c>
      <c r="K49" s="244" t="s">
        <v>43</v>
      </c>
      <c r="L49" s="244" t="s">
        <v>44</v>
      </c>
      <c r="M49" s="229">
        <v>99495933</v>
      </c>
      <c r="N49" s="437"/>
    </row>
    <row r="50" spans="1:15" x14ac:dyDescent="0.2">
      <c r="A50" s="229">
        <v>47</v>
      </c>
      <c r="B50" s="229">
        <v>3199</v>
      </c>
      <c r="C50" s="231" t="s">
        <v>149</v>
      </c>
      <c r="D50" s="232">
        <v>262</v>
      </c>
      <c r="E50" s="233">
        <v>0.4</v>
      </c>
      <c r="F50" s="233">
        <f t="shared" si="0"/>
        <v>104.80000000000001</v>
      </c>
      <c r="G50" s="233"/>
      <c r="H50" s="233">
        <f t="shared" si="2"/>
        <v>104.80000000000001</v>
      </c>
      <c r="I50" s="229">
        <v>5168327</v>
      </c>
      <c r="J50" s="243" t="s">
        <v>150</v>
      </c>
      <c r="K50" s="235" t="s">
        <v>25</v>
      </c>
      <c r="L50" s="236" t="s">
        <v>26</v>
      </c>
      <c r="M50" s="229">
        <v>98066833</v>
      </c>
      <c r="N50" s="437"/>
    </row>
    <row r="51" spans="1:15" x14ac:dyDescent="0.2">
      <c r="A51" s="251">
        <v>48</v>
      </c>
      <c r="B51" s="251">
        <v>3200</v>
      </c>
      <c r="C51" s="252" t="s">
        <v>151</v>
      </c>
      <c r="D51" s="253">
        <v>5.6</v>
      </c>
      <c r="E51" s="254">
        <v>0.4</v>
      </c>
      <c r="F51" s="254">
        <f t="shared" si="0"/>
        <v>2.2399999999999998</v>
      </c>
      <c r="G51" s="254">
        <f>0.4</f>
        <v>0.4</v>
      </c>
      <c r="H51" s="254">
        <f t="shared" si="2"/>
        <v>1.8399999999999999</v>
      </c>
      <c r="I51" s="255">
        <v>21947578</v>
      </c>
      <c r="J51" s="256" t="s">
        <v>152</v>
      </c>
      <c r="K51" s="257" t="s">
        <v>25</v>
      </c>
      <c r="L51" s="256" t="s">
        <v>26</v>
      </c>
      <c r="M51" s="251"/>
      <c r="N51" s="438">
        <v>45677</v>
      </c>
    </row>
    <row r="52" spans="1:15" x14ac:dyDescent="0.2">
      <c r="A52" s="229">
        <v>49</v>
      </c>
      <c r="B52" s="229">
        <v>3201</v>
      </c>
      <c r="C52" s="231" t="s">
        <v>153</v>
      </c>
      <c r="D52" s="232">
        <v>240.9</v>
      </c>
      <c r="E52" s="233">
        <v>0.4</v>
      </c>
      <c r="F52" s="233">
        <f t="shared" si="0"/>
        <v>96.360000000000014</v>
      </c>
      <c r="G52" s="233"/>
      <c r="H52" s="233">
        <f t="shared" si="2"/>
        <v>96.360000000000014</v>
      </c>
      <c r="I52" s="229">
        <v>7048401</v>
      </c>
      <c r="J52" s="243" t="s">
        <v>154</v>
      </c>
      <c r="K52" s="244" t="s">
        <v>17</v>
      </c>
      <c r="L52" s="244" t="s">
        <v>18</v>
      </c>
      <c r="M52" s="229"/>
      <c r="N52" s="437"/>
    </row>
    <row r="53" spans="1:15" x14ac:dyDescent="0.2">
      <c r="A53" s="229">
        <v>50</v>
      </c>
      <c r="B53" s="229">
        <v>3202</v>
      </c>
      <c r="C53" s="231" t="s">
        <v>155</v>
      </c>
      <c r="D53" s="232">
        <v>259.5</v>
      </c>
      <c r="E53" s="233">
        <v>0.4</v>
      </c>
      <c r="F53" s="233">
        <f t="shared" si="0"/>
        <v>103.80000000000001</v>
      </c>
      <c r="G53" s="233"/>
      <c r="H53" s="233">
        <f t="shared" si="2"/>
        <v>103.80000000000001</v>
      </c>
      <c r="I53" s="229">
        <v>5197371</v>
      </c>
      <c r="J53" s="243" t="s">
        <v>156</v>
      </c>
      <c r="K53" s="235" t="s">
        <v>25</v>
      </c>
      <c r="L53" s="236" t="s">
        <v>26</v>
      </c>
      <c r="M53" s="229">
        <v>93889732</v>
      </c>
      <c r="N53" s="437"/>
    </row>
    <row r="54" spans="1:15" x14ac:dyDescent="0.2">
      <c r="A54" s="251">
        <v>51</v>
      </c>
      <c r="B54" s="251">
        <v>3203</v>
      </c>
      <c r="C54" s="252" t="s">
        <v>157</v>
      </c>
      <c r="D54" s="253">
        <v>369.1</v>
      </c>
      <c r="E54" s="254">
        <v>0.4</v>
      </c>
      <c r="F54" s="254">
        <f t="shared" si="0"/>
        <v>147.64000000000001</v>
      </c>
      <c r="G54" s="254">
        <f>146.58+1.06</f>
        <v>147.64000000000001</v>
      </c>
      <c r="H54" s="254">
        <f t="shared" si="2"/>
        <v>0</v>
      </c>
      <c r="I54" s="251">
        <v>23215097</v>
      </c>
      <c r="J54" s="262" t="s">
        <v>158</v>
      </c>
      <c r="K54" s="257" t="s">
        <v>25</v>
      </c>
      <c r="L54" s="256" t="s">
        <v>26</v>
      </c>
      <c r="M54" s="251"/>
      <c r="N54" s="438">
        <v>45685</v>
      </c>
      <c r="O54" s="427">
        <v>45932</v>
      </c>
    </row>
    <row r="55" spans="1:15" x14ac:dyDescent="0.2">
      <c r="A55" s="229">
        <v>52</v>
      </c>
      <c r="B55" s="229">
        <v>3204</v>
      </c>
      <c r="C55" s="231" t="s">
        <v>159</v>
      </c>
      <c r="D55" s="232">
        <v>260.2</v>
      </c>
      <c r="E55" s="233">
        <v>0.4</v>
      </c>
      <c r="F55" s="233">
        <f t="shared" si="0"/>
        <v>104.08</v>
      </c>
      <c r="G55" s="233"/>
      <c r="H55" s="233">
        <f t="shared" si="2"/>
        <v>104.08</v>
      </c>
      <c r="I55" s="229">
        <v>24958926</v>
      </c>
      <c r="J55" s="243" t="s">
        <v>160</v>
      </c>
      <c r="K55" s="235" t="s">
        <v>25</v>
      </c>
      <c r="L55" s="236" t="s">
        <v>26</v>
      </c>
      <c r="M55" s="229">
        <v>99312225</v>
      </c>
      <c r="N55" s="437"/>
    </row>
    <row r="56" spans="1:15" x14ac:dyDescent="0.2">
      <c r="A56" s="229">
        <v>53</v>
      </c>
      <c r="B56" s="229">
        <v>3207</v>
      </c>
      <c r="C56" s="231" t="s">
        <v>162</v>
      </c>
      <c r="D56" s="232">
        <v>625.4</v>
      </c>
      <c r="E56" s="233">
        <v>0.4</v>
      </c>
      <c r="F56" s="233">
        <f t="shared" si="0"/>
        <v>250.16</v>
      </c>
      <c r="G56" s="233"/>
      <c r="H56" s="233">
        <f t="shared" si="2"/>
        <v>250.16</v>
      </c>
      <c r="I56" s="229">
        <v>11940175</v>
      </c>
      <c r="J56" s="243" t="s">
        <v>163</v>
      </c>
      <c r="K56" s="235" t="s">
        <v>25</v>
      </c>
      <c r="L56" s="236" t="s">
        <v>26</v>
      </c>
      <c r="M56" s="229">
        <v>98138748</v>
      </c>
      <c r="N56" s="437"/>
    </row>
    <row r="57" spans="1:15" x14ac:dyDescent="0.2">
      <c r="A57" s="251">
        <v>54</v>
      </c>
      <c r="B57" s="251">
        <v>3208</v>
      </c>
      <c r="C57" s="252" t="s">
        <v>164</v>
      </c>
      <c r="D57" s="253">
        <v>538.70000000000005</v>
      </c>
      <c r="E57" s="254">
        <v>0.4</v>
      </c>
      <c r="F57" s="254">
        <f t="shared" si="0"/>
        <v>215.48000000000002</v>
      </c>
      <c r="G57" s="254">
        <f>214.92</f>
        <v>214.92</v>
      </c>
      <c r="H57" s="254">
        <f t="shared" si="2"/>
        <v>0.5600000000000307</v>
      </c>
      <c r="I57" s="251">
        <v>1742664</v>
      </c>
      <c r="J57" s="243" t="s">
        <v>165</v>
      </c>
      <c r="K57" s="244" t="s">
        <v>166</v>
      </c>
      <c r="L57" s="244" t="s">
        <v>129</v>
      </c>
      <c r="M57" s="229">
        <v>99482598</v>
      </c>
      <c r="N57" s="438">
        <v>45691</v>
      </c>
    </row>
    <row r="58" spans="1:15" x14ac:dyDescent="0.2">
      <c r="A58" s="251">
        <v>55</v>
      </c>
      <c r="B58" s="251">
        <v>3209</v>
      </c>
      <c r="C58" s="252" t="s">
        <v>169</v>
      </c>
      <c r="D58" s="253">
        <v>284.2</v>
      </c>
      <c r="E58" s="254">
        <v>0.4</v>
      </c>
      <c r="F58" s="254">
        <f t="shared" si="0"/>
        <v>113.68</v>
      </c>
      <c r="G58" s="254">
        <f>111.41+2.27</f>
        <v>113.67999999999999</v>
      </c>
      <c r="H58" s="254">
        <f t="shared" si="2"/>
        <v>0</v>
      </c>
      <c r="I58" s="251">
        <v>5634328</v>
      </c>
      <c r="J58" s="262" t="s">
        <v>170</v>
      </c>
      <c r="K58" s="257" t="s">
        <v>25</v>
      </c>
      <c r="L58" s="256" t="s">
        <v>26</v>
      </c>
      <c r="M58" s="251">
        <v>92283227</v>
      </c>
      <c r="N58" s="438">
        <v>45677</v>
      </c>
      <c r="O58" s="427">
        <v>45993</v>
      </c>
    </row>
    <row r="59" spans="1:15" x14ac:dyDescent="0.2">
      <c r="A59" s="251">
        <v>56</v>
      </c>
      <c r="B59" s="251">
        <v>3210</v>
      </c>
      <c r="C59" s="252" t="s">
        <v>171</v>
      </c>
      <c r="D59" s="253">
        <v>551</v>
      </c>
      <c r="E59" s="254">
        <v>0.4</v>
      </c>
      <c r="F59" s="254">
        <f t="shared" si="0"/>
        <v>220.4</v>
      </c>
      <c r="G59" s="254">
        <f>216.75+3.65</f>
        <v>220.4</v>
      </c>
      <c r="H59" s="254">
        <f t="shared" ref="H59:H122" si="3">F59-G59</f>
        <v>0</v>
      </c>
      <c r="I59" s="251">
        <v>45419</v>
      </c>
      <c r="J59" s="262" t="s">
        <v>172</v>
      </c>
      <c r="K59" s="257" t="s">
        <v>25</v>
      </c>
      <c r="L59" s="256" t="s">
        <v>26</v>
      </c>
      <c r="M59" s="251">
        <v>90101070</v>
      </c>
      <c r="N59" s="438">
        <v>45664</v>
      </c>
      <c r="O59" s="427">
        <v>45993</v>
      </c>
    </row>
    <row r="60" spans="1:15" x14ac:dyDescent="0.2">
      <c r="A60" s="229">
        <v>57</v>
      </c>
      <c r="B60" s="229">
        <v>3211</v>
      </c>
      <c r="C60" s="231" t="s">
        <v>173</v>
      </c>
      <c r="D60" s="232">
        <v>253.1</v>
      </c>
      <c r="E60" s="233">
        <v>0.4</v>
      </c>
      <c r="F60" s="233">
        <f t="shared" si="0"/>
        <v>101.24000000000001</v>
      </c>
      <c r="G60" s="233"/>
      <c r="H60" s="233">
        <f t="shared" si="3"/>
        <v>101.24000000000001</v>
      </c>
      <c r="I60" s="266">
        <v>9927207</v>
      </c>
      <c r="J60" s="245" t="s">
        <v>174</v>
      </c>
      <c r="K60" s="245" t="s">
        <v>17</v>
      </c>
      <c r="L60" s="245" t="s">
        <v>18</v>
      </c>
      <c r="M60" s="266"/>
      <c r="N60" s="437">
        <v>44986</v>
      </c>
    </row>
    <row r="61" spans="1:15" x14ac:dyDescent="0.2">
      <c r="A61" s="251">
        <v>58</v>
      </c>
      <c r="B61" s="251">
        <v>3212</v>
      </c>
      <c r="C61" s="252" t="s">
        <v>175</v>
      </c>
      <c r="D61" s="253">
        <v>751.9</v>
      </c>
      <c r="E61" s="254">
        <v>0.4</v>
      </c>
      <c r="F61" s="254">
        <f t="shared" si="0"/>
        <v>300.76</v>
      </c>
      <c r="G61" s="254">
        <f>299.63</f>
        <v>299.63</v>
      </c>
      <c r="H61" s="254">
        <f t="shared" si="3"/>
        <v>1.1299999999999955</v>
      </c>
      <c r="I61" s="251">
        <v>804443</v>
      </c>
      <c r="J61" s="262" t="s">
        <v>176</v>
      </c>
      <c r="K61" s="263" t="s">
        <v>121</v>
      </c>
      <c r="L61" s="263" t="s">
        <v>122</v>
      </c>
      <c r="M61" s="251">
        <v>99483202</v>
      </c>
      <c r="N61" s="438">
        <v>45673</v>
      </c>
    </row>
    <row r="62" spans="1:15" x14ac:dyDescent="0.2">
      <c r="A62" s="229">
        <v>59</v>
      </c>
      <c r="B62" s="229">
        <v>3213</v>
      </c>
      <c r="C62" s="231" t="s">
        <v>177</v>
      </c>
      <c r="D62" s="232">
        <v>636.29999999999995</v>
      </c>
      <c r="E62" s="233">
        <v>0.4</v>
      </c>
      <c r="F62" s="233">
        <f t="shared" si="0"/>
        <v>254.51999999999998</v>
      </c>
      <c r="G62" s="233"/>
      <c r="H62" s="233">
        <f t="shared" si="3"/>
        <v>254.51999999999998</v>
      </c>
      <c r="I62" s="229">
        <v>2594336</v>
      </c>
      <c r="J62" s="243" t="s">
        <v>178</v>
      </c>
      <c r="K62" s="235" t="s">
        <v>25</v>
      </c>
      <c r="L62" s="241" t="s">
        <v>26</v>
      </c>
      <c r="M62" s="229">
        <v>71773005</v>
      </c>
      <c r="N62" s="437"/>
    </row>
    <row r="63" spans="1:15" x14ac:dyDescent="0.2">
      <c r="A63" s="229">
        <v>60</v>
      </c>
      <c r="B63" s="229">
        <v>3214</v>
      </c>
      <c r="C63" s="231" t="s">
        <v>179</v>
      </c>
      <c r="D63" s="232">
        <v>539.1</v>
      </c>
      <c r="E63" s="233">
        <v>0.4</v>
      </c>
      <c r="F63" s="233">
        <f t="shared" si="0"/>
        <v>215.64000000000001</v>
      </c>
      <c r="G63" s="233"/>
      <c r="H63" s="233">
        <f t="shared" si="3"/>
        <v>215.64000000000001</v>
      </c>
      <c r="I63" s="229">
        <v>5168262</v>
      </c>
      <c r="J63" s="243" t="s">
        <v>180</v>
      </c>
      <c r="K63" s="244" t="s">
        <v>17</v>
      </c>
      <c r="L63" s="244" t="s">
        <v>18</v>
      </c>
      <c r="M63" s="229">
        <v>99895383</v>
      </c>
      <c r="N63" s="437"/>
    </row>
    <row r="64" spans="1:15" s="269" customFormat="1" x14ac:dyDescent="0.2">
      <c r="A64" s="251">
        <v>61</v>
      </c>
      <c r="B64" s="251">
        <v>3215</v>
      </c>
      <c r="C64" s="252" t="s">
        <v>181</v>
      </c>
      <c r="D64" s="253">
        <v>563</v>
      </c>
      <c r="E64" s="254">
        <v>0.4</v>
      </c>
      <c r="F64" s="254">
        <f t="shared" si="0"/>
        <v>225.20000000000002</v>
      </c>
      <c r="G64" s="254">
        <f>224.36</f>
        <v>224.36</v>
      </c>
      <c r="H64" s="254">
        <f t="shared" si="3"/>
        <v>0.84000000000000341</v>
      </c>
      <c r="I64" s="255">
        <v>11684091</v>
      </c>
      <c r="J64" s="256" t="s">
        <v>182</v>
      </c>
      <c r="K64" s="263" t="s">
        <v>17</v>
      </c>
      <c r="L64" s="263" t="s">
        <v>18</v>
      </c>
      <c r="M64" s="251"/>
      <c r="N64" s="438" t="s">
        <v>893</v>
      </c>
      <c r="O64" s="429"/>
    </row>
    <row r="65" spans="1:16" x14ac:dyDescent="0.2">
      <c r="A65" s="251">
        <v>62</v>
      </c>
      <c r="B65" s="251">
        <v>3216</v>
      </c>
      <c r="C65" s="252" t="s">
        <v>23</v>
      </c>
      <c r="D65" s="253">
        <v>769.4</v>
      </c>
      <c r="E65" s="254">
        <v>0.4</v>
      </c>
      <c r="F65" s="254">
        <f t="shared" si="0"/>
        <v>307.76</v>
      </c>
      <c r="G65" s="254">
        <f>304.07</f>
        <v>304.07</v>
      </c>
      <c r="H65" s="254">
        <f t="shared" si="3"/>
        <v>3.6899999999999977</v>
      </c>
      <c r="I65" s="321">
        <v>18715567</v>
      </c>
      <c r="J65" s="260" t="s">
        <v>24</v>
      </c>
      <c r="K65" s="267" t="s">
        <v>25</v>
      </c>
      <c r="L65" s="260" t="s">
        <v>26</v>
      </c>
      <c r="M65" s="229">
        <v>77279900</v>
      </c>
      <c r="N65" s="438">
        <v>45691</v>
      </c>
    </row>
    <row r="66" spans="1:16" x14ac:dyDescent="0.2">
      <c r="A66" s="229">
        <v>63</v>
      </c>
      <c r="B66" s="229">
        <v>3217</v>
      </c>
      <c r="C66" s="231" t="s">
        <v>183</v>
      </c>
      <c r="D66" s="232">
        <v>260.3</v>
      </c>
      <c r="E66" s="233">
        <v>0.4</v>
      </c>
      <c r="F66" s="233">
        <f t="shared" si="0"/>
        <v>104.12</v>
      </c>
      <c r="G66" s="233"/>
      <c r="H66" s="233">
        <f t="shared" si="3"/>
        <v>104.12</v>
      </c>
      <c r="I66" s="229">
        <v>1568196</v>
      </c>
      <c r="J66" s="243" t="s">
        <v>184</v>
      </c>
      <c r="K66" s="244" t="s">
        <v>134</v>
      </c>
      <c r="L66" s="236" t="s">
        <v>135</v>
      </c>
      <c r="M66" s="229">
        <v>99494635</v>
      </c>
      <c r="N66" s="437"/>
    </row>
    <row r="67" spans="1:16" x14ac:dyDescent="0.2">
      <c r="A67" s="251">
        <v>64</v>
      </c>
      <c r="B67" s="251">
        <v>3219</v>
      </c>
      <c r="C67" s="252" t="s">
        <v>185</v>
      </c>
      <c r="D67" s="253">
        <v>828.8</v>
      </c>
      <c r="E67" s="254">
        <v>0.4</v>
      </c>
      <c r="F67" s="254">
        <f t="shared" si="0"/>
        <v>331.52</v>
      </c>
      <c r="G67" s="254">
        <f>180.6315035+145.5</f>
        <v>326.13150350000001</v>
      </c>
      <c r="H67" s="254">
        <f t="shared" si="3"/>
        <v>5.3884964999999738</v>
      </c>
      <c r="I67" s="321">
        <v>12398617</v>
      </c>
      <c r="J67" s="322" t="s">
        <v>186</v>
      </c>
      <c r="K67" s="323" t="s">
        <v>25</v>
      </c>
      <c r="L67" s="322" t="s">
        <v>26</v>
      </c>
      <c r="M67" s="251"/>
      <c r="N67" s="438">
        <v>45677</v>
      </c>
      <c r="O67" s="427">
        <v>45685</v>
      </c>
      <c r="P67" s="219" t="s">
        <v>893</v>
      </c>
    </row>
    <row r="68" spans="1:16" x14ac:dyDescent="0.2">
      <c r="A68" s="229">
        <v>65</v>
      </c>
      <c r="B68" s="229">
        <v>3220</v>
      </c>
      <c r="C68" s="231" t="s">
        <v>187</v>
      </c>
      <c r="D68" s="232">
        <v>551</v>
      </c>
      <c r="E68" s="233">
        <v>0.4</v>
      </c>
      <c r="F68" s="233">
        <f t="shared" ref="F68:F131" si="4">E68*D68</f>
        <v>220.4</v>
      </c>
      <c r="G68" s="233"/>
      <c r="H68" s="233">
        <f t="shared" si="3"/>
        <v>220.4</v>
      </c>
      <c r="I68" s="229">
        <v>5348311</v>
      </c>
      <c r="J68" s="243" t="s">
        <v>188</v>
      </c>
      <c r="K68" s="244" t="s">
        <v>17</v>
      </c>
      <c r="L68" s="244" t="s">
        <v>18</v>
      </c>
      <c r="M68" s="229">
        <v>96313636</v>
      </c>
      <c r="N68" s="437"/>
    </row>
    <row r="69" spans="1:16" x14ac:dyDescent="0.2">
      <c r="A69" s="229">
        <v>66</v>
      </c>
      <c r="B69" s="229">
        <v>3221</v>
      </c>
      <c r="C69" s="231" t="s">
        <v>189</v>
      </c>
      <c r="D69" s="232">
        <v>266</v>
      </c>
      <c r="E69" s="233">
        <v>0.4</v>
      </c>
      <c r="F69" s="233">
        <f t="shared" si="4"/>
        <v>106.4</v>
      </c>
      <c r="G69" s="233"/>
      <c r="H69" s="233">
        <f t="shared" si="3"/>
        <v>106.4</v>
      </c>
      <c r="I69" s="229">
        <v>13362673</v>
      </c>
      <c r="J69" s="243" t="s">
        <v>190</v>
      </c>
      <c r="K69" s="235" t="s">
        <v>25</v>
      </c>
      <c r="L69" s="236" t="s">
        <v>26</v>
      </c>
      <c r="M69" s="229">
        <v>92665337</v>
      </c>
      <c r="N69" s="437"/>
    </row>
    <row r="70" spans="1:16" x14ac:dyDescent="0.2">
      <c r="A70" s="251">
        <v>67</v>
      </c>
      <c r="B70" s="251">
        <v>3222</v>
      </c>
      <c r="C70" s="252" t="s">
        <v>191</v>
      </c>
      <c r="D70" s="253">
        <v>405.3</v>
      </c>
      <c r="E70" s="254">
        <v>0.4</v>
      </c>
      <c r="F70" s="254">
        <f t="shared" si="4"/>
        <v>162.12</v>
      </c>
      <c r="G70" s="254">
        <f>F70</f>
        <v>162.12</v>
      </c>
      <c r="H70" s="254">
        <f t="shared" si="3"/>
        <v>0</v>
      </c>
      <c r="I70" s="251">
        <v>18091329</v>
      </c>
      <c r="J70" s="262" t="s">
        <v>192</v>
      </c>
      <c r="K70" s="263" t="s">
        <v>17</v>
      </c>
      <c r="L70" s="263" t="s">
        <v>18</v>
      </c>
      <c r="M70" s="251">
        <v>92197820</v>
      </c>
      <c r="N70" s="438">
        <v>45662</v>
      </c>
    </row>
    <row r="71" spans="1:16" x14ac:dyDescent="0.2">
      <c r="A71" s="229">
        <v>68</v>
      </c>
      <c r="B71" s="229">
        <v>3223</v>
      </c>
      <c r="C71" s="231" t="s">
        <v>193</v>
      </c>
      <c r="D71" s="232">
        <v>258.89999999999998</v>
      </c>
      <c r="E71" s="233">
        <v>0.4</v>
      </c>
      <c r="F71" s="233">
        <f t="shared" si="4"/>
        <v>103.56</v>
      </c>
      <c r="G71" s="233"/>
      <c r="H71" s="233">
        <f t="shared" si="3"/>
        <v>103.56</v>
      </c>
      <c r="I71" s="229">
        <v>5334914</v>
      </c>
      <c r="J71" s="243" t="s">
        <v>194</v>
      </c>
      <c r="K71" s="244" t="s">
        <v>134</v>
      </c>
      <c r="L71" s="236" t="s">
        <v>135</v>
      </c>
      <c r="M71" s="229">
        <v>98800996</v>
      </c>
      <c r="N71" s="437"/>
    </row>
    <row r="72" spans="1:16" x14ac:dyDescent="0.2">
      <c r="A72" s="251">
        <v>69</v>
      </c>
      <c r="B72" s="251">
        <v>3224</v>
      </c>
      <c r="C72" s="252" t="s">
        <v>195</v>
      </c>
      <c r="D72" s="253">
        <v>228</v>
      </c>
      <c r="E72" s="254">
        <v>0.4</v>
      </c>
      <c r="F72" s="254">
        <f t="shared" si="4"/>
        <v>91.2</v>
      </c>
      <c r="G72" s="254">
        <f>89.88</f>
        <v>89.88</v>
      </c>
      <c r="H72" s="254">
        <f t="shared" si="3"/>
        <v>1.3200000000000074</v>
      </c>
      <c r="I72" s="251">
        <v>2066756</v>
      </c>
      <c r="J72" s="344" t="s">
        <v>196</v>
      </c>
      <c r="K72" s="263" t="s">
        <v>25</v>
      </c>
      <c r="L72" s="256" t="s">
        <v>26</v>
      </c>
      <c r="M72" s="251">
        <v>95316025</v>
      </c>
      <c r="N72" s="438">
        <v>45691</v>
      </c>
    </row>
    <row r="73" spans="1:16" x14ac:dyDescent="0.2">
      <c r="A73" s="284">
        <v>70</v>
      </c>
      <c r="B73" s="284">
        <v>3225</v>
      </c>
      <c r="C73" s="285" t="s">
        <v>197</v>
      </c>
      <c r="D73" s="286">
        <v>264.39999999999998</v>
      </c>
      <c r="E73" s="287">
        <v>0.4</v>
      </c>
      <c r="F73" s="287">
        <f t="shared" si="4"/>
        <v>105.75999999999999</v>
      </c>
      <c r="G73" s="287">
        <f>F73</f>
        <v>105.75999999999999</v>
      </c>
      <c r="H73" s="287">
        <f t="shared" si="3"/>
        <v>0</v>
      </c>
      <c r="I73" s="345">
        <v>798637</v>
      </c>
      <c r="J73" s="260" t="s">
        <v>198</v>
      </c>
      <c r="K73" s="267" t="s">
        <v>25</v>
      </c>
      <c r="L73" s="260" t="s">
        <v>26</v>
      </c>
      <c r="M73" s="229"/>
      <c r="N73" s="440">
        <v>45693</v>
      </c>
    </row>
    <row r="74" spans="1:16" x14ac:dyDescent="0.2">
      <c r="A74" s="251">
        <v>71</v>
      </c>
      <c r="B74" s="251">
        <v>3227</v>
      </c>
      <c r="C74" s="252" t="s">
        <v>790</v>
      </c>
      <c r="D74" s="253">
        <v>241.7</v>
      </c>
      <c r="E74" s="254">
        <v>0.4</v>
      </c>
      <c r="F74" s="254">
        <f t="shared" si="4"/>
        <v>96.68</v>
      </c>
      <c r="G74" s="254">
        <f>95.62</f>
        <v>95.62</v>
      </c>
      <c r="H74" s="254">
        <f t="shared" si="3"/>
        <v>1.0600000000000023</v>
      </c>
      <c r="I74" s="321">
        <v>15214649</v>
      </c>
      <c r="J74" s="268" t="s">
        <v>199</v>
      </c>
      <c r="K74" s="267" t="s">
        <v>25</v>
      </c>
      <c r="L74" s="260" t="s">
        <v>26</v>
      </c>
      <c r="M74" s="229">
        <v>92171914</v>
      </c>
      <c r="N74" s="438">
        <v>45691</v>
      </c>
    </row>
    <row r="75" spans="1:16" x14ac:dyDescent="0.2">
      <c r="A75" s="229">
        <v>72</v>
      </c>
      <c r="B75" s="229">
        <v>3228</v>
      </c>
      <c r="C75" s="231" t="s">
        <v>200</v>
      </c>
      <c r="D75" s="232">
        <v>532</v>
      </c>
      <c r="E75" s="233">
        <v>0.4</v>
      </c>
      <c r="F75" s="233">
        <f t="shared" si="4"/>
        <v>212.8</v>
      </c>
      <c r="G75" s="233"/>
      <c r="H75" s="233">
        <f t="shared" si="3"/>
        <v>212.8</v>
      </c>
      <c r="I75" s="229">
        <v>1307775</v>
      </c>
      <c r="J75" s="243" t="s">
        <v>201</v>
      </c>
      <c r="K75" s="244" t="s">
        <v>17</v>
      </c>
      <c r="L75" s="244" t="s">
        <v>18</v>
      </c>
      <c r="M75" s="229">
        <v>99484101</v>
      </c>
      <c r="N75" s="437"/>
    </row>
    <row r="76" spans="1:16" x14ac:dyDescent="0.2">
      <c r="A76" s="229">
        <v>73</v>
      </c>
      <c r="B76" s="229">
        <v>3229</v>
      </c>
      <c r="C76" s="231" t="s">
        <v>202</v>
      </c>
      <c r="D76" s="232">
        <v>410</v>
      </c>
      <c r="E76" s="233">
        <v>0.4</v>
      </c>
      <c r="F76" s="233">
        <f t="shared" si="4"/>
        <v>164</v>
      </c>
      <c r="G76" s="233"/>
      <c r="H76" s="233">
        <f t="shared" si="3"/>
        <v>164</v>
      </c>
      <c r="I76" s="229">
        <v>6370978</v>
      </c>
      <c r="J76" s="243" t="s">
        <v>203</v>
      </c>
      <c r="K76" s="235" t="s">
        <v>25</v>
      </c>
      <c r="L76" s="236" t="s">
        <v>26</v>
      </c>
      <c r="M76" s="229">
        <v>99485611</v>
      </c>
      <c r="N76" s="437"/>
    </row>
    <row r="77" spans="1:16" x14ac:dyDescent="0.2">
      <c r="A77" s="229">
        <v>74</v>
      </c>
      <c r="B77" s="229">
        <v>3230</v>
      </c>
      <c r="C77" s="231" t="s">
        <v>204</v>
      </c>
      <c r="D77" s="232">
        <v>364.7</v>
      </c>
      <c r="E77" s="233">
        <v>0.4</v>
      </c>
      <c r="F77" s="233">
        <f t="shared" si="4"/>
        <v>145.88</v>
      </c>
      <c r="G77" s="233"/>
      <c r="H77" s="233">
        <f t="shared" si="3"/>
        <v>145.88</v>
      </c>
      <c r="I77" s="229">
        <v>1968755</v>
      </c>
      <c r="J77" s="236" t="s">
        <v>205</v>
      </c>
      <c r="K77" s="235" t="s">
        <v>25</v>
      </c>
      <c r="L77" s="236" t="s">
        <v>26</v>
      </c>
      <c r="M77" s="229"/>
      <c r="N77" s="437"/>
    </row>
    <row r="78" spans="1:16" x14ac:dyDescent="0.2">
      <c r="A78" s="229">
        <v>75</v>
      </c>
      <c r="B78" s="229">
        <v>3231</v>
      </c>
      <c r="C78" s="231" t="s">
        <v>206</v>
      </c>
      <c r="D78" s="232">
        <v>470.4</v>
      </c>
      <c r="E78" s="233">
        <v>0.4</v>
      </c>
      <c r="F78" s="233">
        <f t="shared" si="4"/>
        <v>188.16</v>
      </c>
      <c r="G78" s="233"/>
      <c r="H78" s="233">
        <f t="shared" si="3"/>
        <v>188.16</v>
      </c>
      <c r="I78" s="229">
        <v>6203903</v>
      </c>
      <c r="J78" s="243" t="s">
        <v>207</v>
      </c>
      <c r="K78" s="244" t="s">
        <v>17</v>
      </c>
      <c r="L78" s="244" t="s">
        <v>18</v>
      </c>
      <c r="M78" s="229">
        <v>92535588</v>
      </c>
      <c r="N78" s="437"/>
    </row>
    <row r="79" spans="1:16" s="292" customFormat="1" x14ac:dyDescent="0.2">
      <c r="A79" s="284">
        <v>76</v>
      </c>
      <c r="B79" s="284">
        <v>3232</v>
      </c>
      <c r="C79" s="285" t="s">
        <v>208</v>
      </c>
      <c r="D79" s="286">
        <v>243.6</v>
      </c>
      <c r="E79" s="287">
        <v>0.4</v>
      </c>
      <c r="F79" s="287">
        <f t="shared" si="4"/>
        <v>97.44</v>
      </c>
      <c r="G79" s="287">
        <f>F79</f>
        <v>97.44</v>
      </c>
      <c r="H79" s="287">
        <f t="shared" si="3"/>
        <v>0</v>
      </c>
      <c r="I79" s="284">
        <v>6387264</v>
      </c>
      <c r="J79" s="346" t="s">
        <v>209</v>
      </c>
      <c r="K79" s="301" t="s">
        <v>210</v>
      </c>
      <c r="L79" s="346" t="s">
        <v>211</v>
      </c>
      <c r="M79" s="284">
        <v>96661076</v>
      </c>
      <c r="N79" s="440">
        <v>45963</v>
      </c>
      <c r="O79" s="433"/>
    </row>
    <row r="80" spans="1:16" x14ac:dyDescent="0.2">
      <c r="A80" s="229">
        <v>77</v>
      </c>
      <c r="B80" s="229">
        <v>3234</v>
      </c>
      <c r="C80" s="231" t="s">
        <v>212</v>
      </c>
      <c r="D80" s="232">
        <v>542.5</v>
      </c>
      <c r="E80" s="233">
        <v>0.4</v>
      </c>
      <c r="F80" s="233">
        <f t="shared" si="4"/>
        <v>217</v>
      </c>
      <c r="G80" s="233"/>
      <c r="H80" s="233">
        <f t="shared" si="3"/>
        <v>217</v>
      </c>
      <c r="I80" s="229">
        <v>21834239</v>
      </c>
      <c r="J80" s="243" t="s">
        <v>213</v>
      </c>
      <c r="K80" s="235" t="s">
        <v>25</v>
      </c>
      <c r="L80" s="236" t="s">
        <v>26</v>
      </c>
      <c r="M80" s="229">
        <v>98135444</v>
      </c>
      <c r="N80" s="437"/>
    </row>
    <row r="81" spans="1:16" x14ac:dyDescent="0.2">
      <c r="A81" s="229">
        <v>78</v>
      </c>
      <c r="B81" s="229">
        <v>3235</v>
      </c>
      <c r="C81" s="231" t="s">
        <v>214</v>
      </c>
      <c r="D81" s="232">
        <v>551</v>
      </c>
      <c r="E81" s="233">
        <v>0.4</v>
      </c>
      <c r="F81" s="233">
        <f t="shared" si="4"/>
        <v>220.4</v>
      </c>
      <c r="G81" s="233"/>
      <c r="H81" s="233">
        <f t="shared" si="3"/>
        <v>220.4</v>
      </c>
      <c r="I81" s="229">
        <v>1234245</v>
      </c>
      <c r="J81" s="243" t="s">
        <v>215</v>
      </c>
      <c r="K81" s="244" t="s">
        <v>75</v>
      </c>
      <c r="L81" s="236" t="s">
        <v>76</v>
      </c>
      <c r="M81" s="229">
        <v>99487759</v>
      </c>
      <c r="N81" s="437"/>
    </row>
    <row r="82" spans="1:16" s="269" customFormat="1" x14ac:dyDescent="0.2">
      <c r="A82" s="251">
        <v>79</v>
      </c>
      <c r="B82" s="251">
        <v>3236</v>
      </c>
      <c r="C82" s="252" t="s">
        <v>216</v>
      </c>
      <c r="D82" s="253">
        <v>209.4</v>
      </c>
      <c r="E82" s="254">
        <v>0.4</v>
      </c>
      <c r="F82" s="254">
        <f t="shared" si="4"/>
        <v>83.76</v>
      </c>
      <c r="G82" s="254">
        <f>81.94</f>
        <v>81.94</v>
      </c>
      <c r="H82" s="254">
        <f t="shared" si="3"/>
        <v>1.8200000000000074</v>
      </c>
      <c r="I82" s="321">
        <v>6733333</v>
      </c>
      <c r="J82" s="260" t="s">
        <v>217</v>
      </c>
      <c r="K82" s="235" t="s">
        <v>25</v>
      </c>
      <c r="L82" s="260" t="s">
        <v>26</v>
      </c>
      <c r="M82" s="229"/>
      <c r="N82" s="438">
        <v>45691</v>
      </c>
      <c r="O82" s="429"/>
    </row>
    <row r="83" spans="1:16" x14ac:dyDescent="0.2">
      <c r="A83" s="251">
        <v>80</v>
      </c>
      <c r="B83" s="251">
        <v>3237</v>
      </c>
      <c r="C83" s="252" t="s">
        <v>218</v>
      </c>
      <c r="D83" s="253">
        <v>581.29999999999995</v>
      </c>
      <c r="E83" s="254">
        <v>0.4</v>
      </c>
      <c r="F83" s="254">
        <f t="shared" si="4"/>
        <v>232.51999999999998</v>
      </c>
      <c r="G83" s="254">
        <f>232.31+0.21</f>
        <v>232.52</v>
      </c>
      <c r="H83" s="254">
        <f t="shared" si="3"/>
        <v>0</v>
      </c>
      <c r="I83" s="251">
        <v>873637</v>
      </c>
      <c r="J83" s="256" t="s">
        <v>219</v>
      </c>
      <c r="K83" s="263" t="s">
        <v>43</v>
      </c>
      <c r="L83" s="256" t="s">
        <v>44</v>
      </c>
      <c r="M83" s="251">
        <v>97659667</v>
      </c>
      <c r="N83" s="438">
        <v>45670</v>
      </c>
      <c r="O83" s="430">
        <v>45685</v>
      </c>
      <c r="P83" s="329"/>
    </row>
    <row r="84" spans="1:16" s="274" customFormat="1" x14ac:dyDescent="0.2">
      <c r="A84" s="229">
        <v>81</v>
      </c>
      <c r="B84" s="229">
        <v>3238</v>
      </c>
      <c r="C84" s="270" t="s">
        <v>220</v>
      </c>
      <c r="D84" s="239">
        <v>247</v>
      </c>
      <c r="E84" s="233">
        <v>0.4</v>
      </c>
      <c r="F84" s="233">
        <f t="shared" si="4"/>
        <v>98.800000000000011</v>
      </c>
      <c r="G84" s="233"/>
      <c r="H84" s="233">
        <f t="shared" si="3"/>
        <v>98.800000000000011</v>
      </c>
      <c r="I84" s="271">
        <v>5361082</v>
      </c>
      <c r="J84" s="272" t="s">
        <v>221</v>
      </c>
      <c r="K84" s="245" t="s">
        <v>25</v>
      </c>
      <c r="L84" s="273" t="s">
        <v>26</v>
      </c>
      <c r="M84" s="229"/>
      <c r="N84" s="437" t="s">
        <v>719</v>
      </c>
      <c r="O84" s="431"/>
    </row>
    <row r="85" spans="1:16" x14ac:dyDescent="0.2">
      <c r="A85" s="251">
        <v>82</v>
      </c>
      <c r="B85" s="251">
        <v>3239</v>
      </c>
      <c r="C85" s="252" t="s">
        <v>222</v>
      </c>
      <c r="D85" s="253">
        <v>469.7</v>
      </c>
      <c r="E85" s="254">
        <v>0.4</v>
      </c>
      <c r="F85" s="254">
        <f t="shared" si="4"/>
        <v>187.88</v>
      </c>
      <c r="G85" s="254">
        <f>F85</f>
        <v>187.88</v>
      </c>
      <c r="H85" s="254">
        <f t="shared" si="3"/>
        <v>0</v>
      </c>
      <c r="I85" s="251">
        <v>14379226</v>
      </c>
      <c r="J85" s="262" t="s">
        <v>223</v>
      </c>
      <c r="K85" s="257" t="s">
        <v>25</v>
      </c>
      <c r="L85" s="256" t="s">
        <v>26</v>
      </c>
      <c r="M85" s="251">
        <v>92385524</v>
      </c>
      <c r="N85" s="438">
        <v>45677</v>
      </c>
      <c r="O85" s="428" t="s">
        <v>864</v>
      </c>
    </row>
    <row r="86" spans="1:16" x14ac:dyDescent="0.2">
      <c r="A86" s="251">
        <v>83</v>
      </c>
      <c r="B86" s="251">
        <v>3240</v>
      </c>
      <c r="C86" s="252" t="s">
        <v>224</v>
      </c>
      <c r="D86" s="253">
        <v>481.7</v>
      </c>
      <c r="E86" s="254">
        <v>0.4</v>
      </c>
      <c r="F86" s="254">
        <f t="shared" si="4"/>
        <v>192.68</v>
      </c>
      <c r="G86" s="254">
        <f>191.8</f>
        <v>191.8</v>
      </c>
      <c r="H86" s="254">
        <f t="shared" si="3"/>
        <v>0.87999999999999545</v>
      </c>
      <c r="I86" s="251">
        <v>5622856</v>
      </c>
      <c r="J86" s="243" t="s">
        <v>225</v>
      </c>
      <c r="K86" s="244" t="s">
        <v>134</v>
      </c>
      <c r="L86" s="236" t="s">
        <v>135</v>
      </c>
      <c r="M86" s="229">
        <v>92400553</v>
      </c>
      <c r="N86" s="438">
        <v>45691</v>
      </c>
    </row>
    <row r="87" spans="1:16" x14ac:dyDescent="0.2">
      <c r="A87" s="251">
        <v>84</v>
      </c>
      <c r="B87" s="251">
        <v>3241</v>
      </c>
      <c r="C87" s="252" t="s">
        <v>227</v>
      </c>
      <c r="D87" s="253">
        <v>269.5</v>
      </c>
      <c r="E87" s="254">
        <v>0.4</v>
      </c>
      <c r="F87" s="254">
        <f t="shared" si="4"/>
        <v>107.80000000000001</v>
      </c>
      <c r="G87" s="254">
        <f>105.17</f>
        <v>105.17</v>
      </c>
      <c r="H87" s="254">
        <f t="shared" si="3"/>
        <v>2.6300000000000097</v>
      </c>
      <c r="I87" s="251">
        <v>21125518</v>
      </c>
      <c r="J87" s="262" t="s">
        <v>228</v>
      </c>
      <c r="K87" s="257" t="s">
        <v>25</v>
      </c>
      <c r="L87" s="256" t="s">
        <v>26</v>
      </c>
      <c r="M87" s="251">
        <v>99508853</v>
      </c>
      <c r="N87" s="438">
        <v>45691</v>
      </c>
    </row>
    <row r="88" spans="1:16" x14ac:dyDescent="0.2">
      <c r="A88" s="284">
        <v>85</v>
      </c>
      <c r="B88" s="284">
        <v>3243</v>
      </c>
      <c r="C88" s="285" t="s">
        <v>229</v>
      </c>
      <c r="D88" s="286">
        <v>261.10000000000002</v>
      </c>
      <c r="E88" s="287">
        <v>0.4</v>
      </c>
      <c r="F88" s="287">
        <f t="shared" si="4"/>
        <v>104.44000000000001</v>
      </c>
      <c r="G88" s="287">
        <f>F88</f>
        <v>104.44000000000001</v>
      </c>
      <c r="H88" s="287">
        <f t="shared" si="3"/>
        <v>0</v>
      </c>
      <c r="I88" s="284">
        <v>25887256</v>
      </c>
      <c r="J88" s="333" t="s">
        <v>230</v>
      </c>
      <c r="K88" s="301" t="s">
        <v>25</v>
      </c>
      <c r="L88" s="289" t="s">
        <v>26</v>
      </c>
      <c r="M88" s="284">
        <v>93271871</v>
      </c>
      <c r="N88" s="440" t="s">
        <v>870</v>
      </c>
    </row>
    <row r="89" spans="1:16" x14ac:dyDescent="0.2">
      <c r="A89" s="229">
        <v>86</v>
      </c>
      <c r="B89" s="229">
        <v>3244</v>
      </c>
      <c r="C89" s="231" t="s">
        <v>232</v>
      </c>
      <c r="D89" s="232">
        <v>261.60000000000002</v>
      </c>
      <c r="E89" s="233">
        <v>0.4</v>
      </c>
      <c r="F89" s="233">
        <f t="shared" si="4"/>
        <v>104.64000000000001</v>
      </c>
      <c r="G89" s="233"/>
      <c r="H89" s="233">
        <f t="shared" si="3"/>
        <v>104.64000000000001</v>
      </c>
      <c r="I89" s="229">
        <v>19340943</v>
      </c>
      <c r="J89" s="243" t="s">
        <v>233</v>
      </c>
      <c r="K89" s="235" t="s">
        <v>25</v>
      </c>
      <c r="L89" s="236" t="s">
        <v>26</v>
      </c>
      <c r="M89" s="229">
        <v>92594446</v>
      </c>
      <c r="N89" s="437"/>
    </row>
    <row r="90" spans="1:16" x14ac:dyDescent="0.2">
      <c r="A90" s="251">
        <v>87</v>
      </c>
      <c r="B90" s="251">
        <v>3245</v>
      </c>
      <c r="C90" s="252" t="s">
        <v>234</v>
      </c>
      <c r="D90" s="253">
        <v>192.5</v>
      </c>
      <c r="E90" s="254">
        <v>0.4</v>
      </c>
      <c r="F90" s="254">
        <f t="shared" si="4"/>
        <v>77</v>
      </c>
      <c r="G90" s="254">
        <f>74.01</f>
        <v>74.010000000000005</v>
      </c>
      <c r="H90" s="254">
        <f t="shared" si="3"/>
        <v>2.9899999999999949</v>
      </c>
      <c r="I90" s="293" t="s">
        <v>235</v>
      </c>
      <c r="J90" s="236" t="s">
        <v>236</v>
      </c>
      <c r="K90" s="244" t="s">
        <v>43</v>
      </c>
      <c r="L90" s="236" t="s">
        <v>44</v>
      </c>
      <c r="M90" s="229">
        <v>99699068</v>
      </c>
      <c r="N90" s="438">
        <v>45691</v>
      </c>
    </row>
    <row r="91" spans="1:16" x14ac:dyDescent="0.2">
      <c r="A91" s="251">
        <v>88</v>
      </c>
      <c r="B91" s="251">
        <v>3246</v>
      </c>
      <c r="C91" s="252" t="s">
        <v>237</v>
      </c>
      <c r="D91" s="253">
        <v>228</v>
      </c>
      <c r="E91" s="254">
        <v>0.4</v>
      </c>
      <c r="F91" s="254">
        <f t="shared" si="4"/>
        <v>91.2</v>
      </c>
      <c r="G91" s="254">
        <f>87.97</f>
        <v>87.97</v>
      </c>
      <c r="H91" s="254">
        <f t="shared" si="3"/>
        <v>3.230000000000004</v>
      </c>
      <c r="I91" s="251">
        <v>662648</v>
      </c>
      <c r="J91" s="262" t="s">
        <v>238</v>
      </c>
      <c r="K91" s="257" t="s">
        <v>25</v>
      </c>
      <c r="L91" s="256" t="s">
        <v>26</v>
      </c>
      <c r="M91" s="251">
        <v>99498382</v>
      </c>
      <c r="N91" s="438">
        <v>45685</v>
      </c>
    </row>
    <row r="92" spans="1:16" x14ac:dyDescent="0.2">
      <c r="A92" s="251">
        <v>89</v>
      </c>
      <c r="B92" s="251">
        <v>3247</v>
      </c>
      <c r="C92" s="252" t="s">
        <v>239</v>
      </c>
      <c r="D92" s="253">
        <v>247</v>
      </c>
      <c r="E92" s="254">
        <v>0.4</v>
      </c>
      <c r="F92" s="254">
        <f t="shared" si="4"/>
        <v>98.800000000000011</v>
      </c>
      <c r="G92" s="254">
        <f>98.24</f>
        <v>98.24</v>
      </c>
      <c r="H92" s="254">
        <f t="shared" si="3"/>
        <v>0.56000000000001648</v>
      </c>
      <c r="I92" s="251">
        <v>6457783</v>
      </c>
      <c r="J92" s="256" t="s">
        <v>240</v>
      </c>
      <c r="K92" s="257" t="s">
        <v>25</v>
      </c>
      <c r="L92" s="256" t="s">
        <v>26</v>
      </c>
      <c r="M92" s="251">
        <v>92594442</v>
      </c>
      <c r="N92" s="438">
        <v>45685</v>
      </c>
    </row>
    <row r="93" spans="1:16" x14ac:dyDescent="0.2">
      <c r="A93" s="229">
        <v>90</v>
      </c>
      <c r="B93" s="229">
        <v>3248</v>
      </c>
      <c r="C93" s="231" t="s">
        <v>241</v>
      </c>
      <c r="D93" s="232">
        <v>216</v>
      </c>
      <c r="E93" s="233">
        <v>0.4</v>
      </c>
      <c r="F93" s="233">
        <f t="shared" si="4"/>
        <v>86.4</v>
      </c>
      <c r="G93" s="233"/>
      <c r="H93" s="233">
        <f t="shared" si="3"/>
        <v>86.4</v>
      </c>
      <c r="I93" s="229">
        <v>18811851</v>
      </c>
      <c r="J93" s="243" t="s">
        <v>242</v>
      </c>
      <c r="K93" s="235" t="s">
        <v>25</v>
      </c>
      <c r="L93" s="236" t="s">
        <v>26</v>
      </c>
      <c r="M93" s="229">
        <v>92597556</v>
      </c>
      <c r="N93" s="437"/>
    </row>
    <row r="94" spans="1:16" x14ac:dyDescent="0.2">
      <c r="A94" s="284">
        <v>91</v>
      </c>
      <c r="B94" s="284">
        <v>3249</v>
      </c>
      <c r="C94" s="285" t="s">
        <v>243</v>
      </c>
      <c r="D94" s="286">
        <v>491.9</v>
      </c>
      <c r="E94" s="287">
        <v>0.4</v>
      </c>
      <c r="F94" s="287">
        <f t="shared" si="4"/>
        <v>196.76</v>
      </c>
      <c r="G94" s="287">
        <f>F94</f>
        <v>196.76</v>
      </c>
      <c r="H94" s="287">
        <f t="shared" si="3"/>
        <v>0</v>
      </c>
      <c r="I94" s="284">
        <v>24540784</v>
      </c>
      <c r="J94" s="340" t="s">
        <v>244</v>
      </c>
      <c r="K94" s="290" t="s">
        <v>25</v>
      </c>
      <c r="L94" s="289" t="s">
        <v>26</v>
      </c>
      <c r="M94" s="284">
        <v>99693301</v>
      </c>
      <c r="N94" s="440" t="s">
        <v>870</v>
      </c>
    </row>
    <row r="95" spans="1:16" x14ac:dyDescent="0.2">
      <c r="A95" s="251">
        <v>92</v>
      </c>
      <c r="B95" s="251">
        <v>3251</v>
      </c>
      <c r="C95" s="252" t="s">
        <v>245</v>
      </c>
      <c r="D95" s="253">
        <v>285</v>
      </c>
      <c r="E95" s="254">
        <v>0.4</v>
      </c>
      <c r="F95" s="254">
        <f t="shared" si="4"/>
        <v>114</v>
      </c>
      <c r="G95" s="254">
        <f>109.37</f>
        <v>109.37</v>
      </c>
      <c r="H95" s="254">
        <f t="shared" si="3"/>
        <v>4.6299999999999955</v>
      </c>
      <c r="I95" s="251">
        <v>6420681</v>
      </c>
      <c r="J95" s="262" t="s">
        <v>246</v>
      </c>
      <c r="K95" s="257" t="s">
        <v>25</v>
      </c>
      <c r="L95" s="256" t="s">
        <v>26</v>
      </c>
      <c r="M95" s="251">
        <v>99588744</v>
      </c>
      <c r="N95" s="438">
        <v>45685</v>
      </c>
    </row>
    <row r="96" spans="1:16" s="368" customFormat="1" x14ac:dyDescent="0.2">
      <c r="A96" s="360">
        <v>93</v>
      </c>
      <c r="B96" s="360">
        <v>3252</v>
      </c>
      <c r="C96" s="361" t="s">
        <v>247</v>
      </c>
      <c r="D96" s="362">
        <v>112.4</v>
      </c>
      <c r="E96" s="363">
        <v>0.4</v>
      </c>
      <c r="F96" s="363">
        <f t="shared" si="4"/>
        <v>44.960000000000008</v>
      </c>
      <c r="G96" s="363">
        <f>F96</f>
        <v>44.960000000000008</v>
      </c>
      <c r="H96" s="363">
        <f t="shared" si="3"/>
        <v>0</v>
      </c>
      <c r="I96" s="360">
        <v>460074</v>
      </c>
      <c r="J96" s="370" t="s">
        <v>248</v>
      </c>
      <c r="K96" s="370" t="s">
        <v>25</v>
      </c>
      <c r="L96" s="367" t="s">
        <v>26</v>
      </c>
      <c r="M96" s="360">
        <v>99292354</v>
      </c>
      <c r="N96" s="442" t="s">
        <v>881</v>
      </c>
      <c r="O96" s="432"/>
    </row>
    <row r="97" spans="1:15" x14ac:dyDescent="0.2">
      <c r="A97" s="284">
        <v>94</v>
      </c>
      <c r="B97" s="284">
        <v>3253</v>
      </c>
      <c r="C97" s="285" t="s">
        <v>249</v>
      </c>
      <c r="D97" s="286">
        <v>519</v>
      </c>
      <c r="E97" s="287">
        <v>0.4</v>
      </c>
      <c r="F97" s="287">
        <f t="shared" si="4"/>
        <v>207.60000000000002</v>
      </c>
      <c r="G97" s="287">
        <f>F97</f>
        <v>207.60000000000002</v>
      </c>
      <c r="H97" s="287">
        <f t="shared" si="3"/>
        <v>0</v>
      </c>
      <c r="I97" s="284">
        <v>25887589</v>
      </c>
      <c r="J97" s="333" t="s">
        <v>250</v>
      </c>
      <c r="K97" s="301" t="s">
        <v>25</v>
      </c>
      <c r="L97" s="289" t="s">
        <v>26</v>
      </c>
      <c r="M97" s="284">
        <v>93995997</v>
      </c>
      <c r="N97" s="440" t="s">
        <v>870</v>
      </c>
    </row>
    <row r="98" spans="1:15" x14ac:dyDescent="0.2">
      <c r="A98" s="251">
        <v>95</v>
      </c>
      <c r="B98" s="251">
        <v>3254</v>
      </c>
      <c r="C98" s="252" t="s">
        <v>251</v>
      </c>
      <c r="D98" s="253">
        <v>493.5</v>
      </c>
      <c r="E98" s="254">
        <v>0.4</v>
      </c>
      <c r="F98" s="254">
        <f t="shared" si="4"/>
        <v>197.4</v>
      </c>
      <c r="G98" s="254">
        <f>195.8</f>
        <v>195.8</v>
      </c>
      <c r="H98" s="254">
        <f t="shared" si="3"/>
        <v>1.5999999999999943</v>
      </c>
      <c r="I98" s="251">
        <v>6668983</v>
      </c>
      <c r="J98" s="243" t="s">
        <v>252</v>
      </c>
      <c r="K98" s="235" t="s">
        <v>25</v>
      </c>
      <c r="L98" s="236" t="s">
        <v>26</v>
      </c>
      <c r="M98" s="229">
        <v>92321002</v>
      </c>
      <c r="N98" s="438">
        <v>45691</v>
      </c>
    </row>
    <row r="99" spans="1:15" x14ac:dyDescent="0.2">
      <c r="A99" s="251">
        <v>96</v>
      </c>
      <c r="B99" s="251">
        <v>3255</v>
      </c>
      <c r="C99" s="252" t="s">
        <v>253</v>
      </c>
      <c r="D99" s="253">
        <v>372.8</v>
      </c>
      <c r="E99" s="254">
        <v>0.4</v>
      </c>
      <c r="F99" s="254">
        <f t="shared" si="4"/>
        <v>149.12</v>
      </c>
      <c r="G99" s="254">
        <f>148.3</f>
        <v>148.30000000000001</v>
      </c>
      <c r="H99" s="254">
        <f t="shared" si="3"/>
        <v>0.81999999999999318</v>
      </c>
      <c r="I99" s="251">
        <v>5851949</v>
      </c>
      <c r="J99" s="236" t="s">
        <v>254</v>
      </c>
      <c r="K99" s="235" t="s">
        <v>75</v>
      </c>
      <c r="L99" s="241" t="s">
        <v>76</v>
      </c>
      <c r="M99" s="229"/>
      <c r="N99" s="438">
        <v>45691</v>
      </c>
    </row>
    <row r="100" spans="1:15" s="292" customFormat="1" x14ac:dyDescent="0.2">
      <c r="A100" s="284">
        <v>97</v>
      </c>
      <c r="B100" s="284">
        <v>3256</v>
      </c>
      <c r="C100" s="285" t="s">
        <v>255</v>
      </c>
      <c r="D100" s="286">
        <v>1740.7</v>
      </c>
      <c r="E100" s="287">
        <v>0.4</v>
      </c>
      <c r="F100" s="287">
        <f t="shared" si="4"/>
        <v>696.28000000000009</v>
      </c>
      <c r="G100" s="287">
        <f>467.61+228.67</f>
        <v>696.28</v>
      </c>
      <c r="H100" s="287">
        <f t="shared" si="3"/>
        <v>0</v>
      </c>
      <c r="I100" s="284">
        <v>6147152</v>
      </c>
      <c r="J100" s="333" t="s">
        <v>256</v>
      </c>
      <c r="K100" s="290" t="s">
        <v>257</v>
      </c>
      <c r="L100" s="289" t="s">
        <v>258</v>
      </c>
      <c r="M100" s="284">
        <v>99889778</v>
      </c>
      <c r="N100" s="440" t="s">
        <v>886</v>
      </c>
      <c r="O100" s="453">
        <v>45932</v>
      </c>
    </row>
    <row r="101" spans="1:15" x14ac:dyDescent="0.2">
      <c r="A101" s="229">
        <v>98</v>
      </c>
      <c r="B101" s="229">
        <v>3258</v>
      </c>
      <c r="C101" s="231" t="s">
        <v>259</v>
      </c>
      <c r="D101" s="232">
        <v>747.9</v>
      </c>
      <c r="E101" s="233">
        <v>0.4</v>
      </c>
      <c r="F101" s="233">
        <f t="shared" si="4"/>
        <v>299.16000000000003</v>
      </c>
      <c r="G101" s="233"/>
      <c r="H101" s="233">
        <f t="shared" si="3"/>
        <v>299.16000000000003</v>
      </c>
      <c r="I101" s="229">
        <v>15335306</v>
      </c>
      <c r="J101" s="243" t="s">
        <v>260</v>
      </c>
      <c r="K101" s="244" t="s">
        <v>75</v>
      </c>
      <c r="L101" s="236" t="s">
        <v>76</v>
      </c>
      <c r="M101" s="229">
        <v>99772646</v>
      </c>
      <c r="N101" s="437"/>
    </row>
    <row r="102" spans="1:15" x14ac:dyDescent="0.2">
      <c r="A102" s="251">
        <v>99</v>
      </c>
      <c r="B102" s="251">
        <v>3260</v>
      </c>
      <c r="C102" s="252" t="s">
        <v>261</v>
      </c>
      <c r="D102" s="253">
        <v>269.10000000000002</v>
      </c>
      <c r="E102" s="254">
        <v>0.4</v>
      </c>
      <c r="F102" s="254">
        <f t="shared" si="4"/>
        <v>107.64000000000001</v>
      </c>
      <c r="G102" s="254">
        <f>104.15</f>
        <v>104.15</v>
      </c>
      <c r="H102" s="254">
        <f t="shared" si="3"/>
        <v>3.4900000000000091</v>
      </c>
      <c r="I102" s="251">
        <v>19361936</v>
      </c>
      <c r="J102" s="322" t="s">
        <v>262</v>
      </c>
      <c r="K102" s="263" t="s">
        <v>25</v>
      </c>
      <c r="L102" s="322" t="s">
        <v>26</v>
      </c>
      <c r="M102" s="251">
        <v>99550633</v>
      </c>
      <c r="N102" s="438">
        <v>45691</v>
      </c>
    </row>
    <row r="103" spans="1:15" x14ac:dyDescent="0.2">
      <c r="A103" s="229">
        <v>100</v>
      </c>
      <c r="B103" s="229">
        <v>3261</v>
      </c>
      <c r="C103" s="231" t="s">
        <v>263</v>
      </c>
      <c r="D103" s="232">
        <v>256.3</v>
      </c>
      <c r="E103" s="233">
        <v>0.4</v>
      </c>
      <c r="F103" s="233">
        <f t="shared" si="4"/>
        <v>102.52000000000001</v>
      </c>
      <c r="G103" s="233"/>
      <c r="H103" s="233">
        <f t="shared" si="3"/>
        <v>102.52000000000001</v>
      </c>
      <c r="I103" s="229">
        <v>8124516</v>
      </c>
      <c r="J103" s="243" t="s">
        <v>264</v>
      </c>
      <c r="K103" s="235" t="s">
        <v>25</v>
      </c>
      <c r="L103" s="236" t="s">
        <v>26</v>
      </c>
      <c r="M103" s="229">
        <v>92661167</v>
      </c>
      <c r="N103" s="437"/>
    </row>
    <row r="104" spans="1:15" x14ac:dyDescent="0.2">
      <c r="A104" s="229">
        <v>101</v>
      </c>
      <c r="B104" s="229">
        <v>3262</v>
      </c>
      <c r="C104" s="231" t="s">
        <v>265</v>
      </c>
      <c r="D104" s="232">
        <v>243.6</v>
      </c>
      <c r="E104" s="233">
        <v>0.4</v>
      </c>
      <c r="F104" s="233">
        <f t="shared" si="4"/>
        <v>97.44</v>
      </c>
      <c r="G104" s="233"/>
      <c r="H104" s="233">
        <f t="shared" si="3"/>
        <v>97.44</v>
      </c>
      <c r="I104" s="229">
        <v>1483142</v>
      </c>
      <c r="J104" s="243" t="s">
        <v>266</v>
      </c>
      <c r="K104" s="244" t="s">
        <v>43</v>
      </c>
      <c r="L104" s="236" t="s">
        <v>44</v>
      </c>
      <c r="M104" s="229">
        <v>99499613</v>
      </c>
      <c r="N104" s="437"/>
    </row>
    <row r="105" spans="1:15" x14ac:dyDescent="0.2">
      <c r="A105" s="229">
        <v>102</v>
      </c>
      <c r="B105" s="229">
        <v>3263</v>
      </c>
      <c r="C105" s="231" t="s">
        <v>267</v>
      </c>
      <c r="D105" s="232">
        <v>361.1</v>
      </c>
      <c r="E105" s="233">
        <v>0.4</v>
      </c>
      <c r="F105" s="233">
        <f t="shared" si="4"/>
        <v>144.44000000000003</v>
      </c>
      <c r="G105" s="233"/>
      <c r="H105" s="233">
        <f t="shared" si="3"/>
        <v>144.44000000000003</v>
      </c>
      <c r="I105" s="229">
        <v>986981</v>
      </c>
      <c r="J105" s="236" t="s">
        <v>268</v>
      </c>
      <c r="K105" s="244" t="s">
        <v>75</v>
      </c>
      <c r="L105" s="236" t="s">
        <v>76</v>
      </c>
      <c r="M105" s="229">
        <v>99667979</v>
      </c>
      <c r="N105" s="437"/>
    </row>
    <row r="106" spans="1:15" x14ac:dyDescent="0.2">
      <c r="A106" s="251">
        <v>103</v>
      </c>
      <c r="B106" s="251">
        <v>3266</v>
      </c>
      <c r="C106" s="252" t="s">
        <v>269</v>
      </c>
      <c r="D106" s="253">
        <v>493</v>
      </c>
      <c r="E106" s="254">
        <v>0.4</v>
      </c>
      <c r="F106" s="254">
        <f t="shared" si="4"/>
        <v>197.20000000000002</v>
      </c>
      <c r="G106" s="254">
        <f>194.07</f>
        <v>194.07</v>
      </c>
      <c r="H106" s="254">
        <f t="shared" si="3"/>
        <v>3.1300000000000239</v>
      </c>
      <c r="I106" s="251">
        <v>25891616</v>
      </c>
      <c r="J106" s="262" t="s">
        <v>270</v>
      </c>
      <c r="K106" s="257" t="s">
        <v>25</v>
      </c>
      <c r="L106" s="256" t="s">
        <v>26</v>
      </c>
      <c r="M106" s="251">
        <v>99157779</v>
      </c>
      <c r="N106" s="438">
        <v>45685</v>
      </c>
    </row>
    <row r="107" spans="1:15" x14ac:dyDescent="0.2">
      <c r="A107" s="284">
        <v>104</v>
      </c>
      <c r="B107" s="284">
        <v>3268</v>
      </c>
      <c r="C107" s="285" t="s">
        <v>271</v>
      </c>
      <c r="D107" s="286">
        <v>760</v>
      </c>
      <c r="E107" s="287">
        <v>0.4</v>
      </c>
      <c r="F107" s="287">
        <f t="shared" si="4"/>
        <v>304</v>
      </c>
      <c r="G107" s="287">
        <f>F107</f>
        <v>304</v>
      </c>
      <c r="H107" s="287">
        <f t="shared" si="3"/>
        <v>0</v>
      </c>
      <c r="I107" s="345">
        <v>22373123</v>
      </c>
      <c r="J107" s="346" t="s">
        <v>272</v>
      </c>
      <c r="K107" s="347" t="s">
        <v>25</v>
      </c>
      <c r="L107" s="346" t="s">
        <v>26</v>
      </c>
      <c r="M107" s="284"/>
      <c r="N107" s="440" t="s">
        <v>877</v>
      </c>
    </row>
    <row r="108" spans="1:15" x14ac:dyDescent="0.2">
      <c r="A108" s="284">
        <v>105</v>
      </c>
      <c r="B108" s="284">
        <v>3269</v>
      </c>
      <c r="C108" s="285" t="s">
        <v>273</v>
      </c>
      <c r="D108" s="286">
        <v>298</v>
      </c>
      <c r="E108" s="287">
        <v>0.4</v>
      </c>
      <c r="F108" s="287">
        <f t="shared" si="4"/>
        <v>119.2</v>
      </c>
      <c r="G108" s="287">
        <f>F108</f>
        <v>119.2</v>
      </c>
      <c r="H108" s="287">
        <f t="shared" si="3"/>
        <v>0</v>
      </c>
      <c r="I108" s="345">
        <v>14052947</v>
      </c>
      <c r="J108" s="346" t="s">
        <v>274</v>
      </c>
      <c r="K108" s="301" t="s">
        <v>210</v>
      </c>
      <c r="L108" s="346" t="s">
        <v>211</v>
      </c>
      <c r="M108" s="284">
        <v>92203300</v>
      </c>
      <c r="N108" s="440" t="s">
        <v>877</v>
      </c>
    </row>
    <row r="109" spans="1:15" ht="15" x14ac:dyDescent="0.25">
      <c r="A109" s="284">
        <v>106</v>
      </c>
      <c r="B109" s="284">
        <v>3270</v>
      </c>
      <c r="C109" s="285" t="s">
        <v>275</v>
      </c>
      <c r="D109" s="286">
        <v>504</v>
      </c>
      <c r="E109" s="287">
        <v>0.4</v>
      </c>
      <c r="F109" s="287">
        <f t="shared" si="4"/>
        <v>201.60000000000002</v>
      </c>
      <c r="G109" s="287">
        <f>F109</f>
        <v>201.60000000000002</v>
      </c>
      <c r="H109" s="287">
        <f t="shared" si="3"/>
        <v>0</v>
      </c>
      <c r="I109" s="284">
        <v>11242698</v>
      </c>
      <c r="J109" s="243" t="s">
        <v>276</v>
      </c>
      <c r="K109" s="244" t="s">
        <v>17</v>
      </c>
      <c r="L109" s="244" t="s">
        <v>18</v>
      </c>
      <c r="M109" s="229">
        <v>93839955</v>
      </c>
      <c r="N109" s="443" t="s">
        <v>875</v>
      </c>
    </row>
    <row r="110" spans="1:15" x14ac:dyDescent="0.2">
      <c r="A110" s="251">
        <v>107</v>
      </c>
      <c r="B110" s="251">
        <v>3271</v>
      </c>
      <c r="C110" s="352" t="s">
        <v>277</v>
      </c>
      <c r="D110" s="253">
        <v>386.1</v>
      </c>
      <c r="E110" s="254">
        <v>0.4</v>
      </c>
      <c r="F110" s="254">
        <f t="shared" si="4"/>
        <v>154.44000000000003</v>
      </c>
      <c r="G110" s="254">
        <f>154.26</f>
        <v>154.26</v>
      </c>
      <c r="H110" s="254">
        <f t="shared" si="3"/>
        <v>0.18000000000003524</v>
      </c>
      <c r="I110" s="353">
        <v>24503986</v>
      </c>
      <c r="J110" s="278" t="s">
        <v>278</v>
      </c>
      <c r="K110" s="276" t="s">
        <v>17</v>
      </c>
      <c r="L110" s="279" t="s">
        <v>18</v>
      </c>
      <c r="M110" s="277">
        <v>92235243</v>
      </c>
      <c r="N110" s="444">
        <v>45691</v>
      </c>
    </row>
    <row r="111" spans="1:15" x14ac:dyDescent="0.2">
      <c r="A111" s="229">
        <v>108</v>
      </c>
      <c r="B111" s="229">
        <v>3272</v>
      </c>
      <c r="C111" s="276" t="s">
        <v>279</v>
      </c>
      <c r="D111" s="232">
        <v>72</v>
      </c>
      <c r="E111" s="233">
        <v>0.4</v>
      </c>
      <c r="F111" s="233">
        <f t="shared" si="4"/>
        <v>28.8</v>
      </c>
      <c r="G111" s="233"/>
      <c r="H111" s="233">
        <f t="shared" si="3"/>
        <v>28.8</v>
      </c>
      <c r="I111" s="277">
        <v>22977225</v>
      </c>
      <c r="J111" s="248" t="s">
        <v>280</v>
      </c>
      <c r="K111" s="276" t="s">
        <v>25</v>
      </c>
      <c r="L111" s="279" t="s">
        <v>26</v>
      </c>
      <c r="M111" s="277"/>
      <c r="N111" s="445"/>
    </row>
    <row r="112" spans="1:15" x14ac:dyDescent="0.2">
      <c r="A112" s="284">
        <v>109</v>
      </c>
      <c r="B112" s="284">
        <v>3273</v>
      </c>
      <c r="C112" s="285" t="s">
        <v>281</v>
      </c>
      <c r="D112" s="286">
        <v>521.29999999999995</v>
      </c>
      <c r="E112" s="287">
        <v>0.4</v>
      </c>
      <c r="F112" s="287">
        <f t="shared" si="4"/>
        <v>208.51999999999998</v>
      </c>
      <c r="G112" s="287">
        <f>F112</f>
        <v>208.51999999999998</v>
      </c>
      <c r="H112" s="287">
        <f t="shared" si="3"/>
        <v>0</v>
      </c>
      <c r="I112" s="284">
        <v>7047221</v>
      </c>
      <c r="J112" s="333" t="s">
        <v>282</v>
      </c>
      <c r="K112" s="290" t="s">
        <v>17</v>
      </c>
      <c r="L112" s="290" t="s">
        <v>18</v>
      </c>
      <c r="M112" s="284">
        <v>92152241</v>
      </c>
      <c r="N112" s="440" t="s">
        <v>876</v>
      </c>
      <c r="O112" s="433"/>
    </row>
    <row r="113" spans="1:15" x14ac:dyDescent="0.2">
      <c r="A113" s="284">
        <v>110</v>
      </c>
      <c r="B113" s="284">
        <v>3277</v>
      </c>
      <c r="C113" s="285" t="s">
        <v>283</v>
      </c>
      <c r="D113" s="286">
        <v>377.2</v>
      </c>
      <c r="E113" s="287">
        <v>0.4</v>
      </c>
      <c r="F113" s="287">
        <f t="shared" si="4"/>
        <v>150.88</v>
      </c>
      <c r="G113" s="287">
        <f>F113</f>
        <v>150.88</v>
      </c>
      <c r="H113" s="287">
        <f t="shared" si="3"/>
        <v>0</v>
      </c>
      <c r="I113" s="284">
        <v>14277741</v>
      </c>
      <c r="J113" s="333" t="s">
        <v>284</v>
      </c>
      <c r="K113" s="301" t="s">
        <v>25</v>
      </c>
      <c r="L113" s="289" t="s">
        <v>26</v>
      </c>
      <c r="M113" s="284">
        <v>92160872</v>
      </c>
      <c r="N113" s="440" t="s">
        <v>879</v>
      </c>
    </row>
    <row r="114" spans="1:15" x14ac:dyDescent="0.2">
      <c r="A114" s="229">
        <v>111</v>
      </c>
      <c r="B114" s="229">
        <v>3278</v>
      </c>
      <c r="C114" s="231" t="s">
        <v>285</v>
      </c>
      <c r="D114" s="232">
        <v>118.9</v>
      </c>
      <c r="E114" s="233">
        <v>0.4</v>
      </c>
      <c r="F114" s="233">
        <f t="shared" si="4"/>
        <v>47.56</v>
      </c>
      <c r="G114" s="233"/>
      <c r="H114" s="233">
        <f t="shared" si="3"/>
        <v>47.56</v>
      </c>
      <c r="I114" s="229">
        <v>27713998</v>
      </c>
      <c r="J114" s="243" t="s">
        <v>286</v>
      </c>
      <c r="K114" s="244" t="s">
        <v>75</v>
      </c>
      <c r="L114" s="236" t="s">
        <v>76</v>
      </c>
      <c r="M114" s="229">
        <v>99257989</v>
      </c>
      <c r="N114" s="437"/>
    </row>
    <row r="115" spans="1:15" x14ac:dyDescent="0.2">
      <c r="A115" s="284">
        <v>112</v>
      </c>
      <c r="B115" s="284">
        <v>3279</v>
      </c>
      <c r="C115" s="285" t="s">
        <v>287</v>
      </c>
      <c r="D115" s="286">
        <v>1204.2</v>
      </c>
      <c r="E115" s="287">
        <v>0.4</v>
      </c>
      <c r="F115" s="287">
        <f t="shared" si="4"/>
        <v>481.68000000000006</v>
      </c>
      <c r="G115" s="287">
        <f>F115</f>
        <v>481.68000000000006</v>
      </c>
      <c r="H115" s="287">
        <f t="shared" si="3"/>
        <v>0</v>
      </c>
      <c r="I115" s="357">
        <v>20468811</v>
      </c>
      <c r="J115" s="289" t="s">
        <v>244</v>
      </c>
      <c r="K115" s="301" t="s">
        <v>25</v>
      </c>
      <c r="L115" s="289" t="s">
        <v>26</v>
      </c>
      <c r="M115" s="284"/>
      <c r="N115" s="440" t="s">
        <v>870</v>
      </c>
    </row>
    <row r="116" spans="1:15" x14ac:dyDescent="0.2">
      <c r="A116" s="251">
        <v>113</v>
      </c>
      <c r="B116" s="251">
        <v>3280</v>
      </c>
      <c r="C116" s="252" t="s">
        <v>288</v>
      </c>
      <c r="D116" s="253">
        <v>520.4</v>
      </c>
      <c r="E116" s="254">
        <v>0.4</v>
      </c>
      <c r="F116" s="254">
        <f t="shared" si="4"/>
        <v>208.16</v>
      </c>
      <c r="G116" s="254">
        <f>207.59+0.57</f>
        <v>208.16</v>
      </c>
      <c r="H116" s="254">
        <f t="shared" si="3"/>
        <v>0</v>
      </c>
      <c r="I116" s="251">
        <v>25887523</v>
      </c>
      <c r="J116" s="262" t="s">
        <v>289</v>
      </c>
      <c r="K116" s="263" t="s">
        <v>290</v>
      </c>
      <c r="L116" s="256" t="s">
        <v>291</v>
      </c>
      <c r="M116" s="251">
        <v>91774010</v>
      </c>
      <c r="N116" s="438">
        <v>45671</v>
      </c>
      <c r="O116" s="430">
        <v>45993</v>
      </c>
    </row>
    <row r="117" spans="1:15" x14ac:dyDescent="0.2">
      <c r="A117" s="251">
        <v>114</v>
      </c>
      <c r="B117" s="251">
        <v>3281</v>
      </c>
      <c r="C117" s="252" t="s">
        <v>292</v>
      </c>
      <c r="D117" s="253">
        <v>528.5</v>
      </c>
      <c r="E117" s="254">
        <v>0.4</v>
      </c>
      <c r="F117" s="254">
        <f t="shared" si="4"/>
        <v>211.4</v>
      </c>
      <c r="G117" s="254">
        <f>207.69</f>
        <v>207.69</v>
      </c>
      <c r="H117" s="254">
        <f t="shared" si="3"/>
        <v>3.710000000000008</v>
      </c>
      <c r="I117" s="251">
        <v>1045575</v>
      </c>
      <c r="J117" s="262" t="s">
        <v>293</v>
      </c>
      <c r="K117" s="263" t="s">
        <v>134</v>
      </c>
      <c r="L117" s="256" t="s">
        <v>135</v>
      </c>
      <c r="M117" s="251">
        <v>99841917</v>
      </c>
      <c r="N117" s="438">
        <v>45685</v>
      </c>
    </row>
    <row r="118" spans="1:15" x14ac:dyDescent="0.2">
      <c r="A118" s="251">
        <v>115</v>
      </c>
      <c r="B118" s="251">
        <v>3286</v>
      </c>
      <c r="C118" s="252" t="s">
        <v>295</v>
      </c>
      <c r="D118" s="253">
        <v>361.5</v>
      </c>
      <c r="E118" s="254">
        <v>0.4</v>
      </c>
      <c r="F118" s="254">
        <f t="shared" si="4"/>
        <v>144.6</v>
      </c>
      <c r="G118" s="254">
        <f>140.26</f>
        <v>140.26</v>
      </c>
      <c r="H118" s="254">
        <f t="shared" si="3"/>
        <v>4.3400000000000034</v>
      </c>
      <c r="I118" s="251">
        <v>23232841</v>
      </c>
      <c r="J118" s="243" t="s">
        <v>296</v>
      </c>
      <c r="K118" s="235" t="s">
        <v>25</v>
      </c>
      <c r="L118" s="236" t="s">
        <v>26</v>
      </c>
      <c r="M118" s="229"/>
      <c r="N118" s="438">
        <v>45691</v>
      </c>
    </row>
    <row r="119" spans="1:15" x14ac:dyDescent="0.2">
      <c r="A119" s="251">
        <v>116</v>
      </c>
      <c r="B119" s="251">
        <v>3287</v>
      </c>
      <c r="C119" s="252" t="s">
        <v>297</v>
      </c>
      <c r="D119" s="253">
        <v>411.6</v>
      </c>
      <c r="E119" s="254">
        <v>0.4</v>
      </c>
      <c r="F119" s="254">
        <f t="shared" si="4"/>
        <v>164.64000000000001</v>
      </c>
      <c r="G119" s="254">
        <f>163.62</f>
        <v>163.62</v>
      </c>
      <c r="H119" s="254">
        <f t="shared" si="3"/>
        <v>1.0200000000000102</v>
      </c>
      <c r="I119" s="251">
        <v>6504554</v>
      </c>
      <c r="J119" s="262" t="s">
        <v>298</v>
      </c>
      <c r="K119" s="257" t="s">
        <v>25</v>
      </c>
      <c r="L119" s="256" t="s">
        <v>26</v>
      </c>
      <c r="M119" s="251">
        <v>95606029</v>
      </c>
      <c r="N119" s="446">
        <v>45677</v>
      </c>
    </row>
    <row r="120" spans="1:15" x14ac:dyDescent="0.2">
      <c r="A120" s="251">
        <v>117</v>
      </c>
      <c r="B120" s="251">
        <v>3288</v>
      </c>
      <c r="C120" s="252" t="s">
        <v>300</v>
      </c>
      <c r="D120" s="253">
        <v>410.2</v>
      </c>
      <c r="E120" s="254">
        <v>0.4</v>
      </c>
      <c r="F120" s="254">
        <f t="shared" si="4"/>
        <v>164.08</v>
      </c>
      <c r="G120" s="254">
        <f>161.24+2.84</f>
        <v>164.08</v>
      </c>
      <c r="H120" s="254">
        <f t="shared" si="3"/>
        <v>0</v>
      </c>
      <c r="I120" s="255">
        <v>1460824</v>
      </c>
      <c r="J120" s="236" t="s">
        <v>301</v>
      </c>
      <c r="K120" s="235" t="s">
        <v>302</v>
      </c>
      <c r="L120" s="241" t="s">
        <v>18</v>
      </c>
      <c r="M120" s="229"/>
      <c r="N120" s="438">
        <v>45691</v>
      </c>
      <c r="O120" s="428" t="s">
        <v>900</v>
      </c>
    </row>
    <row r="121" spans="1:15" x14ac:dyDescent="0.2">
      <c r="A121" s="229">
        <v>118</v>
      </c>
      <c r="B121" s="229">
        <v>3291</v>
      </c>
      <c r="C121" s="231" t="s">
        <v>303</v>
      </c>
      <c r="D121" s="239">
        <v>718.8</v>
      </c>
      <c r="E121" s="233">
        <v>0.4</v>
      </c>
      <c r="F121" s="233">
        <f t="shared" si="4"/>
        <v>287.52</v>
      </c>
      <c r="G121" s="233"/>
      <c r="H121" s="233">
        <f t="shared" si="3"/>
        <v>287.52</v>
      </c>
      <c r="I121" s="229">
        <v>1974735</v>
      </c>
      <c r="J121" s="243" t="s">
        <v>304</v>
      </c>
      <c r="K121" s="236" t="s">
        <v>75</v>
      </c>
      <c r="L121" s="243" t="s">
        <v>76</v>
      </c>
      <c r="M121" s="229">
        <v>99085848</v>
      </c>
      <c r="N121" s="437"/>
    </row>
    <row r="122" spans="1:15" x14ac:dyDescent="0.2">
      <c r="A122" s="229">
        <v>119</v>
      </c>
      <c r="B122" s="229">
        <v>3292</v>
      </c>
      <c r="C122" s="231" t="s">
        <v>305</v>
      </c>
      <c r="D122" s="239">
        <v>695.4</v>
      </c>
      <c r="E122" s="233">
        <v>0.4</v>
      </c>
      <c r="F122" s="233">
        <f t="shared" si="4"/>
        <v>278.16000000000003</v>
      </c>
      <c r="G122" s="233"/>
      <c r="H122" s="233">
        <f t="shared" si="3"/>
        <v>278.16000000000003</v>
      </c>
      <c r="I122" s="259">
        <v>13282353</v>
      </c>
      <c r="J122" s="260" t="s">
        <v>306</v>
      </c>
      <c r="K122" s="244" t="s">
        <v>17</v>
      </c>
      <c r="L122" s="260" t="s">
        <v>18</v>
      </c>
      <c r="M122" s="229"/>
      <c r="N122" s="437"/>
    </row>
    <row r="123" spans="1:15" x14ac:dyDescent="0.2">
      <c r="A123" s="251">
        <v>120</v>
      </c>
      <c r="B123" s="251">
        <v>3293</v>
      </c>
      <c r="C123" s="252" t="s">
        <v>307</v>
      </c>
      <c r="D123" s="253">
        <v>209.3</v>
      </c>
      <c r="E123" s="254">
        <v>0.4</v>
      </c>
      <c r="F123" s="254">
        <f t="shared" si="4"/>
        <v>83.720000000000013</v>
      </c>
      <c r="G123" s="254">
        <f>83.11</f>
        <v>83.11</v>
      </c>
      <c r="H123" s="254">
        <f t="shared" ref="H123:H186" si="5">F123-G123</f>
        <v>0.61000000000001364</v>
      </c>
      <c r="I123" s="251">
        <v>4048259</v>
      </c>
      <c r="J123" s="236" t="s">
        <v>308</v>
      </c>
      <c r="K123" s="244" t="s">
        <v>75</v>
      </c>
      <c r="L123" s="236" t="s">
        <v>76</v>
      </c>
      <c r="M123" s="229">
        <v>92970078</v>
      </c>
      <c r="N123" s="438">
        <v>45691</v>
      </c>
    </row>
    <row r="124" spans="1:15" x14ac:dyDescent="0.2">
      <c r="A124" s="251">
        <v>121</v>
      </c>
      <c r="B124" s="251">
        <v>3294</v>
      </c>
      <c r="C124" s="252" t="s">
        <v>309</v>
      </c>
      <c r="D124" s="253">
        <v>464.6</v>
      </c>
      <c r="E124" s="254">
        <v>0.4</v>
      </c>
      <c r="F124" s="254">
        <f t="shared" si="4"/>
        <v>185.84000000000003</v>
      </c>
      <c r="G124" s="254">
        <f>184.75</f>
        <v>184.75</v>
      </c>
      <c r="H124" s="254">
        <f t="shared" si="5"/>
        <v>1.0900000000000318</v>
      </c>
      <c r="I124" s="251">
        <v>19263029</v>
      </c>
      <c r="J124" s="262" t="s">
        <v>310</v>
      </c>
      <c r="K124" s="257" t="s">
        <v>25</v>
      </c>
      <c r="L124" s="256" t="s">
        <v>26</v>
      </c>
      <c r="M124" s="251">
        <v>92387034</v>
      </c>
      <c r="N124" s="438">
        <v>45685</v>
      </c>
    </row>
    <row r="125" spans="1:15" x14ac:dyDescent="0.2">
      <c r="A125" s="229">
        <v>122</v>
      </c>
      <c r="B125" s="229">
        <v>3295</v>
      </c>
      <c r="C125" s="231" t="s">
        <v>311</v>
      </c>
      <c r="D125" s="232">
        <v>266</v>
      </c>
      <c r="E125" s="233">
        <v>0.4</v>
      </c>
      <c r="F125" s="233">
        <f t="shared" si="4"/>
        <v>106.4</v>
      </c>
      <c r="G125" s="233"/>
      <c r="H125" s="233">
        <f t="shared" si="5"/>
        <v>106.4</v>
      </c>
      <c r="I125" s="229">
        <v>20378353</v>
      </c>
      <c r="J125" s="243" t="s">
        <v>312</v>
      </c>
      <c r="K125" s="244" t="s">
        <v>17</v>
      </c>
      <c r="L125" s="244" t="s">
        <v>18</v>
      </c>
      <c r="M125" s="229">
        <v>99489171</v>
      </c>
      <c r="N125" s="437"/>
    </row>
    <row r="126" spans="1:15" x14ac:dyDescent="0.2">
      <c r="A126" s="229">
        <v>123</v>
      </c>
      <c r="B126" s="229">
        <v>3297</v>
      </c>
      <c r="C126" s="231" t="s">
        <v>313</v>
      </c>
      <c r="D126" s="232">
        <v>174.2</v>
      </c>
      <c r="E126" s="233">
        <v>0.4</v>
      </c>
      <c r="F126" s="233">
        <f t="shared" si="4"/>
        <v>69.679999999999993</v>
      </c>
      <c r="G126" s="233"/>
      <c r="H126" s="233">
        <f t="shared" si="5"/>
        <v>69.679999999999993</v>
      </c>
      <c r="I126" s="229">
        <v>5359682</v>
      </c>
      <c r="J126" s="236" t="s">
        <v>314</v>
      </c>
      <c r="K126" s="244" t="s">
        <v>25</v>
      </c>
      <c r="L126" s="244" t="s">
        <v>26</v>
      </c>
      <c r="M126" s="229">
        <v>93240442</v>
      </c>
      <c r="N126" s="437"/>
    </row>
    <row r="127" spans="1:15" x14ac:dyDescent="0.2">
      <c r="A127" s="229">
        <v>124</v>
      </c>
      <c r="B127" s="229">
        <v>3298</v>
      </c>
      <c r="C127" s="231" t="s">
        <v>315</v>
      </c>
      <c r="D127" s="239">
        <v>265.3</v>
      </c>
      <c r="E127" s="233">
        <v>0.4</v>
      </c>
      <c r="F127" s="233">
        <f t="shared" si="4"/>
        <v>106.12</v>
      </c>
      <c r="G127" s="233"/>
      <c r="H127" s="233">
        <f t="shared" si="5"/>
        <v>106.12</v>
      </c>
      <c r="I127" s="240">
        <v>6160236</v>
      </c>
      <c r="J127" s="260" t="s">
        <v>316</v>
      </c>
      <c r="K127" s="238" t="s">
        <v>25</v>
      </c>
      <c r="L127" s="260" t="s">
        <v>26</v>
      </c>
      <c r="M127" s="229"/>
      <c r="N127" s="437"/>
    </row>
    <row r="128" spans="1:15" x14ac:dyDescent="0.2">
      <c r="A128" s="284">
        <v>125</v>
      </c>
      <c r="B128" s="284">
        <v>3302</v>
      </c>
      <c r="C128" s="285" t="s">
        <v>317</v>
      </c>
      <c r="D128" s="286">
        <v>506.9</v>
      </c>
      <c r="E128" s="287">
        <v>0.4</v>
      </c>
      <c r="F128" s="287">
        <f t="shared" si="4"/>
        <v>202.76</v>
      </c>
      <c r="G128" s="287">
        <f>F128</f>
        <v>202.76</v>
      </c>
      <c r="H128" s="287">
        <f t="shared" si="5"/>
        <v>0</v>
      </c>
      <c r="I128" s="284">
        <v>71004483</v>
      </c>
      <c r="J128" s="359" t="s">
        <v>318</v>
      </c>
      <c r="K128" s="301" t="s">
        <v>25</v>
      </c>
      <c r="L128" s="289" t="s">
        <v>26</v>
      </c>
      <c r="M128" s="284">
        <v>92557761</v>
      </c>
      <c r="N128" s="440" t="s">
        <v>880</v>
      </c>
    </row>
    <row r="129" spans="1:15" x14ac:dyDescent="0.2">
      <c r="A129" s="229">
        <v>126</v>
      </c>
      <c r="B129" s="229">
        <v>3303</v>
      </c>
      <c r="C129" s="231" t="s">
        <v>319</v>
      </c>
      <c r="D129" s="239">
        <v>329.2</v>
      </c>
      <c r="E129" s="233">
        <v>0.4</v>
      </c>
      <c r="F129" s="233">
        <f t="shared" si="4"/>
        <v>131.68</v>
      </c>
      <c r="G129" s="233"/>
      <c r="H129" s="233">
        <f t="shared" si="5"/>
        <v>131.68</v>
      </c>
      <c r="I129" s="240">
        <v>3172781</v>
      </c>
      <c r="J129" s="236" t="s">
        <v>320</v>
      </c>
      <c r="K129" s="235" t="s">
        <v>17</v>
      </c>
      <c r="L129" s="241" t="s">
        <v>18</v>
      </c>
      <c r="M129" s="229">
        <v>99282770</v>
      </c>
      <c r="N129" s="437"/>
    </row>
    <row r="130" spans="1:15" s="398" customFormat="1" x14ac:dyDescent="0.2">
      <c r="A130" s="392">
        <v>127</v>
      </c>
      <c r="B130" s="392">
        <v>3309</v>
      </c>
      <c r="C130" s="393" t="s">
        <v>321</v>
      </c>
      <c r="D130" s="394">
        <v>121.5</v>
      </c>
      <c r="E130" s="395">
        <v>0.4</v>
      </c>
      <c r="F130" s="395">
        <f t="shared" si="4"/>
        <v>48.6</v>
      </c>
      <c r="G130" s="395">
        <f>F130</f>
        <v>48.6</v>
      </c>
      <c r="H130" s="395">
        <f t="shared" si="5"/>
        <v>0</v>
      </c>
      <c r="I130" s="396">
        <v>21453611</v>
      </c>
      <c r="J130" s="410" t="s">
        <v>322</v>
      </c>
      <c r="K130" s="411" t="s">
        <v>25</v>
      </c>
      <c r="L130" s="412" t="s">
        <v>26</v>
      </c>
      <c r="M130" s="392">
        <v>93389969</v>
      </c>
      <c r="N130" s="447" t="s">
        <v>867</v>
      </c>
      <c r="O130" s="434"/>
    </row>
    <row r="131" spans="1:15" x14ac:dyDescent="0.2">
      <c r="A131" s="229">
        <v>128</v>
      </c>
      <c r="B131" s="229">
        <v>3311</v>
      </c>
      <c r="C131" s="231" t="s">
        <v>323</v>
      </c>
      <c r="D131" s="232">
        <v>451.9</v>
      </c>
      <c r="E131" s="233">
        <v>0.4</v>
      </c>
      <c r="F131" s="233">
        <f t="shared" si="4"/>
        <v>180.76</v>
      </c>
      <c r="G131" s="233"/>
      <c r="H131" s="233">
        <f t="shared" si="5"/>
        <v>180.76</v>
      </c>
      <c r="I131" s="229" t="s">
        <v>324</v>
      </c>
      <c r="J131" s="243" t="s">
        <v>325</v>
      </c>
      <c r="K131" s="238" t="s">
        <v>326</v>
      </c>
      <c r="L131" s="243" t="s">
        <v>327</v>
      </c>
      <c r="M131" s="229">
        <v>92817378</v>
      </c>
      <c r="N131" s="437"/>
    </row>
    <row r="132" spans="1:15" x14ac:dyDescent="0.2">
      <c r="A132" s="251">
        <v>129</v>
      </c>
      <c r="B132" s="251">
        <v>3312</v>
      </c>
      <c r="C132" s="252" t="s">
        <v>328</v>
      </c>
      <c r="D132" s="253">
        <v>532</v>
      </c>
      <c r="E132" s="254">
        <v>0.4</v>
      </c>
      <c r="F132" s="254">
        <f t="shared" ref="F132:F195" si="6">E132*D132</f>
        <v>212.8</v>
      </c>
      <c r="G132" s="254">
        <f>210.6</f>
        <v>210.6</v>
      </c>
      <c r="H132" s="254">
        <f t="shared" si="5"/>
        <v>2.2000000000000171</v>
      </c>
      <c r="I132" s="251">
        <v>881326</v>
      </c>
      <c r="J132" s="243" t="s">
        <v>329</v>
      </c>
      <c r="K132" s="244" t="s">
        <v>121</v>
      </c>
      <c r="L132" s="244" t="s">
        <v>122</v>
      </c>
      <c r="M132" s="229">
        <v>99481799</v>
      </c>
      <c r="N132" s="438">
        <v>45691</v>
      </c>
    </row>
    <row r="133" spans="1:15" x14ac:dyDescent="0.2">
      <c r="A133" s="251">
        <v>130</v>
      </c>
      <c r="B133" s="251">
        <v>3314</v>
      </c>
      <c r="C133" s="252" t="s">
        <v>330</v>
      </c>
      <c r="D133" s="253">
        <v>348.3</v>
      </c>
      <c r="E133" s="254">
        <v>0.4</v>
      </c>
      <c r="F133" s="254">
        <f t="shared" si="6"/>
        <v>139.32000000000002</v>
      </c>
      <c r="G133" s="254">
        <f>138.82</f>
        <v>138.82</v>
      </c>
      <c r="H133" s="254">
        <f t="shared" si="5"/>
        <v>0.50000000000002842</v>
      </c>
      <c r="I133" s="251">
        <v>766893</v>
      </c>
      <c r="J133" s="243" t="s">
        <v>331</v>
      </c>
      <c r="K133" s="235" t="s">
        <v>25</v>
      </c>
      <c r="L133" s="236" t="s">
        <v>26</v>
      </c>
      <c r="M133" s="229">
        <v>99257989</v>
      </c>
      <c r="N133" s="438">
        <v>45691</v>
      </c>
    </row>
    <row r="134" spans="1:15" s="398" customFormat="1" x14ac:dyDescent="0.2">
      <c r="A134" s="392">
        <v>131</v>
      </c>
      <c r="B134" s="392">
        <v>3315</v>
      </c>
      <c r="C134" s="393" t="s">
        <v>333</v>
      </c>
      <c r="D134" s="394">
        <v>162</v>
      </c>
      <c r="E134" s="395">
        <v>0.4</v>
      </c>
      <c r="F134" s="395">
        <f t="shared" si="6"/>
        <v>64.8</v>
      </c>
      <c r="G134" s="395">
        <f>F134</f>
        <v>64.8</v>
      </c>
      <c r="H134" s="395">
        <f t="shared" si="5"/>
        <v>0</v>
      </c>
      <c r="I134" s="392">
        <v>23957422</v>
      </c>
      <c r="J134" s="407" t="s">
        <v>334</v>
      </c>
      <c r="K134" s="397" t="s">
        <v>25</v>
      </c>
      <c r="L134" s="408" t="s">
        <v>26</v>
      </c>
      <c r="M134" s="392">
        <v>99601665</v>
      </c>
      <c r="N134" s="447" t="s">
        <v>867</v>
      </c>
      <c r="O134" s="434"/>
    </row>
    <row r="135" spans="1:15" x14ac:dyDescent="0.2">
      <c r="A135" s="229">
        <v>132</v>
      </c>
      <c r="B135" s="229">
        <v>3316</v>
      </c>
      <c r="C135" s="231" t="s">
        <v>335</v>
      </c>
      <c r="D135" s="232">
        <v>20.6</v>
      </c>
      <c r="E135" s="233">
        <v>0.4</v>
      </c>
      <c r="F135" s="233">
        <f t="shared" si="6"/>
        <v>8.24</v>
      </c>
      <c r="G135" s="233"/>
      <c r="H135" s="233">
        <f t="shared" si="5"/>
        <v>8.24</v>
      </c>
      <c r="I135" s="230">
        <v>26159748</v>
      </c>
      <c r="J135" s="241" t="s">
        <v>336</v>
      </c>
      <c r="K135" s="282" t="s">
        <v>25</v>
      </c>
      <c r="L135" s="283" t="s">
        <v>26</v>
      </c>
      <c r="M135" s="230">
        <v>99601665</v>
      </c>
      <c r="N135" s="448"/>
    </row>
    <row r="136" spans="1:15" x14ac:dyDescent="0.2">
      <c r="A136" s="229">
        <v>133</v>
      </c>
      <c r="B136" s="229">
        <v>3320</v>
      </c>
      <c r="C136" s="231" t="s">
        <v>337</v>
      </c>
      <c r="D136" s="232">
        <v>285</v>
      </c>
      <c r="E136" s="233">
        <v>0.4</v>
      </c>
      <c r="F136" s="233">
        <f t="shared" si="6"/>
        <v>114</v>
      </c>
      <c r="G136" s="233"/>
      <c r="H136" s="233">
        <f t="shared" si="5"/>
        <v>114</v>
      </c>
      <c r="I136" s="229">
        <v>2096234</v>
      </c>
      <c r="J136" s="243" t="s">
        <v>338</v>
      </c>
      <c r="K136" s="235" t="s">
        <v>25</v>
      </c>
      <c r="L136" s="236" t="s">
        <v>26</v>
      </c>
      <c r="M136" s="229">
        <v>99495933</v>
      </c>
      <c r="N136" s="437"/>
    </row>
    <row r="137" spans="1:15" x14ac:dyDescent="0.2">
      <c r="A137" s="229">
        <v>134</v>
      </c>
      <c r="B137" s="229">
        <v>3321</v>
      </c>
      <c r="C137" s="231" t="s">
        <v>339</v>
      </c>
      <c r="D137" s="232">
        <v>180</v>
      </c>
      <c r="E137" s="233">
        <v>0.4</v>
      </c>
      <c r="F137" s="233">
        <f t="shared" si="6"/>
        <v>72</v>
      </c>
      <c r="G137" s="233"/>
      <c r="H137" s="233">
        <f t="shared" si="5"/>
        <v>72</v>
      </c>
      <c r="I137" s="229">
        <v>10721505</v>
      </c>
      <c r="J137" s="243" t="s">
        <v>340</v>
      </c>
      <c r="K137" s="235" t="s">
        <v>25</v>
      </c>
      <c r="L137" s="236" t="s">
        <v>26</v>
      </c>
      <c r="M137" s="229">
        <v>93955800</v>
      </c>
      <c r="N137" s="437"/>
    </row>
    <row r="138" spans="1:15" x14ac:dyDescent="0.2">
      <c r="A138" s="229">
        <v>135</v>
      </c>
      <c r="B138" s="229">
        <v>3322</v>
      </c>
      <c r="C138" s="231" t="s">
        <v>341</v>
      </c>
      <c r="D138" s="232">
        <v>482</v>
      </c>
      <c r="E138" s="233">
        <v>0.4</v>
      </c>
      <c r="F138" s="233">
        <f t="shared" si="6"/>
        <v>192.8</v>
      </c>
      <c r="G138" s="233"/>
      <c r="H138" s="233">
        <f t="shared" si="5"/>
        <v>192.8</v>
      </c>
      <c r="I138" s="229">
        <v>6047858</v>
      </c>
      <c r="J138" s="243" t="s">
        <v>342</v>
      </c>
      <c r="K138" s="244" t="s">
        <v>43</v>
      </c>
      <c r="L138" s="236" t="s">
        <v>44</v>
      </c>
      <c r="M138" s="229"/>
      <c r="N138" s="437"/>
    </row>
    <row r="139" spans="1:15" x14ac:dyDescent="0.2">
      <c r="A139" s="251">
        <v>136</v>
      </c>
      <c r="B139" s="251">
        <v>3325</v>
      </c>
      <c r="C139" s="252" t="s">
        <v>153</v>
      </c>
      <c r="D139" s="253">
        <v>175.9</v>
      </c>
      <c r="E139" s="254">
        <v>0.4</v>
      </c>
      <c r="F139" s="254">
        <f t="shared" si="6"/>
        <v>70.36</v>
      </c>
      <c r="G139" s="254">
        <f>65.35+5.01</f>
        <v>70.36</v>
      </c>
      <c r="H139" s="254">
        <f t="shared" si="5"/>
        <v>0</v>
      </c>
      <c r="I139" s="251">
        <v>21849398</v>
      </c>
      <c r="J139" s="262" t="s">
        <v>343</v>
      </c>
      <c r="K139" s="257" t="s">
        <v>25</v>
      </c>
      <c r="L139" s="256" t="s">
        <v>26</v>
      </c>
      <c r="M139" s="251">
        <v>93233323</v>
      </c>
      <c r="N139" s="438">
        <v>45685</v>
      </c>
      <c r="O139" s="427">
        <v>45993</v>
      </c>
    </row>
    <row r="140" spans="1:15" x14ac:dyDescent="0.2">
      <c r="A140" s="251">
        <v>137</v>
      </c>
      <c r="B140" s="251">
        <v>3326</v>
      </c>
      <c r="C140" s="252" t="s">
        <v>344</v>
      </c>
      <c r="D140" s="253">
        <v>612.5</v>
      </c>
      <c r="E140" s="254">
        <v>0.4</v>
      </c>
      <c r="F140" s="254">
        <f t="shared" si="6"/>
        <v>245</v>
      </c>
      <c r="G140" s="254">
        <f>242.7</f>
        <v>242.7</v>
      </c>
      <c r="H140" s="254">
        <f t="shared" si="5"/>
        <v>2.3000000000000114</v>
      </c>
      <c r="I140" s="251">
        <v>1466865</v>
      </c>
      <c r="J140" s="262" t="s">
        <v>345</v>
      </c>
      <c r="K140" s="263" t="s">
        <v>17</v>
      </c>
      <c r="L140" s="263" t="s">
        <v>18</v>
      </c>
      <c r="M140" s="251"/>
      <c r="N140" s="438">
        <v>45691</v>
      </c>
    </row>
    <row r="141" spans="1:15" x14ac:dyDescent="0.2">
      <c r="A141" s="251">
        <v>138</v>
      </c>
      <c r="B141" s="251">
        <v>3328</v>
      </c>
      <c r="C141" s="252" t="s">
        <v>346</v>
      </c>
      <c r="D141" s="253">
        <v>547</v>
      </c>
      <c r="E141" s="254">
        <v>0.4</v>
      </c>
      <c r="F141" s="254">
        <f t="shared" si="6"/>
        <v>218.8</v>
      </c>
      <c r="G141" s="254">
        <f>216.76+2.04</f>
        <v>218.79999999999998</v>
      </c>
      <c r="H141" s="254">
        <f t="shared" si="5"/>
        <v>0</v>
      </c>
      <c r="I141" s="251">
        <v>1934204</v>
      </c>
      <c r="J141" s="236" t="s">
        <v>347</v>
      </c>
      <c r="K141" s="235" t="s">
        <v>25</v>
      </c>
      <c r="L141" s="236" t="s">
        <v>26</v>
      </c>
      <c r="M141" s="229"/>
      <c r="N141" s="438">
        <v>45691</v>
      </c>
      <c r="O141" s="427">
        <v>45932</v>
      </c>
    </row>
    <row r="142" spans="1:15" x14ac:dyDescent="0.2">
      <c r="A142" s="251">
        <v>139</v>
      </c>
      <c r="B142" s="251">
        <v>3329</v>
      </c>
      <c r="C142" s="252" t="s">
        <v>348</v>
      </c>
      <c r="D142" s="253">
        <v>285</v>
      </c>
      <c r="E142" s="254">
        <v>0.4</v>
      </c>
      <c r="F142" s="254">
        <f t="shared" si="6"/>
        <v>114</v>
      </c>
      <c r="G142" s="254">
        <f>112.25+1.75</f>
        <v>114</v>
      </c>
      <c r="H142" s="254">
        <f t="shared" si="5"/>
        <v>0</v>
      </c>
      <c r="I142" s="251">
        <v>9086292</v>
      </c>
      <c r="J142" s="256" t="s">
        <v>349</v>
      </c>
      <c r="K142" s="263" t="s">
        <v>75</v>
      </c>
      <c r="L142" s="256" t="s">
        <v>76</v>
      </c>
      <c r="M142" s="251">
        <v>95976260</v>
      </c>
      <c r="N142" s="438">
        <v>45691</v>
      </c>
      <c r="O142" s="427">
        <v>45693</v>
      </c>
    </row>
    <row r="143" spans="1:15" x14ac:dyDescent="0.2">
      <c r="A143" s="229">
        <v>140</v>
      </c>
      <c r="B143" s="229">
        <v>3331</v>
      </c>
      <c r="C143" s="231" t="s">
        <v>350</v>
      </c>
      <c r="D143" s="232">
        <v>512.5</v>
      </c>
      <c r="E143" s="233">
        <v>0.4</v>
      </c>
      <c r="F143" s="233">
        <f t="shared" si="6"/>
        <v>205</v>
      </c>
      <c r="G143" s="233"/>
      <c r="H143" s="233">
        <f t="shared" si="5"/>
        <v>205</v>
      </c>
      <c r="I143" s="229">
        <v>18048861</v>
      </c>
      <c r="J143" s="243" t="s">
        <v>351</v>
      </c>
      <c r="K143" s="244" t="s">
        <v>352</v>
      </c>
      <c r="L143" s="236" t="s">
        <v>129</v>
      </c>
      <c r="M143" s="229"/>
      <c r="N143" s="437"/>
    </row>
    <row r="144" spans="1:15" x14ac:dyDescent="0.2">
      <c r="A144" s="229">
        <v>141</v>
      </c>
      <c r="B144" s="229">
        <v>3332</v>
      </c>
      <c r="C144" s="231" t="s">
        <v>721</v>
      </c>
      <c r="D144" s="232">
        <v>189.1</v>
      </c>
      <c r="E144" s="233">
        <v>0.4</v>
      </c>
      <c r="F144" s="233">
        <f t="shared" si="6"/>
        <v>75.64</v>
      </c>
      <c r="G144" s="233"/>
      <c r="H144" s="233">
        <f t="shared" si="5"/>
        <v>75.64</v>
      </c>
      <c r="I144" s="229">
        <v>1320775</v>
      </c>
      <c r="J144" s="243"/>
      <c r="K144" s="244"/>
      <c r="L144" s="236"/>
      <c r="M144" s="229">
        <v>99490105</v>
      </c>
      <c r="N144" s="437"/>
    </row>
    <row r="145" spans="1:15" x14ac:dyDescent="0.2">
      <c r="A145" s="229">
        <v>142</v>
      </c>
      <c r="B145" s="229">
        <v>3334</v>
      </c>
      <c r="C145" s="231" t="s">
        <v>353</v>
      </c>
      <c r="D145" s="232">
        <v>380</v>
      </c>
      <c r="E145" s="233">
        <v>0.4</v>
      </c>
      <c r="F145" s="233">
        <f t="shared" si="6"/>
        <v>152</v>
      </c>
      <c r="G145" s="233"/>
      <c r="H145" s="233">
        <f t="shared" si="5"/>
        <v>152</v>
      </c>
      <c r="I145" s="229">
        <v>1176211</v>
      </c>
      <c r="J145" s="243" t="s">
        <v>354</v>
      </c>
      <c r="K145" s="244" t="s">
        <v>17</v>
      </c>
      <c r="L145" s="244" t="s">
        <v>18</v>
      </c>
      <c r="M145" s="229">
        <v>99480111</v>
      </c>
      <c r="N145" s="437"/>
    </row>
    <row r="146" spans="1:15" x14ac:dyDescent="0.2">
      <c r="A146" s="229">
        <v>143</v>
      </c>
      <c r="B146" s="229">
        <v>3335</v>
      </c>
      <c r="C146" s="231" t="s">
        <v>355</v>
      </c>
      <c r="D146" s="232">
        <v>226</v>
      </c>
      <c r="E146" s="233">
        <v>0.4</v>
      </c>
      <c r="F146" s="233">
        <f t="shared" si="6"/>
        <v>90.4</v>
      </c>
      <c r="G146" s="233"/>
      <c r="H146" s="233">
        <f t="shared" si="5"/>
        <v>90.4</v>
      </c>
      <c r="I146" s="229">
        <v>2022545</v>
      </c>
      <c r="J146" s="243" t="s">
        <v>356</v>
      </c>
      <c r="K146" s="235" t="s">
        <v>25</v>
      </c>
      <c r="L146" s="236" t="s">
        <v>26</v>
      </c>
      <c r="M146" s="229">
        <v>99489989</v>
      </c>
      <c r="N146" s="437"/>
    </row>
    <row r="147" spans="1:15" x14ac:dyDescent="0.2">
      <c r="A147" s="251">
        <v>144</v>
      </c>
      <c r="B147" s="251">
        <v>3336</v>
      </c>
      <c r="C147" s="252" t="s">
        <v>357</v>
      </c>
      <c r="D147" s="253">
        <v>251.5</v>
      </c>
      <c r="E147" s="254">
        <v>0.4</v>
      </c>
      <c r="F147" s="254">
        <f t="shared" si="6"/>
        <v>100.60000000000001</v>
      </c>
      <c r="G147" s="254">
        <f>F147</f>
        <v>100.60000000000001</v>
      </c>
      <c r="H147" s="254">
        <f t="shared" si="5"/>
        <v>0</v>
      </c>
      <c r="I147" s="251">
        <v>905756</v>
      </c>
      <c r="J147" s="262" t="s">
        <v>358</v>
      </c>
      <c r="K147" s="257" t="s">
        <v>25</v>
      </c>
      <c r="L147" s="256" t="s">
        <v>26</v>
      </c>
      <c r="M147" s="251">
        <v>92321799</v>
      </c>
      <c r="N147" s="438">
        <v>45779</v>
      </c>
    </row>
    <row r="148" spans="1:15" x14ac:dyDescent="0.2">
      <c r="A148" s="229">
        <v>145</v>
      </c>
      <c r="B148" s="229">
        <v>3337</v>
      </c>
      <c r="C148" s="231" t="s">
        <v>359</v>
      </c>
      <c r="D148" s="232">
        <v>256</v>
      </c>
      <c r="E148" s="233">
        <v>0.4</v>
      </c>
      <c r="F148" s="233">
        <f t="shared" si="6"/>
        <v>102.4</v>
      </c>
      <c r="G148" s="233"/>
      <c r="H148" s="233">
        <f t="shared" si="5"/>
        <v>102.4</v>
      </c>
      <c r="I148" s="229">
        <v>19344361</v>
      </c>
      <c r="J148" s="243" t="s">
        <v>360</v>
      </c>
      <c r="K148" s="235" t="s">
        <v>25</v>
      </c>
      <c r="L148" s="236" t="s">
        <v>26</v>
      </c>
      <c r="M148" s="229"/>
      <c r="N148" s="437"/>
    </row>
    <row r="149" spans="1:15" x14ac:dyDescent="0.2">
      <c r="A149" s="251">
        <v>146</v>
      </c>
      <c r="B149" s="251">
        <v>3338</v>
      </c>
      <c r="C149" s="252" t="s">
        <v>361</v>
      </c>
      <c r="D149" s="253">
        <v>300.5</v>
      </c>
      <c r="E149" s="254">
        <v>0.4</v>
      </c>
      <c r="F149" s="254">
        <f t="shared" si="6"/>
        <v>120.2</v>
      </c>
      <c r="G149" s="254">
        <f>116.68+3.52</f>
        <v>120.2</v>
      </c>
      <c r="H149" s="254">
        <f t="shared" si="5"/>
        <v>0</v>
      </c>
      <c r="I149" s="251">
        <v>1078791</v>
      </c>
      <c r="J149" s="243" t="s">
        <v>362</v>
      </c>
      <c r="K149" s="244" t="s">
        <v>17</v>
      </c>
      <c r="L149" s="244" t="s">
        <v>18</v>
      </c>
      <c r="M149" s="229"/>
      <c r="N149" s="438">
        <v>45718</v>
      </c>
      <c r="O149" s="427">
        <v>45779</v>
      </c>
    </row>
    <row r="150" spans="1:15" x14ac:dyDescent="0.2">
      <c r="A150" s="229">
        <v>147</v>
      </c>
      <c r="B150" s="229">
        <v>3340</v>
      </c>
      <c r="C150" s="231" t="s">
        <v>363</v>
      </c>
      <c r="D150" s="232">
        <v>246.4</v>
      </c>
      <c r="E150" s="233">
        <v>0.4</v>
      </c>
      <c r="F150" s="233">
        <f t="shared" si="6"/>
        <v>98.56</v>
      </c>
      <c r="G150" s="233"/>
      <c r="H150" s="233">
        <f t="shared" si="5"/>
        <v>98.56</v>
      </c>
      <c r="I150" s="229">
        <v>906355</v>
      </c>
      <c r="J150" s="243" t="s">
        <v>364</v>
      </c>
      <c r="K150" s="235" t="s">
        <v>25</v>
      </c>
      <c r="L150" s="236" t="s">
        <v>26</v>
      </c>
      <c r="M150" s="229">
        <v>95333933</v>
      </c>
      <c r="N150" s="437"/>
    </row>
    <row r="151" spans="1:15" x14ac:dyDescent="0.2">
      <c r="A151" s="251">
        <v>148</v>
      </c>
      <c r="B151" s="251">
        <v>3342</v>
      </c>
      <c r="C151" s="252" t="s">
        <v>366</v>
      </c>
      <c r="D151" s="253">
        <v>203.5</v>
      </c>
      <c r="E151" s="254">
        <v>0.4</v>
      </c>
      <c r="F151" s="254">
        <f t="shared" si="6"/>
        <v>81.400000000000006</v>
      </c>
      <c r="G151" s="254">
        <f>79.36</f>
        <v>79.36</v>
      </c>
      <c r="H151" s="254">
        <f t="shared" si="5"/>
        <v>2.0400000000000063</v>
      </c>
      <c r="I151" s="251">
        <v>1779485</v>
      </c>
      <c r="J151" s="243" t="s">
        <v>367</v>
      </c>
      <c r="K151" s="244" t="s">
        <v>17</v>
      </c>
      <c r="L151" s="244" t="s">
        <v>18</v>
      </c>
      <c r="M151" s="229"/>
      <c r="N151" s="438">
        <v>45691</v>
      </c>
    </row>
    <row r="152" spans="1:15" x14ac:dyDescent="0.2">
      <c r="A152" s="251">
        <v>149</v>
      </c>
      <c r="B152" s="251">
        <v>3346</v>
      </c>
      <c r="C152" s="252" t="s">
        <v>368</v>
      </c>
      <c r="D152" s="253">
        <v>345.5</v>
      </c>
      <c r="E152" s="254">
        <v>0.4</v>
      </c>
      <c r="F152" s="254">
        <f t="shared" si="6"/>
        <v>138.20000000000002</v>
      </c>
      <c r="G152" s="254">
        <f>136.16</f>
        <v>136.16</v>
      </c>
      <c r="H152" s="254">
        <f t="shared" si="5"/>
        <v>2.0400000000000205</v>
      </c>
      <c r="I152" s="251">
        <v>1586848</v>
      </c>
      <c r="J152" s="262" t="s">
        <v>369</v>
      </c>
      <c r="K152" s="263" t="s">
        <v>166</v>
      </c>
      <c r="L152" s="263" t="s">
        <v>129</v>
      </c>
      <c r="M152" s="251">
        <v>92930610</v>
      </c>
      <c r="N152" s="438">
        <v>45677</v>
      </c>
    </row>
    <row r="153" spans="1:15" x14ac:dyDescent="0.2">
      <c r="A153" s="251">
        <v>150</v>
      </c>
      <c r="B153" s="251">
        <v>3700</v>
      </c>
      <c r="C153" s="252" t="s">
        <v>27</v>
      </c>
      <c r="D153" s="253">
        <v>722</v>
      </c>
      <c r="E153" s="254">
        <v>0.4</v>
      </c>
      <c r="F153" s="254">
        <f t="shared" si="6"/>
        <v>288.8</v>
      </c>
      <c r="G153" s="254">
        <f>F153</f>
        <v>288.8</v>
      </c>
      <c r="H153" s="254">
        <f t="shared" si="5"/>
        <v>0</v>
      </c>
      <c r="I153" s="251">
        <v>19729836</v>
      </c>
      <c r="J153" s="256" t="s">
        <v>28</v>
      </c>
      <c r="K153" s="257" t="s">
        <v>25</v>
      </c>
      <c r="L153" s="263" t="s">
        <v>26</v>
      </c>
      <c r="M153" s="251">
        <v>99633838</v>
      </c>
      <c r="N153" s="438">
        <v>45671</v>
      </c>
    </row>
    <row r="154" spans="1:15" x14ac:dyDescent="0.2">
      <c r="A154" s="251">
        <v>151</v>
      </c>
      <c r="B154" s="251">
        <v>3702</v>
      </c>
      <c r="C154" s="252" t="s">
        <v>370</v>
      </c>
      <c r="D154" s="253">
        <v>280.60000000000002</v>
      </c>
      <c r="E154" s="254">
        <v>0.4</v>
      </c>
      <c r="F154" s="254">
        <f t="shared" si="6"/>
        <v>112.24000000000001</v>
      </c>
      <c r="G154" s="254">
        <f>111.81</f>
        <v>111.81</v>
      </c>
      <c r="H154" s="254">
        <f t="shared" si="5"/>
        <v>0.43000000000000682</v>
      </c>
      <c r="I154" s="293" t="s">
        <v>371</v>
      </c>
      <c r="J154" s="236" t="s">
        <v>372</v>
      </c>
      <c r="K154" s="244" t="s">
        <v>17</v>
      </c>
      <c r="L154" s="244" t="s">
        <v>18</v>
      </c>
      <c r="M154" s="229">
        <v>90939111</v>
      </c>
      <c r="N154" s="438">
        <v>45718</v>
      </c>
    </row>
    <row r="155" spans="1:15" x14ac:dyDescent="0.2">
      <c r="A155" s="251">
        <v>152</v>
      </c>
      <c r="B155" s="251">
        <v>3703</v>
      </c>
      <c r="C155" s="252" t="s">
        <v>373</v>
      </c>
      <c r="D155" s="253">
        <v>688.2</v>
      </c>
      <c r="E155" s="254">
        <v>0.4</v>
      </c>
      <c r="F155" s="254">
        <f t="shared" si="6"/>
        <v>275.28000000000003</v>
      </c>
      <c r="G155" s="254">
        <f>273.74+1.54</f>
        <v>275.28000000000003</v>
      </c>
      <c r="H155" s="254">
        <f t="shared" si="5"/>
        <v>0</v>
      </c>
      <c r="I155" s="251">
        <v>6332137</v>
      </c>
      <c r="J155" s="256" t="s">
        <v>374</v>
      </c>
      <c r="K155" s="263" t="s">
        <v>121</v>
      </c>
      <c r="L155" s="263" t="s">
        <v>122</v>
      </c>
      <c r="M155" s="251">
        <v>98239666</v>
      </c>
      <c r="N155" s="438">
        <v>45679</v>
      </c>
      <c r="O155" s="427">
        <v>45993</v>
      </c>
    </row>
    <row r="156" spans="1:15" x14ac:dyDescent="0.2">
      <c r="A156" s="229">
        <v>153</v>
      </c>
      <c r="B156" s="229">
        <v>3704</v>
      </c>
      <c r="C156" s="231" t="s">
        <v>375</v>
      </c>
      <c r="D156" s="239">
        <v>566.4</v>
      </c>
      <c r="E156" s="233">
        <v>0.4</v>
      </c>
      <c r="F156" s="233">
        <f t="shared" si="6"/>
        <v>226.56</v>
      </c>
      <c r="G156" s="233"/>
      <c r="H156" s="233">
        <f t="shared" si="5"/>
        <v>226.56</v>
      </c>
      <c r="I156" s="229">
        <v>730722</v>
      </c>
      <c r="J156" s="243" t="s">
        <v>376</v>
      </c>
      <c r="K156" s="244" t="s">
        <v>25</v>
      </c>
      <c r="L156" s="236" t="s">
        <v>26</v>
      </c>
      <c r="M156" s="229">
        <v>92499000</v>
      </c>
      <c r="N156" s="437"/>
    </row>
    <row r="157" spans="1:15" x14ac:dyDescent="0.2">
      <c r="A157" s="229">
        <v>154</v>
      </c>
      <c r="B157" s="229">
        <v>3705</v>
      </c>
      <c r="C157" s="231" t="s">
        <v>377</v>
      </c>
      <c r="D157" s="239">
        <v>256.7</v>
      </c>
      <c r="E157" s="233">
        <v>0.4</v>
      </c>
      <c r="F157" s="233">
        <f t="shared" si="6"/>
        <v>102.68</v>
      </c>
      <c r="G157" s="233"/>
      <c r="H157" s="233">
        <f t="shared" si="5"/>
        <v>102.68</v>
      </c>
      <c r="I157" s="229">
        <v>738486</v>
      </c>
      <c r="J157" s="243" t="s">
        <v>378</v>
      </c>
      <c r="K157" s="244" t="s">
        <v>25</v>
      </c>
      <c r="L157" s="236" t="s">
        <v>26</v>
      </c>
      <c r="M157" s="229">
        <v>99486030</v>
      </c>
      <c r="N157" s="437"/>
    </row>
    <row r="158" spans="1:15" x14ac:dyDescent="0.2">
      <c r="A158" s="229">
        <v>155</v>
      </c>
      <c r="B158" s="229">
        <v>3706</v>
      </c>
      <c r="C158" s="231" t="s">
        <v>379</v>
      </c>
      <c r="D158" s="239">
        <v>252.2</v>
      </c>
      <c r="E158" s="233">
        <v>0.4</v>
      </c>
      <c r="F158" s="233">
        <f t="shared" si="6"/>
        <v>100.88</v>
      </c>
      <c r="G158" s="233"/>
      <c r="H158" s="233">
        <f t="shared" si="5"/>
        <v>100.88</v>
      </c>
      <c r="I158" s="229">
        <v>8098795</v>
      </c>
      <c r="J158" s="243" t="s">
        <v>380</v>
      </c>
      <c r="K158" s="244" t="s">
        <v>25</v>
      </c>
      <c r="L158" s="236" t="s">
        <v>26</v>
      </c>
      <c r="M158" s="229">
        <v>93567000</v>
      </c>
      <c r="N158" s="437"/>
    </row>
    <row r="159" spans="1:15" s="292" customFormat="1" x14ac:dyDescent="0.2">
      <c r="A159" s="284">
        <v>156</v>
      </c>
      <c r="B159" s="284">
        <v>3708</v>
      </c>
      <c r="C159" s="285" t="s">
        <v>381</v>
      </c>
      <c r="D159" s="286">
        <v>435.2</v>
      </c>
      <c r="E159" s="287">
        <v>0.4</v>
      </c>
      <c r="F159" s="287">
        <f t="shared" si="6"/>
        <v>174.08</v>
      </c>
      <c r="G159" s="287">
        <f>F159</f>
        <v>174.08</v>
      </c>
      <c r="H159" s="287">
        <f>F159-G159</f>
        <v>0</v>
      </c>
      <c r="I159" s="287">
        <v>5304255</v>
      </c>
      <c r="J159" s="289" t="s">
        <v>383</v>
      </c>
      <c r="K159" s="301" t="s">
        <v>25</v>
      </c>
      <c r="L159" s="289" t="s">
        <v>26</v>
      </c>
      <c r="M159" s="284">
        <v>98822655</v>
      </c>
      <c r="N159" s="440">
        <v>45690</v>
      </c>
      <c r="O159" s="433"/>
    </row>
    <row r="160" spans="1:15" x14ac:dyDescent="0.2">
      <c r="A160" s="229">
        <v>157</v>
      </c>
      <c r="B160" s="229">
        <v>3709</v>
      </c>
      <c r="C160" s="231" t="s">
        <v>384</v>
      </c>
      <c r="D160" s="239">
        <v>298.5</v>
      </c>
      <c r="E160" s="233">
        <v>0.4</v>
      </c>
      <c r="F160" s="233">
        <f t="shared" si="6"/>
        <v>119.4</v>
      </c>
      <c r="G160" s="233"/>
      <c r="H160" s="233">
        <f t="shared" si="5"/>
        <v>119.4</v>
      </c>
      <c r="I160" s="275" t="s">
        <v>385</v>
      </c>
      <c r="J160" s="236" t="s">
        <v>386</v>
      </c>
      <c r="K160" s="235" t="s">
        <v>25</v>
      </c>
      <c r="L160" s="236" t="s">
        <v>26</v>
      </c>
      <c r="M160" s="229">
        <v>97799855</v>
      </c>
      <c r="N160" s="437"/>
    </row>
    <row r="161" spans="1:17" x14ac:dyDescent="0.2">
      <c r="A161" s="251">
        <v>158</v>
      </c>
      <c r="B161" s="251">
        <v>3711</v>
      </c>
      <c r="C161" s="252" t="s">
        <v>387</v>
      </c>
      <c r="D161" s="253">
        <v>250.2</v>
      </c>
      <c r="E161" s="254">
        <v>0.4</v>
      </c>
      <c r="F161" s="254">
        <f t="shared" si="6"/>
        <v>100.08</v>
      </c>
      <c r="G161" s="254">
        <f>99.78+0.3</f>
        <v>100.08</v>
      </c>
      <c r="H161" s="254">
        <f t="shared" si="5"/>
        <v>0</v>
      </c>
      <c r="I161" s="293" t="s">
        <v>388</v>
      </c>
      <c r="J161" s="256" t="s">
        <v>389</v>
      </c>
      <c r="K161" s="263" t="s">
        <v>17</v>
      </c>
      <c r="L161" s="263" t="s">
        <v>18</v>
      </c>
      <c r="M161" s="251">
        <v>99590400</v>
      </c>
      <c r="N161" s="438">
        <v>45685</v>
      </c>
      <c r="O161" s="427">
        <v>45932</v>
      </c>
    </row>
    <row r="162" spans="1:17" x14ac:dyDescent="0.2">
      <c r="A162" s="251">
        <v>159</v>
      </c>
      <c r="B162" s="251">
        <v>3712</v>
      </c>
      <c r="C162" s="252" t="s">
        <v>390</v>
      </c>
      <c r="D162" s="253">
        <v>226.7</v>
      </c>
      <c r="E162" s="254">
        <v>0.4</v>
      </c>
      <c r="F162" s="254">
        <f t="shared" si="6"/>
        <v>90.68</v>
      </c>
      <c r="G162" s="254">
        <f>89.2+1.48</f>
        <v>90.68</v>
      </c>
      <c r="H162" s="254">
        <f t="shared" si="5"/>
        <v>0</v>
      </c>
      <c r="I162" s="293" t="s">
        <v>391</v>
      </c>
      <c r="J162" s="256" t="s">
        <v>392</v>
      </c>
      <c r="K162" s="257" t="s">
        <v>25</v>
      </c>
      <c r="L162" s="256" t="s">
        <v>26</v>
      </c>
      <c r="M162" s="251">
        <v>99586643</v>
      </c>
      <c r="N162" s="438">
        <v>45685</v>
      </c>
      <c r="O162" s="427">
        <v>45779</v>
      </c>
    </row>
    <row r="163" spans="1:17" x14ac:dyDescent="0.2">
      <c r="A163" s="229">
        <v>160</v>
      </c>
      <c r="B163" s="229">
        <v>3713</v>
      </c>
      <c r="C163" s="231" t="s">
        <v>393</v>
      </c>
      <c r="D163" s="239">
        <v>253.7</v>
      </c>
      <c r="E163" s="233">
        <v>0.4</v>
      </c>
      <c r="F163" s="233">
        <f t="shared" si="6"/>
        <v>101.48</v>
      </c>
      <c r="G163" s="233"/>
      <c r="H163" s="233">
        <f t="shared" si="5"/>
        <v>101.48</v>
      </c>
      <c r="I163" s="275" t="s">
        <v>394</v>
      </c>
      <c r="J163" s="244" t="s">
        <v>395</v>
      </c>
      <c r="K163" s="244" t="s">
        <v>121</v>
      </c>
      <c r="L163" s="244" t="s">
        <v>122</v>
      </c>
      <c r="M163" s="229">
        <v>99490438</v>
      </c>
      <c r="N163" s="437"/>
    </row>
    <row r="164" spans="1:17" x14ac:dyDescent="0.2">
      <c r="A164" s="251">
        <v>161</v>
      </c>
      <c r="B164" s="251">
        <v>3716</v>
      </c>
      <c r="C164" s="252" t="s">
        <v>396</v>
      </c>
      <c r="D164" s="253">
        <v>481.2</v>
      </c>
      <c r="E164" s="254">
        <v>0.4</v>
      </c>
      <c r="F164" s="254">
        <f t="shared" si="6"/>
        <v>192.48000000000002</v>
      </c>
      <c r="G164" s="254">
        <f>188.63</f>
        <v>188.63</v>
      </c>
      <c r="H164" s="254">
        <f t="shared" si="5"/>
        <v>3.8500000000000227</v>
      </c>
      <c r="I164" s="255" t="s">
        <v>397</v>
      </c>
      <c r="J164" s="256" t="s">
        <v>398</v>
      </c>
      <c r="K164" s="257" t="s">
        <v>25</v>
      </c>
      <c r="L164" s="256" t="s">
        <v>26</v>
      </c>
      <c r="M164" s="251"/>
      <c r="N164" s="438">
        <v>45718</v>
      </c>
    </row>
    <row r="165" spans="1:17" x14ac:dyDescent="0.2">
      <c r="A165" s="229">
        <v>162</v>
      </c>
      <c r="B165" s="229">
        <v>3717</v>
      </c>
      <c r="C165" s="231" t="s">
        <v>399</v>
      </c>
      <c r="D165" s="239">
        <v>548.9</v>
      </c>
      <c r="E165" s="233">
        <v>0.4</v>
      </c>
      <c r="F165" s="233">
        <f t="shared" si="6"/>
        <v>219.56</v>
      </c>
      <c r="G165" s="233"/>
      <c r="H165" s="233">
        <f t="shared" si="5"/>
        <v>219.56</v>
      </c>
      <c r="I165" s="240" t="s">
        <v>400</v>
      </c>
      <c r="J165" s="236" t="s">
        <v>401</v>
      </c>
      <c r="K165" s="235" t="s">
        <v>25</v>
      </c>
      <c r="L165" s="241" t="s">
        <v>26</v>
      </c>
      <c r="M165" s="229"/>
      <c r="N165" s="437"/>
    </row>
    <row r="166" spans="1:17" x14ac:dyDescent="0.2">
      <c r="A166" s="229">
        <v>163</v>
      </c>
      <c r="B166" s="229">
        <v>3718</v>
      </c>
      <c r="C166" s="231" t="s">
        <v>403</v>
      </c>
      <c r="D166" s="239">
        <v>149.4</v>
      </c>
      <c r="E166" s="233">
        <v>0.4</v>
      </c>
      <c r="F166" s="233">
        <f t="shared" si="6"/>
        <v>59.760000000000005</v>
      </c>
      <c r="G166" s="233"/>
      <c r="H166" s="233">
        <f t="shared" si="5"/>
        <v>59.760000000000005</v>
      </c>
      <c r="I166" s="275" t="s">
        <v>404</v>
      </c>
      <c r="J166" s="236" t="s">
        <v>405</v>
      </c>
      <c r="K166" s="244" t="s">
        <v>43</v>
      </c>
      <c r="L166" s="236" t="s">
        <v>44</v>
      </c>
      <c r="M166" s="229">
        <v>92955331</v>
      </c>
      <c r="N166" s="437"/>
    </row>
    <row r="167" spans="1:17" x14ac:dyDescent="0.2">
      <c r="A167" s="229">
        <v>164</v>
      </c>
      <c r="B167" s="229">
        <v>3719</v>
      </c>
      <c r="C167" s="231" t="s">
        <v>406</v>
      </c>
      <c r="D167" s="239">
        <v>297.39999999999998</v>
      </c>
      <c r="E167" s="233">
        <v>0.4</v>
      </c>
      <c r="F167" s="233">
        <f t="shared" si="6"/>
        <v>118.96</v>
      </c>
      <c r="G167" s="233"/>
      <c r="H167" s="233">
        <f t="shared" si="5"/>
        <v>118.96</v>
      </c>
      <c r="I167" s="275" t="s">
        <v>407</v>
      </c>
      <c r="J167" s="236" t="s">
        <v>408</v>
      </c>
      <c r="K167" s="243" t="s">
        <v>75</v>
      </c>
      <c r="L167" s="244" t="s">
        <v>76</v>
      </c>
      <c r="M167" s="229">
        <v>99083559</v>
      </c>
      <c r="N167" s="437"/>
    </row>
    <row r="168" spans="1:17" x14ac:dyDescent="0.2">
      <c r="A168" s="284">
        <v>165</v>
      </c>
      <c r="B168" s="284">
        <v>3720</v>
      </c>
      <c r="C168" s="285" t="s">
        <v>409</v>
      </c>
      <c r="D168" s="286">
        <v>371.5</v>
      </c>
      <c r="E168" s="287">
        <v>0.4</v>
      </c>
      <c r="F168" s="287">
        <f t="shared" si="6"/>
        <v>148.6</v>
      </c>
      <c r="G168" s="287">
        <f>F168</f>
        <v>148.6</v>
      </c>
      <c r="H168" s="287">
        <f t="shared" si="5"/>
        <v>0</v>
      </c>
      <c r="I168" s="288" t="s">
        <v>410</v>
      </c>
      <c r="J168" s="289" t="s">
        <v>411</v>
      </c>
      <c r="K168" s="290" t="s">
        <v>17</v>
      </c>
      <c r="L168" s="290" t="s">
        <v>18</v>
      </c>
      <c r="M168" s="284">
        <v>91731345</v>
      </c>
      <c r="N168" s="440" t="s">
        <v>892</v>
      </c>
      <c r="O168" s="433"/>
    </row>
    <row r="169" spans="1:17" x14ac:dyDescent="0.2">
      <c r="A169" s="251">
        <v>166</v>
      </c>
      <c r="B169" s="251">
        <v>3722</v>
      </c>
      <c r="C169" s="252" t="s">
        <v>412</v>
      </c>
      <c r="D169" s="253">
        <v>283.8</v>
      </c>
      <c r="E169" s="254">
        <v>0.4</v>
      </c>
      <c r="F169" s="254">
        <f t="shared" si="6"/>
        <v>113.52000000000001</v>
      </c>
      <c r="G169" s="254">
        <v>111.24</v>
      </c>
      <c r="H169" s="254">
        <f t="shared" si="5"/>
        <v>2.2800000000000153</v>
      </c>
      <c r="I169" s="325" t="s">
        <v>413</v>
      </c>
      <c r="J169" s="236" t="s">
        <v>414</v>
      </c>
      <c r="K169" s="261" t="s">
        <v>75</v>
      </c>
      <c r="L169" s="244" t="s">
        <v>76</v>
      </c>
      <c r="M169" s="229">
        <v>96912200</v>
      </c>
      <c r="N169" s="438">
        <v>45718</v>
      </c>
    </row>
    <row r="170" spans="1:17" x14ac:dyDescent="0.2">
      <c r="A170" s="229">
        <v>167</v>
      </c>
      <c r="B170" s="229">
        <v>3723</v>
      </c>
      <c r="C170" s="231" t="s">
        <v>415</v>
      </c>
      <c r="D170" s="232">
        <v>208.8</v>
      </c>
      <c r="E170" s="233">
        <v>0.4</v>
      </c>
      <c r="F170" s="233">
        <f t="shared" si="6"/>
        <v>83.52000000000001</v>
      </c>
      <c r="G170" s="233"/>
      <c r="H170" s="233">
        <f t="shared" si="5"/>
        <v>83.52000000000001</v>
      </c>
      <c r="I170" s="230">
        <v>993752</v>
      </c>
      <c r="J170" s="283" t="s">
        <v>416</v>
      </c>
      <c r="K170" s="267" t="s">
        <v>25</v>
      </c>
      <c r="L170" s="283" t="s">
        <v>26</v>
      </c>
      <c r="M170" s="230">
        <v>99100344</v>
      </c>
      <c r="N170" s="437"/>
    </row>
    <row r="171" spans="1:17" x14ac:dyDescent="0.2">
      <c r="A171" s="229">
        <v>168</v>
      </c>
      <c r="B171" s="229">
        <v>3725</v>
      </c>
      <c r="C171" s="231" t="s">
        <v>297</v>
      </c>
      <c r="D171" s="232">
        <v>424.7</v>
      </c>
      <c r="E171" s="233">
        <v>0.4</v>
      </c>
      <c r="F171" s="233">
        <f t="shared" si="6"/>
        <v>169.88</v>
      </c>
      <c r="G171" s="233"/>
      <c r="H171" s="233">
        <f t="shared" si="5"/>
        <v>169.88</v>
      </c>
      <c r="I171" s="259">
        <v>1648248</v>
      </c>
      <c r="J171" s="268" t="s">
        <v>417</v>
      </c>
      <c r="K171" s="267" t="s">
        <v>25</v>
      </c>
      <c r="L171" s="265" t="s">
        <v>26</v>
      </c>
      <c r="M171" s="229">
        <v>99497550</v>
      </c>
      <c r="N171" s="437">
        <v>45558</v>
      </c>
    </row>
    <row r="172" spans="1:17" x14ac:dyDescent="0.2">
      <c r="A172" s="251">
        <v>169</v>
      </c>
      <c r="B172" s="251">
        <v>3727</v>
      </c>
      <c r="C172" s="252" t="s">
        <v>419</v>
      </c>
      <c r="D172" s="253">
        <v>176</v>
      </c>
      <c r="E172" s="254">
        <v>0.4</v>
      </c>
      <c r="F172" s="254">
        <f t="shared" si="6"/>
        <v>70.400000000000006</v>
      </c>
      <c r="G172" s="254">
        <f>F172</f>
        <v>70.400000000000006</v>
      </c>
      <c r="H172" s="254">
        <f t="shared" si="5"/>
        <v>0</v>
      </c>
      <c r="I172" s="293" t="s">
        <v>420</v>
      </c>
      <c r="J172" s="256" t="s">
        <v>421</v>
      </c>
      <c r="K172" s="257" t="s">
        <v>25</v>
      </c>
      <c r="L172" s="256" t="s">
        <v>26</v>
      </c>
      <c r="M172" s="251">
        <v>99679943</v>
      </c>
      <c r="N172" s="438">
        <v>45691</v>
      </c>
    </row>
    <row r="173" spans="1:17" x14ac:dyDescent="0.2">
      <c r="A173" s="229">
        <v>170</v>
      </c>
      <c r="B173" s="229">
        <v>3728</v>
      </c>
      <c r="C173" s="231" t="s">
        <v>422</v>
      </c>
      <c r="D173" s="239">
        <v>237.3</v>
      </c>
      <c r="E173" s="233">
        <v>0.4</v>
      </c>
      <c r="F173" s="233">
        <f t="shared" si="6"/>
        <v>94.920000000000016</v>
      </c>
      <c r="G173" s="233"/>
      <c r="H173" s="233">
        <f t="shared" si="5"/>
        <v>94.920000000000016</v>
      </c>
      <c r="I173" s="259">
        <v>25886784</v>
      </c>
      <c r="J173" s="268" t="s">
        <v>423</v>
      </c>
      <c r="K173" s="267" t="s">
        <v>25</v>
      </c>
      <c r="L173" s="265" t="s">
        <v>26</v>
      </c>
      <c r="M173" s="229">
        <v>99564153</v>
      </c>
      <c r="N173" s="437">
        <v>45558</v>
      </c>
    </row>
    <row r="174" spans="1:17" ht="15" x14ac:dyDescent="0.25">
      <c r="A174" s="251">
        <v>171</v>
      </c>
      <c r="B174" s="251">
        <v>3729</v>
      </c>
      <c r="C174" s="252" t="s">
        <v>424</v>
      </c>
      <c r="D174" s="324">
        <v>185.5</v>
      </c>
      <c r="E174" s="254">
        <v>0.4</v>
      </c>
      <c r="F174" s="254">
        <f t="shared" si="6"/>
        <v>74.2</v>
      </c>
      <c r="G174" s="254">
        <f>0.14+73.45+0.61</f>
        <v>74.2</v>
      </c>
      <c r="H174" s="254">
        <f t="shared" si="5"/>
        <v>0</v>
      </c>
      <c r="I174" s="325" t="s">
        <v>425</v>
      </c>
      <c r="J174" s="256" t="s">
        <v>426</v>
      </c>
      <c r="K174" s="323" t="s">
        <v>25</v>
      </c>
      <c r="L174" s="326" t="s">
        <v>26</v>
      </c>
      <c r="M174" s="251">
        <v>91288200</v>
      </c>
      <c r="N174" s="438">
        <v>45677</v>
      </c>
      <c r="O174" s="435" t="s">
        <v>843</v>
      </c>
      <c r="Q174" s="294">
        <v>45691</v>
      </c>
    </row>
    <row r="175" spans="1:17" x14ac:dyDescent="0.2">
      <c r="A175" s="251">
        <v>172</v>
      </c>
      <c r="B175" s="251">
        <v>3730</v>
      </c>
      <c r="C175" s="252" t="s">
        <v>427</v>
      </c>
      <c r="D175" s="253">
        <v>347.6</v>
      </c>
      <c r="E175" s="254">
        <v>0.4</v>
      </c>
      <c r="F175" s="254">
        <f t="shared" si="6"/>
        <v>139.04000000000002</v>
      </c>
      <c r="G175" s="254">
        <f>F175</f>
        <v>139.04000000000002</v>
      </c>
      <c r="H175" s="254">
        <f t="shared" si="5"/>
        <v>0</v>
      </c>
      <c r="I175" s="293" t="s">
        <v>428</v>
      </c>
      <c r="J175" s="256" t="s">
        <v>429</v>
      </c>
      <c r="K175" s="257" t="s">
        <v>25</v>
      </c>
      <c r="L175" s="256" t="s">
        <v>26</v>
      </c>
      <c r="M175" s="251">
        <v>93504408</v>
      </c>
      <c r="N175" s="438"/>
      <c r="O175" s="427">
        <v>45662</v>
      </c>
    </row>
    <row r="176" spans="1:17" x14ac:dyDescent="0.2">
      <c r="A176" s="284">
        <v>173</v>
      </c>
      <c r="B176" s="284">
        <v>3731</v>
      </c>
      <c r="C176" s="285" t="s">
        <v>430</v>
      </c>
      <c r="D176" s="286">
        <v>520</v>
      </c>
      <c r="E176" s="287">
        <v>0.4</v>
      </c>
      <c r="F176" s="287">
        <f t="shared" si="6"/>
        <v>208</v>
      </c>
      <c r="G176" s="287">
        <f>F176</f>
        <v>208</v>
      </c>
      <c r="H176" s="287">
        <f t="shared" si="5"/>
        <v>0</v>
      </c>
      <c r="I176" s="371">
        <v>4640285</v>
      </c>
      <c r="J176" s="289" t="s">
        <v>431</v>
      </c>
      <c r="K176" s="301" t="s">
        <v>25</v>
      </c>
      <c r="L176" s="289" t="s">
        <v>26</v>
      </c>
      <c r="M176" s="284">
        <v>99493301</v>
      </c>
      <c r="N176" s="440" t="s">
        <v>882</v>
      </c>
    </row>
    <row r="177" spans="1:15" x14ac:dyDescent="0.2">
      <c r="A177" s="229">
        <v>174</v>
      </c>
      <c r="B177" s="229">
        <v>3732</v>
      </c>
      <c r="C177" s="276" t="s">
        <v>791</v>
      </c>
      <c r="D177" s="239">
        <v>53</v>
      </c>
      <c r="E177" s="233">
        <v>0.4</v>
      </c>
      <c r="F177" s="233">
        <f t="shared" si="6"/>
        <v>21.200000000000003</v>
      </c>
      <c r="G177" s="233"/>
      <c r="H177" s="233">
        <f t="shared" si="5"/>
        <v>21.200000000000003</v>
      </c>
      <c r="I177" s="296">
        <v>194498</v>
      </c>
      <c r="J177" s="279" t="s">
        <v>841</v>
      </c>
      <c r="K177" s="297" t="s">
        <v>17</v>
      </c>
      <c r="L177" s="298" t="s">
        <v>18</v>
      </c>
      <c r="M177" s="229"/>
      <c r="N177" s="437"/>
    </row>
    <row r="178" spans="1:15" x14ac:dyDescent="0.2">
      <c r="A178" s="229">
        <v>175</v>
      </c>
      <c r="B178" s="229">
        <v>3733</v>
      </c>
      <c r="C178" s="231" t="s">
        <v>432</v>
      </c>
      <c r="D178" s="239">
        <v>243</v>
      </c>
      <c r="E178" s="233">
        <v>0.4</v>
      </c>
      <c r="F178" s="233">
        <f t="shared" si="6"/>
        <v>97.2</v>
      </c>
      <c r="G178" s="233"/>
      <c r="H178" s="233">
        <f t="shared" si="5"/>
        <v>97.2</v>
      </c>
      <c r="I178" s="299">
        <v>23270163</v>
      </c>
      <c r="J178" s="236" t="s">
        <v>433</v>
      </c>
      <c r="K178" s="267" t="s">
        <v>25</v>
      </c>
      <c r="L178" s="265" t="s">
        <v>26</v>
      </c>
      <c r="M178" s="229">
        <v>92212553</v>
      </c>
      <c r="N178" s="437">
        <v>45558</v>
      </c>
    </row>
    <row r="179" spans="1:15" x14ac:dyDescent="0.2">
      <c r="A179" s="229">
        <v>176</v>
      </c>
      <c r="B179" s="229">
        <v>3734</v>
      </c>
      <c r="C179" s="231" t="s">
        <v>434</v>
      </c>
      <c r="D179" s="239">
        <v>247.2</v>
      </c>
      <c r="E179" s="233">
        <v>0.4</v>
      </c>
      <c r="F179" s="233">
        <f t="shared" si="6"/>
        <v>98.88</v>
      </c>
      <c r="G179" s="233"/>
      <c r="H179" s="233">
        <f t="shared" si="5"/>
        <v>98.88</v>
      </c>
      <c r="I179" s="240">
        <v>6680216</v>
      </c>
      <c r="J179" s="236" t="s">
        <v>435</v>
      </c>
      <c r="K179" s="244" t="s">
        <v>17</v>
      </c>
      <c r="L179" s="244" t="s">
        <v>18</v>
      </c>
      <c r="M179" s="229">
        <v>92333311</v>
      </c>
      <c r="N179" s="437"/>
    </row>
    <row r="180" spans="1:15" x14ac:dyDescent="0.2">
      <c r="A180" s="229">
        <v>177</v>
      </c>
      <c r="B180" s="229">
        <v>3735</v>
      </c>
      <c r="C180" s="231" t="s">
        <v>436</v>
      </c>
      <c r="D180" s="239">
        <v>178.8</v>
      </c>
      <c r="E180" s="233">
        <v>0.4</v>
      </c>
      <c r="F180" s="233">
        <f t="shared" si="6"/>
        <v>71.52000000000001</v>
      </c>
      <c r="G180" s="233"/>
      <c r="H180" s="233">
        <f t="shared" si="5"/>
        <v>71.52000000000001</v>
      </c>
      <c r="I180" s="240">
        <v>19952467</v>
      </c>
      <c r="J180" s="236" t="s">
        <v>437</v>
      </c>
      <c r="K180" s="235" t="s">
        <v>25</v>
      </c>
      <c r="L180" s="236" t="s">
        <v>26</v>
      </c>
      <c r="M180" s="229">
        <v>91222276</v>
      </c>
      <c r="N180" s="437"/>
    </row>
    <row r="181" spans="1:15" x14ac:dyDescent="0.2">
      <c r="A181" s="229">
        <v>178</v>
      </c>
      <c r="B181" s="229">
        <v>3739</v>
      </c>
      <c r="C181" s="276" t="s">
        <v>438</v>
      </c>
      <c r="D181" s="239">
        <v>167.8</v>
      </c>
      <c r="E181" s="233">
        <v>0.4</v>
      </c>
      <c r="F181" s="233">
        <f t="shared" si="6"/>
        <v>67.12</v>
      </c>
      <c r="G181" s="233"/>
      <c r="H181" s="233">
        <f t="shared" si="5"/>
        <v>67.12</v>
      </c>
      <c r="I181" s="296">
        <v>22187694</v>
      </c>
      <c r="J181" s="279" t="s">
        <v>439</v>
      </c>
      <c r="K181" s="297" t="s">
        <v>25</v>
      </c>
      <c r="L181" s="279" t="s">
        <v>26</v>
      </c>
      <c r="M181" s="277">
        <v>93000079</v>
      </c>
      <c r="N181" s="437"/>
    </row>
    <row r="182" spans="1:15" x14ac:dyDescent="0.2">
      <c r="A182" s="251">
        <v>179</v>
      </c>
      <c r="B182" s="251">
        <v>3740</v>
      </c>
      <c r="C182" s="252" t="s">
        <v>440</v>
      </c>
      <c r="D182" s="253">
        <v>489.5</v>
      </c>
      <c r="E182" s="254">
        <v>0.4</v>
      </c>
      <c r="F182" s="254">
        <f t="shared" si="6"/>
        <v>195.8</v>
      </c>
      <c r="G182" s="254">
        <f>193.52</f>
        <v>193.52</v>
      </c>
      <c r="H182" s="254">
        <f t="shared" si="5"/>
        <v>2.2800000000000011</v>
      </c>
      <c r="I182" s="255">
        <v>25472616</v>
      </c>
      <c r="J182" s="236" t="s">
        <v>441</v>
      </c>
      <c r="K182" s="244" t="s">
        <v>17</v>
      </c>
      <c r="L182" s="244" t="s">
        <v>18</v>
      </c>
      <c r="M182" s="229">
        <v>93318821</v>
      </c>
      <c r="N182" s="438">
        <v>45691</v>
      </c>
    </row>
    <row r="183" spans="1:15" x14ac:dyDescent="0.2">
      <c r="A183" s="229">
        <v>180</v>
      </c>
      <c r="B183" s="229">
        <v>3742</v>
      </c>
      <c r="C183" s="231" t="s">
        <v>442</v>
      </c>
      <c r="D183" s="239">
        <v>180</v>
      </c>
      <c r="E183" s="233">
        <v>0.4</v>
      </c>
      <c r="F183" s="233">
        <f t="shared" si="6"/>
        <v>72</v>
      </c>
      <c r="G183" s="233"/>
      <c r="H183" s="233">
        <f t="shared" si="5"/>
        <v>72</v>
      </c>
      <c r="I183" s="299">
        <v>1930281</v>
      </c>
      <c r="J183" s="236" t="s">
        <v>443</v>
      </c>
      <c r="K183" s="236" t="s">
        <v>418</v>
      </c>
      <c r="L183" s="260" t="s">
        <v>258</v>
      </c>
      <c r="M183" s="229">
        <v>99330095</v>
      </c>
      <c r="N183" s="437"/>
    </row>
    <row r="184" spans="1:15" x14ac:dyDescent="0.2">
      <c r="A184" s="229">
        <v>181</v>
      </c>
      <c r="B184" s="229">
        <v>3743</v>
      </c>
      <c r="C184" s="231" t="s">
        <v>444</v>
      </c>
      <c r="D184" s="239">
        <v>621.4</v>
      </c>
      <c r="E184" s="233">
        <v>0.4</v>
      </c>
      <c r="F184" s="233">
        <f t="shared" si="6"/>
        <v>248.56</v>
      </c>
      <c r="G184" s="233"/>
      <c r="H184" s="233">
        <f t="shared" si="5"/>
        <v>248.56</v>
      </c>
      <c r="I184" s="240">
        <v>599336</v>
      </c>
      <c r="J184" s="236" t="s">
        <v>445</v>
      </c>
      <c r="K184" s="235" t="s">
        <v>25</v>
      </c>
      <c r="L184" s="236" t="s">
        <v>26</v>
      </c>
      <c r="M184" s="229">
        <v>99497544</v>
      </c>
      <c r="N184" s="437"/>
    </row>
    <row r="185" spans="1:15" s="269" customFormat="1" x14ac:dyDescent="0.2">
      <c r="A185" s="251">
        <v>182</v>
      </c>
      <c r="B185" s="251">
        <v>3745</v>
      </c>
      <c r="C185" s="252" t="s">
        <v>446</v>
      </c>
      <c r="D185" s="253">
        <v>28.3</v>
      </c>
      <c r="E185" s="254">
        <v>0.4</v>
      </c>
      <c r="F185" s="254">
        <f t="shared" si="6"/>
        <v>11.32</v>
      </c>
      <c r="G185" s="254">
        <f>7.89</f>
        <v>7.89</v>
      </c>
      <c r="H185" s="254">
        <f t="shared" si="5"/>
        <v>3.4300000000000006</v>
      </c>
      <c r="I185" s="255">
        <v>2199772</v>
      </c>
      <c r="J185" s="256" t="s">
        <v>447</v>
      </c>
      <c r="K185" s="257" t="s">
        <v>25</v>
      </c>
      <c r="L185" s="256" t="s">
        <v>26</v>
      </c>
      <c r="M185" s="251">
        <v>72556787</v>
      </c>
      <c r="N185" s="438" t="s">
        <v>893</v>
      </c>
      <c r="O185" s="429"/>
    </row>
    <row r="186" spans="1:15" s="269" customFormat="1" x14ac:dyDescent="0.2">
      <c r="A186" s="251">
        <v>183</v>
      </c>
      <c r="B186" s="251">
        <v>3746</v>
      </c>
      <c r="C186" s="252" t="s">
        <v>448</v>
      </c>
      <c r="D186" s="253">
        <v>323</v>
      </c>
      <c r="E186" s="254">
        <v>0.4</v>
      </c>
      <c r="F186" s="254">
        <f t="shared" si="6"/>
        <v>129.20000000000002</v>
      </c>
      <c r="G186" s="254">
        <f>119.48</f>
        <v>119.48</v>
      </c>
      <c r="H186" s="254">
        <f t="shared" si="5"/>
        <v>9.7200000000000131</v>
      </c>
      <c r="I186" s="255">
        <v>21973713</v>
      </c>
      <c r="J186" s="256" t="s">
        <v>449</v>
      </c>
      <c r="K186" s="257" t="s">
        <v>25</v>
      </c>
      <c r="L186" s="256" t="s">
        <v>26</v>
      </c>
      <c r="M186" s="251">
        <v>95710331</v>
      </c>
      <c r="N186" s="438">
        <v>45779</v>
      </c>
      <c r="O186" s="429"/>
    </row>
    <row r="187" spans="1:15" x14ac:dyDescent="0.2">
      <c r="A187" s="229">
        <v>184</v>
      </c>
      <c r="B187" s="229">
        <v>3748</v>
      </c>
      <c r="C187" s="231" t="s">
        <v>450</v>
      </c>
      <c r="D187" s="239">
        <v>156.19999999999999</v>
      </c>
      <c r="E187" s="233">
        <v>0.4</v>
      </c>
      <c r="F187" s="233">
        <f t="shared" si="6"/>
        <v>62.48</v>
      </c>
      <c r="G187" s="233"/>
      <c r="H187" s="233">
        <f t="shared" ref="H187:H250" si="7">F187-G187</f>
        <v>62.48</v>
      </c>
      <c r="I187" s="240">
        <v>18620918</v>
      </c>
      <c r="J187" s="236" t="s">
        <v>451</v>
      </c>
      <c r="K187" s="235" t="s">
        <v>25</v>
      </c>
      <c r="L187" s="236" t="s">
        <v>26</v>
      </c>
      <c r="M187" s="229">
        <v>91222276</v>
      </c>
      <c r="N187" s="437"/>
    </row>
    <row r="188" spans="1:15" x14ac:dyDescent="0.2">
      <c r="A188" s="284">
        <v>185</v>
      </c>
      <c r="B188" s="284">
        <v>3750</v>
      </c>
      <c r="C188" s="285" t="s">
        <v>452</v>
      </c>
      <c r="D188" s="286">
        <v>397.4</v>
      </c>
      <c r="E188" s="287">
        <v>0.4</v>
      </c>
      <c r="F188" s="287">
        <f t="shared" si="6"/>
        <v>158.96</v>
      </c>
      <c r="G188" s="287">
        <f>F188</f>
        <v>158.96</v>
      </c>
      <c r="H188" s="287">
        <f t="shared" si="7"/>
        <v>0</v>
      </c>
      <c r="I188" s="300">
        <v>939641</v>
      </c>
      <c r="J188" s="289" t="s">
        <v>453</v>
      </c>
      <c r="K188" s="301" t="s">
        <v>25</v>
      </c>
      <c r="L188" s="289" t="s">
        <v>26</v>
      </c>
      <c r="M188" s="284">
        <v>99588609</v>
      </c>
      <c r="N188" s="440" t="s">
        <v>858</v>
      </c>
    </row>
    <row r="189" spans="1:15" x14ac:dyDescent="0.2">
      <c r="A189" s="251">
        <v>186</v>
      </c>
      <c r="B189" s="251">
        <v>3751</v>
      </c>
      <c r="C189" s="252" t="s">
        <v>454</v>
      </c>
      <c r="D189" s="253">
        <v>911.7</v>
      </c>
      <c r="E189" s="254">
        <v>0.4</v>
      </c>
      <c r="F189" s="254">
        <f t="shared" si="6"/>
        <v>364.68000000000006</v>
      </c>
      <c r="G189" s="254">
        <f>364.52</f>
        <v>364.52</v>
      </c>
      <c r="H189" s="254">
        <f t="shared" si="7"/>
        <v>0.16000000000008185</v>
      </c>
      <c r="I189" s="251">
        <v>2116627</v>
      </c>
      <c r="J189" s="256" t="s">
        <v>455</v>
      </c>
      <c r="K189" s="257" t="s">
        <v>25</v>
      </c>
      <c r="L189" s="256" t="s">
        <v>26</v>
      </c>
      <c r="M189" s="251">
        <v>99493880</v>
      </c>
      <c r="N189" s="438">
        <v>45690</v>
      </c>
    </row>
    <row r="190" spans="1:15" x14ac:dyDescent="0.2">
      <c r="A190" s="229">
        <v>187</v>
      </c>
      <c r="B190" s="229">
        <v>3752</v>
      </c>
      <c r="C190" s="231" t="s">
        <v>456</v>
      </c>
      <c r="D190" s="239">
        <v>285</v>
      </c>
      <c r="E190" s="233">
        <v>0.4</v>
      </c>
      <c r="F190" s="233">
        <f t="shared" si="6"/>
        <v>114</v>
      </c>
      <c r="G190" s="233"/>
      <c r="H190" s="233">
        <f t="shared" si="7"/>
        <v>114</v>
      </c>
      <c r="I190" s="240">
        <v>2789493</v>
      </c>
      <c r="J190" s="236" t="s">
        <v>457</v>
      </c>
      <c r="K190" s="235" t="s">
        <v>25</v>
      </c>
      <c r="L190" s="236" t="s">
        <v>26</v>
      </c>
      <c r="M190" s="229">
        <v>97884330</v>
      </c>
      <c r="N190" s="437"/>
    </row>
    <row r="191" spans="1:15" x14ac:dyDescent="0.2">
      <c r="A191" s="251">
        <v>188</v>
      </c>
      <c r="B191" s="251">
        <v>3753</v>
      </c>
      <c r="C191" s="252" t="s">
        <v>458</v>
      </c>
      <c r="D191" s="253">
        <v>157.9</v>
      </c>
      <c r="E191" s="254">
        <v>0.4</v>
      </c>
      <c r="F191" s="254">
        <f t="shared" si="6"/>
        <v>63.160000000000004</v>
      </c>
      <c r="G191" s="254">
        <f>61.28</f>
        <v>61.28</v>
      </c>
      <c r="H191" s="254">
        <f t="shared" si="7"/>
        <v>1.8800000000000026</v>
      </c>
      <c r="I191" s="255">
        <v>13938302</v>
      </c>
      <c r="J191" s="236" t="s">
        <v>459</v>
      </c>
      <c r="K191" s="244" t="s">
        <v>17</v>
      </c>
      <c r="L191" s="244" t="s">
        <v>18</v>
      </c>
      <c r="M191" s="229">
        <v>99054621</v>
      </c>
      <c r="N191" s="438">
        <v>45691</v>
      </c>
    </row>
    <row r="192" spans="1:15" x14ac:dyDescent="0.2">
      <c r="A192" s="229">
        <v>189</v>
      </c>
      <c r="B192" s="229">
        <v>3754</v>
      </c>
      <c r="C192" s="231" t="s">
        <v>460</v>
      </c>
      <c r="D192" s="239">
        <v>682</v>
      </c>
      <c r="E192" s="233">
        <v>0.4</v>
      </c>
      <c r="F192" s="233">
        <f t="shared" si="6"/>
        <v>272.8</v>
      </c>
      <c r="G192" s="233"/>
      <c r="H192" s="233">
        <f t="shared" si="7"/>
        <v>272.8</v>
      </c>
      <c r="I192" s="240">
        <v>443075</v>
      </c>
      <c r="J192" s="236" t="s">
        <v>461</v>
      </c>
      <c r="K192" s="244" t="s">
        <v>210</v>
      </c>
      <c r="L192" s="243" t="s">
        <v>211</v>
      </c>
      <c r="M192" s="229">
        <v>90937047</v>
      </c>
      <c r="N192" s="437"/>
    </row>
    <row r="193" spans="1:15" x14ac:dyDescent="0.2">
      <c r="A193" s="229">
        <v>190</v>
      </c>
      <c r="B193" s="229">
        <v>3755</v>
      </c>
      <c r="C193" s="231" t="s">
        <v>462</v>
      </c>
      <c r="D193" s="239">
        <v>526</v>
      </c>
      <c r="E193" s="233">
        <v>0.4</v>
      </c>
      <c r="F193" s="233">
        <f t="shared" si="6"/>
        <v>210.4</v>
      </c>
      <c r="G193" s="233"/>
      <c r="H193" s="233">
        <f t="shared" si="7"/>
        <v>210.4</v>
      </c>
      <c r="I193" s="240">
        <v>15536654</v>
      </c>
      <c r="J193" s="236" t="s">
        <v>463</v>
      </c>
      <c r="K193" s="235" t="s">
        <v>25</v>
      </c>
      <c r="L193" s="236" t="s">
        <v>26</v>
      </c>
      <c r="M193" s="229">
        <v>92826690</v>
      </c>
      <c r="N193" s="437"/>
    </row>
    <row r="194" spans="1:15" x14ac:dyDescent="0.2">
      <c r="A194" s="251">
        <v>191</v>
      </c>
      <c r="B194" s="251">
        <v>3756</v>
      </c>
      <c r="C194" s="252" t="s">
        <v>464</v>
      </c>
      <c r="D194" s="253">
        <v>216.8</v>
      </c>
      <c r="E194" s="254">
        <v>0.4</v>
      </c>
      <c r="F194" s="254">
        <f t="shared" si="6"/>
        <v>86.720000000000013</v>
      </c>
      <c r="G194" s="254">
        <f>86.67</f>
        <v>86.67</v>
      </c>
      <c r="H194" s="254">
        <f t="shared" si="7"/>
        <v>5.0000000000011369E-2</v>
      </c>
      <c r="I194" s="255">
        <v>630458</v>
      </c>
      <c r="J194" s="256" t="s">
        <v>465</v>
      </c>
      <c r="K194" s="257" t="s">
        <v>25</v>
      </c>
      <c r="L194" s="256" t="s">
        <v>26</v>
      </c>
      <c r="M194" s="251"/>
      <c r="N194" s="438">
        <v>45685</v>
      </c>
    </row>
    <row r="195" spans="1:15" s="269" customFormat="1" x14ac:dyDescent="0.2">
      <c r="A195" s="251">
        <v>192</v>
      </c>
      <c r="B195" s="251">
        <v>3757</v>
      </c>
      <c r="C195" s="252" t="s">
        <v>466</v>
      </c>
      <c r="D195" s="253">
        <v>285</v>
      </c>
      <c r="E195" s="254">
        <v>0.4</v>
      </c>
      <c r="F195" s="254">
        <f t="shared" si="6"/>
        <v>114</v>
      </c>
      <c r="G195" s="254">
        <f>109.72+4.28</f>
        <v>114</v>
      </c>
      <c r="H195" s="254">
        <f t="shared" si="7"/>
        <v>0</v>
      </c>
      <c r="I195" s="255">
        <v>729973</v>
      </c>
      <c r="J195" s="256" t="s">
        <v>467</v>
      </c>
      <c r="K195" s="256" t="s">
        <v>121</v>
      </c>
      <c r="L195" s="263" t="s">
        <v>122</v>
      </c>
      <c r="M195" s="251">
        <v>92283227</v>
      </c>
      <c r="N195" s="438">
        <v>45779</v>
      </c>
      <c r="O195" s="430">
        <v>45993</v>
      </c>
    </row>
    <row r="196" spans="1:15" x14ac:dyDescent="0.2">
      <c r="A196" s="251">
        <v>193</v>
      </c>
      <c r="B196" s="251">
        <v>3758</v>
      </c>
      <c r="C196" s="252" t="s">
        <v>468</v>
      </c>
      <c r="D196" s="253">
        <v>285</v>
      </c>
      <c r="E196" s="254">
        <v>0.4</v>
      </c>
      <c r="F196" s="254">
        <f t="shared" ref="F196:F259" si="8">E196*D196</f>
        <v>114</v>
      </c>
      <c r="G196" s="254">
        <f>111.03+2.97</f>
        <v>114</v>
      </c>
      <c r="H196" s="254">
        <f t="shared" si="7"/>
        <v>0</v>
      </c>
      <c r="I196" s="255">
        <v>18899068</v>
      </c>
      <c r="J196" s="256" t="s">
        <v>469</v>
      </c>
      <c r="K196" s="257" t="s">
        <v>25</v>
      </c>
      <c r="L196" s="256" t="s">
        <v>26</v>
      </c>
      <c r="M196" s="251">
        <v>92672061</v>
      </c>
      <c r="N196" s="438">
        <v>45679</v>
      </c>
      <c r="O196" s="430">
        <v>45993</v>
      </c>
    </row>
    <row r="197" spans="1:15" x14ac:dyDescent="0.2">
      <c r="A197" s="251">
        <v>194</v>
      </c>
      <c r="B197" s="251">
        <v>3759</v>
      </c>
      <c r="C197" s="252" t="s">
        <v>774</v>
      </c>
      <c r="D197" s="253">
        <v>285</v>
      </c>
      <c r="E197" s="254">
        <v>0.4</v>
      </c>
      <c r="F197" s="254">
        <f t="shared" si="8"/>
        <v>114</v>
      </c>
      <c r="G197" s="254">
        <f>111.68+2.32</f>
        <v>114</v>
      </c>
      <c r="H197" s="254">
        <f t="shared" si="7"/>
        <v>0</v>
      </c>
      <c r="I197" s="255">
        <v>5634282</v>
      </c>
      <c r="J197" s="256" t="s">
        <v>30</v>
      </c>
      <c r="K197" s="257" t="s">
        <v>25</v>
      </c>
      <c r="L197" s="256" t="s">
        <v>26</v>
      </c>
      <c r="M197" s="251">
        <v>99293745</v>
      </c>
      <c r="N197" s="438">
        <v>45679</v>
      </c>
      <c r="O197" s="430">
        <v>45993</v>
      </c>
    </row>
    <row r="198" spans="1:15" x14ac:dyDescent="0.2">
      <c r="A198" s="251">
        <v>195</v>
      </c>
      <c r="B198" s="251">
        <v>3760</v>
      </c>
      <c r="C198" s="252" t="s">
        <v>470</v>
      </c>
      <c r="D198" s="253">
        <v>261.2</v>
      </c>
      <c r="E198" s="254">
        <v>0.4</v>
      </c>
      <c r="F198" s="254">
        <f t="shared" si="8"/>
        <v>104.48</v>
      </c>
      <c r="G198" s="254">
        <f>101.9</f>
        <v>101.9</v>
      </c>
      <c r="H198" s="254">
        <f t="shared" si="7"/>
        <v>2.5799999999999983</v>
      </c>
      <c r="I198" s="255">
        <v>19531566</v>
      </c>
      <c r="J198" s="256" t="s">
        <v>471</v>
      </c>
      <c r="K198" s="263" t="s">
        <v>17</v>
      </c>
      <c r="L198" s="263" t="s">
        <v>18</v>
      </c>
      <c r="M198" s="251">
        <v>90988855</v>
      </c>
      <c r="N198" s="438">
        <v>45691</v>
      </c>
    </row>
    <row r="199" spans="1:15" x14ac:dyDescent="0.2">
      <c r="A199" s="251">
        <v>196</v>
      </c>
      <c r="B199" s="251">
        <v>3762</v>
      </c>
      <c r="C199" s="252" t="s">
        <v>472</v>
      </c>
      <c r="D199" s="253">
        <v>333</v>
      </c>
      <c r="E199" s="254">
        <v>0.4</v>
      </c>
      <c r="F199" s="254">
        <f t="shared" si="8"/>
        <v>133.20000000000002</v>
      </c>
      <c r="G199" s="254">
        <f>129.94+3.26</f>
        <v>133.19999999999999</v>
      </c>
      <c r="H199" s="254">
        <f t="shared" si="7"/>
        <v>0</v>
      </c>
      <c r="I199" s="255">
        <v>15664101</v>
      </c>
      <c r="J199" s="256" t="s">
        <v>473</v>
      </c>
      <c r="K199" s="257" t="s">
        <v>25</v>
      </c>
      <c r="L199" s="256" t="s">
        <v>26</v>
      </c>
      <c r="M199" s="251"/>
      <c r="N199" s="438">
        <v>45685</v>
      </c>
      <c r="O199" s="428" t="s">
        <v>893</v>
      </c>
    </row>
    <row r="200" spans="1:15" x14ac:dyDescent="0.2">
      <c r="A200" s="229">
        <v>197</v>
      </c>
      <c r="B200" s="229">
        <v>3764</v>
      </c>
      <c r="C200" s="231" t="s">
        <v>474</v>
      </c>
      <c r="D200" s="239">
        <v>676.7</v>
      </c>
      <c r="E200" s="233">
        <v>0.4</v>
      </c>
      <c r="F200" s="233">
        <f t="shared" si="8"/>
        <v>270.68</v>
      </c>
      <c r="G200" s="233"/>
      <c r="H200" s="233">
        <f t="shared" si="7"/>
        <v>270.68</v>
      </c>
      <c r="I200" s="240">
        <v>1996843</v>
      </c>
      <c r="J200" s="236" t="s">
        <v>475</v>
      </c>
      <c r="K200" s="235" t="s">
        <v>25</v>
      </c>
      <c r="L200" s="236" t="s">
        <v>26</v>
      </c>
      <c r="M200" s="229">
        <v>91918493</v>
      </c>
      <c r="N200" s="437"/>
    </row>
    <row r="201" spans="1:15" x14ac:dyDescent="0.2">
      <c r="A201" s="251">
        <v>198</v>
      </c>
      <c r="B201" s="251">
        <v>3765</v>
      </c>
      <c r="C201" s="252" t="s">
        <v>31</v>
      </c>
      <c r="D201" s="253">
        <v>694.7</v>
      </c>
      <c r="E201" s="254">
        <v>0.4</v>
      </c>
      <c r="F201" s="254">
        <f t="shared" si="8"/>
        <v>277.88000000000005</v>
      </c>
      <c r="G201" s="254">
        <f>275.15</f>
        <v>275.14999999999998</v>
      </c>
      <c r="H201" s="254">
        <f t="shared" si="7"/>
        <v>2.730000000000075</v>
      </c>
      <c r="I201" s="255">
        <v>19752023</v>
      </c>
      <c r="J201" s="256" t="s">
        <v>32</v>
      </c>
      <c r="K201" s="257" t="s">
        <v>25</v>
      </c>
      <c r="L201" s="256" t="s">
        <v>26</v>
      </c>
      <c r="M201" s="251">
        <v>99499894</v>
      </c>
      <c r="N201" s="438">
        <v>45691</v>
      </c>
    </row>
    <row r="202" spans="1:15" x14ac:dyDescent="0.2">
      <c r="A202" s="229">
        <v>199</v>
      </c>
      <c r="B202" s="229">
        <v>3766</v>
      </c>
      <c r="C202" s="231" t="s">
        <v>476</v>
      </c>
      <c r="D202" s="239">
        <v>264.5</v>
      </c>
      <c r="E202" s="233">
        <v>0.4</v>
      </c>
      <c r="F202" s="233">
        <f t="shared" si="8"/>
        <v>105.80000000000001</v>
      </c>
      <c r="G202" s="233"/>
      <c r="H202" s="233">
        <f t="shared" si="7"/>
        <v>105.80000000000001</v>
      </c>
      <c r="I202" s="240">
        <v>5729117</v>
      </c>
      <c r="J202" s="236" t="s">
        <v>477</v>
      </c>
      <c r="K202" s="244" t="s">
        <v>17</v>
      </c>
      <c r="L202" s="244" t="s">
        <v>18</v>
      </c>
      <c r="M202" s="229">
        <v>97297211</v>
      </c>
      <c r="N202" s="437"/>
    </row>
    <row r="203" spans="1:15" x14ac:dyDescent="0.2">
      <c r="A203" s="229">
        <v>200</v>
      </c>
      <c r="B203" s="229">
        <v>3767</v>
      </c>
      <c r="C203" s="231" t="s">
        <v>478</v>
      </c>
      <c r="D203" s="239">
        <v>1026</v>
      </c>
      <c r="E203" s="233">
        <v>0.4</v>
      </c>
      <c r="F203" s="233">
        <f t="shared" si="8"/>
        <v>410.40000000000003</v>
      </c>
      <c r="G203" s="233"/>
      <c r="H203" s="233">
        <f t="shared" si="7"/>
        <v>410.40000000000003</v>
      </c>
      <c r="I203" s="240">
        <v>971428</v>
      </c>
      <c r="J203" s="236" t="s">
        <v>479</v>
      </c>
      <c r="K203" s="235" t="s">
        <v>25</v>
      </c>
      <c r="L203" s="236" t="s">
        <v>26</v>
      </c>
      <c r="M203" s="229">
        <v>92214819</v>
      </c>
      <c r="N203" s="437"/>
    </row>
    <row r="204" spans="1:15" x14ac:dyDescent="0.2">
      <c r="A204" s="251">
        <v>201</v>
      </c>
      <c r="B204" s="251">
        <v>3768</v>
      </c>
      <c r="C204" s="252" t="s">
        <v>480</v>
      </c>
      <c r="D204" s="253">
        <v>247</v>
      </c>
      <c r="E204" s="254">
        <v>0.4</v>
      </c>
      <c r="F204" s="254">
        <f t="shared" si="8"/>
        <v>98.800000000000011</v>
      </c>
      <c r="G204" s="254">
        <f>97.23</f>
        <v>97.23</v>
      </c>
      <c r="H204" s="254">
        <f t="shared" si="7"/>
        <v>1.5700000000000074</v>
      </c>
      <c r="I204" s="255">
        <v>21349024</v>
      </c>
      <c r="J204" s="236" t="s">
        <v>481</v>
      </c>
      <c r="K204" s="235" t="s">
        <v>25</v>
      </c>
      <c r="L204" s="236" t="s">
        <v>26</v>
      </c>
      <c r="M204" s="229">
        <v>71536935</v>
      </c>
      <c r="N204" s="438">
        <v>45691</v>
      </c>
    </row>
    <row r="205" spans="1:15" x14ac:dyDescent="0.2">
      <c r="A205" s="251">
        <v>202</v>
      </c>
      <c r="B205" s="251">
        <v>3769</v>
      </c>
      <c r="C205" s="252" t="s">
        <v>482</v>
      </c>
      <c r="D205" s="253">
        <v>279.89999999999998</v>
      </c>
      <c r="E205" s="254">
        <v>0.4</v>
      </c>
      <c r="F205" s="254">
        <f t="shared" si="8"/>
        <v>111.96</v>
      </c>
      <c r="G205" s="254">
        <f>111.1+0.86</f>
        <v>111.96</v>
      </c>
      <c r="H205" s="254">
        <f t="shared" si="7"/>
        <v>0</v>
      </c>
      <c r="I205" s="255">
        <v>24915633</v>
      </c>
      <c r="J205" s="236" t="s">
        <v>483</v>
      </c>
      <c r="K205" s="244" t="s">
        <v>43</v>
      </c>
      <c r="L205" s="236" t="s">
        <v>44</v>
      </c>
      <c r="M205" s="229">
        <v>99605319</v>
      </c>
      <c r="N205" s="438">
        <v>45691</v>
      </c>
      <c r="O205" s="427">
        <v>45932</v>
      </c>
    </row>
    <row r="206" spans="1:15" x14ac:dyDescent="0.2">
      <c r="A206" s="229">
        <v>203</v>
      </c>
      <c r="B206" s="229">
        <v>3770</v>
      </c>
      <c r="C206" s="231" t="s">
        <v>33</v>
      </c>
      <c r="D206" s="239">
        <v>209</v>
      </c>
      <c r="E206" s="233">
        <v>0.4</v>
      </c>
      <c r="F206" s="233">
        <f t="shared" si="8"/>
        <v>83.600000000000009</v>
      </c>
      <c r="G206" s="233"/>
      <c r="H206" s="233">
        <f t="shared" si="7"/>
        <v>83.600000000000009</v>
      </c>
      <c r="I206" s="240">
        <v>7198036</v>
      </c>
      <c r="J206" s="236" t="s">
        <v>34</v>
      </c>
      <c r="K206" s="235" t="s">
        <v>25</v>
      </c>
      <c r="L206" s="236" t="s">
        <v>26</v>
      </c>
      <c r="M206" s="229">
        <v>92321799</v>
      </c>
      <c r="N206" s="437"/>
    </row>
    <row r="207" spans="1:15" x14ac:dyDescent="0.2">
      <c r="A207" s="284">
        <v>204</v>
      </c>
      <c r="B207" s="284">
        <v>3771</v>
      </c>
      <c r="C207" s="285" t="s">
        <v>484</v>
      </c>
      <c r="D207" s="286">
        <v>530.79999999999995</v>
      </c>
      <c r="E207" s="287">
        <v>0.4</v>
      </c>
      <c r="F207" s="287">
        <f t="shared" si="8"/>
        <v>212.32</v>
      </c>
      <c r="G207" s="287">
        <f>F207</f>
        <v>212.32</v>
      </c>
      <c r="H207" s="287">
        <f t="shared" si="7"/>
        <v>0</v>
      </c>
      <c r="I207" s="300">
        <v>1977962</v>
      </c>
      <c r="J207" s="289" t="s">
        <v>485</v>
      </c>
      <c r="K207" s="301" t="s">
        <v>25</v>
      </c>
      <c r="L207" s="289" t="s">
        <v>26</v>
      </c>
      <c r="M207" s="284">
        <v>99488815</v>
      </c>
      <c r="N207" s="440" t="s">
        <v>858</v>
      </c>
    </row>
    <row r="208" spans="1:15" x14ac:dyDescent="0.2">
      <c r="A208" s="229">
        <v>205</v>
      </c>
      <c r="B208" s="229">
        <v>3772</v>
      </c>
      <c r="C208" s="231" t="s">
        <v>486</v>
      </c>
      <c r="D208" s="239">
        <v>280.3</v>
      </c>
      <c r="E208" s="233">
        <v>0.4</v>
      </c>
      <c r="F208" s="233">
        <f t="shared" si="8"/>
        <v>112.12</v>
      </c>
      <c r="G208" s="233"/>
      <c r="H208" s="233">
        <f t="shared" si="7"/>
        <v>112.12</v>
      </c>
      <c r="I208" s="240">
        <v>6419804</v>
      </c>
      <c r="J208" s="236" t="s">
        <v>487</v>
      </c>
      <c r="K208" s="235" t="s">
        <v>25</v>
      </c>
      <c r="L208" s="241" t="s">
        <v>26</v>
      </c>
      <c r="M208" s="229"/>
      <c r="N208" s="437"/>
    </row>
    <row r="209" spans="1:15" x14ac:dyDescent="0.2">
      <c r="A209" s="229">
        <v>206</v>
      </c>
      <c r="B209" s="229">
        <v>3773</v>
      </c>
      <c r="C209" s="231" t="s">
        <v>488</v>
      </c>
      <c r="D209" s="239">
        <v>287.60000000000002</v>
      </c>
      <c r="E209" s="233">
        <v>0.4</v>
      </c>
      <c r="F209" s="233">
        <f t="shared" si="8"/>
        <v>115.04000000000002</v>
      </c>
      <c r="G209" s="233"/>
      <c r="H209" s="233">
        <f t="shared" si="7"/>
        <v>115.04000000000002</v>
      </c>
      <c r="I209" s="240">
        <v>2023936</v>
      </c>
      <c r="J209" s="236" t="s">
        <v>489</v>
      </c>
      <c r="K209" s="235" t="s">
        <v>210</v>
      </c>
      <c r="L209" s="241" t="s">
        <v>211</v>
      </c>
      <c r="M209" s="229"/>
      <c r="N209" s="437"/>
    </row>
    <row r="210" spans="1:15" x14ac:dyDescent="0.2">
      <c r="A210" s="251">
        <v>207</v>
      </c>
      <c r="B210" s="251">
        <v>3774</v>
      </c>
      <c r="C210" s="252" t="s">
        <v>490</v>
      </c>
      <c r="D210" s="253">
        <v>130.5</v>
      </c>
      <c r="E210" s="254">
        <v>0.4</v>
      </c>
      <c r="F210" s="254">
        <f t="shared" si="8"/>
        <v>52.2</v>
      </c>
      <c r="G210" s="254">
        <f>52.2</f>
        <v>52.2</v>
      </c>
      <c r="H210" s="254">
        <f t="shared" si="7"/>
        <v>0</v>
      </c>
      <c r="I210" s="255">
        <v>889849</v>
      </c>
      <c r="J210" s="256" t="s">
        <v>491</v>
      </c>
      <c r="K210" s="263" t="s">
        <v>17</v>
      </c>
      <c r="L210" s="263" t="s">
        <v>18</v>
      </c>
      <c r="M210" s="251">
        <v>93011211</v>
      </c>
      <c r="N210" s="438">
        <v>45677</v>
      </c>
    </row>
    <row r="211" spans="1:15" x14ac:dyDescent="0.2">
      <c r="A211" s="229">
        <v>208</v>
      </c>
      <c r="B211" s="229">
        <v>3775</v>
      </c>
      <c r="C211" s="231" t="s">
        <v>492</v>
      </c>
      <c r="D211" s="239">
        <v>189.4</v>
      </c>
      <c r="E211" s="233">
        <v>0.4</v>
      </c>
      <c r="F211" s="233">
        <f t="shared" si="8"/>
        <v>75.760000000000005</v>
      </c>
      <c r="G211" s="233"/>
      <c r="H211" s="233">
        <f t="shared" si="7"/>
        <v>75.760000000000005</v>
      </c>
      <c r="I211" s="240">
        <v>7198074</v>
      </c>
      <c r="J211" s="236" t="s">
        <v>493</v>
      </c>
      <c r="K211" s="244" t="s">
        <v>210</v>
      </c>
      <c r="L211" s="243" t="s">
        <v>211</v>
      </c>
      <c r="M211" s="229">
        <v>98182322</v>
      </c>
      <c r="N211" s="437"/>
    </row>
    <row r="212" spans="1:15" x14ac:dyDescent="0.2">
      <c r="A212" s="229">
        <v>209</v>
      </c>
      <c r="B212" s="229">
        <v>3776</v>
      </c>
      <c r="C212" s="231" t="s">
        <v>494</v>
      </c>
      <c r="D212" s="239">
        <v>256.39999999999998</v>
      </c>
      <c r="E212" s="233">
        <v>0.4</v>
      </c>
      <c r="F212" s="233">
        <f t="shared" si="8"/>
        <v>102.56</v>
      </c>
      <c r="G212" s="233"/>
      <c r="H212" s="233">
        <f t="shared" si="7"/>
        <v>102.56</v>
      </c>
      <c r="I212" s="240">
        <v>5530783</v>
      </c>
      <c r="J212" s="236" t="s">
        <v>495</v>
      </c>
      <c r="K212" s="235" t="s">
        <v>25</v>
      </c>
      <c r="L212" s="236" t="s">
        <v>26</v>
      </c>
      <c r="M212" s="229">
        <v>97170030</v>
      </c>
      <c r="N212" s="437"/>
    </row>
    <row r="213" spans="1:15" x14ac:dyDescent="0.2">
      <c r="A213" s="229">
        <v>210</v>
      </c>
      <c r="B213" s="229">
        <v>3777</v>
      </c>
      <c r="C213" s="231" t="s">
        <v>496</v>
      </c>
      <c r="D213" s="239">
        <v>627.6</v>
      </c>
      <c r="E213" s="233">
        <v>0.4</v>
      </c>
      <c r="F213" s="233">
        <f t="shared" si="8"/>
        <v>251.04000000000002</v>
      </c>
      <c r="G213" s="233"/>
      <c r="H213" s="233">
        <f t="shared" si="7"/>
        <v>251.04000000000002</v>
      </c>
      <c r="I213" s="240">
        <v>6538875</v>
      </c>
      <c r="J213" s="236" t="s">
        <v>497</v>
      </c>
      <c r="K213" s="235" t="s">
        <v>25</v>
      </c>
      <c r="L213" s="236" t="s">
        <v>26</v>
      </c>
      <c r="M213" s="229">
        <v>91750033</v>
      </c>
      <c r="N213" s="437"/>
    </row>
    <row r="214" spans="1:15" ht="15" x14ac:dyDescent="0.25">
      <c r="A214" s="416">
        <v>211</v>
      </c>
      <c r="B214" s="416">
        <v>3778</v>
      </c>
      <c r="C214" s="417" t="s">
        <v>498</v>
      </c>
      <c r="D214" s="418">
        <v>375.9</v>
      </c>
      <c r="E214" s="419">
        <v>0.4</v>
      </c>
      <c r="F214" s="419">
        <f t="shared" si="8"/>
        <v>150.35999999999999</v>
      </c>
      <c r="G214" s="419">
        <f>F214</f>
        <v>150.35999999999999</v>
      </c>
      <c r="H214" s="419">
        <f t="shared" si="7"/>
        <v>0</v>
      </c>
      <c r="I214" s="420">
        <v>1481822</v>
      </c>
      <c r="J214" s="421" t="s">
        <v>499</v>
      </c>
      <c r="K214" s="422" t="s">
        <v>17</v>
      </c>
      <c r="L214" s="422" t="s">
        <v>18</v>
      </c>
      <c r="M214" s="416">
        <v>92951944</v>
      </c>
      <c r="N214" s="443" t="s">
        <v>875</v>
      </c>
    </row>
    <row r="215" spans="1:15" x14ac:dyDescent="0.2">
      <c r="A215" s="251">
        <v>212</v>
      </c>
      <c r="B215" s="251">
        <v>3781</v>
      </c>
      <c r="C215" s="252" t="s">
        <v>500</v>
      </c>
      <c r="D215" s="253">
        <v>576.20000000000005</v>
      </c>
      <c r="E215" s="254">
        <v>0.4</v>
      </c>
      <c r="F215" s="254">
        <f t="shared" si="8"/>
        <v>230.48000000000002</v>
      </c>
      <c r="G215" s="254">
        <f>230.14</f>
        <v>230.14</v>
      </c>
      <c r="H215" s="254">
        <f t="shared" si="7"/>
        <v>0.34000000000003183</v>
      </c>
      <c r="I215" s="373" t="s">
        <v>501</v>
      </c>
      <c r="J215" s="236" t="s">
        <v>502</v>
      </c>
      <c r="K215" s="236" t="s">
        <v>503</v>
      </c>
      <c r="L215" s="260" t="s">
        <v>504</v>
      </c>
      <c r="M215" s="229">
        <v>95655550</v>
      </c>
      <c r="N215" s="438">
        <v>45691</v>
      </c>
    </row>
    <row r="216" spans="1:15" x14ac:dyDescent="0.2">
      <c r="A216" s="251">
        <v>213</v>
      </c>
      <c r="B216" s="251">
        <v>3782</v>
      </c>
      <c r="C216" s="252" t="s">
        <v>505</v>
      </c>
      <c r="D216" s="253">
        <v>531</v>
      </c>
      <c r="E216" s="254">
        <v>0.4</v>
      </c>
      <c r="F216" s="254">
        <f t="shared" si="8"/>
        <v>212.4</v>
      </c>
      <c r="G216" s="254">
        <f>210.66+1.74</f>
        <v>212.4</v>
      </c>
      <c r="H216" s="254">
        <f t="shared" si="7"/>
        <v>0</v>
      </c>
      <c r="I216" s="255">
        <v>8467003</v>
      </c>
      <c r="J216" s="256" t="s">
        <v>506</v>
      </c>
      <c r="K216" s="257" t="s">
        <v>17</v>
      </c>
      <c r="L216" s="256" t="s">
        <v>18</v>
      </c>
      <c r="M216" s="251">
        <v>96138831</v>
      </c>
      <c r="N216" s="438">
        <v>45677</v>
      </c>
      <c r="O216" s="427">
        <v>45809</v>
      </c>
    </row>
    <row r="217" spans="1:15" x14ac:dyDescent="0.2">
      <c r="A217" s="229">
        <v>214</v>
      </c>
      <c r="B217" s="229">
        <v>3783</v>
      </c>
      <c r="C217" s="231" t="s">
        <v>507</v>
      </c>
      <c r="D217" s="239">
        <v>250.3</v>
      </c>
      <c r="E217" s="233">
        <v>0.4</v>
      </c>
      <c r="F217" s="233">
        <f t="shared" si="8"/>
        <v>100.12</v>
      </c>
      <c r="G217" s="233"/>
      <c r="H217" s="233">
        <f t="shared" si="7"/>
        <v>100.12</v>
      </c>
      <c r="I217" s="240">
        <v>25019867</v>
      </c>
      <c r="J217" s="236" t="s">
        <v>508</v>
      </c>
      <c r="K217" s="244" t="s">
        <v>17</v>
      </c>
      <c r="L217" s="244" t="s">
        <v>18</v>
      </c>
      <c r="M217" s="229">
        <v>97264292</v>
      </c>
      <c r="N217" s="437"/>
    </row>
    <row r="218" spans="1:15" x14ac:dyDescent="0.2">
      <c r="A218" s="229">
        <v>215</v>
      </c>
      <c r="B218" s="229">
        <v>3784</v>
      </c>
      <c r="C218" s="231" t="s">
        <v>509</v>
      </c>
      <c r="D218" s="239">
        <v>476.1</v>
      </c>
      <c r="E218" s="233">
        <v>0.4</v>
      </c>
      <c r="F218" s="233">
        <f t="shared" si="8"/>
        <v>190.44000000000003</v>
      </c>
      <c r="G218" s="233"/>
      <c r="H218" s="233">
        <f t="shared" si="7"/>
        <v>190.44000000000003</v>
      </c>
      <c r="I218" s="240">
        <v>19870884</v>
      </c>
      <c r="J218" s="236" t="s">
        <v>510</v>
      </c>
      <c r="K218" s="235" t="s">
        <v>25</v>
      </c>
      <c r="L218" s="236" t="s">
        <v>26</v>
      </c>
      <c r="M218" s="229">
        <v>94847877</v>
      </c>
      <c r="N218" s="437"/>
    </row>
    <row r="219" spans="1:15" x14ac:dyDescent="0.2">
      <c r="A219" s="251">
        <v>216</v>
      </c>
      <c r="B219" s="251">
        <v>3786</v>
      </c>
      <c r="C219" s="252" t="s">
        <v>511</v>
      </c>
      <c r="D219" s="253">
        <v>396.7</v>
      </c>
      <c r="E219" s="254">
        <v>0.4</v>
      </c>
      <c r="F219" s="254">
        <f t="shared" si="8"/>
        <v>158.68</v>
      </c>
      <c r="G219" s="254">
        <f>157.85</f>
        <v>157.85</v>
      </c>
      <c r="H219" s="254">
        <f t="shared" si="7"/>
        <v>0.83000000000001251</v>
      </c>
      <c r="I219" s="255">
        <v>941209</v>
      </c>
      <c r="J219" s="236" t="s">
        <v>512</v>
      </c>
      <c r="K219" s="244" t="s">
        <v>290</v>
      </c>
      <c r="L219" s="236" t="s">
        <v>291</v>
      </c>
      <c r="M219" s="229">
        <v>92975256</v>
      </c>
      <c r="N219" s="438">
        <v>45691</v>
      </c>
    </row>
    <row r="220" spans="1:15" x14ac:dyDescent="0.2">
      <c r="A220" s="229">
        <v>217</v>
      </c>
      <c r="B220" s="229">
        <v>3787</v>
      </c>
      <c r="C220" s="231" t="s">
        <v>513</v>
      </c>
      <c r="D220" s="239">
        <v>546.5</v>
      </c>
      <c r="E220" s="233">
        <v>0.4</v>
      </c>
      <c r="F220" s="233">
        <f t="shared" si="8"/>
        <v>218.60000000000002</v>
      </c>
      <c r="G220" s="233"/>
      <c r="H220" s="233">
        <f t="shared" si="7"/>
        <v>218.60000000000002</v>
      </c>
      <c r="I220" s="240">
        <v>813786</v>
      </c>
      <c r="J220" s="236" t="s">
        <v>514</v>
      </c>
      <c r="K220" s="235" t="s">
        <v>25</v>
      </c>
      <c r="L220" s="236" t="s">
        <v>26</v>
      </c>
      <c r="M220" s="229">
        <v>99293129</v>
      </c>
      <c r="N220" s="437"/>
    </row>
    <row r="221" spans="1:15" x14ac:dyDescent="0.2">
      <c r="A221" s="229">
        <v>218</v>
      </c>
      <c r="B221" s="229">
        <v>3789</v>
      </c>
      <c r="C221" s="231" t="s">
        <v>515</v>
      </c>
      <c r="D221" s="239">
        <v>219.8</v>
      </c>
      <c r="E221" s="233">
        <v>0.4</v>
      </c>
      <c r="F221" s="233">
        <f t="shared" si="8"/>
        <v>87.920000000000016</v>
      </c>
      <c r="G221" s="233"/>
      <c r="H221" s="233">
        <f t="shared" si="7"/>
        <v>87.920000000000016</v>
      </c>
      <c r="I221" s="240">
        <v>22338686</v>
      </c>
      <c r="J221" s="236" t="s">
        <v>516</v>
      </c>
      <c r="K221" s="235" t="s">
        <v>25</v>
      </c>
      <c r="L221" s="236" t="s">
        <v>26</v>
      </c>
      <c r="M221" s="229">
        <v>92552232</v>
      </c>
      <c r="N221" s="437"/>
    </row>
    <row r="222" spans="1:15" s="292" customFormat="1" x14ac:dyDescent="0.2">
      <c r="A222" s="284">
        <v>219</v>
      </c>
      <c r="B222" s="284">
        <v>3791</v>
      </c>
      <c r="C222" s="285" t="s">
        <v>517</v>
      </c>
      <c r="D222" s="286">
        <v>247.9</v>
      </c>
      <c r="E222" s="287">
        <v>0.4</v>
      </c>
      <c r="F222" s="287">
        <f t="shared" si="8"/>
        <v>99.160000000000011</v>
      </c>
      <c r="G222" s="287">
        <f>F222</f>
        <v>99.160000000000011</v>
      </c>
      <c r="H222" s="287">
        <f t="shared" si="7"/>
        <v>0</v>
      </c>
      <c r="I222" s="300">
        <v>20365611</v>
      </c>
      <c r="J222" s="289" t="s">
        <v>518</v>
      </c>
      <c r="K222" s="301" t="s">
        <v>25</v>
      </c>
      <c r="L222" s="289" t="s">
        <v>26</v>
      </c>
      <c r="M222" s="284">
        <v>9257761</v>
      </c>
      <c r="N222" s="291">
        <v>45932</v>
      </c>
      <c r="O222" s="433"/>
    </row>
    <row r="223" spans="1:15" x14ac:dyDescent="0.2">
      <c r="A223" s="251">
        <v>220</v>
      </c>
      <c r="B223" s="251">
        <v>3792</v>
      </c>
      <c r="C223" s="352" t="s">
        <v>519</v>
      </c>
      <c r="D223" s="253">
        <v>260</v>
      </c>
      <c r="E223" s="254">
        <v>0.4</v>
      </c>
      <c r="F223" s="254">
        <f t="shared" si="8"/>
        <v>104</v>
      </c>
      <c r="G223" s="254">
        <f>98.69</f>
        <v>98.69</v>
      </c>
      <c r="H223" s="254">
        <f t="shared" si="7"/>
        <v>5.3100000000000023</v>
      </c>
      <c r="I223" s="382">
        <v>23169608</v>
      </c>
      <c r="J223" s="279" t="s">
        <v>520</v>
      </c>
      <c r="K223" s="276" t="s">
        <v>290</v>
      </c>
      <c r="L223" s="279" t="s">
        <v>291</v>
      </c>
      <c r="M223" s="277">
        <v>93380506</v>
      </c>
      <c r="N223" s="438">
        <v>45691</v>
      </c>
    </row>
    <row r="224" spans="1:15" s="368" customFormat="1" x14ac:dyDescent="0.2">
      <c r="A224" s="360">
        <v>221</v>
      </c>
      <c r="B224" s="360">
        <v>3793</v>
      </c>
      <c r="C224" s="361" t="s">
        <v>521</v>
      </c>
      <c r="D224" s="362">
        <v>387.1</v>
      </c>
      <c r="E224" s="363">
        <v>0.4</v>
      </c>
      <c r="F224" s="363">
        <f t="shared" si="8"/>
        <v>154.84000000000003</v>
      </c>
      <c r="G224" s="363">
        <f>F224</f>
        <v>154.84000000000003</v>
      </c>
      <c r="H224" s="363">
        <f t="shared" si="7"/>
        <v>0</v>
      </c>
      <c r="I224" s="364">
        <v>1283875</v>
      </c>
      <c r="J224" s="367" t="s">
        <v>522</v>
      </c>
      <c r="K224" s="369" t="s">
        <v>43</v>
      </c>
      <c r="L224" s="367" t="s">
        <v>44</v>
      </c>
      <c r="M224" s="360">
        <v>92348115</v>
      </c>
      <c r="N224" s="449" t="s">
        <v>881</v>
      </c>
      <c r="O224" s="432"/>
    </row>
    <row r="225" spans="1:15" s="269" customFormat="1" x14ac:dyDescent="0.2">
      <c r="A225" s="251">
        <v>222</v>
      </c>
      <c r="B225" s="251">
        <v>3794</v>
      </c>
      <c r="C225" s="252" t="s">
        <v>523</v>
      </c>
      <c r="D225" s="253">
        <v>630.70000000000005</v>
      </c>
      <c r="E225" s="254">
        <v>0.4</v>
      </c>
      <c r="F225" s="254">
        <f t="shared" si="8"/>
        <v>252.28000000000003</v>
      </c>
      <c r="G225" s="254">
        <f>251.08</f>
        <v>251.08</v>
      </c>
      <c r="H225" s="254">
        <f t="shared" si="7"/>
        <v>1.2000000000000171</v>
      </c>
      <c r="I225" s="255">
        <v>8222931</v>
      </c>
      <c r="J225" s="256" t="s">
        <v>524</v>
      </c>
      <c r="K225" s="257" t="s">
        <v>25</v>
      </c>
      <c r="L225" s="256" t="s">
        <v>26</v>
      </c>
      <c r="M225" s="251">
        <v>93377666</v>
      </c>
      <c r="N225" s="438">
        <v>45779</v>
      </c>
      <c r="O225" s="429"/>
    </row>
    <row r="226" spans="1:15" x14ac:dyDescent="0.2">
      <c r="A226" s="229">
        <v>223</v>
      </c>
      <c r="B226" s="229">
        <v>3795</v>
      </c>
      <c r="C226" s="231" t="s">
        <v>525</v>
      </c>
      <c r="D226" s="239">
        <v>256.2</v>
      </c>
      <c r="E226" s="233">
        <v>0.4</v>
      </c>
      <c r="F226" s="233">
        <f t="shared" si="8"/>
        <v>102.48</v>
      </c>
      <c r="G226" s="233"/>
      <c r="H226" s="233">
        <f t="shared" si="7"/>
        <v>102.48</v>
      </c>
      <c r="I226" s="240">
        <v>2331658</v>
      </c>
      <c r="J226" s="236" t="s">
        <v>526</v>
      </c>
      <c r="K226" s="244" t="s">
        <v>17</v>
      </c>
      <c r="L226" s="244" t="s">
        <v>18</v>
      </c>
      <c r="M226" s="229">
        <v>91790440</v>
      </c>
      <c r="N226" s="437"/>
    </row>
    <row r="227" spans="1:15" x14ac:dyDescent="0.2">
      <c r="A227" s="229">
        <v>224</v>
      </c>
      <c r="B227" s="229">
        <v>3796</v>
      </c>
      <c r="C227" s="231" t="s">
        <v>527</v>
      </c>
      <c r="D227" s="239">
        <v>203.1</v>
      </c>
      <c r="E227" s="233">
        <v>0.4</v>
      </c>
      <c r="F227" s="233">
        <f t="shared" si="8"/>
        <v>81.240000000000009</v>
      </c>
      <c r="G227" s="233"/>
      <c r="H227" s="233">
        <f t="shared" si="7"/>
        <v>81.240000000000009</v>
      </c>
      <c r="I227" s="240">
        <v>6455206</v>
      </c>
      <c r="J227" s="236" t="s">
        <v>528</v>
      </c>
      <c r="K227" s="235" t="s">
        <v>25</v>
      </c>
      <c r="L227" s="241" t="s">
        <v>26</v>
      </c>
      <c r="M227" s="229">
        <v>97312444</v>
      </c>
      <c r="N227" s="437"/>
    </row>
    <row r="228" spans="1:15" x14ac:dyDescent="0.2">
      <c r="A228" s="251">
        <v>225</v>
      </c>
      <c r="B228" s="251">
        <v>3798</v>
      </c>
      <c r="C228" s="252" t="s">
        <v>529</v>
      </c>
      <c r="D228" s="253">
        <v>224.4</v>
      </c>
      <c r="E228" s="254">
        <v>0.4</v>
      </c>
      <c r="F228" s="254">
        <f t="shared" si="8"/>
        <v>89.76</v>
      </c>
      <c r="G228" s="254">
        <f>86.57</f>
        <v>86.57</v>
      </c>
      <c r="H228" s="254">
        <f t="shared" si="7"/>
        <v>3.1900000000000119</v>
      </c>
      <c r="I228" s="255">
        <v>6048954</v>
      </c>
      <c r="J228" s="256" t="s">
        <v>530</v>
      </c>
      <c r="K228" s="257" t="s">
        <v>25</v>
      </c>
      <c r="L228" s="256" t="s">
        <v>26</v>
      </c>
      <c r="M228" s="251">
        <v>92833445</v>
      </c>
      <c r="N228" s="438">
        <v>45685</v>
      </c>
    </row>
    <row r="229" spans="1:15" s="269" customFormat="1" x14ac:dyDescent="0.2">
      <c r="A229" s="251">
        <v>226</v>
      </c>
      <c r="B229" s="251">
        <v>3799</v>
      </c>
      <c r="C229" s="252" t="s">
        <v>531</v>
      </c>
      <c r="D229" s="253">
        <v>627.6</v>
      </c>
      <c r="E229" s="254">
        <v>0.4</v>
      </c>
      <c r="F229" s="254">
        <f t="shared" si="8"/>
        <v>251.04000000000002</v>
      </c>
      <c r="G229" s="254">
        <f>250.93</f>
        <v>250.93</v>
      </c>
      <c r="H229" s="254">
        <f t="shared" si="7"/>
        <v>0.11000000000001364</v>
      </c>
      <c r="I229" s="255">
        <v>12494672</v>
      </c>
      <c r="J229" s="256" t="s">
        <v>532</v>
      </c>
      <c r="K229" s="263" t="s">
        <v>17</v>
      </c>
      <c r="L229" s="263" t="s">
        <v>18</v>
      </c>
      <c r="M229" s="251">
        <v>98872720</v>
      </c>
      <c r="N229" s="438" t="s">
        <v>893</v>
      </c>
      <c r="O229" s="429"/>
    </row>
    <row r="230" spans="1:15" x14ac:dyDescent="0.2">
      <c r="A230" s="229">
        <v>227</v>
      </c>
      <c r="B230" s="229">
        <v>3800</v>
      </c>
      <c r="C230" s="231" t="s">
        <v>534</v>
      </c>
      <c r="D230" s="239">
        <v>285</v>
      </c>
      <c r="E230" s="233">
        <v>0.4</v>
      </c>
      <c r="F230" s="233">
        <f t="shared" si="8"/>
        <v>114</v>
      </c>
      <c r="G230" s="233"/>
      <c r="H230" s="233">
        <f t="shared" si="7"/>
        <v>114</v>
      </c>
      <c r="I230" s="240">
        <v>11566758</v>
      </c>
      <c r="J230" s="236" t="s">
        <v>535</v>
      </c>
      <c r="K230" s="235" t="s">
        <v>25</v>
      </c>
      <c r="L230" s="241" t="s">
        <v>26</v>
      </c>
      <c r="M230" s="229"/>
      <c r="N230" s="437"/>
    </row>
    <row r="231" spans="1:15" x14ac:dyDescent="0.2">
      <c r="A231" s="251">
        <v>228</v>
      </c>
      <c r="B231" s="251">
        <v>3801</v>
      </c>
      <c r="C231" s="252" t="s">
        <v>536</v>
      </c>
      <c r="D231" s="253">
        <v>384</v>
      </c>
      <c r="E231" s="254">
        <v>0.4</v>
      </c>
      <c r="F231" s="254">
        <f t="shared" si="8"/>
        <v>153.60000000000002</v>
      </c>
      <c r="G231" s="254">
        <f>149.04</f>
        <v>149.04</v>
      </c>
      <c r="H231" s="254">
        <f t="shared" si="7"/>
        <v>4.5600000000000307</v>
      </c>
      <c r="I231" s="255">
        <v>19559588</v>
      </c>
      <c r="J231" s="260" t="s">
        <v>537</v>
      </c>
      <c r="K231" s="235" t="s">
        <v>75</v>
      </c>
      <c r="L231" s="260" t="s">
        <v>76</v>
      </c>
      <c r="M231" s="229">
        <v>93200888</v>
      </c>
      <c r="N231" s="438">
        <v>45691</v>
      </c>
    </row>
    <row r="232" spans="1:15" s="269" customFormat="1" x14ac:dyDescent="0.2">
      <c r="A232" s="251">
        <v>229</v>
      </c>
      <c r="B232" s="251">
        <v>3802</v>
      </c>
      <c r="C232" s="252" t="s">
        <v>538</v>
      </c>
      <c r="D232" s="253">
        <v>378.9</v>
      </c>
      <c r="E232" s="254">
        <v>0.4</v>
      </c>
      <c r="F232" s="254">
        <f t="shared" si="8"/>
        <v>151.56</v>
      </c>
      <c r="G232" s="254">
        <f>151.43</f>
        <v>151.43</v>
      </c>
      <c r="H232" s="254">
        <f t="shared" si="7"/>
        <v>0.12999999999999545</v>
      </c>
      <c r="I232" s="255">
        <v>1260268</v>
      </c>
      <c r="J232" s="256" t="s">
        <v>539</v>
      </c>
      <c r="K232" s="257" t="s">
        <v>25</v>
      </c>
      <c r="L232" s="256" t="s">
        <v>26</v>
      </c>
      <c r="M232" s="251">
        <v>99692231</v>
      </c>
      <c r="N232" s="438">
        <v>45779</v>
      </c>
      <c r="O232" s="429"/>
    </row>
    <row r="233" spans="1:15" x14ac:dyDescent="0.2">
      <c r="A233" s="229">
        <v>230</v>
      </c>
      <c r="B233" s="229">
        <v>3803</v>
      </c>
      <c r="C233" s="231" t="s">
        <v>540</v>
      </c>
      <c r="D233" s="239">
        <v>393</v>
      </c>
      <c r="E233" s="233">
        <v>0.4</v>
      </c>
      <c r="F233" s="233">
        <f t="shared" si="8"/>
        <v>157.20000000000002</v>
      </c>
      <c r="G233" s="233"/>
      <c r="H233" s="233">
        <f t="shared" si="7"/>
        <v>157.20000000000002</v>
      </c>
      <c r="I233" s="240">
        <v>4890484</v>
      </c>
      <c r="J233" s="236" t="s">
        <v>541</v>
      </c>
      <c r="K233" s="244" t="s">
        <v>17</v>
      </c>
      <c r="L233" s="244" t="s">
        <v>18</v>
      </c>
      <c r="M233" s="229">
        <v>93231221</v>
      </c>
      <c r="N233" s="437"/>
    </row>
    <row r="234" spans="1:15" x14ac:dyDescent="0.2">
      <c r="A234" s="229">
        <v>231</v>
      </c>
      <c r="B234" s="229">
        <v>3804</v>
      </c>
      <c r="C234" s="231" t="s">
        <v>542</v>
      </c>
      <c r="D234" s="239">
        <v>248.8</v>
      </c>
      <c r="E234" s="233">
        <v>0.4</v>
      </c>
      <c r="F234" s="233">
        <f t="shared" si="8"/>
        <v>99.52000000000001</v>
      </c>
      <c r="G234" s="233"/>
      <c r="H234" s="233">
        <f t="shared" si="7"/>
        <v>99.52000000000001</v>
      </c>
      <c r="I234" s="240">
        <v>18102928</v>
      </c>
      <c r="J234" s="236" t="s">
        <v>543</v>
      </c>
      <c r="K234" s="244" t="s">
        <v>17</v>
      </c>
      <c r="L234" s="244" t="s">
        <v>18</v>
      </c>
      <c r="M234" s="229">
        <v>95933733</v>
      </c>
      <c r="N234" s="437"/>
    </row>
    <row r="235" spans="1:15" x14ac:dyDescent="0.2">
      <c r="A235" s="251">
        <v>232</v>
      </c>
      <c r="B235" s="251">
        <v>3805</v>
      </c>
      <c r="C235" s="252" t="s">
        <v>544</v>
      </c>
      <c r="D235" s="253">
        <v>161.19999999999999</v>
      </c>
      <c r="E235" s="254">
        <v>0.4</v>
      </c>
      <c r="F235" s="254">
        <f t="shared" si="8"/>
        <v>64.48</v>
      </c>
      <c r="G235" s="254">
        <f>62.66</f>
        <v>62.66</v>
      </c>
      <c r="H235" s="254">
        <f t="shared" si="7"/>
        <v>1.8200000000000074</v>
      </c>
      <c r="I235" s="321">
        <v>18675553</v>
      </c>
      <c r="J235" s="322" t="s">
        <v>545</v>
      </c>
      <c r="K235" s="262" t="s">
        <v>75</v>
      </c>
      <c r="L235" s="263" t="s">
        <v>76</v>
      </c>
      <c r="M235" s="251">
        <v>77588303</v>
      </c>
      <c r="N235" s="438">
        <v>45779</v>
      </c>
    </row>
    <row r="236" spans="1:15" s="269" customFormat="1" x14ac:dyDescent="0.2">
      <c r="A236" s="251">
        <v>233</v>
      </c>
      <c r="B236" s="251">
        <v>3807</v>
      </c>
      <c r="C236" s="252" t="s">
        <v>546</v>
      </c>
      <c r="D236" s="253">
        <v>143.6</v>
      </c>
      <c r="E236" s="254">
        <v>0.4</v>
      </c>
      <c r="F236" s="254">
        <f t="shared" si="8"/>
        <v>57.44</v>
      </c>
      <c r="G236" s="254">
        <f>54.67</f>
        <v>54.67</v>
      </c>
      <c r="H236" s="254">
        <f t="shared" si="7"/>
        <v>2.769999999999996</v>
      </c>
      <c r="I236" s="255">
        <v>2110484</v>
      </c>
      <c r="J236" s="256" t="s">
        <v>547</v>
      </c>
      <c r="K236" s="263" t="s">
        <v>17</v>
      </c>
      <c r="L236" s="263" t="s">
        <v>18</v>
      </c>
      <c r="M236" s="251">
        <v>95918256</v>
      </c>
      <c r="N236" s="438">
        <v>45779</v>
      </c>
      <c r="O236" s="429"/>
    </row>
    <row r="237" spans="1:15" x14ac:dyDescent="0.2">
      <c r="A237" s="251">
        <v>234</v>
      </c>
      <c r="B237" s="251">
        <v>3808</v>
      </c>
      <c r="C237" s="252" t="s">
        <v>548</v>
      </c>
      <c r="D237" s="253">
        <v>505.4</v>
      </c>
      <c r="E237" s="254">
        <v>0.4</v>
      </c>
      <c r="F237" s="254">
        <f t="shared" si="8"/>
        <v>202.16</v>
      </c>
      <c r="G237" s="254">
        <f>199.61</f>
        <v>199.61</v>
      </c>
      <c r="H237" s="254">
        <f t="shared" si="7"/>
        <v>2.5499999999999829</v>
      </c>
      <c r="I237" s="255">
        <v>1366005</v>
      </c>
      <c r="J237" s="256" t="s">
        <v>549</v>
      </c>
      <c r="K237" s="263" t="s">
        <v>17</v>
      </c>
      <c r="L237" s="263" t="s">
        <v>18</v>
      </c>
      <c r="M237" s="251">
        <v>99589981</v>
      </c>
      <c r="N237" s="438">
        <v>45902</v>
      </c>
    </row>
    <row r="238" spans="1:15" x14ac:dyDescent="0.2">
      <c r="A238" s="251">
        <v>235</v>
      </c>
      <c r="B238" s="251">
        <v>3809</v>
      </c>
      <c r="C238" s="252" t="s">
        <v>550</v>
      </c>
      <c r="D238" s="253">
        <v>566.6</v>
      </c>
      <c r="E238" s="254">
        <v>0.4</v>
      </c>
      <c r="F238" s="254">
        <f t="shared" si="8"/>
        <v>226.64000000000001</v>
      </c>
      <c r="G238" s="254">
        <f>F238</f>
        <v>226.64000000000001</v>
      </c>
      <c r="H238" s="254">
        <f t="shared" si="7"/>
        <v>0</v>
      </c>
      <c r="I238" s="255">
        <v>10913998</v>
      </c>
      <c r="J238" s="256" t="s">
        <v>551</v>
      </c>
      <c r="K238" s="257" t="s">
        <v>25</v>
      </c>
      <c r="L238" s="256" t="s">
        <v>26</v>
      </c>
      <c r="M238" s="251">
        <v>99080863</v>
      </c>
      <c r="N238" s="438">
        <v>45810</v>
      </c>
    </row>
    <row r="239" spans="1:15" x14ac:dyDescent="0.2">
      <c r="A239" s="229">
        <v>236</v>
      </c>
      <c r="B239" s="229">
        <v>3810</v>
      </c>
      <c r="C239" s="276" t="s">
        <v>553</v>
      </c>
      <c r="D239" s="239">
        <v>166.2</v>
      </c>
      <c r="E239" s="233">
        <v>0.4</v>
      </c>
      <c r="F239" s="233">
        <f t="shared" si="8"/>
        <v>66.48</v>
      </c>
      <c r="G239" s="233"/>
      <c r="H239" s="233">
        <f t="shared" si="7"/>
        <v>66.48</v>
      </c>
      <c r="I239" s="302">
        <v>9442232</v>
      </c>
      <c r="J239" s="279" t="s">
        <v>554</v>
      </c>
      <c r="K239" s="303" t="s">
        <v>25</v>
      </c>
      <c r="L239" s="304" t="s">
        <v>26</v>
      </c>
      <c r="M239" s="277">
        <v>98255338</v>
      </c>
      <c r="N239" s="437"/>
    </row>
    <row r="240" spans="1:15" s="269" customFormat="1" x14ac:dyDescent="0.2">
      <c r="A240" s="251">
        <v>237</v>
      </c>
      <c r="B240" s="251">
        <v>3811</v>
      </c>
      <c r="C240" s="252" t="s">
        <v>555</v>
      </c>
      <c r="D240" s="253">
        <v>253.5</v>
      </c>
      <c r="E240" s="254">
        <v>0.4</v>
      </c>
      <c r="F240" s="254">
        <f t="shared" si="8"/>
        <v>101.4</v>
      </c>
      <c r="G240" s="254">
        <f>99.13</f>
        <v>99.13</v>
      </c>
      <c r="H240" s="254">
        <f t="shared" si="7"/>
        <v>2.2700000000000102</v>
      </c>
      <c r="I240" s="255">
        <v>6865286</v>
      </c>
      <c r="J240" s="256" t="s">
        <v>556</v>
      </c>
      <c r="K240" s="262" t="s">
        <v>75</v>
      </c>
      <c r="L240" s="263" t="s">
        <v>76</v>
      </c>
      <c r="M240" s="251">
        <v>92441715</v>
      </c>
      <c r="N240" s="438">
        <v>45932</v>
      </c>
      <c r="O240" s="429"/>
    </row>
    <row r="241" spans="1:15" x14ac:dyDescent="0.2">
      <c r="A241" s="229">
        <v>238</v>
      </c>
      <c r="B241" s="229">
        <v>3812</v>
      </c>
      <c r="C241" s="231" t="s">
        <v>557</v>
      </c>
      <c r="D241" s="239">
        <v>331.3</v>
      </c>
      <c r="E241" s="233">
        <v>0.4</v>
      </c>
      <c r="F241" s="233">
        <f t="shared" si="8"/>
        <v>132.52000000000001</v>
      </c>
      <c r="G241" s="233"/>
      <c r="H241" s="233">
        <f t="shared" si="7"/>
        <v>132.52000000000001</v>
      </c>
      <c r="I241" s="240">
        <v>2441718</v>
      </c>
      <c r="J241" s="236" t="s">
        <v>558</v>
      </c>
      <c r="K241" s="235" t="s">
        <v>25</v>
      </c>
      <c r="L241" s="241" t="s">
        <v>26</v>
      </c>
      <c r="M241" s="229"/>
      <c r="N241" s="437"/>
    </row>
    <row r="242" spans="1:15" s="274" customFormat="1" x14ac:dyDescent="0.2">
      <c r="A242" s="305">
        <v>239</v>
      </c>
      <c r="B242" s="305">
        <v>3813</v>
      </c>
      <c r="C242" s="306" t="s">
        <v>559</v>
      </c>
      <c r="D242" s="307"/>
      <c r="E242" s="308">
        <v>0.4</v>
      </c>
      <c r="F242" s="308">
        <f t="shared" si="8"/>
        <v>0</v>
      </c>
      <c r="G242" s="308"/>
      <c r="H242" s="308">
        <f t="shared" si="7"/>
        <v>0</v>
      </c>
      <c r="I242" s="309">
        <v>18842378</v>
      </c>
      <c r="J242" s="310" t="s">
        <v>560</v>
      </c>
      <c r="K242" s="311" t="s">
        <v>25</v>
      </c>
      <c r="L242" s="310" t="s">
        <v>26</v>
      </c>
      <c r="M242" s="305">
        <v>91102135</v>
      </c>
      <c r="N242" s="450"/>
      <c r="O242" s="431"/>
    </row>
    <row r="243" spans="1:15" x14ac:dyDescent="0.2">
      <c r="A243" s="251">
        <v>240</v>
      </c>
      <c r="B243" s="251">
        <v>3814</v>
      </c>
      <c r="C243" s="252" t="s">
        <v>561</v>
      </c>
      <c r="D243" s="253">
        <v>284.2</v>
      </c>
      <c r="E243" s="254">
        <v>0.4</v>
      </c>
      <c r="F243" s="254">
        <f t="shared" si="8"/>
        <v>113.68</v>
      </c>
      <c r="G243" s="254">
        <f>113.61</f>
        <v>113.61</v>
      </c>
      <c r="H243" s="254">
        <f t="shared" si="7"/>
        <v>7.000000000000739E-2</v>
      </c>
      <c r="I243" s="327">
        <v>6998672</v>
      </c>
      <c r="J243" s="256" t="s">
        <v>562</v>
      </c>
      <c r="K243" s="323" t="s">
        <v>25</v>
      </c>
      <c r="L243" s="326" t="s">
        <v>26</v>
      </c>
      <c r="M243" s="251">
        <v>94051423</v>
      </c>
      <c r="N243" s="438">
        <v>45677</v>
      </c>
    </row>
    <row r="244" spans="1:15" x14ac:dyDescent="0.2">
      <c r="A244" s="251">
        <v>241</v>
      </c>
      <c r="B244" s="251">
        <v>3815</v>
      </c>
      <c r="C244" s="252" t="s">
        <v>563</v>
      </c>
      <c r="D244" s="253">
        <v>330.2</v>
      </c>
      <c r="E244" s="254">
        <v>0.4</v>
      </c>
      <c r="F244" s="254">
        <f t="shared" si="8"/>
        <v>132.08000000000001</v>
      </c>
      <c r="G244" s="254">
        <f>129.31+2.77</f>
        <v>132.08000000000001</v>
      </c>
      <c r="H244" s="254">
        <f t="shared" si="7"/>
        <v>0</v>
      </c>
      <c r="I244" s="321">
        <v>24909353</v>
      </c>
      <c r="J244" s="260" t="s">
        <v>564</v>
      </c>
      <c r="K244" s="235" t="s">
        <v>25</v>
      </c>
      <c r="L244" s="241" t="s">
        <v>26</v>
      </c>
      <c r="M244" s="229">
        <v>97797883</v>
      </c>
      <c r="N244" s="438">
        <v>45691</v>
      </c>
      <c r="O244" s="428" t="s">
        <v>893</v>
      </c>
    </row>
    <row r="245" spans="1:15" x14ac:dyDescent="0.2">
      <c r="A245" s="251">
        <v>242</v>
      </c>
      <c r="B245" s="251">
        <v>3816</v>
      </c>
      <c r="C245" s="252" t="s">
        <v>565</v>
      </c>
      <c r="D245" s="253">
        <v>321.8</v>
      </c>
      <c r="E245" s="254">
        <v>0.4</v>
      </c>
      <c r="F245" s="254">
        <f t="shared" si="8"/>
        <v>128.72</v>
      </c>
      <c r="G245" s="254">
        <f>125.87</f>
        <v>125.87</v>
      </c>
      <c r="H245" s="254">
        <f t="shared" si="7"/>
        <v>2.8499999999999943</v>
      </c>
      <c r="I245" s="255">
        <v>27389488</v>
      </c>
      <c r="J245" s="236" t="s">
        <v>566</v>
      </c>
      <c r="K245" s="235" t="s">
        <v>25</v>
      </c>
      <c r="L245" s="241" t="s">
        <v>26</v>
      </c>
      <c r="M245" s="229"/>
      <c r="N245" s="438">
        <v>45691</v>
      </c>
    </row>
    <row r="246" spans="1:15" x14ac:dyDescent="0.2">
      <c r="A246" s="284">
        <v>243</v>
      </c>
      <c r="B246" s="284">
        <v>3817</v>
      </c>
      <c r="C246" s="285" t="s">
        <v>567</v>
      </c>
      <c r="D246" s="286">
        <v>340.9</v>
      </c>
      <c r="E246" s="287">
        <v>0.4</v>
      </c>
      <c r="F246" s="287">
        <f t="shared" si="8"/>
        <v>136.35999999999999</v>
      </c>
      <c r="G246" s="287">
        <f>F246</f>
        <v>136.35999999999999</v>
      </c>
      <c r="H246" s="287">
        <f t="shared" si="7"/>
        <v>0</v>
      </c>
      <c r="I246" s="300">
        <v>7851322</v>
      </c>
      <c r="J246" s="289" t="s">
        <v>568</v>
      </c>
      <c r="K246" s="301" t="s">
        <v>25</v>
      </c>
      <c r="L246" s="289" t="s">
        <v>26</v>
      </c>
      <c r="M246" s="284">
        <v>96288881</v>
      </c>
      <c r="N246" s="440" t="s">
        <v>870</v>
      </c>
    </row>
    <row r="247" spans="1:15" x14ac:dyDescent="0.2">
      <c r="A247" s="229">
        <v>244</v>
      </c>
      <c r="B247" s="229">
        <v>3818</v>
      </c>
      <c r="C247" s="231" t="s">
        <v>569</v>
      </c>
      <c r="D247" s="232">
        <v>603.4</v>
      </c>
      <c r="E247" s="233">
        <v>0.4</v>
      </c>
      <c r="F247" s="233">
        <f t="shared" si="8"/>
        <v>241.36</v>
      </c>
      <c r="G247" s="233"/>
      <c r="H247" s="233">
        <f t="shared" si="7"/>
        <v>241.36</v>
      </c>
      <c r="I247" s="240">
        <v>2520858</v>
      </c>
      <c r="J247" s="236" t="s">
        <v>570</v>
      </c>
      <c r="K247" s="235" t="s">
        <v>25</v>
      </c>
      <c r="L247" s="241" t="s">
        <v>26</v>
      </c>
      <c r="M247" s="229">
        <v>99699976</v>
      </c>
      <c r="N247" s="437"/>
    </row>
    <row r="248" spans="1:15" ht="15" x14ac:dyDescent="0.25">
      <c r="A248" s="284">
        <v>245</v>
      </c>
      <c r="B248" s="284">
        <v>3819</v>
      </c>
      <c r="C248" s="285" t="s">
        <v>571</v>
      </c>
      <c r="D248" s="286">
        <v>833.1</v>
      </c>
      <c r="E248" s="287">
        <v>0.4</v>
      </c>
      <c r="F248" s="287">
        <f t="shared" si="8"/>
        <v>333.24</v>
      </c>
      <c r="G248" s="287">
        <f>F248</f>
        <v>333.24</v>
      </c>
      <c r="H248" s="287">
        <f t="shared" si="7"/>
        <v>0</v>
      </c>
      <c r="I248" s="300">
        <v>3952839</v>
      </c>
      <c r="J248" s="236" t="s">
        <v>572</v>
      </c>
      <c r="K248" s="244" t="s">
        <v>17</v>
      </c>
      <c r="L248" s="244" t="s">
        <v>18</v>
      </c>
      <c r="M248" s="229">
        <v>98856929</v>
      </c>
      <c r="N248" s="443" t="s">
        <v>874</v>
      </c>
    </row>
    <row r="249" spans="1:15" x14ac:dyDescent="0.2">
      <c r="A249" s="229">
        <v>246</v>
      </c>
      <c r="B249" s="229">
        <v>3820</v>
      </c>
      <c r="C249" s="231" t="s">
        <v>573</v>
      </c>
      <c r="D249" s="239">
        <v>265.3</v>
      </c>
      <c r="E249" s="233">
        <v>0.4</v>
      </c>
      <c r="F249" s="233">
        <f t="shared" si="8"/>
        <v>106.12</v>
      </c>
      <c r="G249" s="233"/>
      <c r="H249" s="233">
        <f t="shared" si="7"/>
        <v>106.12</v>
      </c>
      <c r="I249" s="240">
        <v>20898806</v>
      </c>
      <c r="J249" s="236" t="s">
        <v>574</v>
      </c>
      <c r="K249" s="235" t="s">
        <v>25</v>
      </c>
      <c r="L249" s="241" t="s">
        <v>26</v>
      </c>
      <c r="M249" s="229">
        <v>95855255</v>
      </c>
      <c r="N249" s="437"/>
    </row>
    <row r="250" spans="1:15" s="269" customFormat="1" x14ac:dyDescent="0.2">
      <c r="A250" s="251">
        <v>247</v>
      </c>
      <c r="B250" s="251">
        <v>3821</v>
      </c>
      <c r="C250" s="252" t="s">
        <v>575</v>
      </c>
      <c r="D250" s="253">
        <v>208.6</v>
      </c>
      <c r="E250" s="254">
        <v>0.4</v>
      </c>
      <c r="F250" s="254">
        <f t="shared" si="8"/>
        <v>83.44</v>
      </c>
      <c r="G250" s="254">
        <f>82.91</f>
        <v>82.91</v>
      </c>
      <c r="H250" s="254">
        <f t="shared" si="7"/>
        <v>0.53000000000000114</v>
      </c>
      <c r="I250" s="255">
        <v>5773746</v>
      </c>
      <c r="J250" s="256" t="s">
        <v>576</v>
      </c>
      <c r="K250" s="263" t="s">
        <v>210</v>
      </c>
      <c r="L250" s="262" t="s">
        <v>211</v>
      </c>
      <c r="M250" s="251">
        <v>96780867</v>
      </c>
      <c r="N250" s="438">
        <v>45932</v>
      </c>
      <c r="O250" s="429"/>
    </row>
    <row r="251" spans="1:15" x14ac:dyDescent="0.2">
      <c r="A251" s="251">
        <v>248</v>
      </c>
      <c r="B251" s="251">
        <v>3822</v>
      </c>
      <c r="C251" s="252" t="s">
        <v>577</v>
      </c>
      <c r="D251" s="253">
        <v>906.7</v>
      </c>
      <c r="E251" s="254">
        <v>0.4</v>
      </c>
      <c r="F251" s="254">
        <f t="shared" si="8"/>
        <v>362.68000000000006</v>
      </c>
      <c r="G251" s="254">
        <f>360.29</f>
        <v>360.29</v>
      </c>
      <c r="H251" s="254">
        <f t="shared" ref="H251:H313" si="9">F251-G251</f>
        <v>2.3900000000000432</v>
      </c>
      <c r="I251" s="255">
        <v>1522824</v>
      </c>
      <c r="J251" s="236" t="s">
        <v>578</v>
      </c>
      <c r="K251" s="244" t="s">
        <v>43</v>
      </c>
      <c r="L251" s="236" t="s">
        <v>44</v>
      </c>
      <c r="M251" s="229">
        <v>92733857</v>
      </c>
      <c r="N251" s="438">
        <v>45691</v>
      </c>
    </row>
    <row r="252" spans="1:15" x14ac:dyDescent="0.2">
      <c r="A252" s="251">
        <v>249</v>
      </c>
      <c r="B252" s="251">
        <v>3823</v>
      </c>
      <c r="C252" s="252" t="s">
        <v>579</v>
      </c>
      <c r="D252" s="253">
        <v>265.60000000000002</v>
      </c>
      <c r="E252" s="254">
        <v>0.4</v>
      </c>
      <c r="F252" s="254">
        <f t="shared" si="8"/>
        <v>106.24000000000001</v>
      </c>
      <c r="G252" s="254">
        <f>101.47</f>
        <v>101.47</v>
      </c>
      <c r="H252" s="254">
        <f t="shared" si="9"/>
        <v>4.7700000000000102</v>
      </c>
      <c r="I252" s="255">
        <v>865789</v>
      </c>
      <c r="J252" s="236" t="s">
        <v>580</v>
      </c>
      <c r="K252" s="235" t="s">
        <v>25</v>
      </c>
      <c r="L252" s="241" t="s">
        <v>26</v>
      </c>
      <c r="M252" s="229">
        <v>99366841</v>
      </c>
      <c r="N252" s="438">
        <v>45691</v>
      </c>
    </row>
    <row r="253" spans="1:15" x14ac:dyDescent="0.2">
      <c r="A253" s="284">
        <v>250</v>
      </c>
      <c r="B253" s="284">
        <v>3824</v>
      </c>
      <c r="C253" s="285" t="s">
        <v>581</v>
      </c>
      <c r="D253" s="286">
        <v>619.70000000000005</v>
      </c>
      <c r="E253" s="287">
        <v>0.4</v>
      </c>
      <c r="F253" s="287">
        <f t="shared" si="8"/>
        <v>247.88000000000002</v>
      </c>
      <c r="G253" s="287">
        <f>F253</f>
        <v>247.88000000000002</v>
      </c>
      <c r="H253" s="287">
        <f t="shared" si="9"/>
        <v>0</v>
      </c>
      <c r="I253" s="300">
        <v>18878869</v>
      </c>
      <c r="J253" s="289" t="s">
        <v>582</v>
      </c>
      <c r="K253" s="301" t="s">
        <v>25</v>
      </c>
      <c r="L253" s="289" t="s">
        <v>26</v>
      </c>
      <c r="M253" s="284">
        <v>91287415</v>
      </c>
      <c r="N253" s="440" t="s">
        <v>858</v>
      </c>
    </row>
    <row r="254" spans="1:15" ht="13.5" x14ac:dyDescent="0.25">
      <c r="A254" s="284">
        <v>251</v>
      </c>
      <c r="B254" s="284">
        <v>3827</v>
      </c>
      <c r="C254" s="285" t="s">
        <v>583</v>
      </c>
      <c r="D254" s="286">
        <v>684</v>
      </c>
      <c r="E254" s="287">
        <v>0.4</v>
      </c>
      <c r="F254" s="287">
        <f t="shared" si="8"/>
        <v>273.60000000000002</v>
      </c>
      <c r="G254" s="287">
        <f>F254</f>
        <v>273.60000000000002</v>
      </c>
      <c r="H254" s="287">
        <f t="shared" si="9"/>
        <v>0</v>
      </c>
      <c r="I254" s="300">
        <v>19049113</v>
      </c>
      <c r="J254" s="289" t="s">
        <v>584</v>
      </c>
      <c r="K254" s="301" t="s">
        <v>25</v>
      </c>
      <c r="L254" s="289" t="s">
        <v>26</v>
      </c>
      <c r="M254" s="284">
        <v>97778037</v>
      </c>
      <c r="N254" s="451" t="s">
        <v>874</v>
      </c>
    </row>
    <row r="255" spans="1:15" x14ac:dyDescent="0.2">
      <c r="A255" s="251">
        <v>252</v>
      </c>
      <c r="B255" s="251">
        <v>3828</v>
      </c>
      <c r="C255" s="252" t="s">
        <v>585</v>
      </c>
      <c r="D255" s="253">
        <v>259.2</v>
      </c>
      <c r="E255" s="254">
        <v>0.4</v>
      </c>
      <c r="F255" s="254">
        <f t="shared" si="8"/>
        <v>103.68</v>
      </c>
      <c r="G255" s="254">
        <f>101.13+2.55</f>
        <v>103.67999999999999</v>
      </c>
      <c r="H255" s="254">
        <f t="shared" si="9"/>
        <v>0</v>
      </c>
      <c r="I255" s="255">
        <v>5520522</v>
      </c>
      <c r="J255" s="256" t="s">
        <v>586</v>
      </c>
      <c r="K255" s="262" t="s">
        <v>75</v>
      </c>
      <c r="L255" s="263" t="s">
        <v>76</v>
      </c>
      <c r="M255" s="251">
        <v>99589277</v>
      </c>
      <c r="N255" s="438">
        <v>45677</v>
      </c>
      <c r="O255" s="427">
        <v>45993</v>
      </c>
    </row>
    <row r="256" spans="1:15" x14ac:dyDescent="0.2">
      <c r="A256" s="229">
        <v>253</v>
      </c>
      <c r="B256" s="229">
        <v>3829</v>
      </c>
      <c r="C256" s="231" t="s">
        <v>587</v>
      </c>
      <c r="D256" s="239">
        <v>225.1</v>
      </c>
      <c r="E256" s="233">
        <v>0.4</v>
      </c>
      <c r="F256" s="233">
        <f t="shared" si="8"/>
        <v>90.04</v>
      </c>
      <c r="G256" s="233"/>
      <c r="H256" s="233">
        <f t="shared" si="9"/>
        <v>90.04</v>
      </c>
      <c r="I256" s="240">
        <v>897384</v>
      </c>
      <c r="J256" s="236" t="s">
        <v>588</v>
      </c>
      <c r="K256" s="244" t="s">
        <v>17</v>
      </c>
      <c r="L256" s="244" t="s">
        <v>18</v>
      </c>
      <c r="M256" s="229"/>
      <c r="N256" s="437"/>
    </row>
    <row r="257" spans="1:15" x14ac:dyDescent="0.2">
      <c r="A257" s="251">
        <v>254</v>
      </c>
      <c r="B257" s="251">
        <v>3830</v>
      </c>
      <c r="C257" s="252" t="s">
        <v>589</v>
      </c>
      <c r="D257" s="253">
        <v>352.5</v>
      </c>
      <c r="E257" s="254">
        <v>0.4</v>
      </c>
      <c r="F257" s="254">
        <f t="shared" si="8"/>
        <v>141</v>
      </c>
      <c r="G257" s="254">
        <f>138.62</f>
        <v>138.62</v>
      </c>
      <c r="H257" s="254">
        <f t="shared" si="9"/>
        <v>2.3799999999999955</v>
      </c>
      <c r="I257" s="255">
        <v>2153706</v>
      </c>
      <c r="J257" s="236" t="s">
        <v>590</v>
      </c>
      <c r="K257" s="235" t="s">
        <v>25</v>
      </c>
      <c r="L257" s="241" t="s">
        <v>26</v>
      </c>
      <c r="M257" s="229">
        <v>92740607</v>
      </c>
      <c r="N257" s="438">
        <v>45691</v>
      </c>
    </row>
    <row r="258" spans="1:15" x14ac:dyDescent="0.2">
      <c r="A258" s="229">
        <v>255</v>
      </c>
      <c r="B258" s="229">
        <v>3831</v>
      </c>
      <c r="C258" s="231" t="s">
        <v>591</v>
      </c>
      <c r="D258" s="239">
        <v>286.7</v>
      </c>
      <c r="E258" s="233">
        <v>0.4</v>
      </c>
      <c r="F258" s="233">
        <f t="shared" si="8"/>
        <v>114.68</v>
      </c>
      <c r="G258" s="233"/>
      <c r="H258" s="233">
        <f t="shared" si="9"/>
        <v>114.68</v>
      </c>
      <c r="I258" s="240">
        <v>873604</v>
      </c>
      <c r="J258" s="236" t="s">
        <v>592</v>
      </c>
      <c r="K258" s="244" t="s">
        <v>17</v>
      </c>
      <c r="L258" s="244" t="s">
        <v>18</v>
      </c>
      <c r="M258" s="229">
        <v>98145449</v>
      </c>
      <c r="N258" s="437"/>
    </row>
    <row r="259" spans="1:15" x14ac:dyDescent="0.2">
      <c r="A259" s="251">
        <v>256</v>
      </c>
      <c r="B259" s="251">
        <v>3832</v>
      </c>
      <c r="C259" s="252" t="s">
        <v>792</v>
      </c>
      <c r="D259" s="253">
        <v>96.1</v>
      </c>
      <c r="E259" s="254">
        <v>0.4</v>
      </c>
      <c r="F259" s="254">
        <f t="shared" si="8"/>
        <v>38.44</v>
      </c>
      <c r="G259" s="254">
        <f>37.74</f>
        <v>37.74</v>
      </c>
      <c r="H259" s="254">
        <f t="shared" si="9"/>
        <v>0.69999999999999574</v>
      </c>
      <c r="I259" s="255">
        <v>1985192</v>
      </c>
      <c r="J259" s="384" t="s">
        <v>840</v>
      </c>
      <c r="K259" s="385" t="s">
        <v>25</v>
      </c>
      <c r="L259" s="384" t="s">
        <v>26</v>
      </c>
      <c r="M259" s="251">
        <v>99695515</v>
      </c>
      <c r="N259" s="438">
        <v>45680</v>
      </c>
    </row>
    <row r="260" spans="1:15" x14ac:dyDescent="0.2">
      <c r="A260" s="284">
        <v>257</v>
      </c>
      <c r="B260" s="284">
        <v>3833</v>
      </c>
      <c r="C260" s="285" t="s">
        <v>593</v>
      </c>
      <c r="D260" s="286">
        <v>280</v>
      </c>
      <c r="E260" s="287">
        <v>0.4</v>
      </c>
      <c r="F260" s="287">
        <f t="shared" ref="F260:F313" si="10">E260*D260</f>
        <v>112</v>
      </c>
      <c r="G260" s="287">
        <f>F260</f>
        <v>112</v>
      </c>
      <c r="H260" s="287">
        <f t="shared" si="9"/>
        <v>0</v>
      </c>
      <c r="I260" s="300">
        <v>19179619</v>
      </c>
      <c r="J260" s="289" t="s">
        <v>594</v>
      </c>
      <c r="K260" s="290" t="s">
        <v>17</v>
      </c>
      <c r="L260" s="290" t="s">
        <v>18</v>
      </c>
      <c r="M260" s="284">
        <v>91133123</v>
      </c>
      <c r="N260" s="440" t="s">
        <v>858</v>
      </c>
    </row>
    <row r="261" spans="1:15" x14ac:dyDescent="0.2">
      <c r="A261" s="284">
        <v>258</v>
      </c>
      <c r="B261" s="284">
        <v>3834</v>
      </c>
      <c r="C261" s="285" t="s">
        <v>595</v>
      </c>
      <c r="D261" s="286">
        <v>513.5</v>
      </c>
      <c r="E261" s="287">
        <v>0.4</v>
      </c>
      <c r="F261" s="287">
        <f t="shared" si="10"/>
        <v>205.4</v>
      </c>
      <c r="G261" s="287">
        <f>F261</f>
        <v>205.4</v>
      </c>
      <c r="H261" s="287">
        <f t="shared" si="9"/>
        <v>0</v>
      </c>
      <c r="I261" s="300">
        <v>5544756</v>
      </c>
      <c r="J261" s="289" t="s">
        <v>596</v>
      </c>
      <c r="K261" s="301" t="s">
        <v>25</v>
      </c>
      <c r="L261" s="289" t="s">
        <v>26</v>
      </c>
      <c r="M261" s="284">
        <v>92444788</v>
      </c>
      <c r="N261" s="440" t="s">
        <v>870</v>
      </c>
    </row>
    <row r="262" spans="1:15" x14ac:dyDescent="0.2">
      <c r="A262" s="251">
        <v>259</v>
      </c>
      <c r="B262" s="251">
        <v>3835</v>
      </c>
      <c r="C262" s="252" t="s">
        <v>598</v>
      </c>
      <c r="D262" s="253">
        <v>279.7</v>
      </c>
      <c r="E262" s="254">
        <v>0.4</v>
      </c>
      <c r="F262" s="254">
        <f t="shared" si="10"/>
        <v>111.88</v>
      </c>
      <c r="G262" s="254">
        <f>110.01</f>
        <v>110.01</v>
      </c>
      <c r="H262" s="254">
        <f t="shared" si="9"/>
        <v>1.8699999999999903</v>
      </c>
      <c r="I262" s="255">
        <v>781845</v>
      </c>
      <c r="J262" s="236" t="s">
        <v>599</v>
      </c>
      <c r="K262" s="244" t="s">
        <v>17</v>
      </c>
      <c r="L262" s="244" t="s">
        <v>18</v>
      </c>
      <c r="M262" s="229">
        <v>99297720</v>
      </c>
      <c r="N262" s="438">
        <v>45691</v>
      </c>
    </row>
    <row r="263" spans="1:15" s="292" customFormat="1" ht="15" x14ac:dyDescent="0.25">
      <c r="A263" s="284">
        <v>260</v>
      </c>
      <c r="B263" s="284">
        <v>3836</v>
      </c>
      <c r="C263" s="285" t="s">
        <v>600</v>
      </c>
      <c r="D263" s="286">
        <v>510.8</v>
      </c>
      <c r="E263" s="287">
        <v>0.4</v>
      </c>
      <c r="F263" s="287">
        <f t="shared" si="10"/>
        <v>204.32000000000002</v>
      </c>
      <c r="G263" s="287">
        <f>F263</f>
        <v>204.32000000000002</v>
      </c>
      <c r="H263" s="287">
        <f t="shared" si="9"/>
        <v>0</v>
      </c>
      <c r="I263" s="300">
        <v>20264434</v>
      </c>
      <c r="J263" s="289" t="s">
        <v>601</v>
      </c>
      <c r="K263" s="301" t="s">
        <v>25</v>
      </c>
      <c r="L263" s="289" t="s">
        <v>26</v>
      </c>
      <c r="M263" s="284"/>
      <c r="N263" s="443" t="s">
        <v>874</v>
      </c>
      <c r="O263" s="433"/>
    </row>
    <row r="264" spans="1:15" x14ac:dyDescent="0.2">
      <c r="A264" s="229">
        <v>261</v>
      </c>
      <c r="B264" s="229">
        <v>3837</v>
      </c>
      <c r="C264" s="231" t="s">
        <v>602</v>
      </c>
      <c r="D264" s="239">
        <v>380.4</v>
      </c>
      <c r="E264" s="233">
        <v>0.4</v>
      </c>
      <c r="F264" s="233">
        <f t="shared" si="10"/>
        <v>152.16</v>
      </c>
      <c r="G264" s="233"/>
      <c r="H264" s="233">
        <f t="shared" si="9"/>
        <v>152.16</v>
      </c>
      <c r="I264" s="240">
        <v>1935947</v>
      </c>
      <c r="J264" s="236" t="s">
        <v>603</v>
      </c>
      <c r="K264" s="235" t="s">
        <v>25</v>
      </c>
      <c r="L264" s="241" t="s">
        <v>26</v>
      </c>
      <c r="M264" s="229">
        <v>99499566</v>
      </c>
      <c r="N264" s="437"/>
    </row>
    <row r="265" spans="1:15" x14ac:dyDescent="0.2">
      <c r="A265" s="229">
        <v>262</v>
      </c>
      <c r="B265" s="229">
        <v>3838</v>
      </c>
      <c r="C265" s="231" t="s">
        <v>604</v>
      </c>
      <c r="D265" s="239">
        <v>295.5</v>
      </c>
      <c r="E265" s="233">
        <v>0.4</v>
      </c>
      <c r="F265" s="233">
        <f t="shared" si="10"/>
        <v>118.2</v>
      </c>
      <c r="G265" s="233"/>
      <c r="H265" s="233">
        <f t="shared" si="9"/>
        <v>118.2</v>
      </c>
      <c r="I265" s="240">
        <v>18553115</v>
      </c>
      <c r="J265" s="236" t="s">
        <v>605</v>
      </c>
      <c r="K265" s="235" t="s">
        <v>25</v>
      </c>
      <c r="L265" s="241" t="s">
        <v>26</v>
      </c>
      <c r="M265" s="229"/>
      <c r="N265" s="437"/>
    </row>
    <row r="266" spans="1:15" ht="15" x14ac:dyDescent="0.25">
      <c r="A266" s="284">
        <v>263</v>
      </c>
      <c r="B266" s="284">
        <v>3839</v>
      </c>
      <c r="C266" s="285" t="s">
        <v>606</v>
      </c>
      <c r="D266" s="286">
        <v>1118.2</v>
      </c>
      <c r="E266" s="287">
        <v>0.4</v>
      </c>
      <c r="F266" s="287">
        <f t="shared" si="10"/>
        <v>447.28000000000003</v>
      </c>
      <c r="G266" s="287">
        <f>F266</f>
        <v>447.28000000000003</v>
      </c>
      <c r="H266" s="287">
        <f t="shared" si="9"/>
        <v>0</v>
      </c>
      <c r="I266" s="300">
        <v>22799311</v>
      </c>
      <c r="J266" s="289" t="s">
        <v>607</v>
      </c>
      <c r="K266" s="301" t="s">
        <v>25</v>
      </c>
      <c r="L266" s="289" t="s">
        <v>26</v>
      </c>
      <c r="M266" s="284"/>
      <c r="N266" s="443" t="s">
        <v>874</v>
      </c>
    </row>
    <row r="267" spans="1:15" x14ac:dyDescent="0.2">
      <c r="A267" s="284">
        <v>264</v>
      </c>
      <c r="B267" s="284">
        <v>3840</v>
      </c>
      <c r="C267" s="285" t="s">
        <v>608</v>
      </c>
      <c r="D267" s="286">
        <v>391.4</v>
      </c>
      <c r="E267" s="287">
        <v>0.4</v>
      </c>
      <c r="F267" s="287">
        <f t="shared" si="10"/>
        <v>156.56</v>
      </c>
      <c r="G267" s="287">
        <f>F267</f>
        <v>156.56</v>
      </c>
      <c r="H267" s="287">
        <f t="shared" si="9"/>
        <v>0</v>
      </c>
      <c r="I267" s="300">
        <v>19777334</v>
      </c>
      <c r="J267" s="289" t="s">
        <v>609</v>
      </c>
      <c r="K267" s="301" t="s">
        <v>25</v>
      </c>
      <c r="L267" s="289" t="s">
        <v>26</v>
      </c>
      <c r="M267" s="284"/>
      <c r="N267" s="440">
        <v>45691</v>
      </c>
    </row>
    <row r="268" spans="1:15" x14ac:dyDescent="0.2">
      <c r="A268" s="229">
        <v>265</v>
      </c>
      <c r="B268" s="229">
        <v>3841</v>
      </c>
      <c r="C268" s="231" t="s">
        <v>610</v>
      </c>
      <c r="D268" s="239">
        <v>530.4</v>
      </c>
      <c r="E268" s="233">
        <v>0.4</v>
      </c>
      <c r="F268" s="233">
        <f t="shared" si="10"/>
        <v>212.16</v>
      </c>
      <c r="G268" s="233"/>
      <c r="H268" s="233">
        <f t="shared" si="9"/>
        <v>212.16</v>
      </c>
      <c r="I268" s="240">
        <v>2538202</v>
      </c>
      <c r="J268" s="236" t="s">
        <v>611</v>
      </c>
      <c r="K268" s="243" t="s">
        <v>75</v>
      </c>
      <c r="L268" s="244" t="s">
        <v>76</v>
      </c>
      <c r="M268" s="229">
        <v>92735668</v>
      </c>
      <c r="N268" s="437"/>
    </row>
    <row r="269" spans="1:15" x14ac:dyDescent="0.2">
      <c r="A269" s="229">
        <v>266</v>
      </c>
      <c r="B269" s="229">
        <v>3843</v>
      </c>
      <c r="C269" s="231" t="s">
        <v>612</v>
      </c>
      <c r="D269" s="239">
        <v>759.3</v>
      </c>
      <c r="E269" s="233">
        <v>0.4</v>
      </c>
      <c r="F269" s="233">
        <f t="shared" si="10"/>
        <v>303.71999999999997</v>
      </c>
      <c r="G269" s="233"/>
      <c r="H269" s="233">
        <f t="shared" si="9"/>
        <v>303.71999999999997</v>
      </c>
      <c r="I269" s="240">
        <v>19564247</v>
      </c>
      <c r="J269" s="236" t="s">
        <v>613</v>
      </c>
      <c r="K269" s="235" t="s">
        <v>25</v>
      </c>
      <c r="L269" s="241" t="s">
        <v>26</v>
      </c>
      <c r="M269" s="229"/>
      <c r="N269" s="437"/>
    </row>
    <row r="270" spans="1:15" ht="15" x14ac:dyDescent="0.25">
      <c r="A270" s="284">
        <v>267</v>
      </c>
      <c r="B270" s="284">
        <v>3844</v>
      </c>
      <c r="C270" s="285" t="s">
        <v>614</v>
      </c>
      <c r="D270" s="286">
        <v>1161</v>
      </c>
      <c r="E270" s="287">
        <v>0.4</v>
      </c>
      <c r="F270" s="287">
        <f t="shared" si="10"/>
        <v>464.40000000000003</v>
      </c>
      <c r="G270" s="287">
        <f>F270</f>
        <v>464.40000000000003</v>
      </c>
      <c r="H270" s="287">
        <f t="shared" si="9"/>
        <v>0</v>
      </c>
      <c r="I270" s="300">
        <v>1036602</v>
      </c>
      <c r="J270" s="289" t="s">
        <v>615</v>
      </c>
      <c r="K270" s="290" t="s">
        <v>43</v>
      </c>
      <c r="L270" s="289" t="s">
        <v>44</v>
      </c>
      <c r="M270" s="284">
        <v>98112999</v>
      </c>
      <c r="N270" s="443" t="s">
        <v>874</v>
      </c>
      <c r="O270" s="433"/>
    </row>
    <row r="271" spans="1:15" x14ac:dyDescent="0.2">
      <c r="A271" s="284">
        <v>268</v>
      </c>
      <c r="B271" s="284">
        <v>3845</v>
      </c>
      <c r="C271" s="285" t="s">
        <v>616</v>
      </c>
      <c r="D271" s="286">
        <v>1101.5</v>
      </c>
      <c r="E271" s="287">
        <v>0.4</v>
      </c>
      <c r="F271" s="287">
        <f t="shared" si="10"/>
        <v>440.6</v>
      </c>
      <c r="G271" s="287">
        <f>F271</f>
        <v>440.6</v>
      </c>
      <c r="H271" s="287">
        <f t="shared" si="9"/>
        <v>0</v>
      </c>
      <c r="I271" s="300">
        <v>1432563</v>
      </c>
      <c r="J271" s="289" t="s">
        <v>617</v>
      </c>
      <c r="K271" s="290" t="s">
        <v>17</v>
      </c>
      <c r="L271" s="290" t="s">
        <v>18</v>
      </c>
      <c r="M271" s="284"/>
      <c r="N271" s="440" t="s">
        <v>900</v>
      </c>
    </row>
    <row r="272" spans="1:15" x14ac:dyDescent="0.2">
      <c r="A272" s="251">
        <v>269</v>
      </c>
      <c r="B272" s="251">
        <v>3846</v>
      </c>
      <c r="C272" s="252" t="s">
        <v>618</v>
      </c>
      <c r="D272" s="253">
        <v>264.7</v>
      </c>
      <c r="E272" s="254">
        <v>0.4</v>
      </c>
      <c r="F272" s="254">
        <f t="shared" si="10"/>
        <v>105.88</v>
      </c>
      <c r="G272" s="254">
        <f>104.35</f>
        <v>104.35</v>
      </c>
      <c r="H272" s="254">
        <f t="shared" si="9"/>
        <v>1.5300000000000011</v>
      </c>
      <c r="I272" s="255">
        <v>8115103</v>
      </c>
      <c r="J272" s="236" t="s">
        <v>619</v>
      </c>
      <c r="K272" s="243" t="s">
        <v>75</v>
      </c>
      <c r="L272" s="244" t="s">
        <v>76</v>
      </c>
      <c r="M272" s="229">
        <v>99298488</v>
      </c>
      <c r="N272" s="438">
        <v>45691</v>
      </c>
    </row>
    <row r="273" spans="1:16" x14ac:dyDescent="0.2">
      <c r="A273" s="229">
        <v>270</v>
      </c>
      <c r="B273" s="229">
        <v>3847</v>
      </c>
      <c r="C273" s="231" t="s">
        <v>620</v>
      </c>
      <c r="D273" s="239">
        <v>1125.9000000000001</v>
      </c>
      <c r="E273" s="233">
        <v>0.4</v>
      </c>
      <c r="F273" s="233">
        <f t="shared" si="10"/>
        <v>450.36000000000007</v>
      </c>
      <c r="G273" s="233"/>
      <c r="H273" s="233">
        <f t="shared" si="9"/>
        <v>450.36000000000007</v>
      </c>
      <c r="I273" s="240">
        <v>238234</v>
      </c>
      <c r="J273" s="236" t="s">
        <v>621</v>
      </c>
      <c r="K273" s="235" t="s">
        <v>25</v>
      </c>
      <c r="L273" s="241" t="s">
        <v>26</v>
      </c>
      <c r="M273" s="229">
        <v>99495154</v>
      </c>
      <c r="N273" s="437"/>
    </row>
    <row r="274" spans="1:16" x14ac:dyDescent="0.2">
      <c r="A274" s="229">
        <v>271</v>
      </c>
      <c r="B274" s="229">
        <v>3848</v>
      </c>
      <c r="C274" s="231" t="s">
        <v>622</v>
      </c>
      <c r="D274" s="239">
        <v>1118.7</v>
      </c>
      <c r="E274" s="233">
        <v>0.4</v>
      </c>
      <c r="F274" s="233">
        <f t="shared" si="10"/>
        <v>447.48</v>
      </c>
      <c r="G274" s="233"/>
      <c r="H274" s="233">
        <f t="shared" si="9"/>
        <v>447.48</v>
      </c>
      <c r="I274" s="240">
        <v>19231852</v>
      </c>
      <c r="J274" s="236" t="s">
        <v>623</v>
      </c>
      <c r="K274" s="244" t="s">
        <v>43</v>
      </c>
      <c r="L274" s="236" t="s">
        <v>44</v>
      </c>
      <c r="M274" s="229">
        <v>92341000</v>
      </c>
      <c r="N274" s="437"/>
    </row>
    <row r="275" spans="1:16" x14ac:dyDescent="0.2">
      <c r="A275" s="229">
        <v>272</v>
      </c>
      <c r="B275" s="229">
        <v>3849</v>
      </c>
      <c r="C275" s="231" t="s">
        <v>624</v>
      </c>
      <c r="D275" s="239">
        <v>361.5</v>
      </c>
      <c r="E275" s="233">
        <v>0.4</v>
      </c>
      <c r="F275" s="233">
        <f t="shared" si="10"/>
        <v>144.6</v>
      </c>
      <c r="G275" s="233"/>
      <c r="H275" s="233">
        <f t="shared" si="9"/>
        <v>144.6</v>
      </c>
      <c r="I275" s="295">
        <v>18693727</v>
      </c>
      <c r="J275" s="312" t="s">
        <v>625</v>
      </c>
      <c r="K275" s="244" t="s">
        <v>17</v>
      </c>
      <c r="L275" s="244" t="s">
        <v>18</v>
      </c>
      <c r="M275" s="229">
        <v>93264185</v>
      </c>
      <c r="N275" s="437"/>
    </row>
    <row r="276" spans="1:16" x14ac:dyDescent="0.2">
      <c r="A276" s="229">
        <v>273</v>
      </c>
      <c r="B276" s="229">
        <v>3850</v>
      </c>
      <c r="C276" s="231" t="s">
        <v>626</v>
      </c>
      <c r="D276" s="239">
        <v>331.1</v>
      </c>
      <c r="E276" s="233">
        <v>0.4</v>
      </c>
      <c r="F276" s="233">
        <f t="shared" si="10"/>
        <v>132.44000000000003</v>
      </c>
      <c r="G276" s="233"/>
      <c r="H276" s="233">
        <f t="shared" si="9"/>
        <v>132.44000000000003</v>
      </c>
      <c r="I276" s="240">
        <v>5742985</v>
      </c>
      <c r="J276" s="236" t="s">
        <v>627</v>
      </c>
      <c r="K276" s="235" t="s">
        <v>25</v>
      </c>
      <c r="L276" s="241" t="s">
        <v>26</v>
      </c>
      <c r="M276" s="229">
        <v>93693543</v>
      </c>
      <c r="N276" s="437"/>
    </row>
    <row r="277" spans="1:16" x14ac:dyDescent="0.2">
      <c r="A277" s="229">
        <v>274</v>
      </c>
      <c r="B277" s="229">
        <v>3851</v>
      </c>
      <c r="C277" s="231" t="s">
        <v>629</v>
      </c>
      <c r="D277" s="239">
        <v>321.10000000000002</v>
      </c>
      <c r="E277" s="233">
        <v>0.4</v>
      </c>
      <c r="F277" s="233">
        <f t="shared" si="10"/>
        <v>128.44000000000003</v>
      </c>
      <c r="G277" s="233"/>
      <c r="H277" s="233">
        <f t="shared" si="9"/>
        <v>128.44000000000003</v>
      </c>
      <c r="I277" s="240">
        <v>22766611</v>
      </c>
      <c r="J277" s="236" t="s">
        <v>630</v>
      </c>
      <c r="K277" s="236" t="s">
        <v>257</v>
      </c>
      <c r="L277" s="236" t="s">
        <v>258</v>
      </c>
      <c r="M277" s="229">
        <v>92688007</v>
      </c>
      <c r="N277" s="437"/>
    </row>
    <row r="278" spans="1:16" x14ac:dyDescent="0.2">
      <c r="A278" s="251">
        <v>275</v>
      </c>
      <c r="B278" s="251">
        <v>3852</v>
      </c>
      <c r="C278" s="252" t="s">
        <v>631</v>
      </c>
      <c r="D278" s="253">
        <v>377</v>
      </c>
      <c r="E278" s="254">
        <v>0.4</v>
      </c>
      <c r="F278" s="254">
        <f t="shared" si="10"/>
        <v>150.80000000000001</v>
      </c>
      <c r="G278" s="254">
        <f>148.53+2.27</f>
        <v>150.80000000000001</v>
      </c>
      <c r="H278" s="254">
        <f t="shared" si="9"/>
        <v>0</v>
      </c>
      <c r="I278" s="255">
        <v>8827979</v>
      </c>
      <c r="J278" s="256" t="s">
        <v>632</v>
      </c>
      <c r="K278" s="257" t="s">
        <v>25</v>
      </c>
      <c r="L278" s="256" t="s">
        <v>26</v>
      </c>
      <c r="M278" s="251">
        <v>92698971</v>
      </c>
      <c r="N278" s="438">
        <v>45670</v>
      </c>
      <c r="O278" s="427">
        <v>45690</v>
      </c>
      <c r="P278" s="329"/>
    </row>
    <row r="279" spans="1:16" x14ac:dyDescent="0.2">
      <c r="A279" s="284">
        <v>276</v>
      </c>
      <c r="B279" s="284">
        <v>3853</v>
      </c>
      <c r="C279" s="285" t="s">
        <v>633</v>
      </c>
      <c r="D279" s="286">
        <v>219.3</v>
      </c>
      <c r="E279" s="287">
        <v>0.4</v>
      </c>
      <c r="F279" s="287">
        <f t="shared" si="10"/>
        <v>87.720000000000013</v>
      </c>
      <c r="G279" s="287">
        <f>F279</f>
        <v>87.720000000000013</v>
      </c>
      <c r="H279" s="287">
        <f t="shared" si="9"/>
        <v>0</v>
      </c>
      <c r="I279" s="300">
        <v>5857446</v>
      </c>
      <c r="J279" s="289" t="s">
        <v>634</v>
      </c>
      <c r="K279" s="301" t="s">
        <v>25</v>
      </c>
      <c r="L279" s="289" t="s">
        <v>26</v>
      </c>
      <c r="M279" s="284">
        <v>97799611</v>
      </c>
      <c r="N279" s="440" t="s">
        <v>858</v>
      </c>
    </row>
    <row r="280" spans="1:16" x14ac:dyDescent="0.2">
      <c r="A280" s="229">
        <v>277</v>
      </c>
      <c r="B280" s="229">
        <v>3854</v>
      </c>
      <c r="C280" s="231" t="s">
        <v>635</v>
      </c>
      <c r="D280" s="239">
        <v>223.3</v>
      </c>
      <c r="E280" s="233">
        <v>0.4</v>
      </c>
      <c r="F280" s="233">
        <f t="shared" si="10"/>
        <v>89.320000000000007</v>
      </c>
      <c r="G280" s="233"/>
      <c r="H280" s="233">
        <f t="shared" si="9"/>
        <v>89.320000000000007</v>
      </c>
      <c r="I280" s="240">
        <v>1085838</v>
      </c>
      <c r="J280" s="236" t="s">
        <v>636</v>
      </c>
      <c r="K280" s="236" t="s">
        <v>166</v>
      </c>
      <c r="L280" s="244" t="s">
        <v>129</v>
      </c>
      <c r="M280" s="229">
        <v>92928848</v>
      </c>
      <c r="N280" s="437"/>
    </row>
    <row r="281" spans="1:16" x14ac:dyDescent="0.2">
      <c r="A281" s="229">
        <v>278</v>
      </c>
      <c r="B281" s="229">
        <v>3855</v>
      </c>
      <c r="C281" s="231" t="s">
        <v>637</v>
      </c>
      <c r="D281" s="239">
        <v>312.3</v>
      </c>
      <c r="E281" s="233">
        <v>0.4</v>
      </c>
      <c r="F281" s="233">
        <f t="shared" si="10"/>
        <v>124.92000000000002</v>
      </c>
      <c r="G281" s="233"/>
      <c r="H281" s="233">
        <f t="shared" si="9"/>
        <v>124.92000000000002</v>
      </c>
      <c r="I281" s="240">
        <v>4948259</v>
      </c>
      <c r="J281" s="236" t="s">
        <v>638</v>
      </c>
      <c r="K281" s="235" t="s">
        <v>25</v>
      </c>
      <c r="L281" s="241" t="s">
        <v>26</v>
      </c>
      <c r="M281" s="229">
        <v>98252880</v>
      </c>
      <c r="N281" s="437"/>
    </row>
    <row r="282" spans="1:16" x14ac:dyDescent="0.2">
      <c r="A282" s="251">
        <v>279</v>
      </c>
      <c r="B282" s="251">
        <v>3856</v>
      </c>
      <c r="C282" s="252" t="s">
        <v>639</v>
      </c>
      <c r="D282" s="253">
        <v>179.8</v>
      </c>
      <c r="E282" s="254">
        <v>0.4</v>
      </c>
      <c r="F282" s="254">
        <f t="shared" si="10"/>
        <v>71.92</v>
      </c>
      <c r="G282" s="254">
        <f>69.92</f>
        <v>69.92</v>
      </c>
      <c r="H282" s="254">
        <f t="shared" si="9"/>
        <v>2</v>
      </c>
      <c r="I282" s="255">
        <v>15097631</v>
      </c>
      <c r="J282" s="256" t="s">
        <v>640</v>
      </c>
      <c r="K282" s="257" t="s">
        <v>25</v>
      </c>
      <c r="L282" s="256" t="s">
        <v>26</v>
      </c>
      <c r="M282" s="251">
        <v>93262015</v>
      </c>
      <c r="N282" s="438">
        <v>45677</v>
      </c>
    </row>
    <row r="283" spans="1:16" x14ac:dyDescent="0.2">
      <c r="A283" s="284">
        <v>280</v>
      </c>
      <c r="B283" s="284">
        <v>3857</v>
      </c>
      <c r="C283" s="285" t="s">
        <v>36</v>
      </c>
      <c r="D283" s="286">
        <v>665.8</v>
      </c>
      <c r="E283" s="287">
        <v>0.4</v>
      </c>
      <c r="F283" s="287">
        <f t="shared" si="10"/>
        <v>266.32</v>
      </c>
      <c r="G283" s="287">
        <f>F283</f>
        <v>266.32</v>
      </c>
      <c r="H283" s="287">
        <f t="shared" si="9"/>
        <v>0</v>
      </c>
      <c r="I283" s="300">
        <v>28903474</v>
      </c>
      <c r="J283" s="289" t="s">
        <v>37</v>
      </c>
      <c r="K283" s="290" t="s">
        <v>17</v>
      </c>
      <c r="L283" s="290" t="s">
        <v>18</v>
      </c>
      <c r="M283" s="284">
        <v>77588901</v>
      </c>
      <c r="N283" s="440" t="s">
        <v>877</v>
      </c>
    </row>
    <row r="284" spans="1:16" s="269" customFormat="1" x14ac:dyDescent="0.2">
      <c r="A284" s="251">
        <v>281</v>
      </c>
      <c r="B284" s="251">
        <v>3858</v>
      </c>
      <c r="C284" s="252" t="s">
        <v>641</v>
      </c>
      <c r="D284" s="253">
        <v>285</v>
      </c>
      <c r="E284" s="254">
        <v>0.4</v>
      </c>
      <c r="F284" s="254">
        <f t="shared" si="10"/>
        <v>114</v>
      </c>
      <c r="G284" s="254">
        <f>108.71+5.29</f>
        <v>114</v>
      </c>
      <c r="H284" s="254">
        <f t="shared" si="9"/>
        <v>0</v>
      </c>
      <c r="I284" s="255">
        <v>18451569</v>
      </c>
      <c r="J284" s="256" t="s">
        <v>642</v>
      </c>
      <c r="K284" s="257" t="s">
        <v>25</v>
      </c>
      <c r="L284" s="256" t="s">
        <v>26</v>
      </c>
      <c r="M284" s="251">
        <v>99298699</v>
      </c>
      <c r="N284" s="438" t="s">
        <v>894</v>
      </c>
      <c r="O284" s="438" t="s">
        <v>893</v>
      </c>
    </row>
    <row r="285" spans="1:16" x14ac:dyDescent="0.2">
      <c r="A285" s="251">
        <v>282</v>
      </c>
      <c r="B285" s="251">
        <v>3859</v>
      </c>
      <c r="C285" s="252" t="s">
        <v>442</v>
      </c>
      <c r="D285" s="253">
        <v>527.9</v>
      </c>
      <c r="E285" s="254">
        <v>0.4</v>
      </c>
      <c r="F285" s="254">
        <f t="shared" si="10"/>
        <v>211.16</v>
      </c>
      <c r="G285" s="254">
        <f>210.71</f>
        <v>210.71</v>
      </c>
      <c r="H285" s="254">
        <f t="shared" si="9"/>
        <v>0.44999999999998863</v>
      </c>
      <c r="I285" s="255">
        <v>6038764</v>
      </c>
      <c r="J285" s="256" t="s">
        <v>643</v>
      </c>
      <c r="K285" s="263" t="s">
        <v>17</v>
      </c>
      <c r="L285" s="263" t="s">
        <v>18</v>
      </c>
      <c r="M285" s="251">
        <v>98525646</v>
      </c>
      <c r="N285" s="438">
        <v>45685</v>
      </c>
    </row>
    <row r="286" spans="1:16" x14ac:dyDescent="0.2">
      <c r="A286" s="229">
        <v>283</v>
      </c>
      <c r="B286" s="229">
        <v>3860</v>
      </c>
      <c r="C286" s="231" t="s">
        <v>644</v>
      </c>
      <c r="D286" s="239">
        <v>294.8</v>
      </c>
      <c r="E286" s="233">
        <v>0.4</v>
      </c>
      <c r="F286" s="233">
        <f t="shared" si="10"/>
        <v>117.92000000000002</v>
      </c>
      <c r="G286" s="233"/>
      <c r="H286" s="233">
        <f t="shared" si="9"/>
        <v>117.92000000000002</v>
      </c>
      <c r="I286" s="240">
        <v>6132261</v>
      </c>
      <c r="J286" s="236" t="s">
        <v>645</v>
      </c>
      <c r="K286" s="235" t="s">
        <v>25</v>
      </c>
      <c r="L286" s="241" t="s">
        <v>26</v>
      </c>
      <c r="M286" s="229">
        <v>92527857</v>
      </c>
      <c r="N286" s="437"/>
    </row>
    <row r="287" spans="1:16" x14ac:dyDescent="0.2">
      <c r="A287" s="251">
        <v>284</v>
      </c>
      <c r="B287" s="251">
        <v>3861</v>
      </c>
      <c r="C287" s="252" t="s">
        <v>646</v>
      </c>
      <c r="D287" s="253">
        <v>321.7</v>
      </c>
      <c r="E287" s="254">
        <v>0.4</v>
      </c>
      <c r="F287" s="254">
        <f t="shared" si="10"/>
        <v>128.68</v>
      </c>
      <c r="G287" s="254">
        <f>125.19</f>
        <v>125.19</v>
      </c>
      <c r="H287" s="254">
        <f t="shared" si="9"/>
        <v>3.4900000000000091</v>
      </c>
      <c r="I287" s="255">
        <v>14330506</v>
      </c>
      <c r="J287" s="236" t="s">
        <v>647</v>
      </c>
      <c r="K287" s="244" t="s">
        <v>17</v>
      </c>
      <c r="L287" s="244" t="s">
        <v>18</v>
      </c>
      <c r="M287" s="229">
        <v>98187484</v>
      </c>
      <c r="N287" s="438">
        <v>45691</v>
      </c>
    </row>
    <row r="288" spans="1:16" x14ac:dyDescent="0.2">
      <c r="A288" s="284">
        <v>285</v>
      </c>
      <c r="B288" s="284">
        <v>3862</v>
      </c>
      <c r="C288" s="285" t="s">
        <v>648</v>
      </c>
      <c r="D288" s="286">
        <v>254.8</v>
      </c>
      <c r="E288" s="287">
        <v>0.4</v>
      </c>
      <c r="F288" s="287">
        <f t="shared" si="10"/>
        <v>101.92000000000002</v>
      </c>
      <c r="G288" s="287">
        <f>F288</f>
        <v>101.92000000000002</v>
      </c>
      <c r="H288" s="287">
        <f t="shared" si="9"/>
        <v>0</v>
      </c>
      <c r="I288" s="300">
        <v>5892019</v>
      </c>
      <c r="J288" s="289" t="s">
        <v>649</v>
      </c>
      <c r="K288" s="301" t="s">
        <v>25</v>
      </c>
      <c r="L288" s="289" t="s">
        <v>26</v>
      </c>
      <c r="M288" s="284"/>
      <c r="N288" s="440" t="s">
        <v>870</v>
      </c>
    </row>
    <row r="289" spans="1:15" x14ac:dyDescent="0.2">
      <c r="A289" s="229">
        <v>286</v>
      </c>
      <c r="B289" s="229">
        <v>3863</v>
      </c>
      <c r="C289" s="231" t="s">
        <v>650</v>
      </c>
      <c r="D289" s="239">
        <v>265.5</v>
      </c>
      <c r="E289" s="233">
        <v>0.4</v>
      </c>
      <c r="F289" s="233">
        <f t="shared" si="10"/>
        <v>106.2</v>
      </c>
      <c r="G289" s="233"/>
      <c r="H289" s="233">
        <f t="shared" si="9"/>
        <v>106.2</v>
      </c>
      <c r="I289" s="240">
        <v>10772417</v>
      </c>
      <c r="J289" s="236" t="s">
        <v>651</v>
      </c>
      <c r="K289" s="235" t="s">
        <v>25</v>
      </c>
      <c r="L289" s="241" t="s">
        <v>26</v>
      </c>
      <c r="M289" s="229"/>
      <c r="N289" s="437"/>
    </row>
    <row r="290" spans="1:15" x14ac:dyDescent="0.2">
      <c r="A290" s="229">
        <v>287</v>
      </c>
      <c r="B290" s="229">
        <v>3864</v>
      </c>
      <c r="C290" s="231" t="s">
        <v>652</v>
      </c>
      <c r="D290" s="239">
        <v>443.4</v>
      </c>
      <c r="E290" s="233">
        <v>0.4</v>
      </c>
      <c r="F290" s="233">
        <f t="shared" si="10"/>
        <v>177.36</v>
      </c>
      <c r="G290" s="233"/>
      <c r="H290" s="233">
        <f t="shared" si="9"/>
        <v>177.36</v>
      </c>
      <c r="I290" s="240">
        <v>6493803</v>
      </c>
      <c r="J290" s="236" t="s">
        <v>653</v>
      </c>
      <c r="K290" s="244" t="s">
        <v>17</v>
      </c>
      <c r="L290" s="244" t="s">
        <v>18</v>
      </c>
      <c r="M290" s="229">
        <v>99810408</v>
      </c>
      <c r="N290" s="437"/>
    </row>
    <row r="291" spans="1:15" x14ac:dyDescent="0.2">
      <c r="A291" s="284">
        <v>288</v>
      </c>
      <c r="B291" s="284">
        <v>3865</v>
      </c>
      <c r="C291" s="285" t="s">
        <v>654</v>
      </c>
      <c r="D291" s="286">
        <v>624.4</v>
      </c>
      <c r="E291" s="287">
        <v>0.4</v>
      </c>
      <c r="F291" s="287">
        <f t="shared" si="10"/>
        <v>249.76</v>
      </c>
      <c r="G291" s="287">
        <f>F291</f>
        <v>249.76</v>
      </c>
      <c r="H291" s="287">
        <f t="shared" si="9"/>
        <v>0</v>
      </c>
      <c r="I291" s="300">
        <v>15219317</v>
      </c>
      <c r="J291" s="289" t="s">
        <v>655</v>
      </c>
      <c r="K291" s="301" t="s">
        <v>25</v>
      </c>
      <c r="L291" s="289" t="s">
        <v>26</v>
      </c>
      <c r="M291" s="284"/>
      <c r="N291" s="440" t="s">
        <v>877</v>
      </c>
    </row>
    <row r="292" spans="1:15" x14ac:dyDescent="0.2">
      <c r="A292" s="229">
        <v>289</v>
      </c>
      <c r="B292" s="229">
        <v>3866</v>
      </c>
      <c r="C292" s="231" t="s">
        <v>656</v>
      </c>
      <c r="D292" s="239">
        <v>349.2</v>
      </c>
      <c r="E292" s="233">
        <v>0.4</v>
      </c>
      <c r="F292" s="233">
        <f t="shared" si="10"/>
        <v>139.68</v>
      </c>
      <c r="G292" s="233"/>
      <c r="H292" s="233">
        <f t="shared" si="9"/>
        <v>139.68</v>
      </c>
      <c r="I292" s="240">
        <v>11772662</v>
      </c>
      <c r="J292" s="236" t="s">
        <v>657</v>
      </c>
      <c r="K292" s="235" t="s">
        <v>25</v>
      </c>
      <c r="L292" s="241" t="s">
        <v>26</v>
      </c>
      <c r="M292" s="229"/>
      <c r="N292" s="437"/>
    </row>
    <row r="293" spans="1:15" x14ac:dyDescent="0.2">
      <c r="A293" s="229">
        <v>290</v>
      </c>
      <c r="B293" s="229">
        <v>3867</v>
      </c>
      <c r="C293" s="231" t="s">
        <v>658</v>
      </c>
      <c r="D293" s="239">
        <v>284.3</v>
      </c>
      <c r="E293" s="233">
        <v>0.4</v>
      </c>
      <c r="F293" s="233">
        <f t="shared" si="10"/>
        <v>113.72000000000001</v>
      </c>
      <c r="G293" s="233"/>
      <c r="H293" s="233">
        <f t="shared" si="9"/>
        <v>113.72000000000001</v>
      </c>
      <c r="I293" s="240">
        <v>18189491</v>
      </c>
      <c r="J293" s="236" t="s">
        <v>659</v>
      </c>
      <c r="K293" s="235" t="s">
        <v>25</v>
      </c>
      <c r="L293" s="241" t="s">
        <v>26</v>
      </c>
      <c r="M293" s="229">
        <v>92236482</v>
      </c>
      <c r="N293" s="437"/>
    </row>
    <row r="294" spans="1:15" x14ac:dyDescent="0.2">
      <c r="A294" s="229">
        <v>291</v>
      </c>
      <c r="B294" s="229">
        <v>3868</v>
      </c>
      <c r="C294" s="231" t="s">
        <v>660</v>
      </c>
      <c r="D294" s="239">
        <v>206.6</v>
      </c>
      <c r="E294" s="233">
        <v>0.4</v>
      </c>
      <c r="F294" s="233">
        <f t="shared" si="10"/>
        <v>82.64</v>
      </c>
      <c r="G294" s="233"/>
      <c r="H294" s="233">
        <f t="shared" si="9"/>
        <v>82.64</v>
      </c>
      <c r="I294" s="240">
        <v>23619706</v>
      </c>
      <c r="J294" s="236" t="s">
        <v>661</v>
      </c>
      <c r="K294" s="235" t="s">
        <v>25</v>
      </c>
      <c r="L294" s="241" t="s">
        <v>26</v>
      </c>
      <c r="M294" s="229">
        <v>93392527</v>
      </c>
      <c r="N294" s="437"/>
    </row>
    <row r="295" spans="1:15" x14ac:dyDescent="0.2">
      <c r="A295" s="229">
        <v>292</v>
      </c>
      <c r="B295" s="229">
        <v>3869</v>
      </c>
      <c r="C295" s="231" t="s">
        <v>662</v>
      </c>
      <c r="D295" s="239">
        <v>228.6</v>
      </c>
      <c r="E295" s="233">
        <v>0.4</v>
      </c>
      <c r="F295" s="233">
        <f t="shared" si="10"/>
        <v>91.44</v>
      </c>
      <c r="G295" s="233"/>
      <c r="H295" s="233">
        <f t="shared" si="9"/>
        <v>91.44</v>
      </c>
      <c r="I295" s="240">
        <v>1265569</v>
      </c>
      <c r="J295" s="236" t="s">
        <v>663</v>
      </c>
      <c r="K295" s="235" t="s">
        <v>25</v>
      </c>
      <c r="L295" s="241" t="s">
        <v>26</v>
      </c>
      <c r="M295" s="229">
        <v>93392527</v>
      </c>
      <c r="N295" s="437"/>
    </row>
    <row r="296" spans="1:15" x14ac:dyDescent="0.2">
      <c r="A296" s="284">
        <v>293</v>
      </c>
      <c r="B296" s="284">
        <v>3870</v>
      </c>
      <c r="C296" s="285" t="s">
        <v>664</v>
      </c>
      <c r="D296" s="286">
        <v>835.3</v>
      </c>
      <c r="E296" s="287">
        <v>0.4</v>
      </c>
      <c r="F296" s="287">
        <f t="shared" si="10"/>
        <v>334.12</v>
      </c>
      <c r="G296" s="287">
        <f>F296</f>
        <v>334.12</v>
      </c>
      <c r="H296" s="287">
        <f t="shared" si="9"/>
        <v>0</v>
      </c>
      <c r="I296" s="300">
        <v>7138058</v>
      </c>
      <c r="J296" s="289" t="s">
        <v>665</v>
      </c>
      <c r="K296" s="290" t="s">
        <v>17</v>
      </c>
      <c r="L296" s="290" t="s">
        <v>18</v>
      </c>
      <c r="M296" s="284">
        <v>98187475</v>
      </c>
      <c r="N296" s="440" t="s">
        <v>858</v>
      </c>
    </row>
    <row r="297" spans="1:15" x14ac:dyDescent="0.2">
      <c r="A297" s="229">
        <v>294</v>
      </c>
      <c r="B297" s="229">
        <v>3871</v>
      </c>
      <c r="C297" s="231" t="s">
        <v>38</v>
      </c>
      <c r="D297" s="239">
        <v>693.6</v>
      </c>
      <c r="E297" s="233">
        <v>0.4</v>
      </c>
      <c r="F297" s="233">
        <f t="shared" si="10"/>
        <v>277.44</v>
      </c>
      <c r="G297" s="233"/>
      <c r="H297" s="233">
        <f t="shared" si="9"/>
        <v>277.44</v>
      </c>
      <c r="I297" s="240">
        <v>6920684</v>
      </c>
      <c r="J297" s="236" t="s">
        <v>39</v>
      </c>
      <c r="K297" s="244" t="s">
        <v>17</v>
      </c>
      <c r="L297" s="244" t="s">
        <v>18</v>
      </c>
      <c r="M297" s="229"/>
      <c r="N297" s="437"/>
    </row>
    <row r="298" spans="1:15" x14ac:dyDescent="0.2">
      <c r="A298" s="284">
        <v>295</v>
      </c>
      <c r="B298" s="284">
        <v>3872</v>
      </c>
      <c r="C298" s="285" t="s">
        <v>666</v>
      </c>
      <c r="D298" s="286">
        <v>644</v>
      </c>
      <c r="E298" s="287">
        <v>0.4</v>
      </c>
      <c r="F298" s="287">
        <f t="shared" si="10"/>
        <v>257.60000000000002</v>
      </c>
      <c r="G298" s="287">
        <f>F298</f>
        <v>257.60000000000002</v>
      </c>
      <c r="H298" s="287">
        <f t="shared" si="9"/>
        <v>0</v>
      </c>
      <c r="I298" s="300">
        <v>5546892</v>
      </c>
      <c r="J298" s="289" t="s">
        <v>667</v>
      </c>
      <c r="K298" s="290" t="s">
        <v>17</v>
      </c>
      <c r="L298" s="290" t="s">
        <v>18</v>
      </c>
      <c r="M298" s="284">
        <v>93117757</v>
      </c>
      <c r="N298" s="440">
        <v>45691</v>
      </c>
    </row>
    <row r="299" spans="1:15" s="269" customFormat="1" x14ac:dyDescent="0.2">
      <c r="A299" s="251">
        <v>296</v>
      </c>
      <c r="B299" s="251">
        <v>3873</v>
      </c>
      <c r="C299" s="252" t="s">
        <v>668</v>
      </c>
      <c r="D299" s="253">
        <v>760</v>
      </c>
      <c r="E299" s="254">
        <v>0.4</v>
      </c>
      <c r="F299" s="254">
        <f t="shared" si="10"/>
        <v>304</v>
      </c>
      <c r="G299" s="254">
        <f>F299</f>
        <v>304</v>
      </c>
      <c r="H299" s="254">
        <f t="shared" si="9"/>
        <v>0</v>
      </c>
      <c r="I299" s="255">
        <v>6560744</v>
      </c>
      <c r="J299" s="256" t="s">
        <v>669</v>
      </c>
      <c r="K299" s="257" t="s">
        <v>25</v>
      </c>
      <c r="L299" s="256" t="s">
        <v>26</v>
      </c>
      <c r="M299" s="251">
        <v>99291997</v>
      </c>
      <c r="N299" s="438">
        <v>45932</v>
      </c>
      <c r="O299" s="429"/>
    </row>
    <row r="300" spans="1:15" x14ac:dyDescent="0.2">
      <c r="A300" s="229">
        <v>297</v>
      </c>
      <c r="B300" s="229">
        <v>3874</v>
      </c>
      <c r="C300" s="231" t="s">
        <v>670</v>
      </c>
      <c r="D300" s="239">
        <v>337</v>
      </c>
      <c r="E300" s="233">
        <v>0.4</v>
      </c>
      <c r="F300" s="233">
        <f t="shared" si="10"/>
        <v>134.80000000000001</v>
      </c>
      <c r="G300" s="233"/>
      <c r="H300" s="233">
        <f t="shared" si="9"/>
        <v>134.80000000000001</v>
      </c>
      <c r="I300" s="240">
        <v>8105354</v>
      </c>
      <c r="J300" s="236" t="s">
        <v>671</v>
      </c>
      <c r="K300" s="235" t="s">
        <v>25</v>
      </c>
      <c r="L300" s="241" t="s">
        <v>26</v>
      </c>
      <c r="M300" s="229">
        <v>96249000</v>
      </c>
      <c r="N300" s="437"/>
    </row>
    <row r="301" spans="1:15" x14ac:dyDescent="0.2">
      <c r="A301" s="229">
        <v>298</v>
      </c>
      <c r="B301" s="229">
        <v>3875</v>
      </c>
      <c r="C301" s="231" t="s">
        <v>672</v>
      </c>
      <c r="D301" s="239">
        <v>393</v>
      </c>
      <c r="E301" s="233">
        <v>0.4</v>
      </c>
      <c r="F301" s="233">
        <f t="shared" si="10"/>
        <v>157.20000000000002</v>
      </c>
      <c r="G301" s="233"/>
      <c r="H301" s="233">
        <f t="shared" si="9"/>
        <v>157.20000000000002</v>
      </c>
      <c r="I301" s="240">
        <v>1345289</v>
      </c>
      <c r="J301" s="236" t="s">
        <v>673</v>
      </c>
      <c r="K301" s="235" t="s">
        <v>25</v>
      </c>
      <c r="L301" s="241" t="s">
        <v>26</v>
      </c>
      <c r="M301" s="229">
        <v>99495936</v>
      </c>
      <c r="N301" s="437"/>
    </row>
    <row r="302" spans="1:15" x14ac:dyDescent="0.2">
      <c r="A302" s="284">
        <v>299</v>
      </c>
      <c r="B302" s="284">
        <v>3876</v>
      </c>
      <c r="C302" s="285" t="s">
        <v>674</v>
      </c>
      <c r="D302" s="286">
        <v>398.2</v>
      </c>
      <c r="E302" s="287">
        <v>0.4</v>
      </c>
      <c r="F302" s="287">
        <f t="shared" si="10"/>
        <v>159.28</v>
      </c>
      <c r="G302" s="287">
        <f>F302</f>
        <v>159.28</v>
      </c>
      <c r="H302" s="287">
        <f t="shared" si="9"/>
        <v>0</v>
      </c>
      <c r="I302" s="300">
        <v>4767948</v>
      </c>
      <c r="J302" s="236" t="s">
        <v>675</v>
      </c>
      <c r="K302" s="244" t="s">
        <v>17</v>
      </c>
      <c r="L302" s="244" t="s">
        <v>18</v>
      </c>
      <c r="M302" s="284"/>
      <c r="N302" s="440">
        <v>45664</v>
      </c>
    </row>
    <row r="303" spans="1:15" x14ac:dyDescent="0.2">
      <c r="A303" s="284">
        <v>300</v>
      </c>
      <c r="B303" s="284">
        <v>3877</v>
      </c>
      <c r="C303" s="285" t="s">
        <v>41</v>
      </c>
      <c r="D303" s="286">
        <v>281.60000000000002</v>
      </c>
      <c r="E303" s="287">
        <v>0.4</v>
      </c>
      <c r="F303" s="287">
        <f t="shared" si="10"/>
        <v>112.64000000000001</v>
      </c>
      <c r="G303" s="287">
        <f>F303</f>
        <v>112.64000000000001</v>
      </c>
      <c r="H303" s="287">
        <f t="shared" si="9"/>
        <v>0</v>
      </c>
      <c r="I303" s="300">
        <v>14897254</v>
      </c>
      <c r="J303" s="289" t="s">
        <v>42</v>
      </c>
      <c r="K303" s="290" t="s">
        <v>43</v>
      </c>
      <c r="L303" s="289" t="s">
        <v>44</v>
      </c>
      <c r="M303" s="284">
        <v>92226297</v>
      </c>
      <c r="N303" s="440" t="s">
        <v>873</v>
      </c>
    </row>
    <row r="304" spans="1:15" s="269" customFormat="1" x14ac:dyDescent="0.2">
      <c r="A304" s="251">
        <v>301</v>
      </c>
      <c r="B304" s="251">
        <v>3878</v>
      </c>
      <c r="C304" s="252" t="s">
        <v>676</v>
      </c>
      <c r="D304" s="253">
        <v>283.89999999999998</v>
      </c>
      <c r="E304" s="254">
        <v>0.4</v>
      </c>
      <c r="F304" s="254">
        <f t="shared" si="10"/>
        <v>113.56</v>
      </c>
      <c r="G304" s="254">
        <f>112.9</f>
        <v>112.9</v>
      </c>
      <c r="H304" s="254">
        <f t="shared" si="9"/>
        <v>0.65999999999999659</v>
      </c>
      <c r="I304" s="255">
        <v>22687078</v>
      </c>
      <c r="J304" s="256" t="s">
        <v>677</v>
      </c>
      <c r="K304" s="262" t="s">
        <v>75</v>
      </c>
      <c r="L304" s="263" t="s">
        <v>76</v>
      </c>
      <c r="M304" s="251">
        <v>92338070</v>
      </c>
      <c r="N304" s="438">
        <v>45932</v>
      </c>
      <c r="O304" s="429"/>
    </row>
    <row r="305" spans="1:15" s="274" customFormat="1" x14ac:dyDescent="0.2">
      <c r="A305" s="251">
        <v>302</v>
      </c>
      <c r="B305" s="251">
        <v>3879</v>
      </c>
      <c r="C305" s="252" t="s">
        <v>678</v>
      </c>
      <c r="D305" s="253">
        <v>177.1</v>
      </c>
      <c r="E305" s="254">
        <v>0.4</v>
      </c>
      <c r="F305" s="254">
        <f t="shared" si="10"/>
        <v>70.84</v>
      </c>
      <c r="G305" s="254">
        <f>F305</f>
        <v>70.84</v>
      </c>
      <c r="H305" s="254">
        <f t="shared" si="9"/>
        <v>0</v>
      </c>
      <c r="I305" s="255">
        <v>23178497</v>
      </c>
      <c r="J305" s="256" t="s">
        <v>679</v>
      </c>
      <c r="K305" s="257" t="s">
        <v>25</v>
      </c>
      <c r="L305" s="256" t="s">
        <v>26</v>
      </c>
      <c r="M305" s="251"/>
      <c r="N305" s="438">
        <v>45691</v>
      </c>
      <c r="O305" s="431"/>
    </row>
    <row r="306" spans="1:15" s="269" customFormat="1" x14ac:dyDescent="0.2">
      <c r="A306" s="251">
        <v>303</v>
      </c>
      <c r="B306" s="251">
        <v>3880</v>
      </c>
      <c r="C306" s="252" t="s">
        <v>680</v>
      </c>
      <c r="D306" s="253">
        <v>715.5</v>
      </c>
      <c r="E306" s="254">
        <v>0.4</v>
      </c>
      <c r="F306" s="254">
        <f t="shared" si="10"/>
        <v>286.2</v>
      </c>
      <c r="G306" s="254">
        <f>281.36</f>
        <v>281.36</v>
      </c>
      <c r="H306" s="254">
        <f t="shared" si="9"/>
        <v>4.839999999999975</v>
      </c>
      <c r="I306" s="255">
        <v>6370697</v>
      </c>
      <c r="J306" s="256" t="s">
        <v>681</v>
      </c>
      <c r="K306" s="257" t="s">
        <v>25</v>
      </c>
      <c r="L306" s="256" t="s">
        <v>26</v>
      </c>
      <c r="M306" s="251">
        <v>99239896</v>
      </c>
      <c r="N306" s="438">
        <v>45932</v>
      </c>
      <c r="O306" s="429"/>
    </row>
    <row r="307" spans="1:15" x14ac:dyDescent="0.2">
      <c r="A307" s="284">
        <v>304</v>
      </c>
      <c r="B307" s="284">
        <v>3882</v>
      </c>
      <c r="C307" s="285" t="s">
        <v>684</v>
      </c>
      <c r="D307" s="286">
        <v>361</v>
      </c>
      <c r="E307" s="287">
        <v>0.4</v>
      </c>
      <c r="F307" s="287">
        <f t="shared" si="10"/>
        <v>144.4</v>
      </c>
      <c r="G307" s="287">
        <f>F307</f>
        <v>144.4</v>
      </c>
      <c r="H307" s="287">
        <f t="shared" si="9"/>
        <v>0</v>
      </c>
      <c r="I307" s="300">
        <v>26752992</v>
      </c>
      <c r="J307" s="289" t="s">
        <v>685</v>
      </c>
      <c r="K307" s="301" t="s">
        <v>210</v>
      </c>
      <c r="L307" s="289" t="s">
        <v>211</v>
      </c>
      <c r="M307" s="284"/>
      <c r="N307" s="452">
        <v>45691</v>
      </c>
    </row>
    <row r="308" spans="1:15" s="269" customFormat="1" x14ac:dyDescent="0.2">
      <c r="A308" s="251">
        <v>305</v>
      </c>
      <c r="B308" s="251">
        <v>3884</v>
      </c>
      <c r="C308" s="252" t="s">
        <v>688</v>
      </c>
      <c r="D308" s="253">
        <v>185</v>
      </c>
      <c r="E308" s="254">
        <v>0.4</v>
      </c>
      <c r="F308" s="254">
        <f t="shared" si="10"/>
        <v>74</v>
      </c>
      <c r="G308" s="254">
        <f>72.75</f>
        <v>72.75</v>
      </c>
      <c r="H308" s="254">
        <f t="shared" si="9"/>
        <v>1.25</v>
      </c>
      <c r="I308" s="255">
        <v>22716378</v>
      </c>
      <c r="J308" s="256" t="s">
        <v>689</v>
      </c>
      <c r="K308" s="257" t="s">
        <v>25</v>
      </c>
      <c r="L308" s="256" t="s">
        <v>26</v>
      </c>
      <c r="M308" s="251"/>
      <c r="N308" s="438" t="s">
        <v>893</v>
      </c>
      <c r="O308" s="429"/>
    </row>
    <row r="309" spans="1:15" x14ac:dyDescent="0.2">
      <c r="A309" s="251">
        <v>306</v>
      </c>
      <c r="B309" s="251">
        <v>3885</v>
      </c>
      <c r="C309" s="252" t="s">
        <v>690</v>
      </c>
      <c r="D309" s="253">
        <v>165.1</v>
      </c>
      <c r="E309" s="254">
        <v>0.4</v>
      </c>
      <c r="F309" s="254">
        <f t="shared" si="10"/>
        <v>66.040000000000006</v>
      </c>
      <c r="G309" s="254">
        <f>65.54+0.5</f>
        <v>66.040000000000006</v>
      </c>
      <c r="H309" s="254">
        <f t="shared" si="9"/>
        <v>0</v>
      </c>
      <c r="I309" s="255">
        <v>9920479</v>
      </c>
      <c r="J309" s="256" t="s">
        <v>691</v>
      </c>
      <c r="K309" s="257" t="s">
        <v>326</v>
      </c>
      <c r="L309" s="256" t="s">
        <v>327</v>
      </c>
      <c r="M309" s="251"/>
      <c r="N309" s="438">
        <v>45685</v>
      </c>
      <c r="O309" s="427">
        <v>45691</v>
      </c>
    </row>
    <row r="310" spans="1:15" s="269" customFormat="1" x14ac:dyDescent="0.2">
      <c r="A310" s="251">
        <v>307</v>
      </c>
      <c r="B310" s="251">
        <v>3886</v>
      </c>
      <c r="C310" s="252" t="s">
        <v>692</v>
      </c>
      <c r="D310" s="253">
        <v>327.2</v>
      </c>
      <c r="E310" s="254">
        <v>0.4</v>
      </c>
      <c r="F310" s="254">
        <f t="shared" si="10"/>
        <v>130.88</v>
      </c>
      <c r="G310" s="254">
        <f>129.37</f>
        <v>129.37</v>
      </c>
      <c r="H310" s="254">
        <f t="shared" si="9"/>
        <v>1.5099999999999909</v>
      </c>
      <c r="I310" s="255">
        <v>21941594</v>
      </c>
      <c r="J310" s="256" t="s">
        <v>693</v>
      </c>
      <c r="K310" s="257" t="s">
        <v>25</v>
      </c>
      <c r="L310" s="256" t="s">
        <v>26</v>
      </c>
      <c r="M310" s="251">
        <v>92094818</v>
      </c>
      <c r="N310" s="438">
        <v>45932</v>
      </c>
      <c r="O310" s="429"/>
    </row>
    <row r="311" spans="1:15" x14ac:dyDescent="0.2">
      <c r="A311" s="251">
        <v>308</v>
      </c>
      <c r="B311" s="251">
        <v>3887</v>
      </c>
      <c r="C311" s="252" t="s">
        <v>694</v>
      </c>
      <c r="D311" s="253">
        <v>128</v>
      </c>
      <c r="E311" s="254">
        <v>0.4</v>
      </c>
      <c r="F311" s="254">
        <f t="shared" si="10"/>
        <v>51.2</v>
      </c>
      <c r="G311" s="254">
        <f>49.35+1.85</f>
        <v>51.2</v>
      </c>
      <c r="H311" s="254">
        <f t="shared" si="9"/>
        <v>0</v>
      </c>
      <c r="I311" s="255">
        <v>13204809</v>
      </c>
      <c r="J311" s="256" t="s">
        <v>695</v>
      </c>
      <c r="K311" s="257" t="s">
        <v>25</v>
      </c>
      <c r="L311" s="256" t="s">
        <v>26</v>
      </c>
      <c r="M311" s="251">
        <v>93332329</v>
      </c>
      <c r="N311" s="438">
        <v>45677</v>
      </c>
      <c r="O311" s="428" t="s">
        <v>893</v>
      </c>
    </row>
    <row r="312" spans="1:15" s="269" customFormat="1" x14ac:dyDescent="0.2">
      <c r="A312" s="251">
        <v>309</v>
      </c>
      <c r="B312" s="251">
        <v>3888</v>
      </c>
      <c r="C312" s="252" t="s">
        <v>696</v>
      </c>
      <c r="D312" s="253">
        <v>269.5</v>
      </c>
      <c r="E312" s="254">
        <v>0.4</v>
      </c>
      <c r="F312" s="254">
        <f t="shared" si="10"/>
        <v>107.80000000000001</v>
      </c>
      <c r="G312" s="254">
        <f>105.44</f>
        <v>105.44</v>
      </c>
      <c r="H312" s="254">
        <f t="shared" si="9"/>
        <v>2.3600000000000136</v>
      </c>
      <c r="I312" s="255">
        <v>1808869</v>
      </c>
      <c r="J312" s="236" t="s">
        <v>697</v>
      </c>
      <c r="K312" s="244" t="s">
        <v>17</v>
      </c>
      <c r="L312" s="244" t="s">
        <v>18</v>
      </c>
      <c r="M312" s="229">
        <v>98003381</v>
      </c>
      <c r="N312" s="430">
        <v>45691</v>
      </c>
      <c r="O312" s="429"/>
    </row>
    <row r="313" spans="1:15" x14ac:dyDescent="0.2">
      <c r="A313" s="284">
        <v>310</v>
      </c>
      <c r="B313" s="284">
        <v>3889</v>
      </c>
      <c r="C313" s="285" t="s">
        <v>698</v>
      </c>
      <c r="D313" s="286">
        <v>359.2</v>
      </c>
      <c r="E313" s="287">
        <v>0.4</v>
      </c>
      <c r="F313" s="287">
        <f t="shared" si="10"/>
        <v>143.68</v>
      </c>
      <c r="G313" s="287">
        <f>F313</f>
        <v>143.68</v>
      </c>
      <c r="H313" s="287">
        <f t="shared" si="9"/>
        <v>0</v>
      </c>
      <c r="I313" s="300">
        <v>6499103</v>
      </c>
      <c r="J313" s="289" t="s">
        <v>699</v>
      </c>
      <c r="K313" s="301" t="s">
        <v>25</v>
      </c>
      <c r="L313" s="289" t="s">
        <v>26</v>
      </c>
      <c r="M313" s="284">
        <v>98200299</v>
      </c>
      <c r="N313" s="440" t="s">
        <v>877</v>
      </c>
    </row>
    <row r="314" spans="1:15" x14ac:dyDescent="0.2">
      <c r="A314" s="277"/>
      <c r="B314" s="313"/>
      <c r="C314" s="314" t="s">
        <v>45</v>
      </c>
      <c r="D314" s="315">
        <f>SUM(D4:D313)</f>
        <v>124529.49999999996</v>
      </c>
      <c r="E314" s="316"/>
      <c r="F314" s="317">
        <f>SUM(F4:F313)</f>
        <v>49811.800000000017</v>
      </c>
      <c r="G314" s="317">
        <f>SUM(G4:G313)</f>
        <v>29073.231503499999</v>
      </c>
      <c r="H314" s="317">
        <f>SUM(H4:H313)</f>
        <v>20738.568496499989</v>
      </c>
      <c r="I314" s="277"/>
      <c r="J314" s="318"/>
      <c r="K314" s="318"/>
      <c r="L314" s="318"/>
      <c r="M314" s="276"/>
      <c r="N314" s="445"/>
    </row>
    <row r="315" spans="1:15" x14ac:dyDescent="0.2">
      <c r="D315" s="319"/>
    </row>
    <row r="316" spans="1:15" x14ac:dyDescent="0.2">
      <c r="D316" s="320">
        <f>D314*0.4</f>
        <v>49811.799999999988</v>
      </c>
    </row>
  </sheetData>
  <autoFilter ref="A3:N314" xr:uid="{8CCBE86F-839F-4B19-A03B-D79A9D41CF76}"/>
  <mergeCells count="1">
    <mergeCell ref="A1:N2"/>
  </mergeCells>
  <conditionalFormatting sqref="J24">
    <cfRule type="duplicateValues" dxfId="110" priority="17"/>
  </conditionalFormatting>
  <conditionalFormatting sqref="J31">
    <cfRule type="duplicateValues" dxfId="109" priority="18"/>
  </conditionalFormatting>
  <conditionalFormatting sqref="J37">
    <cfRule type="duplicateValues" dxfId="108" priority="19"/>
  </conditionalFormatting>
  <conditionalFormatting sqref="J47">
    <cfRule type="duplicateValues" dxfId="107" priority="10"/>
  </conditionalFormatting>
  <conditionalFormatting sqref="J48">
    <cfRule type="duplicateValues" dxfId="106" priority="11"/>
  </conditionalFormatting>
  <conditionalFormatting sqref="J49">
    <cfRule type="duplicateValues" dxfId="105" priority="12"/>
  </conditionalFormatting>
  <conditionalFormatting sqref="J56">
    <cfRule type="duplicateValues" dxfId="104" priority="13"/>
  </conditionalFormatting>
  <conditionalFormatting sqref="J59">
    <cfRule type="duplicateValues" dxfId="103" priority="14"/>
  </conditionalFormatting>
  <conditionalFormatting sqref="J69">
    <cfRule type="duplicateValues" dxfId="102" priority="15"/>
  </conditionalFormatting>
  <conditionalFormatting sqref="J95">
    <cfRule type="duplicateValues" dxfId="101" priority="16"/>
  </conditionalFormatting>
  <conditionalFormatting sqref="J105">
    <cfRule type="duplicateValues" dxfId="100" priority="1"/>
  </conditionalFormatting>
  <conditionalFormatting sqref="J106">
    <cfRule type="duplicateValues" dxfId="99" priority="2"/>
  </conditionalFormatting>
  <conditionalFormatting sqref="J112">
    <cfRule type="duplicateValues" dxfId="98" priority="3"/>
  </conditionalFormatting>
  <conditionalFormatting sqref="J131">
    <cfRule type="duplicateValues" dxfId="97" priority="4"/>
  </conditionalFormatting>
  <conditionalFormatting sqref="J132">
    <cfRule type="duplicateValues" dxfId="96" priority="5"/>
  </conditionalFormatting>
  <conditionalFormatting sqref="K60">
    <cfRule type="duplicateValues" dxfId="95" priority="6"/>
  </conditionalFormatting>
  <conditionalFormatting sqref="K96">
    <cfRule type="duplicateValues" dxfId="94" priority="8"/>
  </conditionalFormatting>
  <conditionalFormatting sqref="M60">
    <cfRule type="duplicateValues" dxfId="93" priority="7"/>
  </conditionalFormatting>
  <conditionalFormatting sqref="N96">
    <cfRule type="duplicateValues" dxfId="92" priority="9"/>
  </conditionalFormatting>
  <pageMargins left="0.7" right="0.7" top="0.75" bottom="0.75" header="0.3" footer="0.3"/>
  <pageSetup paperSize="9" scale="46" orientation="portrait" r:id="rId1"/>
  <ignoredErrors>
    <ignoredError sqref="G9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42B0-438E-434D-9E2D-20B335AE74CE}">
  <dimension ref="A1:P310"/>
  <sheetViews>
    <sheetView view="pageBreakPreview" topLeftCell="A78" zoomScale="121" zoomScaleNormal="100" zoomScaleSheetLayoutView="85" workbookViewId="0">
      <pane xSplit="2" topLeftCell="C1" activePane="topRight" state="frozen"/>
      <selection activeCell="N149" sqref="N149"/>
      <selection pane="topRight" activeCell="G180" sqref="G180"/>
    </sheetView>
  </sheetViews>
  <sheetFormatPr defaultRowHeight="15" x14ac:dyDescent="0.25"/>
  <cols>
    <col min="1" max="2" width="9.28515625" bestFit="1" customWidth="1"/>
    <col min="3" max="3" width="36.5703125" customWidth="1"/>
    <col min="4" max="4" width="12.28515625" customWidth="1"/>
    <col min="5" max="5" width="9.28515625" bestFit="1" customWidth="1"/>
    <col min="6" max="8" width="13.5703125" customWidth="1"/>
    <col min="9" max="9" width="13" bestFit="1" customWidth="1"/>
    <col min="10" max="10" width="13.7109375" customWidth="1"/>
  </cols>
  <sheetData>
    <row r="1" spans="1:11" x14ac:dyDescent="0.25">
      <c r="A1" s="601" t="s">
        <v>860</v>
      </c>
      <c r="B1" s="601"/>
      <c r="C1" s="601"/>
      <c r="D1" s="601"/>
      <c r="E1" s="601"/>
      <c r="F1" s="601"/>
      <c r="G1" s="601"/>
      <c r="H1" s="601"/>
      <c r="I1" s="601"/>
      <c r="J1" s="601"/>
    </row>
    <row r="2" spans="1:11" x14ac:dyDescent="0.25">
      <c r="A2" s="601"/>
      <c r="B2" s="601"/>
      <c r="C2" s="601"/>
      <c r="D2" s="601"/>
      <c r="E2" s="601"/>
      <c r="F2" s="601"/>
      <c r="G2" s="601"/>
      <c r="H2" s="601"/>
      <c r="I2" s="601"/>
      <c r="J2" s="601"/>
    </row>
    <row r="3" spans="1:11" ht="27" x14ac:dyDescent="0.25">
      <c r="A3" s="454" t="s">
        <v>1</v>
      </c>
      <c r="B3" s="454" t="s">
        <v>2</v>
      </c>
      <c r="C3" s="455" t="s">
        <v>3</v>
      </c>
      <c r="D3" s="456" t="s">
        <v>4</v>
      </c>
      <c r="E3" s="454" t="s">
        <v>5</v>
      </c>
      <c r="F3" s="454" t="s">
        <v>6</v>
      </c>
      <c r="G3" s="454" t="s">
        <v>703</v>
      </c>
      <c r="H3" s="454" t="s">
        <v>704</v>
      </c>
      <c r="I3" s="454" t="s">
        <v>896</v>
      </c>
      <c r="J3" s="454" t="s">
        <v>897</v>
      </c>
    </row>
    <row r="4" spans="1:11" x14ac:dyDescent="0.25">
      <c r="A4" s="22">
        <v>1</v>
      </c>
      <c r="B4" s="457">
        <v>1108</v>
      </c>
      <c r="C4" s="33" t="s">
        <v>49</v>
      </c>
      <c r="D4" s="45">
        <v>957.8</v>
      </c>
      <c r="E4" s="25">
        <v>0.4</v>
      </c>
      <c r="F4" s="25">
        <f>E4*D4</f>
        <v>383.12</v>
      </c>
      <c r="G4" s="25"/>
      <c r="H4" s="25">
        <f>F4-G4</f>
        <v>383.12</v>
      </c>
      <c r="I4" s="458">
        <v>15218386</v>
      </c>
      <c r="J4" s="26"/>
    </row>
    <row r="5" spans="1:11" x14ac:dyDescent="0.25">
      <c r="A5" s="22">
        <v>2</v>
      </c>
      <c r="B5" s="457">
        <v>1390</v>
      </c>
      <c r="C5" s="33" t="s">
        <v>51</v>
      </c>
      <c r="D5" s="45">
        <v>342.4</v>
      </c>
      <c r="E5" s="25">
        <v>0.4</v>
      </c>
      <c r="F5" s="25">
        <f t="shared" ref="F5:F68" si="0">E5*D5</f>
        <v>136.96</v>
      </c>
      <c r="G5" s="25"/>
      <c r="H5" s="25">
        <f t="shared" ref="H5:H68" si="1">F5-G5</f>
        <v>136.96</v>
      </c>
      <c r="I5" s="22">
        <v>12181822</v>
      </c>
      <c r="J5" s="26"/>
    </row>
    <row r="6" spans="1:11" x14ac:dyDescent="0.25">
      <c r="A6" s="22">
        <v>3</v>
      </c>
      <c r="B6" s="457">
        <v>1399</v>
      </c>
      <c r="C6" s="33" t="s">
        <v>53</v>
      </c>
      <c r="D6" s="24">
        <v>262.8</v>
      </c>
      <c r="E6" s="25">
        <v>0.4</v>
      </c>
      <c r="F6" s="25">
        <f t="shared" si="0"/>
        <v>105.12</v>
      </c>
      <c r="G6" s="25"/>
      <c r="H6" s="25">
        <f t="shared" si="1"/>
        <v>105.12</v>
      </c>
      <c r="I6" s="34">
        <v>10065546</v>
      </c>
      <c r="J6" s="26"/>
    </row>
    <row r="7" spans="1:11" x14ac:dyDescent="0.25">
      <c r="A7" s="22">
        <v>4</v>
      </c>
      <c r="B7" s="457">
        <v>1422</v>
      </c>
      <c r="C7" s="33" t="s">
        <v>56</v>
      </c>
      <c r="D7" s="24">
        <v>213.7</v>
      </c>
      <c r="E7" s="25">
        <v>0.4</v>
      </c>
      <c r="F7" s="25">
        <f t="shared" si="0"/>
        <v>85.48</v>
      </c>
      <c r="G7" s="25"/>
      <c r="H7" s="25">
        <f t="shared" si="1"/>
        <v>85.48</v>
      </c>
      <c r="I7" s="458">
        <v>3280016</v>
      </c>
      <c r="J7" s="26" t="s">
        <v>719</v>
      </c>
    </row>
    <row r="8" spans="1:11" s="36" customFormat="1" x14ac:dyDescent="0.25">
      <c r="A8" s="27">
        <v>5</v>
      </c>
      <c r="B8" s="27">
        <v>1424</v>
      </c>
      <c r="C8" s="28" t="s">
        <v>58</v>
      </c>
      <c r="D8" s="29">
        <v>342.8</v>
      </c>
      <c r="E8" s="30">
        <v>0.4</v>
      </c>
      <c r="F8" s="30">
        <f t="shared" si="0"/>
        <v>137.12</v>
      </c>
      <c r="G8" s="30">
        <f>136.11+1.01</f>
        <v>137.12</v>
      </c>
      <c r="H8" s="30">
        <f t="shared" si="1"/>
        <v>0</v>
      </c>
      <c r="I8" s="47">
        <v>748395</v>
      </c>
      <c r="J8" s="35">
        <v>45902</v>
      </c>
      <c r="K8" s="36" t="s">
        <v>908</v>
      </c>
    </row>
    <row r="9" spans="1:11" x14ac:dyDescent="0.25">
      <c r="A9" s="22">
        <v>6</v>
      </c>
      <c r="B9" s="22">
        <v>1429</v>
      </c>
      <c r="C9" s="33" t="s">
        <v>60</v>
      </c>
      <c r="D9" s="24">
        <v>363</v>
      </c>
      <c r="E9" s="25">
        <v>0.4</v>
      </c>
      <c r="F9" s="25">
        <f t="shared" si="0"/>
        <v>145.20000000000002</v>
      </c>
      <c r="G9" s="25"/>
      <c r="H9" s="25">
        <f t="shared" si="1"/>
        <v>145.20000000000002</v>
      </c>
      <c r="I9" s="34">
        <v>339725</v>
      </c>
      <c r="J9" s="26"/>
    </row>
    <row r="10" spans="1:11" s="36" customFormat="1" x14ac:dyDescent="0.25">
      <c r="A10" s="27">
        <v>7</v>
      </c>
      <c r="B10" s="27">
        <v>1431</v>
      </c>
      <c r="C10" s="28" t="s">
        <v>62</v>
      </c>
      <c r="D10" s="29">
        <v>338.7</v>
      </c>
      <c r="E10" s="30">
        <v>0.4</v>
      </c>
      <c r="F10" s="30">
        <f t="shared" si="0"/>
        <v>135.47999999999999</v>
      </c>
      <c r="G10" s="30">
        <f>133.46</f>
        <v>133.46</v>
      </c>
      <c r="H10" s="30">
        <f t="shared" si="1"/>
        <v>2.0199999999999818</v>
      </c>
      <c r="I10" s="47">
        <v>721445</v>
      </c>
      <c r="J10" s="31" t="s">
        <v>904</v>
      </c>
    </row>
    <row r="11" spans="1:11" x14ac:dyDescent="0.25">
      <c r="A11" s="22">
        <v>8</v>
      </c>
      <c r="B11" s="22">
        <v>1443</v>
      </c>
      <c r="C11" s="33" t="s">
        <v>65</v>
      </c>
      <c r="D11" s="45">
        <v>1204.0999999999999</v>
      </c>
      <c r="E11" s="25">
        <v>0.4</v>
      </c>
      <c r="F11" s="25">
        <f t="shared" si="0"/>
        <v>481.64</v>
      </c>
      <c r="G11" s="25"/>
      <c r="H11" s="25">
        <f t="shared" si="1"/>
        <v>481.64</v>
      </c>
      <c r="I11" s="46">
        <v>6026992</v>
      </c>
      <c r="J11" s="26"/>
    </row>
    <row r="12" spans="1:11" x14ac:dyDescent="0.25">
      <c r="A12" s="22">
        <v>9</v>
      </c>
      <c r="B12" s="457">
        <v>1452</v>
      </c>
      <c r="C12" s="33" t="s">
        <v>67</v>
      </c>
      <c r="D12" s="45">
        <v>305.2</v>
      </c>
      <c r="E12" s="25">
        <v>0.4</v>
      </c>
      <c r="F12" s="25">
        <f t="shared" si="0"/>
        <v>122.08</v>
      </c>
      <c r="G12" s="25"/>
      <c r="H12" s="25">
        <f t="shared" si="1"/>
        <v>122.08</v>
      </c>
      <c r="I12" s="459">
        <v>20917176</v>
      </c>
      <c r="J12" s="460"/>
    </row>
    <row r="13" spans="1:11" x14ac:dyDescent="0.25">
      <c r="A13" s="22">
        <v>10</v>
      </c>
      <c r="B13" s="22">
        <v>1458</v>
      </c>
      <c r="C13" s="33" t="s">
        <v>69</v>
      </c>
      <c r="D13" s="45">
        <v>316.2</v>
      </c>
      <c r="E13" s="25">
        <v>0.4</v>
      </c>
      <c r="F13" s="25">
        <f t="shared" si="0"/>
        <v>126.48</v>
      </c>
      <c r="G13" s="25"/>
      <c r="H13" s="25">
        <f t="shared" si="1"/>
        <v>126.48</v>
      </c>
      <c r="I13" s="46">
        <v>77628</v>
      </c>
      <c r="J13" s="26"/>
    </row>
    <row r="14" spans="1:11" x14ac:dyDescent="0.25">
      <c r="A14" s="22">
        <v>11</v>
      </c>
      <c r="B14" s="22">
        <v>1461</v>
      </c>
      <c r="C14" s="33" t="s">
        <v>71</v>
      </c>
      <c r="D14" s="45">
        <v>326.5</v>
      </c>
      <c r="E14" s="25">
        <v>0.4</v>
      </c>
      <c r="F14" s="25">
        <f t="shared" si="0"/>
        <v>130.6</v>
      </c>
      <c r="G14" s="25"/>
      <c r="H14" s="25">
        <f t="shared" si="1"/>
        <v>130.6</v>
      </c>
      <c r="I14" s="46">
        <v>6828806</v>
      </c>
      <c r="J14" s="26"/>
    </row>
    <row r="15" spans="1:11" s="144" customFormat="1" x14ac:dyDescent="0.25">
      <c r="A15" s="54">
        <v>12</v>
      </c>
      <c r="B15" s="54">
        <v>1465</v>
      </c>
      <c r="C15" s="55" t="s">
        <v>73</v>
      </c>
      <c r="D15" s="56">
        <v>308.5</v>
      </c>
      <c r="E15" s="57">
        <v>0.4</v>
      </c>
      <c r="F15" s="57">
        <f t="shared" si="0"/>
        <v>123.4</v>
      </c>
      <c r="G15" s="57">
        <f>F15</f>
        <v>123.4</v>
      </c>
      <c r="H15" s="57">
        <f t="shared" si="1"/>
        <v>0</v>
      </c>
      <c r="I15" s="54">
        <v>757601</v>
      </c>
      <c r="J15" s="461">
        <v>45932</v>
      </c>
    </row>
    <row r="16" spans="1:11" x14ac:dyDescent="0.25">
      <c r="A16" s="22">
        <v>13</v>
      </c>
      <c r="B16" s="22">
        <v>1474</v>
      </c>
      <c r="C16" s="33" t="s">
        <v>15</v>
      </c>
      <c r="D16" s="45">
        <v>764.3</v>
      </c>
      <c r="E16" s="25">
        <v>0.4</v>
      </c>
      <c r="F16" s="25">
        <f t="shared" si="0"/>
        <v>305.71999999999997</v>
      </c>
      <c r="G16" s="25"/>
      <c r="H16" s="25">
        <f t="shared" si="1"/>
        <v>305.71999999999997</v>
      </c>
      <c r="I16" s="22">
        <v>4603773</v>
      </c>
      <c r="J16" s="26"/>
    </row>
    <row r="17" spans="1:15" s="36" customFormat="1" x14ac:dyDescent="0.25">
      <c r="A17" s="27">
        <v>14</v>
      </c>
      <c r="B17" s="27">
        <v>1479</v>
      </c>
      <c r="C17" s="157" t="s">
        <v>77</v>
      </c>
      <c r="D17" s="29">
        <v>315.5</v>
      </c>
      <c r="E17" s="30">
        <v>0.4</v>
      </c>
      <c r="F17" s="30">
        <f t="shared" si="0"/>
        <v>126.2</v>
      </c>
      <c r="G17" s="30">
        <f>125.4</f>
        <v>125.4</v>
      </c>
      <c r="H17" s="30">
        <f t="shared" si="1"/>
        <v>0.79999999999999716</v>
      </c>
      <c r="I17" s="158">
        <v>5217726</v>
      </c>
      <c r="J17" s="31" t="s">
        <v>901</v>
      </c>
    </row>
    <row r="18" spans="1:15" x14ac:dyDescent="0.25">
      <c r="A18" s="22">
        <v>15</v>
      </c>
      <c r="B18" s="22">
        <v>1483</v>
      </c>
      <c r="C18" s="33" t="s">
        <v>79</v>
      </c>
      <c r="D18" s="45">
        <v>822.2</v>
      </c>
      <c r="E18" s="25">
        <v>0.4</v>
      </c>
      <c r="F18" s="25">
        <f t="shared" si="0"/>
        <v>328.88000000000005</v>
      </c>
      <c r="G18" s="25"/>
      <c r="H18" s="25">
        <f t="shared" si="1"/>
        <v>328.88000000000005</v>
      </c>
      <c r="I18" s="22">
        <v>1567826</v>
      </c>
      <c r="J18" s="26"/>
    </row>
    <row r="19" spans="1:15" x14ac:dyDescent="0.25">
      <c r="A19" s="22">
        <v>16</v>
      </c>
      <c r="B19" s="22">
        <v>1486</v>
      </c>
      <c r="C19" s="33" t="s">
        <v>714</v>
      </c>
      <c r="D19" s="45">
        <v>367.7</v>
      </c>
      <c r="E19" s="25">
        <v>0.4</v>
      </c>
      <c r="F19" s="25">
        <f t="shared" si="0"/>
        <v>147.08000000000001</v>
      </c>
      <c r="G19" s="25"/>
      <c r="H19" s="25">
        <f t="shared" si="1"/>
        <v>147.08000000000001</v>
      </c>
      <c r="I19" s="22">
        <v>22792564</v>
      </c>
      <c r="J19" s="26"/>
    </row>
    <row r="20" spans="1:15" x14ac:dyDescent="0.25">
      <c r="A20" s="22">
        <v>17</v>
      </c>
      <c r="B20" s="22">
        <v>1762</v>
      </c>
      <c r="C20" s="33" t="s">
        <v>82</v>
      </c>
      <c r="D20" s="24">
        <v>1148.2</v>
      </c>
      <c r="E20" s="25">
        <v>0.4</v>
      </c>
      <c r="F20" s="25">
        <f t="shared" si="0"/>
        <v>459.28000000000003</v>
      </c>
      <c r="G20" s="25"/>
      <c r="H20" s="25">
        <f t="shared" si="1"/>
        <v>459.28000000000003</v>
      </c>
      <c r="I20" s="34">
        <v>1409527</v>
      </c>
      <c r="J20" s="26"/>
    </row>
    <row r="21" spans="1:15" x14ac:dyDescent="0.25">
      <c r="A21" s="22">
        <v>18</v>
      </c>
      <c r="B21" s="22">
        <v>1792</v>
      </c>
      <c r="C21" s="33" t="s">
        <v>85</v>
      </c>
      <c r="D21" s="24">
        <v>324.3</v>
      </c>
      <c r="E21" s="25">
        <v>0.4</v>
      </c>
      <c r="F21" s="25">
        <f t="shared" si="0"/>
        <v>129.72</v>
      </c>
      <c r="G21" s="25"/>
      <c r="H21" s="25">
        <f t="shared" si="1"/>
        <v>129.72</v>
      </c>
      <c r="I21" s="462">
        <v>9545556</v>
      </c>
      <c r="J21" s="26"/>
    </row>
    <row r="22" spans="1:15" x14ac:dyDescent="0.25">
      <c r="A22" s="22">
        <v>19</v>
      </c>
      <c r="B22" s="22">
        <v>3009</v>
      </c>
      <c r="C22" s="33" t="s">
        <v>87</v>
      </c>
      <c r="D22" s="45">
        <v>346.6</v>
      </c>
      <c r="E22" s="25">
        <v>0.4</v>
      </c>
      <c r="F22" s="25">
        <f t="shared" si="0"/>
        <v>138.64000000000001</v>
      </c>
      <c r="G22" s="25"/>
      <c r="H22" s="25">
        <f t="shared" si="1"/>
        <v>138.64000000000001</v>
      </c>
      <c r="I22" s="22">
        <v>1448391</v>
      </c>
      <c r="J22" s="26"/>
    </row>
    <row r="23" spans="1:15" s="36" customFormat="1" x14ac:dyDescent="0.25">
      <c r="A23" s="27">
        <v>20</v>
      </c>
      <c r="B23" s="27">
        <v>3012</v>
      </c>
      <c r="C23" s="28" t="s">
        <v>90</v>
      </c>
      <c r="D23" s="29">
        <v>322</v>
      </c>
      <c r="E23" s="30">
        <v>0.4</v>
      </c>
      <c r="F23" s="30">
        <f t="shared" si="0"/>
        <v>128.80000000000001</v>
      </c>
      <c r="G23" s="30">
        <f>125.03</f>
        <v>125.03</v>
      </c>
      <c r="H23" s="30">
        <f t="shared" si="1"/>
        <v>3.7700000000000102</v>
      </c>
      <c r="I23" s="27">
        <v>5634422</v>
      </c>
      <c r="J23" s="35">
        <v>45993</v>
      </c>
    </row>
    <row r="24" spans="1:15" s="36" customFormat="1" x14ac:dyDescent="0.25">
      <c r="A24" s="27">
        <v>21</v>
      </c>
      <c r="B24" s="27">
        <v>3014</v>
      </c>
      <c r="C24" s="28" t="s">
        <v>92</v>
      </c>
      <c r="D24" s="29">
        <v>284.2</v>
      </c>
      <c r="E24" s="30">
        <v>0.4</v>
      </c>
      <c r="F24" s="30">
        <f t="shared" si="0"/>
        <v>113.68</v>
      </c>
      <c r="G24" s="30">
        <f>110.26</f>
        <v>110.26</v>
      </c>
      <c r="H24" s="30">
        <f t="shared" si="1"/>
        <v>3.4200000000000017</v>
      </c>
      <c r="I24" s="27">
        <v>648421</v>
      </c>
      <c r="J24" s="31" t="s">
        <v>903</v>
      </c>
    </row>
    <row r="25" spans="1:15" x14ac:dyDescent="0.25">
      <c r="A25" s="22">
        <v>22</v>
      </c>
      <c r="B25" s="22">
        <v>3015</v>
      </c>
      <c r="C25" s="33" t="s">
        <v>94</v>
      </c>
      <c r="D25" s="45">
        <v>345</v>
      </c>
      <c r="E25" s="25">
        <v>0.4</v>
      </c>
      <c r="F25" s="25">
        <f t="shared" si="0"/>
        <v>138</v>
      </c>
      <c r="G25" s="25"/>
      <c r="H25" s="25">
        <f t="shared" si="1"/>
        <v>138</v>
      </c>
      <c r="I25" s="22">
        <v>5753033</v>
      </c>
      <c r="J25" s="26"/>
    </row>
    <row r="26" spans="1:15" x14ac:dyDescent="0.25">
      <c r="A26" s="22">
        <v>23</v>
      </c>
      <c r="B26" s="22">
        <v>3018</v>
      </c>
      <c r="C26" s="33" t="s">
        <v>96</v>
      </c>
      <c r="D26" s="24">
        <v>128.9</v>
      </c>
      <c r="E26" s="25">
        <v>0.4</v>
      </c>
      <c r="F26" s="25">
        <f t="shared" si="0"/>
        <v>51.56</v>
      </c>
      <c r="G26" s="25"/>
      <c r="H26" s="25">
        <f t="shared" si="1"/>
        <v>51.56</v>
      </c>
      <c r="I26" s="34">
        <v>1528087</v>
      </c>
      <c r="J26" s="53"/>
    </row>
    <row r="27" spans="1:15" x14ac:dyDescent="0.25">
      <c r="A27" s="27">
        <v>24</v>
      </c>
      <c r="B27" s="27">
        <v>3020</v>
      </c>
      <c r="C27" s="28" t="s">
        <v>98</v>
      </c>
      <c r="D27" s="29">
        <v>486.1</v>
      </c>
      <c r="E27" s="30">
        <v>0.4</v>
      </c>
      <c r="F27" s="30">
        <f t="shared" si="0"/>
        <v>194.44000000000003</v>
      </c>
      <c r="G27" s="30">
        <f>193.62+0.82</f>
        <v>194.44</v>
      </c>
      <c r="H27" s="30">
        <f t="shared" si="1"/>
        <v>0</v>
      </c>
      <c r="I27" s="27">
        <v>5418422</v>
      </c>
      <c r="J27" s="35">
        <v>45677</v>
      </c>
      <c r="K27" t="s">
        <v>893</v>
      </c>
      <c r="O27" s="36"/>
    </row>
    <row r="28" spans="1:15" x14ac:dyDescent="0.25">
      <c r="A28" s="22">
        <v>25</v>
      </c>
      <c r="B28" s="22">
        <v>3022</v>
      </c>
      <c r="C28" s="33" t="s">
        <v>100</v>
      </c>
      <c r="D28" s="45">
        <v>960.1</v>
      </c>
      <c r="E28" s="25">
        <v>0.4</v>
      </c>
      <c r="F28" s="25">
        <f t="shared" si="0"/>
        <v>384.04</v>
      </c>
      <c r="G28" s="25"/>
      <c r="H28" s="25">
        <f t="shared" si="1"/>
        <v>384.04</v>
      </c>
      <c r="I28" s="22">
        <v>5360253</v>
      </c>
      <c r="J28" s="26"/>
    </row>
    <row r="29" spans="1:15" x14ac:dyDescent="0.25">
      <c r="A29" s="22">
        <v>26</v>
      </c>
      <c r="B29" s="22">
        <v>3025</v>
      </c>
      <c r="C29" s="33" t="s">
        <v>102</v>
      </c>
      <c r="D29" s="45">
        <v>547.79999999999995</v>
      </c>
      <c r="E29" s="25">
        <v>0.4</v>
      </c>
      <c r="F29" s="25">
        <f t="shared" si="0"/>
        <v>219.12</v>
      </c>
      <c r="G29" s="25"/>
      <c r="H29" s="25">
        <f t="shared" si="1"/>
        <v>219.12</v>
      </c>
      <c r="I29" s="22">
        <v>7542172</v>
      </c>
      <c r="J29" s="26"/>
    </row>
    <row r="30" spans="1:15" x14ac:dyDescent="0.25">
      <c r="A30" s="22">
        <v>27</v>
      </c>
      <c r="B30" s="22">
        <v>3026</v>
      </c>
      <c r="C30" s="33" t="s">
        <v>105</v>
      </c>
      <c r="D30" s="45">
        <v>302.2</v>
      </c>
      <c r="E30" s="25">
        <v>0.4</v>
      </c>
      <c r="F30" s="25">
        <f t="shared" si="0"/>
        <v>120.88</v>
      </c>
      <c r="G30" s="25"/>
      <c r="H30" s="25">
        <f t="shared" si="1"/>
        <v>120.88</v>
      </c>
      <c r="I30" s="22">
        <v>7033819</v>
      </c>
      <c r="J30" s="26"/>
    </row>
    <row r="31" spans="1:15" x14ac:dyDescent="0.25">
      <c r="A31" s="22">
        <v>28</v>
      </c>
      <c r="B31" s="22">
        <v>3027</v>
      </c>
      <c r="C31" s="33" t="s">
        <v>107</v>
      </c>
      <c r="D31" s="45">
        <v>666.3</v>
      </c>
      <c r="E31" s="25">
        <v>0.4</v>
      </c>
      <c r="F31" s="25">
        <f t="shared" si="0"/>
        <v>266.52</v>
      </c>
      <c r="G31" s="25"/>
      <c r="H31" s="25">
        <f t="shared" si="1"/>
        <v>266.52</v>
      </c>
      <c r="I31" s="22">
        <v>6420643</v>
      </c>
      <c r="J31" s="26"/>
    </row>
    <row r="32" spans="1:15" s="36" customFormat="1" x14ac:dyDescent="0.25">
      <c r="A32" s="27">
        <v>29</v>
      </c>
      <c r="B32" s="27">
        <v>3030</v>
      </c>
      <c r="C32" s="28" t="s">
        <v>109</v>
      </c>
      <c r="D32" s="29">
        <v>345</v>
      </c>
      <c r="E32" s="30">
        <v>0.4</v>
      </c>
      <c r="F32" s="30">
        <f t="shared" si="0"/>
        <v>138</v>
      </c>
      <c r="G32" s="30">
        <f>F32</f>
        <v>138</v>
      </c>
      <c r="H32" s="30">
        <f t="shared" si="1"/>
        <v>0</v>
      </c>
      <c r="I32" s="27">
        <v>6021175</v>
      </c>
      <c r="J32" s="31" t="s">
        <v>902</v>
      </c>
    </row>
    <row r="33" spans="1:11" s="36" customFormat="1" x14ac:dyDescent="0.25">
      <c r="A33" s="27">
        <v>30</v>
      </c>
      <c r="B33" s="27">
        <v>3038</v>
      </c>
      <c r="C33" s="28" t="s">
        <v>111</v>
      </c>
      <c r="D33" s="29">
        <v>664</v>
      </c>
      <c r="E33" s="30">
        <v>0.4</v>
      </c>
      <c r="F33" s="30">
        <f t="shared" si="0"/>
        <v>265.60000000000002</v>
      </c>
      <c r="G33" s="30">
        <f>265.05</f>
        <v>265.05</v>
      </c>
      <c r="H33" s="30">
        <f t="shared" si="1"/>
        <v>0.55000000000001137</v>
      </c>
      <c r="I33" s="27">
        <v>7976</v>
      </c>
      <c r="J33" s="35">
        <v>45932</v>
      </c>
    </row>
    <row r="34" spans="1:11" s="36" customFormat="1" x14ac:dyDescent="0.25">
      <c r="A34" s="27">
        <v>31</v>
      </c>
      <c r="B34" s="27">
        <v>3043</v>
      </c>
      <c r="C34" s="28" t="s">
        <v>113</v>
      </c>
      <c r="D34" s="29">
        <v>286.5</v>
      </c>
      <c r="E34" s="30">
        <v>0.4</v>
      </c>
      <c r="F34" s="30">
        <f t="shared" si="0"/>
        <v>114.60000000000001</v>
      </c>
      <c r="G34" s="30">
        <f>110.34</f>
        <v>110.34</v>
      </c>
      <c r="H34" s="30">
        <f t="shared" si="1"/>
        <v>4.2600000000000051</v>
      </c>
      <c r="I34" s="27">
        <v>396336</v>
      </c>
      <c r="J34" s="31" t="s">
        <v>904</v>
      </c>
    </row>
    <row r="35" spans="1:11" x14ac:dyDescent="0.25">
      <c r="A35" s="22">
        <v>32</v>
      </c>
      <c r="B35" s="22">
        <v>3058</v>
      </c>
      <c r="C35" s="33" t="s">
        <v>115</v>
      </c>
      <c r="D35" s="45">
        <v>1081.0999999999999</v>
      </c>
      <c r="E35" s="25">
        <v>0.4</v>
      </c>
      <c r="F35" s="25">
        <f t="shared" si="0"/>
        <v>432.44</v>
      </c>
      <c r="G35" s="25"/>
      <c r="H35" s="25">
        <f t="shared" si="1"/>
        <v>432.44</v>
      </c>
      <c r="I35" s="22">
        <v>965148</v>
      </c>
      <c r="J35" s="26"/>
    </row>
    <row r="36" spans="1:11" x14ac:dyDescent="0.25">
      <c r="A36" s="27">
        <v>33</v>
      </c>
      <c r="B36" s="27">
        <v>3070</v>
      </c>
      <c r="C36" s="28" t="s">
        <v>117</v>
      </c>
      <c r="D36" s="29">
        <v>1028.7</v>
      </c>
      <c r="E36" s="30">
        <v>0.4</v>
      </c>
      <c r="F36" s="30">
        <f t="shared" si="0"/>
        <v>411.48</v>
      </c>
      <c r="G36" s="30">
        <f>407.03</f>
        <v>407.03</v>
      </c>
      <c r="H36" s="30">
        <f t="shared" si="1"/>
        <v>4.4500000000000455</v>
      </c>
      <c r="I36" s="47">
        <v>1918001</v>
      </c>
      <c r="J36" s="35">
        <v>45670</v>
      </c>
      <c r="K36" s="36"/>
    </row>
    <row r="37" spans="1:11" x14ac:dyDescent="0.25">
      <c r="A37" s="22">
        <v>34</v>
      </c>
      <c r="B37" s="22">
        <v>3072</v>
      </c>
      <c r="C37" s="33" t="s">
        <v>119</v>
      </c>
      <c r="D37" s="45">
        <v>303.5</v>
      </c>
      <c r="E37" s="25">
        <v>0.4</v>
      </c>
      <c r="F37" s="25">
        <f t="shared" si="0"/>
        <v>121.4</v>
      </c>
      <c r="G37" s="25"/>
      <c r="H37" s="25">
        <f t="shared" si="1"/>
        <v>121.4</v>
      </c>
      <c r="I37" s="22">
        <v>993077</v>
      </c>
      <c r="J37" s="26"/>
    </row>
    <row r="38" spans="1:11" x14ac:dyDescent="0.25">
      <c r="A38" s="22">
        <v>35</v>
      </c>
      <c r="B38" s="22">
        <v>3077</v>
      </c>
      <c r="C38" s="33" t="s">
        <v>123</v>
      </c>
      <c r="D38" s="45">
        <v>657.3</v>
      </c>
      <c r="E38" s="25">
        <v>0.4</v>
      </c>
      <c r="F38" s="25">
        <f t="shared" si="0"/>
        <v>262.92</v>
      </c>
      <c r="G38" s="25"/>
      <c r="H38" s="25">
        <f t="shared" si="1"/>
        <v>262.92</v>
      </c>
      <c r="I38" s="22">
        <v>21978752</v>
      </c>
      <c r="J38" s="26"/>
    </row>
    <row r="39" spans="1:11" s="144" customFormat="1" x14ac:dyDescent="0.25">
      <c r="A39" s="54">
        <v>36</v>
      </c>
      <c r="B39" s="54">
        <v>3081</v>
      </c>
      <c r="C39" s="55" t="s">
        <v>126</v>
      </c>
      <c r="D39" s="56">
        <v>184.3</v>
      </c>
      <c r="E39" s="57">
        <v>0.4</v>
      </c>
      <c r="F39" s="57">
        <f t="shared" si="0"/>
        <v>73.720000000000013</v>
      </c>
      <c r="G39" s="57">
        <f>F39</f>
        <v>73.720000000000013</v>
      </c>
      <c r="H39" s="57">
        <f t="shared" si="1"/>
        <v>0</v>
      </c>
      <c r="I39" s="54">
        <v>21219868</v>
      </c>
      <c r="J39" s="461">
        <v>45718</v>
      </c>
    </row>
    <row r="40" spans="1:11" s="36" customFormat="1" x14ac:dyDescent="0.25">
      <c r="A40" s="27">
        <v>37</v>
      </c>
      <c r="B40" s="27">
        <v>3089</v>
      </c>
      <c r="C40" s="28" t="s">
        <v>130</v>
      </c>
      <c r="D40" s="29">
        <v>358</v>
      </c>
      <c r="E40" s="30">
        <v>0.4</v>
      </c>
      <c r="F40" s="30">
        <f t="shared" si="0"/>
        <v>143.20000000000002</v>
      </c>
      <c r="G40" s="30">
        <f>F40</f>
        <v>143.20000000000002</v>
      </c>
      <c r="H40" s="30">
        <f t="shared" si="1"/>
        <v>0</v>
      </c>
      <c r="I40" s="27">
        <v>18790484</v>
      </c>
      <c r="J40" s="82" t="s">
        <v>903</v>
      </c>
    </row>
    <row r="41" spans="1:11" x14ac:dyDescent="0.25">
      <c r="A41" s="22">
        <v>38</v>
      </c>
      <c r="B41" s="22">
        <v>3093</v>
      </c>
      <c r="C41" s="33" t="s">
        <v>132</v>
      </c>
      <c r="D41" s="45">
        <v>491.3</v>
      </c>
      <c r="E41" s="25">
        <v>0.4</v>
      </c>
      <c r="F41" s="25">
        <f t="shared" si="0"/>
        <v>196.52</v>
      </c>
      <c r="G41" s="25"/>
      <c r="H41" s="25">
        <f t="shared" si="1"/>
        <v>196.52</v>
      </c>
      <c r="I41" s="22">
        <v>6361035</v>
      </c>
      <c r="J41" s="26"/>
    </row>
    <row r="42" spans="1:11" x14ac:dyDescent="0.25">
      <c r="A42" s="22">
        <v>39</v>
      </c>
      <c r="B42" s="22">
        <v>3094</v>
      </c>
      <c r="C42" s="33" t="s">
        <v>136</v>
      </c>
      <c r="D42" s="45">
        <v>1041.2</v>
      </c>
      <c r="E42" s="25">
        <v>0.4</v>
      </c>
      <c r="F42" s="25">
        <f t="shared" si="0"/>
        <v>416.48</v>
      </c>
      <c r="G42" s="25"/>
      <c r="H42" s="25">
        <f t="shared" si="1"/>
        <v>416.48</v>
      </c>
      <c r="I42" s="22">
        <v>26343985</v>
      </c>
      <c r="J42" s="26"/>
    </row>
    <row r="43" spans="1:11" x14ac:dyDescent="0.25">
      <c r="A43" s="22">
        <v>40</v>
      </c>
      <c r="B43" s="22">
        <v>3100</v>
      </c>
      <c r="C43" s="33" t="s">
        <v>138</v>
      </c>
      <c r="D43" s="45">
        <v>1373.5</v>
      </c>
      <c r="E43" s="25">
        <v>0.4</v>
      </c>
      <c r="F43" s="25">
        <f t="shared" si="0"/>
        <v>549.4</v>
      </c>
      <c r="G43" s="25"/>
      <c r="H43" s="25">
        <f t="shared" si="1"/>
        <v>549.4</v>
      </c>
      <c r="I43" s="22">
        <v>1278615</v>
      </c>
      <c r="J43" s="26"/>
    </row>
    <row r="44" spans="1:11" x14ac:dyDescent="0.25">
      <c r="A44" s="22">
        <v>41</v>
      </c>
      <c r="B44" s="22">
        <v>3101</v>
      </c>
      <c r="C44" s="33" t="s">
        <v>140</v>
      </c>
      <c r="D44" s="45">
        <v>352</v>
      </c>
      <c r="E44" s="25">
        <v>0.4</v>
      </c>
      <c r="F44" s="25">
        <f t="shared" si="0"/>
        <v>140.80000000000001</v>
      </c>
      <c r="G44" s="25"/>
      <c r="H44" s="25">
        <f t="shared" si="1"/>
        <v>140.80000000000001</v>
      </c>
      <c r="I44" s="22">
        <v>6767598</v>
      </c>
      <c r="J44" s="26"/>
    </row>
    <row r="45" spans="1:11" s="36" customFormat="1" x14ac:dyDescent="0.25">
      <c r="A45" s="27">
        <v>42</v>
      </c>
      <c r="B45" s="27">
        <v>3102</v>
      </c>
      <c r="C45" s="28" t="s">
        <v>142</v>
      </c>
      <c r="D45" s="29">
        <v>631</v>
      </c>
      <c r="E45" s="30">
        <v>0.4</v>
      </c>
      <c r="F45" s="30">
        <f t="shared" si="0"/>
        <v>252.4</v>
      </c>
      <c r="G45" s="30">
        <f>236.52</f>
        <v>236.52</v>
      </c>
      <c r="H45" s="30">
        <f t="shared" si="1"/>
        <v>15.879999999999995</v>
      </c>
      <c r="I45" s="27">
        <v>5916838</v>
      </c>
      <c r="J45" s="430">
        <v>45932</v>
      </c>
    </row>
    <row r="46" spans="1:11" x14ac:dyDescent="0.25">
      <c r="A46" s="22">
        <v>43</v>
      </c>
      <c r="B46" s="22">
        <v>3119</v>
      </c>
      <c r="C46" s="33" t="s">
        <v>144</v>
      </c>
      <c r="D46" s="45">
        <v>924</v>
      </c>
      <c r="E46" s="25">
        <v>0.4</v>
      </c>
      <c r="F46" s="25">
        <f t="shared" si="0"/>
        <v>369.6</v>
      </c>
      <c r="G46" s="25"/>
      <c r="H46" s="25">
        <f t="shared" si="1"/>
        <v>369.6</v>
      </c>
      <c r="I46" s="22">
        <v>5903061</v>
      </c>
      <c r="J46" s="26"/>
    </row>
    <row r="47" spans="1:11" s="36" customFormat="1" x14ac:dyDescent="0.25">
      <c r="A47" s="27">
        <v>44</v>
      </c>
      <c r="B47" s="27">
        <v>3122</v>
      </c>
      <c r="C47" s="28" t="s">
        <v>146</v>
      </c>
      <c r="D47" s="29">
        <v>344</v>
      </c>
      <c r="E47" s="30">
        <v>0.4</v>
      </c>
      <c r="F47" s="30">
        <f t="shared" si="0"/>
        <v>137.6</v>
      </c>
      <c r="G47" s="30">
        <f>F47</f>
        <v>137.6</v>
      </c>
      <c r="H47" s="30">
        <f t="shared" si="1"/>
        <v>0</v>
      </c>
      <c r="I47" s="27">
        <v>12415718</v>
      </c>
      <c r="J47" s="31" t="s">
        <v>902</v>
      </c>
    </row>
    <row r="48" spans="1:11" s="36" customFormat="1" x14ac:dyDescent="0.25">
      <c r="A48" s="27">
        <v>45</v>
      </c>
      <c r="B48" s="27">
        <v>3136</v>
      </c>
      <c r="C48" s="28" t="s">
        <v>20</v>
      </c>
      <c r="D48" s="29">
        <v>531.70000000000005</v>
      </c>
      <c r="E48" s="30">
        <v>0.4</v>
      </c>
      <c r="F48" s="30">
        <f t="shared" si="0"/>
        <v>212.68000000000004</v>
      </c>
      <c r="G48" s="30">
        <f>212.59</f>
        <v>212.59</v>
      </c>
      <c r="H48" s="30">
        <f t="shared" si="1"/>
        <v>9.0000000000031832E-2</v>
      </c>
      <c r="I48" s="27">
        <v>183498</v>
      </c>
      <c r="J48" s="31" t="s">
        <v>904</v>
      </c>
    </row>
    <row r="49" spans="1:11" x14ac:dyDescent="0.25">
      <c r="A49" s="22">
        <v>46</v>
      </c>
      <c r="B49" s="22">
        <v>3178</v>
      </c>
      <c r="C49" s="33" t="s">
        <v>147</v>
      </c>
      <c r="D49" s="45">
        <v>2300</v>
      </c>
      <c r="E49" s="25">
        <v>0.4</v>
      </c>
      <c r="F49" s="25">
        <f t="shared" si="0"/>
        <v>920</v>
      </c>
      <c r="G49" s="25"/>
      <c r="H49" s="25">
        <f t="shared" si="1"/>
        <v>920</v>
      </c>
      <c r="I49" s="22">
        <v>1511754</v>
      </c>
      <c r="J49" s="26"/>
    </row>
    <row r="50" spans="1:11" x14ac:dyDescent="0.25">
      <c r="A50" s="22">
        <v>47</v>
      </c>
      <c r="B50" s="22">
        <v>3199</v>
      </c>
      <c r="C50" s="33" t="s">
        <v>149</v>
      </c>
      <c r="D50" s="45">
        <v>310</v>
      </c>
      <c r="E50" s="25">
        <v>0.4</v>
      </c>
      <c r="F50" s="25">
        <f t="shared" si="0"/>
        <v>124</v>
      </c>
      <c r="G50" s="25"/>
      <c r="H50" s="25">
        <f t="shared" si="1"/>
        <v>124</v>
      </c>
      <c r="I50" s="22">
        <v>5168327</v>
      </c>
      <c r="J50" s="26"/>
    </row>
    <row r="51" spans="1:11" x14ac:dyDescent="0.25">
      <c r="A51" s="22">
        <v>48</v>
      </c>
      <c r="B51" s="22">
        <v>3200</v>
      </c>
      <c r="C51" s="33" t="s">
        <v>151</v>
      </c>
      <c r="D51" s="24">
        <v>199.1</v>
      </c>
      <c r="E51" s="25">
        <v>0.4</v>
      </c>
      <c r="F51" s="25">
        <f t="shared" si="0"/>
        <v>79.64</v>
      </c>
      <c r="G51" s="25"/>
      <c r="H51" s="25">
        <f t="shared" si="1"/>
        <v>79.64</v>
      </c>
      <c r="I51" s="34">
        <v>21947578</v>
      </c>
      <c r="J51" s="26"/>
    </row>
    <row r="52" spans="1:11" x14ac:dyDescent="0.25">
      <c r="A52" s="22">
        <v>49</v>
      </c>
      <c r="B52" s="22">
        <v>3201</v>
      </c>
      <c r="C52" s="33" t="s">
        <v>153</v>
      </c>
      <c r="D52" s="45">
        <v>286</v>
      </c>
      <c r="E52" s="25">
        <v>0.4</v>
      </c>
      <c r="F52" s="25">
        <f t="shared" si="0"/>
        <v>114.4</v>
      </c>
      <c r="G52" s="25"/>
      <c r="H52" s="25">
        <f t="shared" si="1"/>
        <v>114.4</v>
      </c>
      <c r="I52" s="22">
        <v>7048401</v>
      </c>
      <c r="J52" s="26"/>
    </row>
    <row r="53" spans="1:11" x14ac:dyDescent="0.25">
      <c r="A53" s="22">
        <v>50</v>
      </c>
      <c r="B53" s="22">
        <v>3202</v>
      </c>
      <c r="C53" s="33" t="s">
        <v>155</v>
      </c>
      <c r="D53" s="45">
        <v>327.7</v>
      </c>
      <c r="E53" s="25">
        <v>0.4</v>
      </c>
      <c r="F53" s="25">
        <f t="shared" si="0"/>
        <v>131.08000000000001</v>
      </c>
      <c r="G53" s="25"/>
      <c r="H53" s="25">
        <f t="shared" si="1"/>
        <v>131.08000000000001</v>
      </c>
      <c r="I53" s="22">
        <v>5197371</v>
      </c>
      <c r="J53" s="26"/>
    </row>
    <row r="54" spans="1:11" s="36" customFormat="1" x14ac:dyDescent="0.25">
      <c r="A54" s="27">
        <v>51</v>
      </c>
      <c r="B54" s="27">
        <v>3203</v>
      </c>
      <c r="C54" s="28" t="s">
        <v>157</v>
      </c>
      <c r="D54" s="29">
        <v>458</v>
      </c>
      <c r="E54" s="30">
        <v>0.4</v>
      </c>
      <c r="F54" s="30">
        <f t="shared" si="0"/>
        <v>183.20000000000002</v>
      </c>
      <c r="G54" s="30">
        <f>180.19</f>
        <v>180.19</v>
      </c>
      <c r="H54" s="30">
        <f t="shared" si="1"/>
        <v>3.0100000000000193</v>
      </c>
      <c r="I54" s="27">
        <v>23215097</v>
      </c>
      <c r="J54" s="35">
        <v>45932</v>
      </c>
    </row>
    <row r="55" spans="1:11" x14ac:dyDescent="0.25">
      <c r="A55" s="22">
        <v>52</v>
      </c>
      <c r="B55" s="22">
        <v>3204</v>
      </c>
      <c r="C55" s="33" t="s">
        <v>159</v>
      </c>
      <c r="D55" s="45">
        <v>455.6</v>
      </c>
      <c r="E55" s="25">
        <v>0.4</v>
      </c>
      <c r="F55" s="25">
        <f t="shared" si="0"/>
        <v>182.24</v>
      </c>
      <c r="G55" s="25"/>
      <c r="H55" s="25">
        <f t="shared" si="1"/>
        <v>182.24</v>
      </c>
      <c r="I55" s="22">
        <v>24958926</v>
      </c>
      <c r="J55" s="26"/>
    </row>
    <row r="56" spans="1:11" x14ac:dyDescent="0.25">
      <c r="A56" s="22">
        <v>53</v>
      </c>
      <c r="B56" s="22">
        <v>3207</v>
      </c>
      <c r="C56" s="33" t="s">
        <v>162</v>
      </c>
      <c r="D56" s="45">
        <v>759</v>
      </c>
      <c r="E56" s="25">
        <v>0.4</v>
      </c>
      <c r="F56" s="25">
        <f t="shared" si="0"/>
        <v>303.60000000000002</v>
      </c>
      <c r="G56" s="25"/>
      <c r="H56" s="25">
        <f t="shared" si="1"/>
        <v>303.60000000000002</v>
      </c>
      <c r="I56" s="22">
        <v>11940175</v>
      </c>
      <c r="J56" s="26"/>
    </row>
    <row r="57" spans="1:11" x14ac:dyDescent="0.25">
      <c r="A57" s="22">
        <v>54</v>
      </c>
      <c r="B57" s="22">
        <v>3208</v>
      </c>
      <c r="C57" s="33" t="s">
        <v>164</v>
      </c>
      <c r="D57" s="45">
        <v>648.70000000000005</v>
      </c>
      <c r="E57" s="25">
        <v>0.4</v>
      </c>
      <c r="F57" s="25">
        <f t="shared" si="0"/>
        <v>259.48</v>
      </c>
      <c r="G57" s="25"/>
      <c r="H57" s="25">
        <f t="shared" si="1"/>
        <v>259.48</v>
      </c>
      <c r="I57" s="22">
        <v>1742664</v>
      </c>
      <c r="J57" s="26"/>
    </row>
    <row r="58" spans="1:11" x14ac:dyDescent="0.25">
      <c r="A58" s="27">
        <v>55</v>
      </c>
      <c r="B58" s="27">
        <v>3209</v>
      </c>
      <c r="C58" s="28" t="s">
        <v>169</v>
      </c>
      <c r="D58" s="29">
        <v>344.6</v>
      </c>
      <c r="E58" s="30">
        <v>0.4</v>
      </c>
      <c r="F58" s="30">
        <f t="shared" si="0"/>
        <v>137.84</v>
      </c>
      <c r="G58" s="30">
        <f>133.53</f>
        <v>133.53</v>
      </c>
      <c r="H58" s="30">
        <f t="shared" si="1"/>
        <v>4.3100000000000023</v>
      </c>
      <c r="I58" s="27">
        <v>5634328</v>
      </c>
      <c r="J58" s="35">
        <v>45993</v>
      </c>
    </row>
    <row r="59" spans="1:11" x14ac:dyDescent="0.25">
      <c r="A59" s="27">
        <v>56</v>
      </c>
      <c r="B59" s="27">
        <v>3210</v>
      </c>
      <c r="C59" s="28" t="s">
        <v>171</v>
      </c>
      <c r="D59" s="29">
        <v>667</v>
      </c>
      <c r="E59" s="30">
        <v>0.4</v>
      </c>
      <c r="F59" s="30">
        <f t="shared" si="0"/>
        <v>266.8</v>
      </c>
      <c r="G59" s="30">
        <f>263.1+3.7</f>
        <v>266.8</v>
      </c>
      <c r="H59" s="30">
        <f t="shared" si="1"/>
        <v>0</v>
      </c>
      <c r="I59" s="27">
        <v>45419</v>
      </c>
      <c r="J59" s="35">
        <v>45993</v>
      </c>
      <c r="K59" t="s">
        <v>902</v>
      </c>
    </row>
    <row r="60" spans="1:11" x14ac:dyDescent="0.25">
      <c r="A60" s="22">
        <v>57</v>
      </c>
      <c r="B60" s="22">
        <v>3211</v>
      </c>
      <c r="C60" s="33" t="s">
        <v>173</v>
      </c>
      <c r="D60" s="45">
        <v>338.6</v>
      </c>
      <c r="E60" s="25">
        <v>0.4</v>
      </c>
      <c r="F60" s="25">
        <f t="shared" si="0"/>
        <v>135.44000000000003</v>
      </c>
      <c r="G60" s="25"/>
      <c r="H60" s="25">
        <f t="shared" si="1"/>
        <v>135.44000000000003</v>
      </c>
      <c r="I60" s="463">
        <v>9927207</v>
      </c>
      <c r="J60" s="62">
        <v>44986</v>
      </c>
    </row>
    <row r="61" spans="1:11" x14ac:dyDescent="0.25">
      <c r="A61" s="22">
        <v>58</v>
      </c>
      <c r="B61" s="22">
        <v>3212</v>
      </c>
      <c r="C61" s="33" t="s">
        <v>175</v>
      </c>
      <c r="D61" s="45">
        <v>885.7</v>
      </c>
      <c r="E61" s="25">
        <v>0.4</v>
      </c>
      <c r="F61" s="25">
        <f t="shared" si="0"/>
        <v>354.28000000000003</v>
      </c>
      <c r="G61" s="25"/>
      <c r="H61" s="25">
        <f t="shared" si="1"/>
        <v>354.28000000000003</v>
      </c>
      <c r="I61" s="22">
        <v>804443</v>
      </c>
      <c r="J61" s="26"/>
    </row>
    <row r="62" spans="1:11" x14ac:dyDescent="0.25">
      <c r="A62" s="22">
        <v>59</v>
      </c>
      <c r="B62" s="22">
        <v>3213</v>
      </c>
      <c r="C62" s="33" t="s">
        <v>177</v>
      </c>
      <c r="D62" s="45">
        <v>736.4</v>
      </c>
      <c r="E62" s="25">
        <v>0.4</v>
      </c>
      <c r="F62" s="25">
        <f t="shared" si="0"/>
        <v>294.56</v>
      </c>
      <c r="G62" s="25"/>
      <c r="H62" s="25">
        <f t="shared" si="1"/>
        <v>294.56</v>
      </c>
      <c r="I62" s="22">
        <v>2594336</v>
      </c>
      <c r="J62" s="26"/>
    </row>
    <row r="63" spans="1:11" x14ac:dyDescent="0.25">
      <c r="A63" s="22">
        <v>60</v>
      </c>
      <c r="B63" s="22">
        <v>3214</v>
      </c>
      <c r="C63" s="33" t="s">
        <v>179</v>
      </c>
      <c r="D63" s="45">
        <v>850.9</v>
      </c>
      <c r="E63" s="25">
        <v>0.4</v>
      </c>
      <c r="F63" s="25">
        <f t="shared" si="0"/>
        <v>340.36</v>
      </c>
      <c r="G63" s="25"/>
      <c r="H63" s="25">
        <f t="shared" si="1"/>
        <v>340.36</v>
      </c>
      <c r="I63" s="22">
        <v>5168262</v>
      </c>
      <c r="J63" s="26"/>
    </row>
    <row r="64" spans="1:11" x14ac:dyDescent="0.25">
      <c r="A64" s="22">
        <v>61</v>
      </c>
      <c r="B64" s="22">
        <v>3215</v>
      </c>
      <c r="C64" s="33" t="s">
        <v>181</v>
      </c>
      <c r="D64" s="24">
        <v>583.1</v>
      </c>
      <c r="E64" s="25">
        <v>0.4</v>
      </c>
      <c r="F64" s="25">
        <f t="shared" si="0"/>
        <v>233.24</v>
      </c>
      <c r="G64" s="25"/>
      <c r="H64" s="25">
        <f t="shared" si="1"/>
        <v>233.24</v>
      </c>
      <c r="I64" s="34">
        <v>11684091</v>
      </c>
      <c r="J64" s="62"/>
    </row>
    <row r="65" spans="1:10" x14ac:dyDescent="0.25">
      <c r="A65" s="22">
        <v>62</v>
      </c>
      <c r="B65" s="22">
        <v>3216</v>
      </c>
      <c r="C65" s="33" t="s">
        <v>23</v>
      </c>
      <c r="D65" s="24">
        <v>907.9</v>
      </c>
      <c r="E65" s="25">
        <v>0.4</v>
      </c>
      <c r="F65" s="25">
        <f t="shared" si="0"/>
        <v>363.16</v>
      </c>
      <c r="G65" s="25"/>
      <c r="H65" s="25">
        <f t="shared" si="1"/>
        <v>363.16</v>
      </c>
      <c r="I65" s="462">
        <v>18715567</v>
      </c>
      <c r="J65" s="62"/>
    </row>
    <row r="66" spans="1:10" x14ac:dyDescent="0.25">
      <c r="A66" s="22">
        <v>63</v>
      </c>
      <c r="B66" s="22">
        <v>3217</v>
      </c>
      <c r="C66" s="33" t="s">
        <v>183</v>
      </c>
      <c r="D66" s="45">
        <v>264.89999999999998</v>
      </c>
      <c r="E66" s="25">
        <v>0.4</v>
      </c>
      <c r="F66" s="25">
        <f t="shared" si="0"/>
        <v>105.96</v>
      </c>
      <c r="G66" s="25"/>
      <c r="H66" s="25">
        <f t="shared" si="1"/>
        <v>105.96</v>
      </c>
      <c r="I66" s="22">
        <v>1568196</v>
      </c>
      <c r="J66" s="26"/>
    </row>
    <row r="67" spans="1:10" s="36" customFormat="1" x14ac:dyDescent="0.25">
      <c r="A67" s="27">
        <v>64</v>
      </c>
      <c r="B67" s="27">
        <v>3219</v>
      </c>
      <c r="C67" s="28" t="s">
        <v>185</v>
      </c>
      <c r="D67" s="29">
        <v>1074.5</v>
      </c>
      <c r="E67" s="30">
        <v>0.4</v>
      </c>
      <c r="F67" s="30">
        <f t="shared" si="0"/>
        <v>429.8</v>
      </c>
      <c r="G67" s="30">
        <f>140.112</f>
        <v>140.11199999999999</v>
      </c>
      <c r="H67" s="30">
        <f t="shared" si="1"/>
        <v>289.68799999999999</v>
      </c>
      <c r="I67" s="65">
        <v>12398617</v>
      </c>
      <c r="J67" s="31" t="s">
        <v>901</v>
      </c>
    </row>
    <row r="68" spans="1:10" x14ac:dyDescent="0.25">
      <c r="A68" s="22">
        <v>65</v>
      </c>
      <c r="B68" s="22">
        <v>3220</v>
      </c>
      <c r="C68" s="33" t="s">
        <v>187</v>
      </c>
      <c r="D68" s="45">
        <v>667</v>
      </c>
      <c r="E68" s="25">
        <v>0.4</v>
      </c>
      <c r="F68" s="25">
        <f t="shared" si="0"/>
        <v>266.8</v>
      </c>
      <c r="G68" s="25"/>
      <c r="H68" s="25">
        <f t="shared" si="1"/>
        <v>266.8</v>
      </c>
      <c r="I68" s="22">
        <v>5348311</v>
      </c>
      <c r="J68" s="26"/>
    </row>
    <row r="69" spans="1:10" x14ac:dyDescent="0.25">
      <c r="A69" s="22">
        <v>66</v>
      </c>
      <c r="B69" s="22">
        <v>3221</v>
      </c>
      <c r="C69" s="33" t="s">
        <v>189</v>
      </c>
      <c r="D69" s="45">
        <v>304</v>
      </c>
      <c r="E69" s="25">
        <v>0.4</v>
      </c>
      <c r="F69" s="25">
        <f t="shared" ref="F69:F133" si="2">E69*D69</f>
        <v>121.60000000000001</v>
      </c>
      <c r="G69" s="25"/>
      <c r="H69" s="25">
        <f t="shared" ref="H69:H132" si="3">F69-G69</f>
        <v>121.60000000000001</v>
      </c>
      <c r="I69" s="22">
        <v>13362673</v>
      </c>
      <c r="J69" s="26"/>
    </row>
    <row r="70" spans="1:10" x14ac:dyDescent="0.25">
      <c r="A70" s="22">
        <v>67</v>
      </c>
      <c r="B70" s="22">
        <v>3222</v>
      </c>
      <c r="C70" s="33" t="s">
        <v>191</v>
      </c>
      <c r="D70" s="45">
        <v>441</v>
      </c>
      <c r="E70" s="25">
        <v>0.4</v>
      </c>
      <c r="F70" s="25">
        <f t="shared" si="2"/>
        <v>176.4</v>
      </c>
      <c r="G70" s="25"/>
      <c r="H70" s="25">
        <f t="shared" si="3"/>
        <v>176.4</v>
      </c>
      <c r="I70" s="22">
        <v>18091329</v>
      </c>
      <c r="J70" s="26"/>
    </row>
    <row r="71" spans="1:10" x14ac:dyDescent="0.25">
      <c r="A71" s="22">
        <v>68</v>
      </c>
      <c r="B71" s="22">
        <v>3223</v>
      </c>
      <c r="C71" s="33" t="s">
        <v>193</v>
      </c>
      <c r="D71" s="45">
        <v>314.3</v>
      </c>
      <c r="E71" s="25">
        <v>0.4</v>
      </c>
      <c r="F71" s="25">
        <f t="shared" si="2"/>
        <v>125.72000000000001</v>
      </c>
      <c r="G71" s="25"/>
      <c r="H71" s="25">
        <f t="shared" si="3"/>
        <v>125.72000000000001</v>
      </c>
      <c r="I71" s="22">
        <v>5334914</v>
      </c>
      <c r="J71" s="26"/>
    </row>
    <row r="72" spans="1:10" x14ac:dyDescent="0.25">
      <c r="A72" s="22">
        <v>69</v>
      </c>
      <c r="B72" s="22">
        <v>3224</v>
      </c>
      <c r="C72" s="33" t="s">
        <v>195</v>
      </c>
      <c r="D72" s="45">
        <v>208.3</v>
      </c>
      <c r="E72" s="25">
        <v>0.4</v>
      </c>
      <c r="F72" s="25">
        <f t="shared" si="2"/>
        <v>83.320000000000007</v>
      </c>
      <c r="G72" s="25"/>
      <c r="H72" s="25">
        <f t="shared" si="3"/>
        <v>83.320000000000007</v>
      </c>
      <c r="I72" s="22">
        <v>2066756</v>
      </c>
      <c r="J72" s="26"/>
    </row>
    <row r="73" spans="1:10" s="144" customFormat="1" x14ac:dyDescent="0.25">
      <c r="A73" s="54">
        <v>70</v>
      </c>
      <c r="B73" s="54">
        <v>3225</v>
      </c>
      <c r="C73" s="55" t="s">
        <v>197</v>
      </c>
      <c r="D73" s="56">
        <v>301.8</v>
      </c>
      <c r="E73" s="57">
        <v>0.4</v>
      </c>
      <c r="F73" s="57">
        <f t="shared" si="2"/>
        <v>120.72000000000001</v>
      </c>
      <c r="G73" s="57">
        <f>F73</f>
        <v>120.72000000000001</v>
      </c>
      <c r="H73" s="57">
        <f t="shared" si="3"/>
        <v>0</v>
      </c>
      <c r="I73" s="71">
        <v>798637</v>
      </c>
      <c r="J73" s="61" t="s">
        <v>904</v>
      </c>
    </row>
    <row r="74" spans="1:10" s="36" customFormat="1" x14ac:dyDescent="0.25">
      <c r="A74" s="27">
        <v>71</v>
      </c>
      <c r="B74" s="27">
        <v>3227</v>
      </c>
      <c r="C74" s="28" t="s">
        <v>790</v>
      </c>
      <c r="D74" s="29">
        <v>252.7</v>
      </c>
      <c r="E74" s="30">
        <v>0.4</v>
      </c>
      <c r="F74" s="30">
        <f t="shared" si="2"/>
        <v>101.08</v>
      </c>
      <c r="G74" s="30">
        <f>100.79</f>
        <v>100.79</v>
      </c>
      <c r="H74" s="30">
        <f t="shared" si="3"/>
        <v>0.28999999999999204</v>
      </c>
      <c r="I74" s="65">
        <v>15214649</v>
      </c>
      <c r="J74" s="31" t="s">
        <v>906</v>
      </c>
    </row>
    <row r="75" spans="1:10" x14ac:dyDescent="0.25">
      <c r="A75" s="22">
        <v>72</v>
      </c>
      <c r="B75" s="22">
        <v>3228</v>
      </c>
      <c r="C75" s="33" t="s">
        <v>200</v>
      </c>
      <c r="D75" s="45">
        <v>634.4</v>
      </c>
      <c r="E75" s="25">
        <v>0.4</v>
      </c>
      <c r="F75" s="25">
        <f t="shared" si="2"/>
        <v>253.76</v>
      </c>
      <c r="G75" s="25"/>
      <c r="H75" s="25">
        <f t="shared" si="3"/>
        <v>253.76</v>
      </c>
      <c r="I75" s="22">
        <v>1307775</v>
      </c>
      <c r="J75" s="26"/>
    </row>
    <row r="76" spans="1:10" x14ac:dyDescent="0.25">
      <c r="A76" s="22">
        <v>73</v>
      </c>
      <c r="B76" s="22">
        <v>3229</v>
      </c>
      <c r="C76" s="33" t="s">
        <v>202</v>
      </c>
      <c r="D76" s="45">
        <v>488</v>
      </c>
      <c r="E76" s="25">
        <v>0.4</v>
      </c>
      <c r="F76" s="25">
        <f t="shared" si="2"/>
        <v>195.20000000000002</v>
      </c>
      <c r="G76" s="25"/>
      <c r="H76" s="25">
        <f t="shared" si="3"/>
        <v>195.20000000000002</v>
      </c>
      <c r="I76" s="22">
        <v>6370978</v>
      </c>
      <c r="J76" s="26"/>
    </row>
    <row r="77" spans="1:10" x14ac:dyDescent="0.25">
      <c r="A77" s="22">
        <v>74</v>
      </c>
      <c r="B77" s="22">
        <v>3230</v>
      </c>
      <c r="C77" s="33" t="s">
        <v>204</v>
      </c>
      <c r="D77" s="45">
        <v>462</v>
      </c>
      <c r="E77" s="25">
        <v>0.4</v>
      </c>
      <c r="F77" s="25">
        <f t="shared" si="2"/>
        <v>184.8</v>
      </c>
      <c r="G77" s="25"/>
      <c r="H77" s="25">
        <f t="shared" si="3"/>
        <v>184.8</v>
      </c>
      <c r="I77" s="22">
        <v>1968755</v>
      </c>
      <c r="J77" s="26"/>
    </row>
    <row r="78" spans="1:10" x14ac:dyDescent="0.25">
      <c r="A78" s="22">
        <v>75</v>
      </c>
      <c r="B78" s="22">
        <v>3231</v>
      </c>
      <c r="C78" s="33" t="s">
        <v>206</v>
      </c>
      <c r="D78" s="45">
        <v>616</v>
      </c>
      <c r="E78" s="25">
        <v>0.4</v>
      </c>
      <c r="F78" s="25">
        <f t="shared" si="2"/>
        <v>246.4</v>
      </c>
      <c r="G78" s="25"/>
      <c r="H78" s="25">
        <f t="shared" si="3"/>
        <v>246.4</v>
      </c>
      <c r="I78" s="22">
        <v>6203903</v>
      </c>
      <c r="J78" s="26"/>
    </row>
    <row r="79" spans="1:10" s="144" customFormat="1" x14ac:dyDescent="0.25">
      <c r="A79" s="54">
        <v>76</v>
      </c>
      <c r="B79" s="54">
        <v>3232</v>
      </c>
      <c r="C79" s="55" t="s">
        <v>208</v>
      </c>
      <c r="D79" s="56">
        <v>333.7</v>
      </c>
      <c r="E79" s="57">
        <v>0.4</v>
      </c>
      <c r="F79" s="57">
        <f t="shared" si="2"/>
        <v>133.47999999999999</v>
      </c>
      <c r="G79" s="57">
        <f>F79</f>
        <v>133.47999999999999</v>
      </c>
      <c r="H79" s="57">
        <f t="shared" si="3"/>
        <v>0</v>
      </c>
      <c r="I79" s="54">
        <v>6387264</v>
      </c>
      <c r="J79" s="61" t="s">
        <v>904</v>
      </c>
    </row>
    <row r="80" spans="1:10" x14ac:dyDescent="0.25">
      <c r="A80" s="22">
        <v>77</v>
      </c>
      <c r="B80" s="22">
        <v>3234</v>
      </c>
      <c r="C80" s="33" t="s">
        <v>212</v>
      </c>
      <c r="D80" s="45">
        <v>646.29999999999995</v>
      </c>
      <c r="E80" s="25">
        <v>0.4</v>
      </c>
      <c r="F80" s="25">
        <f t="shared" si="2"/>
        <v>258.52</v>
      </c>
      <c r="G80" s="25"/>
      <c r="H80" s="25">
        <f t="shared" si="3"/>
        <v>258.52</v>
      </c>
      <c r="I80" s="22">
        <v>21834239</v>
      </c>
      <c r="J80" s="26"/>
    </row>
    <row r="81" spans="1:10" x14ac:dyDescent="0.25">
      <c r="A81" s="22">
        <v>78</v>
      </c>
      <c r="B81" s="22">
        <v>3235</v>
      </c>
      <c r="C81" s="33" t="s">
        <v>214</v>
      </c>
      <c r="D81" s="45">
        <v>664</v>
      </c>
      <c r="E81" s="25">
        <v>0.4</v>
      </c>
      <c r="F81" s="25">
        <f t="shared" si="2"/>
        <v>265.60000000000002</v>
      </c>
      <c r="G81" s="25"/>
      <c r="H81" s="25">
        <f t="shared" si="3"/>
        <v>265.60000000000002</v>
      </c>
      <c r="I81" s="22">
        <v>1234245</v>
      </c>
      <c r="J81" s="26"/>
    </row>
    <row r="82" spans="1:10" s="36" customFormat="1" x14ac:dyDescent="0.25">
      <c r="A82" s="27">
        <v>79</v>
      </c>
      <c r="B82" s="27">
        <v>3236</v>
      </c>
      <c r="C82" s="28" t="s">
        <v>216</v>
      </c>
      <c r="D82" s="29">
        <v>229.7</v>
      </c>
      <c r="E82" s="30">
        <v>0.4</v>
      </c>
      <c r="F82" s="30">
        <f t="shared" si="2"/>
        <v>91.88</v>
      </c>
      <c r="G82" s="30">
        <f>90.33</f>
        <v>90.33</v>
      </c>
      <c r="H82" s="30">
        <f t="shared" si="3"/>
        <v>1.5499999999999972</v>
      </c>
      <c r="I82" s="65">
        <v>6733333</v>
      </c>
      <c r="J82" s="82" t="s">
        <v>903</v>
      </c>
    </row>
    <row r="83" spans="1:10" s="36" customFormat="1" x14ac:dyDescent="0.25">
      <c r="A83" s="27">
        <v>80</v>
      </c>
      <c r="B83" s="27">
        <v>3237</v>
      </c>
      <c r="C83" s="28" t="s">
        <v>218</v>
      </c>
      <c r="D83" s="29">
        <v>697.1</v>
      </c>
      <c r="E83" s="30">
        <v>0.4</v>
      </c>
      <c r="F83" s="30">
        <f t="shared" si="2"/>
        <v>278.84000000000003</v>
      </c>
      <c r="G83" s="30">
        <f>276.45</f>
        <v>276.45</v>
      </c>
      <c r="H83" s="30">
        <f t="shared" si="3"/>
        <v>2.3900000000000432</v>
      </c>
      <c r="I83" s="27">
        <v>873637</v>
      </c>
      <c r="J83" s="31" t="s">
        <v>893</v>
      </c>
    </row>
    <row r="84" spans="1:10" s="79" customFormat="1" x14ac:dyDescent="0.25">
      <c r="A84" s="22">
        <v>81</v>
      </c>
      <c r="B84" s="22">
        <v>3238</v>
      </c>
      <c r="C84" s="23" t="s">
        <v>220</v>
      </c>
      <c r="D84" s="24">
        <v>297.39999999999998</v>
      </c>
      <c r="E84" s="25">
        <v>0.4</v>
      </c>
      <c r="F84" s="25">
        <f t="shared" si="2"/>
        <v>118.96</v>
      </c>
      <c r="G84" s="25"/>
      <c r="H84" s="25">
        <f t="shared" si="3"/>
        <v>118.96</v>
      </c>
      <c r="I84" s="141">
        <v>5361082</v>
      </c>
      <c r="J84" s="62">
        <v>44621</v>
      </c>
    </row>
    <row r="85" spans="1:10" x14ac:dyDescent="0.25">
      <c r="A85" s="22">
        <v>82</v>
      </c>
      <c r="B85" s="22">
        <v>3239</v>
      </c>
      <c r="C85" s="33" t="s">
        <v>222</v>
      </c>
      <c r="D85" s="45">
        <v>481.5</v>
      </c>
      <c r="E85" s="25">
        <v>0.4</v>
      </c>
      <c r="F85" s="25">
        <f t="shared" si="2"/>
        <v>192.60000000000002</v>
      </c>
      <c r="G85" s="25"/>
      <c r="H85" s="25">
        <f t="shared" si="3"/>
        <v>192.60000000000002</v>
      </c>
      <c r="I85" s="22">
        <v>14379226</v>
      </c>
      <c r="J85" s="26"/>
    </row>
    <row r="86" spans="1:10" x14ac:dyDescent="0.25">
      <c r="A86" s="22">
        <v>83</v>
      </c>
      <c r="B86" s="22">
        <v>3240</v>
      </c>
      <c r="C86" s="33" t="s">
        <v>224</v>
      </c>
      <c r="D86" s="45">
        <v>619.6</v>
      </c>
      <c r="E86" s="25">
        <v>0.4</v>
      </c>
      <c r="F86" s="25">
        <f t="shared" si="2"/>
        <v>247.84000000000003</v>
      </c>
      <c r="G86" s="25"/>
      <c r="H86" s="25">
        <f t="shared" si="3"/>
        <v>247.84000000000003</v>
      </c>
      <c r="I86" s="22">
        <v>5622856</v>
      </c>
      <c r="J86" s="26"/>
    </row>
    <row r="87" spans="1:10" s="36" customFormat="1" x14ac:dyDescent="0.25">
      <c r="A87" s="27">
        <v>84</v>
      </c>
      <c r="B87" s="27">
        <v>3241</v>
      </c>
      <c r="C87" s="28" t="s">
        <v>227</v>
      </c>
      <c r="D87" s="29">
        <v>280.39999999999998</v>
      </c>
      <c r="E87" s="30">
        <v>0.4</v>
      </c>
      <c r="F87" s="30">
        <f t="shared" si="2"/>
        <v>112.16</v>
      </c>
      <c r="G87" s="30">
        <f>108.87</f>
        <v>108.87</v>
      </c>
      <c r="H87" s="30">
        <f t="shared" si="3"/>
        <v>3.289999999999992</v>
      </c>
      <c r="I87" s="27">
        <v>21125518</v>
      </c>
      <c r="J87" s="31" t="s">
        <v>903</v>
      </c>
    </row>
    <row r="88" spans="1:10" s="36" customFormat="1" x14ac:dyDescent="0.25">
      <c r="A88" s="27">
        <v>85</v>
      </c>
      <c r="B88" s="27">
        <v>3243</v>
      </c>
      <c r="C88" s="28" t="s">
        <v>229</v>
      </c>
      <c r="D88" s="29">
        <v>314.89999999999998</v>
      </c>
      <c r="E88" s="30">
        <v>0.4</v>
      </c>
      <c r="F88" s="30">
        <f t="shared" si="2"/>
        <v>125.96</v>
      </c>
      <c r="G88" s="30">
        <f>123.2</f>
        <v>123.2</v>
      </c>
      <c r="H88" s="30">
        <f t="shared" si="3"/>
        <v>2.7599999999999909</v>
      </c>
      <c r="I88" s="27">
        <v>25887256</v>
      </c>
      <c r="J88" s="35">
        <v>45993</v>
      </c>
    </row>
    <row r="89" spans="1:10" x14ac:dyDescent="0.25">
      <c r="A89" s="22">
        <v>86</v>
      </c>
      <c r="B89" s="22">
        <v>3244</v>
      </c>
      <c r="C89" s="33" t="s">
        <v>232</v>
      </c>
      <c r="D89" s="45">
        <v>292.39999999999998</v>
      </c>
      <c r="E89" s="25">
        <v>0.4</v>
      </c>
      <c r="F89" s="25">
        <f t="shared" si="2"/>
        <v>116.96</v>
      </c>
      <c r="G89" s="25"/>
      <c r="H89" s="25">
        <f t="shared" si="3"/>
        <v>116.96</v>
      </c>
      <c r="I89" s="22">
        <v>19340943</v>
      </c>
      <c r="J89" s="26"/>
    </row>
    <row r="90" spans="1:10" x14ac:dyDescent="0.25">
      <c r="A90" s="22">
        <v>87</v>
      </c>
      <c r="B90" s="22">
        <v>3245</v>
      </c>
      <c r="C90" s="33" t="s">
        <v>234</v>
      </c>
      <c r="D90" s="45">
        <v>88.1</v>
      </c>
      <c r="E90" s="25">
        <v>0.4</v>
      </c>
      <c r="F90" s="25">
        <f t="shared" si="2"/>
        <v>35.24</v>
      </c>
      <c r="G90" s="25"/>
      <c r="H90" s="25">
        <f t="shared" si="3"/>
        <v>35.24</v>
      </c>
      <c r="I90" s="80" t="s">
        <v>235</v>
      </c>
      <c r="J90" s="26"/>
    </row>
    <row r="91" spans="1:10" x14ac:dyDescent="0.25">
      <c r="A91" s="22">
        <v>88</v>
      </c>
      <c r="B91" s="22">
        <v>3246</v>
      </c>
      <c r="C91" s="33" t="s">
        <v>237</v>
      </c>
      <c r="D91" s="45">
        <v>276</v>
      </c>
      <c r="E91" s="25">
        <v>0.4</v>
      </c>
      <c r="F91" s="25">
        <f t="shared" si="2"/>
        <v>110.4</v>
      </c>
      <c r="G91" s="25"/>
      <c r="H91" s="25">
        <f t="shared" si="3"/>
        <v>110.4</v>
      </c>
      <c r="I91" s="22">
        <v>662648</v>
      </c>
      <c r="J91" s="26"/>
    </row>
    <row r="92" spans="1:10" x14ac:dyDescent="0.25">
      <c r="A92" s="22">
        <v>89</v>
      </c>
      <c r="B92" s="22">
        <v>3247</v>
      </c>
      <c r="C92" s="33" t="s">
        <v>239</v>
      </c>
      <c r="D92" s="45">
        <v>299</v>
      </c>
      <c r="E92" s="25">
        <v>0.4</v>
      </c>
      <c r="F92" s="25">
        <f t="shared" si="2"/>
        <v>119.60000000000001</v>
      </c>
      <c r="G92" s="25"/>
      <c r="H92" s="25">
        <f t="shared" si="3"/>
        <v>119.60000000000001</v>
      </c>
      <c r="I92" s="22">
        <v>6457783</v>
      </c>
      <c r="J92" s="26"/>
    </row>
    <row r="93" spans="1:10" x14ac:dyDescent="0.25">
      <c r="A93" s="22">
        <v>90</v>
      </c>
      <c r="B93" s="22">
        <v>3248</v>
      </c>
      <c r="C93" s="33" t="s">
        <v>241</v>
      </c>
      <c r="D93" s="45">
        <v>276</v>
      </c>
      <c r="E93" s="25">
        <v>0.4</v>
      </c>
      <c r="F93" s="25">
        <f t="shared" si="2"/>
        <v>110.4</v>
      </c>
      <c r="G93" s="25"/>
      <c r="H93" s="25">
        <f t="shared" si="3"/>
        <v>110.4</v>
      </c>
      <c r="I93" s="22">
        <v>18811851</v>
      </c>
      <c r="J93" s="26"/>
    </row>
    <row r="94" spans="1:10" s="144" customFormat="1" x14ac:dyDescent="0.25">
      <c r="A94" s="54">
        <v>91</v>
      </c>
      <c r="B94" s="54">
        <v>3249</v>
      </c>
      <c r="C94" s="55" t="s">
        <v>243</v>
      </c>
      <c r="D94" s="56">
        <v>595</v>
      </c>
      <c r="E94" s="57">
        <v>0.4</v>
      </c>
      <c r="F94" s="57">
        <f t="shared" si="2"/>
        <v>238</v>
      </c>
      <c r="G94" s="57">
        <f>F94</f>
        <v>238</v>
      </c>
      <c r="H94" s="57">
        <f t="shared" si="3"/>
        <v>0</v>
      </c>
      <c r="I94" s="54">
        <v>24540784</v>
      </c>
      <c r="J94" s="461">
        <v>45932</v>
      </c>
    </row>
    <row r="95" spans="1:10" x14ac:dyDescent="0.25">
      <c r="A95" s="22">
        <v>92</v>
      </c>
      <c r="B95" s="22">
        <v>3251</v>
      </c>
      <c r="C95" s="33" t="s">
        <v>245</v>
      </c>
      <c r="D95" s="45">
        <v>341.3</v>
      </c>
      <c r="E95" s="25">
        <v>0.4</v>
      </c>
      <c r="F95" s="25">
        <f t="shared" si="2"/>
        <v>136.52000000000001</v>
      </c>
      <c r="G95" s="25"/>
      <c r="H95" s="25">
        <f t="shared" si="3"/>
        <v>136.52000000000001</v>
      </c>
      <c r="I95" s="22">
        <v>6420681</v>
      </c>
      <c r="J95" s="26"/>
    </row>
    <row r="96" spans="1:10" s="36" customFormat="1" x14ac:dyDescent="0.25">
      <c r="A96" s="27">
        <v>94</v>
      </c>
      <c r="B96" s="27">
        <v>3253</v>
      </c>
      <c r="C96" s="28" t="s">
        <v>249</v>
      </c>
      <c r="D96" s="29">
        <v>630</v>
      </c>
      <c r="E96" s="30">
        <v>0.4</v>
      </c>
      <c r="F96" s="30">
        <f t="shared" si="2"/>
        <v>252</v>
      </c>
      <c r="G96" s="30">
        <v>250.25</v>
      </c>
      <c r="H96" s="30">
        <f t="shared" si="3"/>
        <v>1.75</v>
      </c>
      <c r="I96" s="27">
        <v>25887589</v>
      </c>
      <c r="J96" s="35">
        <v>45993</v>
      </c>
    </row>
    <row r="97" spans="1:10" x14ac:dyDescent="0.25">
      <c r="A97" s="22">
        <v>95</v>
      </c>
      <c r="B97" s="22">
        <v>3254</v>
      </c>
      <c r="C97" s="33" t="s">
        <v>251</v>
      </c>
      <c r="D97" s="45">
        <v>546</v>
      </c>
      <c r="E97" s="25">
        <v>0.4</v>
      </c>
      <c r="F97" s="25">
        <f t="shared" si="2"/>
        <v>218.4</v>
      </c>
      <c r="G97" s="25"/>
      <c r="H97" s="25">
        <f t="shared" si="3"/>
        <v>218.4</v>
      </c>
      <c r="I97" s="22">
        <v>6668983</v>
      </c>
      <c r="J97" s="26"/>
    </row>
    <row r="98" spans="1:10" x14ac:dyDescent="0.25">
      <c r="A98" s="22">
        <v>96</v>
      </c>
      <c r="B98" s="22">
        <v>3255</v>
      </c>
      <c r="C98" s="33" t="s">
        <v>253</v>
      </c>
      <c r="D98" s="45">
        <v>472.3</v>
      </c>
      <c r="E98" s="25">
        <v>0.4</v>
      </c>
      <c r="F98" s="25">
        <f t="shared" si="2"/>
        <v>188.92000000000002</v>
      </c>
      <c r="G98" s="25"/>
      <c r="H98" s="25">
        <f t="shared" si="3"/>
        <v>188.92000000000002</v>
      </c>
      <c r="I98" s="22">
        <v>5851949</v>
      </c>
      <c r="J98" s="26"/>
    </row>
    <row r="99" spans="1:10" s="144" customFormat="1" x14ac:dyDescent="0.25">
      <c r="A99" s="54">
        <v>97</v>
      </c>
      <c r="B99" s="54">
        <v>3256</v>
      </c>
      <c r="C99" s="55" t="s">
        <v>255</v>
      </c>
      <c r="D99" s="56">
        <v>2098</v>
      </c>
      <c r="E99" s="57">
        <v>0.4</v>
      </c>
      <c r="F99" s="57">
        <f t="shared" si="2"/>
        <v>839.2</v>
      </c>
      <c r="G99" s="57">
        <f>470</f>
        <v>470</v>
      </c>
      <c r="H99" s="57">
        <f t="shared" si="3"/>
        <v>369.20000000000005</v>
      </c>
      <c r="I99" s="54">
        <v>6147152</v>
      </c>
      <c r="J99" s="61" t="s">
        <v>901</v>
      </c>
    </row>
    <row r="100" spans="1:10" s="36" customFormat="1" x14ac:dyDescent="0.25">
      <c r="A100" s="27">
        <v>98</v>
      </c>
      <c r="B100" s="27">
        <v>3258</v>
      </c>
      <c r="C100" s="28" t="s">
        <v>259</v>
      </c>
      <c r="D100" s="29">
        <v>914.4</v>
      </c>
      <c r="E100" s="30">
        <v>0.4</v>
      </c>
      <c r="F100" s="30">
        <f t="shared" si="2"/>
        <v>365.76</v>
      </c>
      <c r="G100" s="30">
        <f>363.75</f>
        <v>363.75</v>
      </c>
      <c r="H100" s="30">
        <f t="shared" si="3"/>
        <v>2.0099999999999909</v>
      </c>
      <c r="I100" s="27">
        <v>15335306</v>
      </c>
      <c r="J100" s="31" t="s">
        <v>904</v>
      </c>
    </row>
    <row r="101" spans="1:10" x14ac:dyDescent="0.25">
      <c r="A101" s="22">
        <v>99</v>
      </c>
      <c r="B101" s="22">
        <v>3260</v>
      </c>
      <c r="C101" s="33" t="s">
        <v>261</v>
      </c>
      <c r="D101" s="45">
        <v>290.5</v>
      </c>
      <c r="E101" s="25">
        <v>0.4</v>
      </c>
      <c r="F101" s="25">
        <f t="shared" si="2"/>
        <v>116.2</v>
      </c>
      <c r="G101" s="25"/>
      <c r="H101" s="25">
        <f t="shared" si="3"/>
        <v>116.2</v>
      </c>
      <c r="I101" s="22">
        <v>19361936</v>
      </c>
      <c r="J101" s="26"/>
    </row>
    <row r="102" spans="1:10" x14ac:dyDescent="0.25">
      <c r="A102" s="22">
        <v>100</v>
      </c>
      <c r="B102" s="22">
        <v>3261</v>
      </c>
      <c r="C102" s="33" t="s">
        <v>263</v>
      </c>
      <c r="D102" s="45">
        <v>313</v>
      </c>
      <c r="E102" s="25">
        <v>0.4</v>
      </c>
      <c r="F102" s="25">
        <f t="shared" si="2"/>
        <v>125.2</v>
      </c>
      <c r="G102" s="25"/>
      <c r="H102" s="25">
        <f t="shared" si="3"/>
        <v>125.2</v>
      </c>
      <c r="I102" s="22">
        <v>8124516</v>
      </c>
      <c r="J102" s="26"/>
    </row>
    <row r="103" spans="1:10" x14ac:dyDescent="0.25">
      <c r="A103" s="22">
        <v>101</v>
      </c>
      <c r="B103" s="22">
        <v>3262</v>
      </c>
      <c r="C103" s="33" t="s">
        <v>265</v>
      </c>
      <c r="D103" s="45">
        <v>33.6</v>
      </c>
      <c r="E103" s="25">
        <v>0.4</v>
      </c>
      <c r="F103" s="25">
        <f t="shared" si="2"/>
        <v>13.440000000000001</v>
      </c>
      <c r="G103" s="25"/>
      <c r="H103" s="25">
        <f t="shared" si="3"/>
        <v>13.440000000000001</v>
      </c>
      <c r="I103" s="22">
        <v>1483142</v>
      </c>
      <c r="J103" s="26"/>
    </row>
    <row r="104" spans="1:10" x14ac:dyDescent="0.25">
      <c r="A104" s="22">
        <v>102</v>
      </c>
      <c r="B104" s="22">
        <v>3263</v>
      </c>
      <c r="C104" s="33" t="s">
        <v>267</v>
      </c>
      <c r="D104" s="45">
        <v>448</v>
      </c>
      <c r="E104" s="25">
        <v>0.4</v>
      </c>
      <c r="F104" s="25">
        <f t="shared" si="2"/>
        <v>179.20000000000002</v>
      </c>
      <c r="G104" s="25"/>
      <c r="H104" s="25">
        <f t="shared" si="3"/>
        <v>179.20000000000002</v>
      </c>
      <c r="I104" s="22">
        <v>986981</v>
      </c>
      <c r="J104" s="26"/>
    </row>
    <row r="105" spans="1:10" x14ac:dyDescent="0.25">
      <c r="A105" s="22">
        <v>103</v>
      </c>
      <c r="B105" s="22">
        <v>3266</v>
      </c>
      <c r="C105" s="33" t="s">
        <v>269</v>
      </c>
      <c r="D105" s="45">
        <v>667</v>
      </c>
      <c r="E105" s="25">
        <v>0.4</v>
      </c>
      <c r="F105" s="25">
        <f t="shared" si="2"/>
        <v>266.8</v>
      </c>
      <c r="G105" s="25"/>
      <c r="H105" s="25">
        <f t="shared" si="3"/>
        <v>266.8</v>
      </c>
      <c r="I105" s="22">
        <v>25891616</v>
      </c>
      <c r="J105" s="26"/>
    </row>
    <row r="106" spans="1:10" s="144" customFormat="1" x14ac:dyDescent="0.25">
      <c r="A106" s="54">
        <v>104</v>
      </c>
      <c r="B106" s="54">
        <v>3268</v>
      </c>
      <c r="C106" s="55" t="s">
        <v>271</v>
      </c>
      <c r="D106" s="56">
        <v>880</v>
      </c>
      <c r="E106" s="57">
        <v>0.4</v>
      </c>
      <c r="F106" s="57">
        <f t="shared" si="2"/>
        <v>352</v>
      </c>
      <c r="G106" s="57">
        <f>F106</f>
        <v>352</v>
      </c>
      <c r="H106" s="57">
        <f t="shared" si="3"/>
        <v>0</v>
      </c>
      <c r="I106" s="71">
        <v>22373123</v>
      </c>
      <c r="J106" s="61" t="s">
        <v>906</v>
      </c>
    </row>
    <row r="107" spans="1:10" s="144" customFormat="1" x14ac:dyDescent="0.25">
      <c r="A107" s="54">
        <v>105</v>
      </c>
      <c r="B107" s="54">
        <v>3269</v>
      </c>
      <c r="C107" s="55" t="s">
        <v>273</v>
      </c>
      <c r="D107" s="56">
        <v>365</v>
      </c>
      <c r="E107" s="57">
        <v>0.4</v>
      </c>
      <c r="F107" s="57">
        <f t="shared" si="2"/>
        <v>146</v>
      </c>
      <c r="G107" s="57">
        <f>F107</f>
        <v>146</v>
      </c>
      <c r="H107" s="57">
        <f t="shared" si="3"/>
        <v>0</v>
      </c>
      <c r="I107" s="71">
        <v>14052947</v>
      </c>
      <c r="J107" s="61" t="s">
        <v>902</v>
      </c>
    </row>
    <row r="108" spans="1:10" s="144" customFormat="1" x14ac:dyDescent="0.25">
      <c r="A108" s="54">
        <v>106</v>
      </c>
      <c r="B108" s="54">
        <v>3270</v>
      </c>
      <c r="C108" s="55" t="s">
        <v>275</v>
      </c>
      <c r="D108" s="56">
        <v>621</v>
      </c>
      <c r="E108" s="57">
        <v>0.4</v>
      </c>
      <c r="F108" s="57">
        <f t="shared" si="2"/>
        <v>248.4</v>
      </c>
      <c r="G108" s="57">
        <f>F108</f>
        <v>248.4</v>
      </c>
      <c r="H108" s="57">
        <f t="shared" si="3"/>
        <v>0</v>
      </c>
      <c r="I108" s="54">
        <v>11242698</v>
      </c>
      <c r="J108" s="61" t="s">
        <v>902</v>
      </c>
    </row>
    <row r="109" spans="1:10" x14ac:dyDescent="0.25">
      <c r="A109" s="22">
        <v>107</v>
      </c>
      <c r="B109" s="22">
        <v>3271</v>
      </c>
      <c r="C109" s="464" t="s">
        <v>277</v>
      </c>
      <c r="D109" s="45">
        <v>477.4</v>
      </c>
      <c r="E109" s="25">
        <v>0.4</v>
      </c>
      <c r="F109" s="25">
        <f t="shared" si="2"/>
        <v>190.96</v>
      </c>
      <c r="G109" s="25"/>
      <c r="H109" s="25">
        <f t="shared" si="3"/>
        <v>190.96</v>
      </c>
      <c r="I109" s="465">
        <v>24503986</v>
      </c>
      <c r="J109" s="466"/>
    </row>
    <row r="110" spans="1:10" x14ac:dyDescent="0.25">
      <c r="A110" s="22">
        <v>108</v>
      </c>
      <c r="B110" s="22">
        <v>3272</v>
      </c>
      <c r="C110" s="464" t="s">
        <v>279</v>
      </c>
      <c r="D110" s="45">
        <v>274.60000000000002</v>
      </c>
      <c r="E110" s="25">
        <v>0.4</v>
      </c>
      <c r="F110" s="25">
        <f t="shared" si="2"/>
        <v>109.84000000000002</v>
      </c>
      <c r="G110" s="25"/>
      <c r="H110" s="25">
        <f t="shared" si="3"/>
        <v>109.84000000000002</v>
      </c>
      <c r="I110" s="465">
        <v>22977225</v>
      </c>
      <c r="J110" s="466"/>
    </row>
    <row r="111" spans="1:10" x14ac:dyDescent="0.25">
      <c r="A111" s="22">
        <v>109</v>
      </c>
      <c r="B111" s="22">
        <v>3273</v>
      </c>
      <c r="C111" s="33" t="s">
        <v>281</v>
      </c>
      <c r="D111" s="45">
        <v>616.70000000000005</v>
      </c>
      <c r="E111" s="25">
        <v>0.4</v>
      </c>
      <c r="F111" s="25">
        <f t="shared" si="2"/>
        <v>246.68000000000004</v>
      </c>
      <c r="G111" s="25"/>
      <c r="H111" s="25">
        <f t="shared" si="3"/>
        <v>246.68000000000004</v>
      </c>
      <c r="I111" s="22">
        <v>7047221</v>
      </c>
      <c r="J111" s="26"/>
    </row>
    <row r="112" spans="1:10" s="144" customFormat="1" x14ac:dyDescent="0.25">
      <c r="A112" s="54">
        <v>110</v>
      </c>
      <c r="B112" s="54">
        <v>3277</v>
      </c>
      <c r="C112" s="55" t="s">
        <v>283</v>
      </c>
      <c r="D112" s="56">
        <v>514.29999999999995</v>
      </c>
      <c r="E112" s="57">
        <v>0.4</v>
      </c>
      <c r="F112" s="57">
        <f t="shared" si="2"/>
        <v>205.72</v>
      </c>
      <c r="G112" s="57">
        <f>F112</f>
        <v>205.72</v>
      </c>
      <c r="H112" s="57">
        <f t="shared" si="3"/>
        <v>0</v>
      </c>
      <c r="I112" s="54">
        <v>14277741</v>
      </c>
      <c r="J112" s="61" t="s">
        <v>902</v>
      </c>
    </row>
    <row r="113" spans="1:10" x14ac:dyDescent="0.25">
      <c r="A113" s="22">
        <v>111</v>
      </c>
      <c r="B113" s="22">
        <v>3278</v>
      </c>
      <c r="C113" s="33" t="s">
        <v>285</v>
      </c>
      <c r="D113" s="45">
        <v>207.8</v>
      </c>
      <c r="E113" s="25">
        <v>0.4</v>
      </c>
      <c r="F113" s="25">
        <f t="shared" si="2"/>
        <v>83.12</v>
      </c>
      <c r="G113" s="25"/>
      <c r="H113" s="25">
        <f t="shared" si="3"/>
        <v>83.12</v>
      </c>
      <c r="I113" s="22">
        <v>27713998</v>
      </c>
      <c r="J113" s="26"/>
    </row>
    <row r="114" spans="1:10" s="144" customFormat="1" x14ac:dyDescent="0.25">
      <c r="A114" s="54">
        <v>112</v>
      </c>
      <c r="B114" s="54">
        <v>3279</v>
      </c>
      <c r="C114" s="55" t="s">
        <v>287</v>
      </c>
      <c r="D114" s="56">
        <v>1464</v>
      </c>
      <c r="E114" s="57">
        <v>0.4</v>
      </c>
      <c r="F114" s="57">
        <f t="shared" si="2"/>
        <v>585.6</v>
      </c>
      <c r="G114" s="57">
        <f>F114</f>
        <v>585.6</v>
      </c>
      <c r="H114" s="57">
        <f t="shared" si="3"/>
        <v>0</v>
      </c>
      <c r="I114" s="78">
        <v>20468811</v>
      </c>
      <c r="J114" s="461">
        <v>45932</v>
      </c>
    </row>
    <row r="115" spans="1:10" s="36" customFormat="1" x14ac:dyDescent="0.25">
      <c r="A115" s="27">
        <v>113</v>
      </c>
      <c r="B115" s="27">
        <v>3280</v>
      </c>
      <c r="C115" s="28" t="s">
        <v>288</v>
      </c>
      <c r="D115" s="29">
        <v>576.29999999999995</v>
      </c>
      <c r="E115" s="30">
        <v>0.4</v>
      </c>
      <c r="F115" s="30">
        <f t="shared" si="2"/>
        <v>230.51999999999998</v>
      </c>
      <c r="G115" s="30">
        <v>230.43</v>
      </c>
      <c r="H115" s="30">
        <f t="shared" si="3"/>
        <v>8.9999999999974989E-2</v>
      </c>
      <c r="I115" s="27">
        <v>25887523</v>
      </c>
      <c r="J115" s="35">
        <v>45993</v>
      </c>
    </row>
    <row r="116" spans="1:10" s="36" customFormat="1" x14ac:dyDescent="0.25">
      <c r="A116" s="27">
        <v>114</v>
      </c>
      <c r="B116" s="27">
        <v>3281</v>
      </c>
      <c r="C116" s="28" t="s">
        <v>292</v>
      </c>
      <c r="D116" s="29">
        <v>639.20000000000005</v>
      </c>
      <c r="E116" s="30">
        <v>0.4</v>
      </c>
      <c r="F116" s="30">
        <f t="shared" si="2"/>
        <v>255.68000000000004</v>
      </c>
      <c r="G116" s="30">
        <f>253.34</f>
        <v>253.34</v>
      </c>
      <c r="H116" s="30">
        <f t="shared" si="3"/>
        <v>2.3400000000000318</v>
      </c>
      <c r="I116" s="27">
        <v>1045575</v>
      </c>
      <c r="J116" s="31" t="s">
        <v>904</v>
      </c>
    </row>
    <row r="117" spans="1:10" s="36" customFormat="1" x14ac:dyDescent="0.25">
      <c r="A117" s="27">
        <v>115</v>
      </c>
      <c r="B117" s="27">
        <v>3286</v>
      </c>
      <c r="C117" s="28" t="s">
        <v>295</v>
      </c>
      <c r="D117" s="29">
        <v>379.8</v>
      </c>
      <c r="E117" s="30">
        <v>0.4</v>
      </c>
      <c r="F117" s="30">
        <f t="shared" si="2"/>
        <v>151.92000000000002</v>
      </c>
      <c r="G117" s="30">
        <f>150.86</f>
        <v>150.86000000000001</v>
      </c>
      <c r="H117" s="30">
        <f t="shared" si="3"/>
        <v>1.0600000000000023</v>
      </c>
      <c r="I117" s="27">
        <v>23232841</v>
      </c>
      <c r="J117" s="31" t="s">
        <v>904</v>
      </c>
    </row>
    <row r="118" spans="1:10" x14ac:dyDescent="0.25">
      <c r="A118" s="22">
        <v>116</v>
      </c>
      <c r="B118" s="22">
        <v>3287</v>
      </c>
      <c r="C118" s="33" t="s">
        <v>297</v>
      </c>
      <c r="D118" s="45">
        <v>452.1</v>
      </c>
      <c r="E118" s="25">
        <v>0.4</v>
      </c>
      <c r="F118" s="25">
        <f t="shared" si="2"/>
        <v>180.84000000000003</v>
      </c>
      <c r="G118" s="25"/>
      <c r="H118" s="25">
        <f t="shared" si="3"/>
        <v>180.84000000000003</v>
      </c>
      <c r="I118" s="22">
        <v>6504554</v>
      </c>
      <c r="J118" s="26"/>
    </row>
    <row r="119" spans="1:10" x14ac:dyDescent="0.25">
      <c r="A119" s="27">
        <v>117</v>
      </c>
      <c r="B119" s="27">
        <v>3288</v>
      </c>
      <c r="C119" s="28" t="s">
        <v>300</v>
      </c>
      <c r="D119" s="29">
        <v>505.8</v>
      </c>
      <c r="E119" s="30">
        <v>0.4</v>
      </c>
      <c r="F119" s="30">
        <f t="shared" si="2"/>
        <v>202.32000000000002</v>
      </c>
      <c r="G119" s="30">
        <f>200.86</f>
        <v>200.86</v>
      </c>
      <c r="H119" s="30">
        <f t="shared" si="3"/>
        <v>1.460000000000008</v>
      </c>
      <c r="I119" s="32">
        <v>1460824</v>
      </c>
      <c r="J119" s="64" t="s">
        <v>900</v>
      </c>
    </row>
    <row r="120" spans="1:10" x14ac:dyDescent="0.25">
      <c r="A120" s="22">
        <v>118</v>
      </c>
      <c r="B120" s="22">
        <v>3291</v>
      </c>
      <c r="C120" s="33" t="s">
        <v>303</v>
      </c>
      <c r="D120" s="24">
        <v>809.2</v>
      </c>
      <c r="E120" s="25">
        <v>0.4</v>
      </c>
      <c r="F120" s="25">
        <f t="shared" si="2"/>
        <v>323.68000000000006</v>
      </c>
      <c r="G120" s="25"/>
      <c r="H120" s="25">
        <f t="shared" si="3"/>
        <v>323.68000000000006</v>
      </c>
      <c r="I120" s="22">
        <v>1974735</v>
      </c>
      <c r="J120" s="26"/>
    </row>
    <row r="121" spans="1:10" x14ac:dyDescent="0.25">
      <c r="A121" s="22">
        <v>119</v>
      </c>
      <c r="B121" s="22">
        <v>3292</v>
      </c>
      <c r="C121" s="33" t="s">
        <v>305</v>
      </c>
      <c r="D121" s="24">
        <v>847.7</v>
      </c>
      <c r="E121" s="25">
        <v>0.4</v>
      </c>
      <c r="F121" s="25">
        <f t="shared" si="2"/>
        <v>339.08000000000004</v>
      </c>
      <c r="G121" s="25"/>
      <c r="H121" s="25">
        <f t="shared" si="3"/>
        <v>339.08000000000004</v>
      </c>
      <c r="I121" s="462">
        <v>13282353</v>
      </c>
      <c r="J121" s="26"/>
    </row>
    <row r="122" spans="1:10" x14ac:dyDescent="0.25">
      <c r="A122" s="22">
        <v>120</v>
      </c>
      <c r="B122" s="22">
        <v>3293</v>
      </c>
      <c r="C122" s="33" t="s">
        <v>307</v>
      </c>
      <c r="D122" s="45">
        <v>287.60000000000002</v>
      </c>
      <c r="E122" s="25">
        <v>0.4</v>
      </c>
      <c r="F122" s="25">
        <f t="shared" si="2"/>
        <v>115.04000000000002</v>
      </c>
      <c r="G122" s="25"/>
      <c r="H122" s="25">
        <f t="shared" si="3"/>
        <v>115.04000000000002</v>
      </c>
      <c r="I122" s="22">
        <v>4048259</v>
      </c>
      <c r="J122" s="26"/>
    </row>
    <row r="123" spans="1:10" s="36" customFormat="1" x14ac:dyDescent="0.25">
      <c r="A123" s="27">
        <v>121</v>
      </c>
      <c r="B123" s="27">
        <v>3294</v>
      </c>
      <c r="C123" s="28" t="s">
        <v>309</v>
      </c>
      <c r="D123" s="29">
        <v>433.3</v>
      </c>
      <c r="E123" s="30">
        <v>0.4</v>
      </c>
      <c r="F123" s="30">
        <f t="shared" si="2"/>
        <v>173.32000000000002</v>
      </c>
      <c r="G123" s="30">
        <f>168.66</f>
        <v>168.66</v>
      </c>
      <c r="H123" s="30">
        <f t="shared" si="3"/>
        <v>4.660000000000025</v>
      </c>
      <c r="I123" s="27">
        <v>19263029</v>
      </c>
      <c r="J123" s="31" t="s">
        <v>901</v>
      </c>
    </row>
    <row r="124" spans="1:10" x14ac:dyDescent="0.25">
      <c r="A124" s="22">
        <v>122</v>
      </c>
      <c r="B124" s="22">
        <v>3295</v>
      </c>
      <c r="C124" s="33" t="s">
        <v>311</v>
      </c>
      <c r="D124" s="45">
        <v>322</v>
      </c>
      <c r="E124" s="25">
        <v>0.4</v>
      </c>
      <c r="F124" s="25">
        <f t="shared" si="2"/>
        <v>128.80000000000001</v>
      </c>
      <c r="G124" s="25"/>
      <c r="H124" s="25">
        <f t="shared" si="3"/>
        <v>128.80000000000001</v>
      </c>
      <c r="I124" s="22">
        <v>20378353</v>
      </c>
      <c r="J124" s="26"/>
    </row>
    <row r="125" spans="1:10" x14ac:dyDescent="0.25">
      <c r="A125" s="22">
        <v>123</v>
      </c>
      <c r="B125" s="22">
        <v>3297</v>
      </c>
      <c r="C125" s="33" t="s">
        <v>313</v>
      </c>
      <c r="D125" s="45">
        <v>294.7</v>
      </c>
      <c r="E125" s="25">
        <v>0.4</v>
      </c>
      <c r="F125" s="25">
        <f t="shared" si="2"/>
        <v>117.88</v>
      </c>
      <c r="G125" s="25"/>
      <c r="H125" s="25">
        <f t="shared" si="3"/>
        <v>117.88</v>
      </c>
      <c r="I125" s="22">
        <v>5359682</v>
      </c>
      <c r="J125" s="26"/>
    </row>
    <row r="126" spans="1:10" x14ac:dyDescent="0.25">
      <c r="A126" s="22">
        <v>124</v>
      </c>
      <c r="B126" s="22">
        <v>3298</v>
      </c>
      <c r="C126" s="33" t="s">
        <v>315</v>
      </c>
      <c r="D126" s="24">
        <v>477.3</v>
      </c>
      <c r="E126" s="25">
        <v>0.4</v>
      </c>
      <c r="F126" s="25">
        <f t="shared" si="2"/>
        <v>190.92000000000002</v>
      </c>
      <c r="G126" s="25"/>
      <c r="H126" s="25">
        <f t="shared" si="3"/>
        <v>190.92000000000002</v>
      </c>
      <c r="I126" s="34">
        <v>6160236</v>
      </c>
      <c r="J126" s="26"/>
    </row>
    <row r="127" spans="1:10" x14ac:dyDescent="0.25">
      <c r="A127" s="22">
        <v>125</v>
      </c>
      <c r="B127" s="22">
        <v>3302</v>
      </c>
      <c r="C127" s="33" t="s">
        <v>317</v>
      </c>
      <c r="D127" s="45">
        <v>625.6</v>
      </c>
      <c r="E127" s="25">
        <v>0.4</v>
      </c>
      <c r="F127" s="25">
        <f t="shared" si="2"/>
        <v>250.24</v>
      </c>
      <c r="G127" s="25"/>
      <c r="H127" s="25">
        <f t="shared" si="3"/>
        <v>250.24</v>
      </c>
      <c r="I127" s="22">
        <v>71004483</v>
      </c>
      <c r="J127" s="26"/>
    </row>
    <row r="128" spans="1:10" x14ac:dyDescent="0.25">
      <c r="A128" s="22">
        <v>126</v>
      </c>
      <c r="B128" s="22">
        <v>3303</v>
      </c>
      <c r="C128" s="33" t="s">
        <v>319</v>
      </c>
      <c r="D128" s="24">
        <v>418</v>
      </c>
      <c r="E128" s="25">
        <v>0.4</v>
      </c>
      <c r="F128" s="25">
        <f t="shared" si="2"/>
        <v>167.20000000000002</v>
      </c>
      <c r="G128" s="25"/>
      <c r="H128" s="25">
        <f t="shared" si="3"/>
        <v>167.20000000000002</v>
      </c>
      <c r="I128" s="34">
        <v>3172781</v>
      </c>
      <c r="J128" s="26"/>
    </row>
    <row r="129" spans="1:11" x14ac:dyDescent="0.25">
      <c r="A129" s="22">
        <v>128</v>
      </c>
      <c r="B129" s="22">
        <v>3311</v>
      </c>
      <c r="C129" s="33" t="s">
        <v>323</v>
      </c>
      <c r="D129" s="45">
        <v>535.79999999999995</v>
      </c>
      <c r="E129" s="25">
        <v>0.4</v>
      </c>
      <c r="F129" s="25">
        <f t="shared" si="2"/>
        <v>214.32</v>
      </c>
      <c r="G129" s="25"/>
      <c r="H129" s="25">
        <f t="shared" si="3"/>
        <v>214.32</v>
      </c>
      <c r="I129" s="22" t="s">
        <v>324</v>
      </c>
      <c r="J129" s="26"/>
    </row>
    <row r="130" spans="1:11" s="36" customFormat="1" x14ac:dyDescent="0.25">
      <c r="A130" s="27">
        <v>129</v>
      </c>
      <c r="B130" s="27">
        <v>3312</v>
      </c>
      <c r="C130" s="28" t="s">
        <v>328</v>
      </c>
      <c r="D130" s="29">
        <v>644</v>
      </c>
      <c r="E130" s="30">
        <v>0.4</v>
      </c>
      <c r="F130" s="30">
        <f t="shared" si="2"/>
        <v>257.60000000000002</v>
      </c>
      <c r="G130" s="30">
        <f>F130</f>
        <v>257.60000000000002</v>
      </c>
      <c r="H130" s="30">
        <f t="shared" si="3"/>
        <v>0</v>
      </c>
      <c r="I130" s="27">
        <v>881326</v>
      </c>
      <c r="J130" s="31" t="s">
        <v>902</v>
      </c>
    </row>
    <row r="131" spans="1:11" x14ac:dyDescent="0.25">
      <c r="A131" s="22">
        <v>130</v>
      </c>
      <c r="B131" s="22">
        <v>3314</v>
      </c>
      <c r="C131" s="33" t="s">
        <v>330</v>
      </c>
      <c r="D131" s="45">
        <v>565.6</v>
      </c>
      <c r="E131" s="25">
        <v>0.4</v>
      </c>
      <c r="F131" s="25">
        <f t="shared" si="2"/>
        <v>226.24</v>
      </c>
      <c r="G131" s="25"/>
      <c r="H131" s="25">
        <f t="shared" si="3"/>
        <v>226.24</v>
      </c>
      <c r="I131" s="22">
        <v>766893</v>
      </c>
      <c r="J131" s="26"/>
    </row>
    <row r="132" spans="1:11" x14ac:dyDescent="0.25">
      <c r="A132" s="22">
        <v>133</v>
      </c>
      <c r="B132" s="22">
        <v>3320</v>
      </c>
      <c r="C132" s="33" t="s">
        <v>337</v>
      </c>
      <c r="D132" s="45">
        <v>345</v>
      </c>
      <c r="E132" s="25">
        <v>0.4</v>
      </c>
      <c r="F132" s="25">
        <f t="shared" si="2"/>
        <v>138</v>
      </c>
      <c r="G132" s="25"/>
      <c r="H132" s="25">
        <f t="shared" si="3"/>
        <v>138</v>
      </c>
      <c r="I132" s="22">
        <v>2096234</v>
      </c>
      <c r="J132" s="26"/>
    </row>
    <row r="133" spans="1:11" x14ac:dyDescent="0.25">
      <c r="A133" s="22">
        <v>134</v>
      </c>
      <c r="B133" s="22">
        <v>3321</v>
      </c>
      <c r="C133" s="33" t="s">
        <v>339</v>
      </c>
      <c r="D133" s="45">
        <v>216.1</v>
      </c>
      <c r="E133" s="25">
        <v>0.4</v>
      </c>
      <c r="F133" s="25">
        <f t="shared" si="2"/>
        <v>86.44</v>
      </c>
      <c r="G133" s="25"/>
      <c r="H133" s="25">
        <f t="shared" ref="H133:H196" si="4">F133-G133</f>
        <v>86.44</v>
      </c>
      <c r="I133" s="22">
        <v>10721505</v>
      </c>
      <c r="J133" s="26"/>
    </row>
    <row r="134" spans="1:11" x14ac:dyDescent="0.25">
      <c r="A134" s="22">
        <v>135</v>
      </c>
      <c r="B134" s="22">
        <v>3322</v>
      </c>
      <c r="C134" s="33" t="s">
        <v>341</v>
      </c>
      <c r="D134" s="45">
        <v>559.9</v>
      </c>
      <c r="E134" s="25">
        <v>0.4</v>
      </c>
      <c r="F134" s="25">
        <f t="shared" ref="F134:F197" si="5">E134*D134</f>
        <v>223.96</v>
      </c>
      <c r="G134" s="25"/>
      <c r="H134" s="25">
        <f t="shared" si="4"/>
        <v>223.96</v>
      </c>
      <c r="I134" s="22">
        <v>6047858</v>
      </c>
      <c r="J134" s="26"/>
    </row>
    <row r="135" spans="1:11" s="36" customFormat="1" x14ac:dyDescent="0.25">
      <c r="A135" s="27">
        <v>136</v>
      </c>
      <c r="B135" s="27">
        <v>3325</v>
      </c>
      <c r="C135" s="28" t="s">
        <v>153</v>
      </c>
      <c r="D135" s="29">
        <v>209.7</v>
      </c>
      <c r="E135" s="30">
        <v>0.4</v>
      </c>
      <c r="F135" s="30">
        <f t="shared" si="5"/>
        <v>83.88</v>
      </c>
      <c r="G135" s="30">
        <f>80.59</f>
        <v>80.59</v>
      </c>
      <c r="H135" s="30">
        <f t="shared" si="4"/>
        <v>3.289999999999992</v>
      </c>
      <c r="I135" s="27">
        <v>21849398</v>
      </c>
      <c r="J135" s="35" t="s">
        <v>900</v>
      </c>
    </row>
    <row r="136" spans="1:11" x14ac:dyDescent="0.25">
      <c r="A136" s="22">
        <v>137</v>
      </c>
      <c r="B136" s="457">
        <v>3326</v>
      </c>
      <c r="C136" s="33" t="s">
        <v>344</v>
      </c>
      <c r="D136" s="45">
        <v>659.9</v>
      </c>
      <c r="E136" s="25">
        <v>0.4</v>
      </c>
      <c r="F136" s="25">
        <f t="shared" si="5"/>
        <v>263.95999999999998</v>
      </c>
      <c r="G136" s="25"/>
      <c r="H136" s="25">
        <f t="shared" si="4"/>
        <v>263.95999999999998</v>
      </c>
      <c r="I136" s="457">
        <v>1466865</v>
      </c>
      <c r="J136" s="26"/>
    </row>
    <row r="137" spans="1:11" s="36" customFormat="1" x14ac:dyDescent="0.25">
      <c r="A137" s="27">
        <v>138</v>
      </c>
      <c r="B137" s="27">
        <v>3328</v>
      </c>
      <c r="C137" s="28" t="s">
        <v>346</v>
      </c>
      <c r="D137" s="29">
        <v>664.8</v>
      </c>
      <c r="E137" s="30">
        <v>0.4</v>
      </c>
      <c r="F137" s="30">
        <f t="shared" si="5"/>
        <v>265.92</v>
      </c>
      <c r="G137" s="30">
        <f>262.66</f>
        <v>262.66000000000003</v>
      </c>
      <c r="H137" s="30">
        <f t="shared" si="4"/>
        <v>3.2599999999999909</v>
      </c>
      <c r="I137" s="27">
        <v>1934204</v>
      </c>
      <c r="J137" s="35">
        <v>45932</v>
      </c>
    </row>
    <row r="138" spans="1:11" s="36" customFormat="1" x14ac:dyDescent="0.25">
      <c r="A138" s="27">
        <v>139</v>
      </c>
      <c r="B138" s="27">
        <v>3329</v>
      </c>
      <c r="C138" s="28" t="s">
        <v>348</v>
      </c>
      <c r="D138" s="29">
        <v>345</v>
      </c>
      <c r="E138" s="30">
        <v>0.4</v>
      </c>
      <c r="F138" s="30">
        <f t="shared" si="5"/>
        <v>138</v>
      </c>
      <c r="G138" s="30">
        <f>137.45</f>
        <v>137.44999999999999</v>
      </c>
      <c r="H138" s="30">
        <f t="shared" si="4"/>
        <v>0.55000000000001137</v>
      </c>
      <c r="I138" s="27">
        <v>9086292</v>
      </c>
      <c r="J138" s="35">
        <v>45779</v>
      </c>
    </row>
    <row r="139" spans="1:11" x14ac:dyDescent="0.25">
      <c r="A139" s="22">
        <v>140</v>
      </c>
      <c r="B139" s="22">
        <v>3331</v>
      </c>
      <c r="C139" s="33" t="s">
        <v>350</v>
      </c>
      <c r="D139" s="45">
        <v>615.79999999999995</v>
      </c>
      <c r="E139" s="25">
        <v>0.4</v>
      </c>
      <c r="F139" s="25">
        <f t="shared" si="5"/>
        <v>246.32</v>
      </c>
      <c r="G139" s="25"/>
      <c r="H139" s="25">
        <f t="shared" si="4"/>
        <v>246.32</v>
      </c>
      <c r="I139" s="22">
        <v>18048861</v>
      </c>
      <c r="J139" s="26"/>
    </row>
    <row r="140" spans="1:11" x14ac:dyDescent="0.25">
      <c r="A140" s="22">
        <v>141</v>
      </c>
      <c r="B140" s="22">
        <v>3332</v>
      </c>
      <c r="C140" s="33" t="s">
        <v>721</v>
      </c>
      <c r="D140" s="45">
        <v>197.9</v>
      </c>
      <c r="E140" s="25">
        <v>0.4</v>
      </c>
      <c r="F140" s="25">
        <f t="shared" si="5"/>
        <v>79.160000000000011</v>
      </c>
      <c r="G140" s="25"/>
      <c r="H140" s="25">
        <f t="shared" si="4"/>
        <v>79.160000000000011</v>
      </c>
      <c r="I140" s="22">
        <v>1320775</v>
      </c>
      <c r="J140" s="26"/>
    </row>
    <row r="141" spans="1:11" s="36" customFormat="1" x14ac:dyDescent="0.25">
      <c r="A141" s="27">
        <v>142</v>
      </c>
      <c r="B141" s="27">
        <v>3334</v>
      </c>
      <c r="C141" s="28" t="s">
        <v>353</v>
      </c>
      <c r="D141" s="29">
        <v>456</v>
      </c>
      <c r="E141" s="30">
        <v>0.4</v>
      </c>
      <c r="F141" s="30">
        <f t="shared" si="5"/>
        <v>182.4</v>
      </c>
      <c r="G141" s="30">
        <f>179.53</f>
        <v>179.53</v>
      </c>
      <c r="H141" s="30">
        <f t="shared" si="4"/>
        <v>2.8700000000000045</v>
      </c>
      <c r="I141" s="27">
        <v>1176211</v>
      </c>
      <c r="J141" s="31" t="s">
        <v>901</v>
      </c>
    </row>
    <row r="142" spans="1:11" x14ac:dyDescent="0.25">
      <c r="A142" s="22">
        <v>143</v>
      </c>
      <c r="B142" s="22">
        <v>3335</v>
      </c>
      <c r="C142" s="33" t="s">
        <v>355</v>
      </c>
      <c r="D142" s="45">
        <v>263.5</v>
      </c>
      <c r="E142" s="25">
        <v>0.4</v>
      </c>
      <c r="F142" s="25">
        <f t="shared" si="5"/>
        <v>105.4</v>
      </c>
      <c r="G142" s="25"/>
      <c r="H142" s="25">
        <f t="shared" si="4"/>
        <v>105.4</v>
      </c>
      <c r="I142" s="22">
        <v>2022545</v>
      </c>
      <c r="J142" s="26"/>
    </row>
    <row r="143" spans="1:11" x14ac:dyDescent="0.25">
      <c r="A143" s="27">
        <v>144</v>
      </c>
      <c r="B143" s="27">
        <v>3336</v>
      </c>
      <c r="C143" s="28" t="s">
        <v>357</v>
      </c>
      <c r="D143" s="29">
        <v>320.5</v>
      </c>
      <c r="E143" s="30">
        <v>0.4</v>
      </c>
      <c r="F143" s="30">
        <f t="shared" si="5"/>
        <v>128.20000000000002</v>
      </c>
      <c r="G143" s="30">
        <f>125.08</f>
        <v>125.08</v>
      </c>
      <c r="H143" s="30">
        <f t="shared" si="4"/>
        <v>3.1200000000000188</v>
      </c>
      <c r="I143" s="27">
        <v>905756</v>
      </c>
      <c r="J143" s="35">
        <v>45779</v>
      </c>
      <c r="K143" s="36"/>
    </row>
    <row r="144" spans="1:11" x14ac:dyDescent="0.25">
      <c r="A144" s="22">
        <v>145</v>
      </c>
      <c r="B144" s="22">
        <v>3337</v>
      </c>
      <c r="C144" s="33" t="s">
        <v>359</v>
      </c>
      <c r="D144" s="45">
        <v>312.8</v>
      </c>
      <c r="E144" s="25">
        <v>0.4</v>
      </c>
      <c r="F144" s="25">
        <f t="shared" si="5"/>
        <v>125.12</v>
      </c>
      <c r="G144" s="25"/>
      <c r="H144" s="25">
        <f t="shared" si="4"/>
        <v>125.12</v>
      </c>
      <c r="I144" s="22">
        <v>19344361</v>
      </c>
      <c r="J144" s="26"/>
    </row>
    <row r="145" spans="1:10" s="36" customFormat="1" x14ac:dyDescent="0.25">
      <c r="A145" s="27">
        <v>146</v>
      </c>
      <c r="B145" s="27">
        <v>3338</v>
      </c>
      <c r="C145" s="28" t="s">
        <v>361</v>
      </c>
      <c r="D145" s="29">
        <v>396.4</v>
      </c>
      <c r="E145" s="30">
        <v>0.4</v>
      </c>
      <c r="F145" s="30">
        <f t="shared" si="5"/>
        <v>158.56</v>
      </c>
      <c r="G145" s="30">
        <f>112.88</f>
        <v>112.88</v>
      </c>
      <c r="H145" s="30">
        <f t="shared" si="4"/>
        <v>45.680000000000007</v>
      </c>
      <c r="I145" s="27">
        <v>1078791</v>
      </c>
      <c r="J145" s="35">
        <v>45779</v>
      </c>
    </row>
    <row r="146" spans="1:10" x14ac:dyDescent="0.25">
      <c r="A146" s="22">
        <v>147</v>
      </c>
      <c r="B146" s="22">
        <v>3340</v>
      </c>
      <c r="C146" s="33" t="s">
        <v>363</v>
      </c>
      <c r="D146" s="45">
        <v>298.3</v>
      </c>
      <c r="E146" s="25">
        <v>0.4</v>
      </c>
      <c r="F146" s="25">
        <f t="shared" si="5"/>
        <v>119.32000000000001</v>
      </c>
      <c r="G146" s="25"/>
      <c r="H146" s="25">
        <f t="shared" si="4"/>
        <v>119.32000000000001</v>
      </c>
      <c r="I146" s="22">
        <v>906355</v>
      </c>
      <c r="J146" s="26"/>
    </row>
    <row r="147" spans="1:10" s="36" customFormat="1" x14ac:dyDescent="0.25">
      <c r="A147" s="27">
        <v>148</v>
      </c>
      <c r="B147" s="27">
        <v>3342</v>
      </c>
      <c r="C147" s="28" t="s">
        <v>366</v>
      </c>
      <c r="D147" s="29">
        <v>229.8</v>
      </c>
      <c r="E147" s="30">
        <v>0.4</v>
      </c>
      <c r="F147" s="30">
        <f t="shared" si="5"/>
        <v>91.920000000000016</v>
      </c>
      <c r="G147" s="30">
        <f>F147</f>
        <v>91.920000000000016</v>
      </c>
      <c r="H147" s="30">
        <f t="shared" si="4"/>
        <v>0</v>
      </c>
      <c r="I147" s="27">
        <v>1779485</v>
      </c>
      <c r="J147" s="31" t="s">
        <v>903</v>
      </c>
    </row>
    <row r="148" spans="1:10" x14ac:dyDescent="0.25">
      <c r="A148" s="22">
        <v>149</v>
      </c>
      <c r="B148" s="22">
        <v>3346</v>
      </c>
      <c r="C148" s="33" t="s">
        <v>368</v>
      </c>
      <c r="D148" s="45">
        <v>313.7</v>
      </c>
      <c r="E148" s="25">
        <v>0.4</v>
      </c>
      <c r="F148" s="25">
        <f t="shared" si="5"/>
        <v>125.48</v>
      </c>
      <c r="G148" s="25"/>
      <c r="H148" s="25">
        <f t="shared" si="4"/>
        <v>125.48</v>
      </c>
      <c r="I148" s="22">
        <v>1586848</v>
      </c>
      <c r="J148" s="26"/>
    </row>
    <row r="149" spans="1:10" x14ac:dyDescent="0.25">
      <c r="A149" s="27">
        <v>150</v>
      </c>
      <c r="B149" s="27">
        <v>3700</v>
      </c>
      <c r="C149" s="28" t="s">
        <v>27</v>
      </c>
      <c r="D149" s="29">
        <v>868.8</v>
      </c>
      <c r="E149" s="30">
        <v>0.4</v>
      </c>
      <c r="F149" s="30">
        <f t="shared" si="5"/>
        <v>347.52</v>
      </c>
      <c r="G149" s="30">
        <f>347.15</f>
        <v>347.15</v>
      </c>
      <c r="H149" s="30">
        <f t="shared" si="4"/>
        <v>0.37000000000000455</v>
      </c>
      <c r="I149" s="27">
        <v>19729836</v>
      </c>
      <c r="J149" s="35" t="s">
        <v>890</v>
      </c>
    </row>
    <row r="150" spans="1:10" x14ac:dyDescent="0.25">
      <c r="A150" s="22">
        <v>151</v>
      </c>
      <c r="B150" s="22">
        <v>3702</v>
      </c>
      <c r="C150" s="33" t="s">
        <v>370</v>
      </c>
      <c r="D150" s="24">
        <v>325.3</v>
      </c>
      <c r="E150" s="25">
        <v>0.4</v>
      </c>
      <c r="F150" s="25">
        <f t="shared" si="5"/>
        <v>130.12</v>
      </c>
      <c r="G150" s="25"/>
      <c r="H150" s="25">
        <f t="shared" si="4"/>
        <v>130.12</v>
      </c>
      <c r="I150" s="80" t="s">
        <v>371</v>
      </c>
      <c r="J150" s="26"/>
    </row>
    <row r="151" spans="1:10" s="36" customFormat="1" x14ac:dyDescent="0.25">
      <c r="A151" s="27">
        <v>152</v>
      </c>
      <c r="B151" s="27">
        <v>3703</v>
      </c>
      <c r="C151" s="28" t="s">
        <v>373</v>
      </c>
      <c r="D151" s="29">
        <v>864.8</v>
      </c>
      <c r="E151" s="30">
        <v>0.4</v>
      </c>
      <c r="F151" s="30">
        <f t="shared" si="5"/>
        <v>345.92</v>
      </c>
      <c r="G151" s="30">
        <f>344.96</f>
        <v>344.96</v>
      </c>
      <c r="H151" s="30">
        <f t="shared" si="4"/>
        <v>0.96000000000003638</v>
      </c>
      <c r="I151" s="27">
        <v>6332137</v>
      </c>
      <c r="J151" s="31"/>
    </row>
    <row r="152" spans="1:10" x14ac:dyDescent="0.25">
      <c r="A152" s="22">
        <v>153</v>
      </c>
      <c r="B152" s="22">
        <v>3704</v>
      </c>
      <c r="C152" s="33" t="s">
        <v>375</v>
      </c>
      <c r="D152" s="24">
        <v>630.6</v>
      </c>
      <c r="E152" s="25">
        <v>0.4</v>
      </c>
      <c r="F152" s="25">
        <f t="shared" si="5"/>
        <v>252.24</v>
      </c>
      <c r="G152" s="25"/>
      <c r="H152" s="25">
        <f t="shared" si="4"/>
        <v>252.24</v>
      </c>
      <c r="I152" s="22">
        <v>730722</v>
      </c>
      <c r="J152" s="26"/>
    </row>
    <row r="153" spans="1:10" x14ac:dyDescent="0.25">
      <c r="A153" s="22">
        <v>154</v>
      </c>
      <c r="B153" s="22">
        <v>3705</v>
      </c>
      <c r="C153" s="33" t="s">
        <v>377</v>
      </c>
      <c r="D153" s="24">
        <v>304</v>
      </c>
      <c r="E153" s="25">
        <v>0.4</v>
      </c>
      <c r="F153" s="25">
        <f t="shared" si="5"/>
        <v>121.60000000000001</v>
      </c>
      <c r="G153" s="25"/>
      <c r="H153" s="25">
        <f t="shared" si="4"/>
        <v>121.60000000000001</v>
      </c>
      <c r="I153" s="22">
        <v>738486</v>
      </c>
      <c r="J153" s="26"/>
    </row>
    <row r="154" spans="1:10" x14ac:dyDescent="0.25">
      <c r="A154" s="22">
        <v>155</v>
      </c>
      <c r="B154" s="22">
        <v>3706</v>
      </c>
      <c r="C154" s="33" t="s">
        <v>379</v>
      </c>
      <c r="D154" s="24">
        <v>285.39999999999998</v>
      </c>
      <c r="E154" s="25">
        <v>0.4</v>
      </c>
      <c r="F154" s="25">
        <f t="shared" si="5"/>
        <v>114.16</v>
      </c>
      <c r="G154" s="25"/>
      <c r="H154" s="25">
        <f t="shared" si="4"/>
        <v>114.16</v>
      </c>
      <c r="I154" s="22">
        <v>8098795</v>
      </c>
      <c r="J154" s="26"/>
    </row>
    <row r="155" spans="1:10" s="144" customFormat="1" x14ac:dyDescent="0.25">
      <c r="A155" s="54">
        <v>156</v>
      </c>
      <c r="B155" s="54">
        <v>3708</v>
      </c>
      <c r="C155" s="55" t="s">
        <v>381</v>
      </c>
      <c r="D155" s="56">
        <v>545.4</v>
      </c>
      <c r="E155" s="57">
        <v>0.4</v>
      </c>
      <c r="F155" s="57">
        <f t="shared" si="5"/>
        <v>218.16</v>
      </c>
      <c r="G155" s="57">
        <f>F155</f>
        <v>218.16</v>
      </c>
      <c r="H155" s="57">
        <f t="shared" si="4"/>
        <v>0</v>
      </c>
      <c r="I155" s="57">
        <v>5304255</v>
      </c>
      <c r="J155" s="461">
        <v>45963</v>
      </c>
    </row>
    <row r="156" spans="1:10" s="36" customFormat="1" x14ac:dyDescent="0.25">
      <c r="A156" s="27">
        <v>157</v>
      </c>
      <c r="B156" s="27">
        <v>3709</v>
      </c>
      <c r="C156" s="28" t="s">
        <v>384</v>
      </c>
      <c r="D156" s="29">
        <v>611.70000000000005</v>
      </c>
      <c r="E156" s="30">
        <v>0.4</v>
      </c>
      <c r="F156" s="30">
        <f t="shared" si="5"/>
        <v>244.68000000000004</v>
      </c>
      <c r="G156" s="30">
        <f>242.08</f>
        <v>242.08</v>
      </c>
      <c r="H156" s="30">
        <f t="shared" si="4"/>
        <v>2.6000000000000227</v>
      </c>
      <c r="I156" s="68" t="s">
        <v>385</v>
      </c>
      <c r="J156" s="31" t="s">
        <v>901</v>
      </c>
    </row>
    <row r="157" spans="1:10" s="36" customFormat="1" x14ac:dyDescent="0.25">
      <c r="A157" s="27">
        <v>158</v>
      </c>
      <c r="B157" s="27">
        <v>3711</v>
      </c>
      <c r="C157" s="28" t="s">
        <v>387</v>
      </c>
      <c r="D157" s="29">
        <v>370.3</v>
      </c>
      <c r="E157" s="30">
        <v>0.4</v>
      </c>
      <c r="F157" s="30">
        <f t="shared" si="5"/>
        <v>148.12</v>
      </c>
      <c r="G157" s="30">
        <f>145.2</f>
        <v>145.19999999999999</v>
      </c>
      <c r="H157" s="30">
        <f t="shared" si="4"/>
        <v>2.9200000000000159</v>
      </c>
      <c r="I157" s="68" t="s">
        <v>388</v>
      </c>
      <c r="J157" s="35">
        <v>45932</v>
      </c>
    </row>
    <row r="158" spans="1:10" s="36" customFormat="1" x14ac:dyDescent="0.25">
      <c r="A158" s="27">
        <v>159</v>
      </c>
      <c r="B158" s="27">
        <v>3712</v>
      </c>
      <c r="C158" s="28" t="s">
        <v>390</v>
      </c>
      <c r="D158" s="29">
        <v>261.8</v>
      </c>
      <c r="E158" s="30">
        <v>0.4</v>
      </c>
      <c r="F158" s="30">
        <f t="shared" si="5"/>
        <v>104.72000000000001</v>
      </c>
      <c r="G158" s="30">
        <f>102.47</f>
        <v>102.47</v>
      </c>
      <c r="H158" s="30">
        <f t="shared" si="4"/>
        <v>2.2500000000000142</v>
      </c>
      <c r="I158" s="68" t="s">
        <v>391</v>
      </c>
      <c r="J158" s="35">
        <v>45779</v>
      </c>
    </row>
    <row r="159" spans="1:10" x14ac:dyDescent="0.25">
      <c r="A159" s="22">
        <v>160</v>
      </c>
      <c r="B159" s="22">
        <v>3713</v>
      </c>
      <c r="C159" s="33" t="s">
        <v>393</v>
      </c>
      <c r="D159" s="24">
        <v>307.89999999999998</v>
      </c>
      <c r="E159" s="25">
        <v>0.4</v>
      </c>
      <c r="F159" s="25">
        <f t="shared" si="5"/>
        <v>123.16</v>
      </c>
      <c r="G159" s="25"/>
      <c r="H159" s="25">
        <f t="shared" si="4"/>
        <v>123.16</v>
      </c>
      <c r="I159" s="80" t="s">
        <v>394</v>
      </c>
      <c r="J159" s="26"/>
    </row>
    <row r="160" spans="1:10" x14ac:dyDescent="0.25">
      <c r="A160" s="22">
        <v>161</v>
      </c>
      <c r="B160" s="22">
        <v>3716</v>
      </c>
      <c r="C160" s="33" t="s">
        <v>396</v>
      </c>
      <c r="D160" s="24">
        <v>614.20000000000005</v>
      </c>
      <c r="E160" s="25">
        <v>0.4</v>
      </c>
      <c r="F160" s="25">
        <f t="shared" si="5"/>
        <v>245.68000000000004</v>
      </c>
      <c r="G160" s="25"/>
      <c r="H160" s="25">
        <f t="shared" si="4"/>
        <v>245.68000000000004</v>
      </c>
      <c r="I160" s="34" t="s">
        <v>397</v>
      </c>
      <c r="J160" s="26"/>
    </row>
    <row r="161" spans="1:11" x14ac:dyDescent="0.25">
      <c r="A161" s="22">
        <v>162</v>
      </c>
      <c r="B161" s="22">
        <v>3717</v>
      </c>
      <c r="C161" s="33" t="s">
        <v>399</v>
      </c>
      <c r="D161" s="24">
        <v>656.9</v>
      </c>
      <c r="E161" s="25">
        <v>0.4</v>
      </c>
      <c r="F161" s="25">
        <f t="shared" si="5"/>
        <v>262.76</v>
      </c>
      <c r="G161" s="25"/>
      <c r="H161" s="25">
        <f t="shared" si="4"/>
        <v>262.76</v>
      </c>
      <c r="I161" s="34" t="s">
        <v>400</v>
      </c>
      <c r="J161" s="26"/>
    </row>
    <row r="162" spans="1:11" x14ac:dyDescent="0.25">
      <c r="A162" s="22">
        <v>163</v>
      </c>
      <c r="B162" s="22">
        <v>3718</v>
      </c>
      <c r="C162" s="33" t="s">
        <v>403</v>
      </c>
      <c r="D162" s="24">
        <v>109.4</v>
      </c>
      <c r="E162" s="25">
        <v>0.4</v>
      </c>
      <c r="F162" s="25">
        <f t="shared" si="5"/>
        <v>43.760000000000005</v>
      </c>
      <c r="G162" s="25"/>
      <c r="H162" s="25">
        <f t="shared" si="4"/>
        <v>43.760000000000005</v>
      </c>
      <c r="I162" s="80" t="s">
        <v>404</v>
      </c>
      <c r="J162" s="26"/>
    </row>
    <row r="163" spans="1:11" x14ac:dyDescent="0.25">
      <c r="A163" s="22">
        <v>164</v>
      </c>
      <c r="B163" s="22">
        <v>3719</v>
      </c>
      <c r="C163" s="33" t="s">
        <v>406</v>
      </c>
      <c r="D163" s="24">
        <v>345</v>
      </c>
      <c r="E163" s="25">
        <v>0.4</v>
      </c>
      <c r="F163" s="25">
        <f t="shared" si="5"/>
        <v>138</v>
      </c>
      <c r="G163" s="25"/>
      <c r="H163" s="25">
        <f t="shared" si="4"/>
        <v>138</v>
      </c>
      <c r="I163" s="80" t="s">
        <v>407</v>
      </c>
      <c r="J163" s="26"/>
    </row>
    <row r="164" spans="1:11" s="36" customFormat="1" x14ac:dyDescent="0.25">
      <c r="A164" s="27">
        <v>165</v>
      </c>
      <c r="B164" s="27">
        <v>3720</v>
      </c>
      <c r="C164" s="28" t="s">
        <v>409</v>
      </c>
      <c r="D164" s="29">
        <v>379.1</v>
      </c>
      <c r="E164" s="30">
        <v>0.4</v>
      </c>
      <c r="F164" s="30">
        <f t="shared" si="5"/>
        <v>151.64000000000001</v>
      </c>
      <c r="G164" s="30">
        <f>150.35+1.29</f>
        <v>151.63999999999999</v>
      </c>
      <c r="H164" s="30">
        <f t="shared" si="4"/>
        <v>0</v>
      </c>
      <c r="I164" s="68" t="s">
        <v>410</v>
      </c>
      <c r="J164" s="35">
        <v>45902</v>
      </c>
      <c r="K164" s="36" t="s">
        <v>893</v>
      </c>
    </row>
    <row r="165" spans="1:11" x14ac:dyDescent="0.25">
      <c r="A165" s="22">
        <v>166</v>
      </c>
      <c r="B165" s="22">
        <v>3722</v>
      </c>
      <c r="C165" s="33" t="s">
        <v>412</v>
      </c>
      <c r="D165" s="45">
        <v>343.6</v>
      </c>
      <c r="E165" s="25">
        <v>0.4</v>
      </c>
      <c r="F165" s="25">
        <f t="shared" si="5"/>
        <v>137.44000000000003</v>
      </c>
      <c r="G165" s="25"/>
      <c r="H165" s="25">
        <f t="shared" si="4"/>
        <v>137.44000000000003</v>
      </c>
      <c r="I165" s="467" t="s">
        <v>413</v>
      </c>
      <c r="J165" s="26"/>
    </row>
    <row r="166" spans="1:11" x14ac:dyDescent="0.25">
      <c r="A166" s="22">
        <v>167</v>
      </c>
      <c r="B166" s="22">
        <v>3723</v>
      </c>
      <c r="C166" s="33" t="s">
        <v>415</v>
      </c>
      <c r="D166" s="45">
        <v>242</v>
      </c>
      <c r="E166" s="25">
        <v>0.4</v>
      </c>
      <c r="F166" s="25">
        <f t="shared" si="5"/>
        <v>96.800000000000011</v>
      </c>
      <c r="G166" s="25"/>
      <c r="H166" s="25">
        <f t="shared" si="4"/>
        <v>96.800000000000011</v>
      </c>
      <c r="I166" s="457">
        <v>993752</v>
      </c>
      <c r="J166" s="26"/>
    </row>
    <row r="167" spans="1:11" x14ac:dyDescent="0.25">
      <c r="A167" s="22">
        <v>168</v>
      </c>
      <c r="B167" s="22">
        <v>3725</v>
      </c>
      <c r="C167" s="33" t="s">
        <v>297</v>
      </c>
      <c r="D167" s="45">
        <v>528.79999999999995</v>
      </c>
      <c r="E167" s="25">
        <v>0.4</v>
      </c>
      <c r="F167" s="25">
        <f t="shared" si="5"/>
        <v>211.51999999999998</v>
      </c>
      <c r="G167" s="25"/>
      <c r="H167" s="25">
        <f t="shared" si="4"/>
        <v>211.51999999999998</v>
      </c>
      <c r="I167" s="462">
        <v>1648248</v>
      </c>
      <c r="J167" s="53">
        <v>45558</v>
      </c>
    </row>
    <row r="168" spans="1:11" x14ac:dyDescent="0.25">
      <c r="A168" s="27">
        <v>169</v>
      </c>
      <c r="B168" s="27">
        <v>3727</v>
      </c>
      <c r="C168" s="28" t="s">
        <v>419</v>
      </c>
      <c r="D168" s="29">
        <v>253.8</v>
      </c>
      <c r="E168" s="30">
        <v>0.4</v>
      </c>
      <c r="F168" s="30">
        <f t="shared" si="5"/>
        <v>101.52000000000001</v>
      </c>
      <c r="G168" s="30">
        <f>97.27</f>
        <v>97.27</v>
      </c>
      <c r="H168" s="30">
        <f t="shared" si="4"/>
        <v>4.2500000000000142</v>
      </c>
      <c r="I168" s="68" t="s">
        <v>420</v>
      </c>
      <c r="J168" s="35">
        <v>45691</v>
      </c>
    </row>
    <row r="169" spans="1:11" x14ac:dyDescent="0.25">
      <c r="A169" s="22">
        <v>170</v>
      </c>
      <c r="B169" s="22">
        <v>3728</v>
      </c>
      <c r="C169" s="33" t="s">
        <v>422</v>
      </c>
      <c r="D169" s="24">
        <v>88.8</v>
      </c>
      <c r="E169" s="25">
        <v>0.4</v>
      </c>
      <c r="F169" s="25">
        <f t="shared" si="5"/>
        <v>35.520000000000003</v>
      </c>
      <c r="G169" s="25"/>
      <c r="H169" s="25">
        <f t="shared" si="4"/>
        <v>35.520000000000003</v>
      </c>
      <c r="I169" s="462">
        <v>25886784</v>
      </c>
      <c r="J169" s="53">
        <v>45558</v>
      </c>
    </row>
    <row r="170" spans="1:11" x14ac:dyDescent="0.25">
      <c r="A170" s="27">
        <v>171</v>
      </c>
      <c r="B170" s="27">
        <v>3729</v>
      </c>
      <c r="C170" s="28" t="s">
        <v>424</v>
      </c>
      <c r="D170" s="110">
        <v>183.9</v>
      </c>
      <c r="E170" s="30">
        <v>0.4</v>
      </c>
      <c r="F170" s="30">
        <f t="shared" si="5"/>
        <v>73.56</v>
      </c>
      <c r="G170" s="30">
        <f>72.84</f>
        <v>72.84</v>
      </c>
      <c r="H170" s="30">
        <f t="shared" si="4"/>
        <v>0.71999999999999886</v>
      </c>
      <c r="I170" s="111" t="s">
        <v>425</v>
      </c>
      <c r="J170" s="35">
        <v>45691</v>
      </c>
    </row>
    <row r="171" spans="1:11" x14ac:dyDescent="0.25">
      <c r="A171" s="22">
        <v>172</v>
      </c>
      <c r="B171" s="22">
        <v>3730</v>
      </c>
      <c r="C171" s="33" t="s">
        <v>427</v>
      </c>
      <c r="D171" s="24">
        <v>456.3</v>
      </c>
      <c r="E171" s="25">
        <v>0.4</v>
      </c>
      <c r="F171" s="25">
        <f t="shared" si="5"/>
        <v>182.52</v>
      </c>
      <c r="G171" s="25"/>
      <c r="H171" s="25">
        <f t="shared" si="4"/>
        <v>182.52</v>
      </c>
      <c r="I171" s="80" t="s">
        <v>428</v>
      </c>
      <c r="J171" s="26"/>
    </row>
    <row r="172" spans="1:11" s="144" customFormat="1" x14ac:dyDescent="0.25">
      <c r="A172" s="54">
        <v>173</v>
      </c>
      <c r="B172" s="54">
        <v>3731</v>
      </c>
      <c r="C172" s="55" t="s">
        <v>430</v>
      </c>
      <c r="D172" s="56">
        <v>666.7</v>
      </c>
      <c r="E172" s="57">
        <v>0.4</v>
      </c>
      <c r="F172" s="57">
        <f t="shared" si="5"/>
        <v>266.68</v>
      </c>
      <c r="G172" s="57">
        <f>F172</f>
        <v>266.68</v>
      </c>
      <c r="H172" s="57">
        <f t="shared" si="4"/>
        <v>0</v>
      </c>
      <c r="I172" s="468">
        <v>4640285</v>
      </c>
      <c r="J172" s="440" t="s">
        <v>882</v>
      </c>
    </row>
    <row r="173" spans="1:11" x14ac:dyDescent="0.25">
      <c r="A173" s="22">
        <v>174</v>
      </c>
      <c r="B173" s="22">
        <v>3732</v>
      </c>
      <c r="C173" s="464" t="s">
        <v>791</v>
      </c>
      <c r="D173" s="24">
        <v>26.8</v>
      </c>
      <c r="E173" s="25">
        <v>0.4</v>
      </c>
      <c r="F173" s="25">
        <f t="shared" si="5"/>
        <v>10.72</v>
      </c>
      <c r="G173" s="25"/>
      <c r="H173" s="25">
        <f t="shared" si="4"/>
        <v>10.72</v>
      </c>
      <c r="I173" s="469">
        <v>194498</v>
      </c>
      <c r="J173" s="26"/>
    </row>
    <row r="174" spans="1:11" x14ac:dyDescent="0.25">
      <c r="A174" s="22">
        <v>175</v>
      </c>
      <c r="B174" s="22">
        <v>3733</v>
      </c>
      <c r="C174" s="33" t="s">
        <v>432</v>
      </c>
      <c r="D174" s="24">
        <v>303</v>
      </c>
      <c r="E174" s="25">
        <v>0.4</v>
      </c>
      <c r="F174" s="25">
        <f t="shared" si="5"/>
        <v>121.2</v>
      </c>
      <c r="G174" s="25"/>
      <c r="H174" s="25">
        <f t="shared" si="4"/>
        <v>121.2</v>
      </c>
      <c r="I174" s="83">
        <v>23270163</v>
      </c>
      <c r="J174" s="53">
        <v>45558</v>
      </c>
    </row>
    <row r="175" spans="1:11" x14ac:dyDescent="0.25">
      <c r="A175" s="22">
        <v>176</v>
      </c>
      <c r="B175" s="22">
        <v>3734</v>
      </c>
      <c r="C175" s="33" t="s">
        <v>434</v>
      </c>
      <c r="D175" s="24">
        <v>230.5</v>
      </c>
      <c r="E175" s="25">
        <v>0.4</v>
      </c>
      <c r="F175" s="25">
        <f t="shared" si="5"/>
        <v>92.2</v>
      </c>
      <c r="G175" s="25"/>
      <c r="H175" s="25">
        <f t="shared" si="4"/>
        <v>92.2</v>
      </c>
      <c r="I175" s="34">
        <v>6680216</v>
      </c>
      <c r="J175" s="26"/>
    </row>
    <row r="176" spans="1:11" x14ac:dyDescent="0.25">
      <c r="A176" s="22">
        <v>177</v>
      </c>
      <c r="B176" s="22">
        <v>3735</v>
      </c>
      <c r="C176" s="33" t="s">
        <v>436</v>
      </c>
      <c r="D176" s="24">
        <v>263.39999999999998</v>
      </c>
      <c r="E176" s="25">
        <v>0.4</v>
      </c>
      <c r="F176" s="25">
        <f t="shared" si="5"/>
        <v>105.36</v>
      </c>
      <c r="G176" s="25"/>
      <c r="H176" s="25">
        <f t="shared" si="4"/>
        <v>105.36</v>
      </c>
      <c r="I176" s="34">
        <v>19952467</v>
      </c>
      <c r="J176" s="26"/>
    </row>
    <row r="177" spans="1:10" x14ac:dyDescent="0.25">
      <c r="A177" s="22">
        <v>178</v>
      </c>
      <c r="B177" s="22">
        <v>3739</v>
      </c>
      <c r="C177" s="44" t="s">
        <v>438</v>
      </c>
      <c r="D177" s="24">
        <v>218.2</v>
      </c>
      <c r="E177" s="25">
        <v>0.4</v>
      </c>
      <c r="F177" s="25">
        <f t="shared" si="5"/>
        <v>87.28</v>
      </c>
      <c r="G177" s="25"/>
      <c r="H177" s="25">
        <f t="shared" si="4"/>
        <v>87.28</v>
      </c>
      <c r="I177" s="469">
        <v>22187694</v>
      </c>
      <c r="J177" s="26"/>
    </row>
    <row r="178" spans="1:10" x14ac:dyDescent="0.25">
      <c r="A178" s="22">
        <v>179</v>
      </c>
      <c r="B178" s="22">
        <v>3740</v>
      </c>
      <c r="C178" s="33" t="s">
        <v>440</v>
      </c>
      <c r="D178" s="24">
        <v>606</v>
      </c>
      <c r="E178" s="25">
        <v>0.4</v>
      </c>
      <c r="F178" s="25">
        <f t="shared" si="5"/>
        <v>242.4</v>
      </c>
      <c r="G178" s="25"/>
      <c r="H178" s="25">
        <f t="shared" si="4"/>
        <v>242.4</v>
      </c>
      <c r="I178" s="34">
        <v>25472616</v>
      </c>
      <c r="J178" s="26"/>
    </row>
    <row r="179" spans="1:10" x14ac:dyDescent="0.25">
      <c r="A179" s="22">
        <v>180</v>
      </c>
      <c r="B179" s="22">
        <v>3742</v>
      </c>
      <c r="C179" s="33" t="s">
        <v>442</v>
      </c>
      <c r="D179" s="24">
        <v>177.5</v>
      </c>
      <c r="E179" s="25">
        <v>0.4</v>
      </c>
      <c r="F179" s="25">
        <f t="shared" si="5"/>
        <v>71</v>
      </c>
      <c r="G179" s="25"/>
      <c r="H179" s="25">
        <f t="shared" si="4"/>
        <v>71</v>
      </c>
      <c r="I179" s="83">
        <v>1930281</v>
      </c>
      <c r="J179" s="26"/>
    </row>
    <row r="180" spans="1:10" x14ac:dyDescent="0.25">
      <c r="A180" s="22">
        <v>181</v>
      </c>
      <c r="B180" s="22">
        <v>3743</v>
      </c>
      <c r="C180" s="33" t="s">
        <v>444</v>
      </c>
      <c r="D180" s="24">
        <v>601.9</v>
      </c>
      <c r="E180" s="25">
        <v>0.4</v>
      </c>
      <c r="F180" s="25">
        <f t="shared" si="5"/>
        <v>240.76</v>
      </c>
      <c r="G180" s="25"/>
      <c r="H180" s="25">
        <f t="shared" si="4"/>
        <v>240.76</v>
      </c>
      <c r="I180" s="34">
        <v>599336</v>
      </c>
      <c r="J180" s="26"/>
    </row>
    <row r="181" spans="1:10" s="36" customFormat="1" x14ac:dyDescent="0.25">
      <c r="A181" s="27">
        <v>182</v>
      </c>
      <c r="B181" s="27">
        <v>3745</v>
      </c>
      <c r="C181" s="28" t="s">
        <v>446</v>
      </c>
      <c r="D181" s="29">
        <v>136.69999999999999</v>
      </c>
      <c r="E181" s="30">
        <v>0.4</v>
      </c>
      <c r="F181" s="30">
        <f t="shared" si="5"/>
        <v>54.68</v>
      </c>
      <c r="G181" s="30">
        <f>F181</f>
        <v>54.68</v>
      </c>
      <c r="H181" s="30">
        <f t="shared" si="4"/>
        <v>0</v>
      </c>
      <c r="I181" s="32">
        <v>2199772</v>
      </c>
      <c r="J181" s="31" t="s">
        <v>904</v>
      </c>
    </row>
    <row r="182" spans="1:10" x14ac:dyDescent="0.25">
      <c r="A182" s="22">
        <v>183</v>
      </c>
      <c r="B182" s="22">
        <v>3746</v>
      </c>
      <c r="C182" s="33" t="s">
        <v>448</v>
      </c>
      <c r="D182" s="24">
        <v>385</v>
      </c>
      <c r="E182" s="25">
        <v>0.4</v>
      </c>
      <c r="F182" s="25">
        <f t="shared" si="5"/>
        <v>154</v>
      </c>
      <c r="G182" s="25"/>
      <c r="H182" s="25">
        <f t="shared" si="4"/>
        <v>154</v>
      </c>
      <c r="I182" s="34">
        <v>21973713</v>
      </c>
      <c r="J182" s="26"/>
    </row>
    <row r="183" spans="1:10" x14ac:dyDescent="0.25">
      <c r="A183" s="22">
        <v>184</v>
      </c>
      <c r="B183" s="22">
        <v>3748</v>
      </c>
      <c r="C183" s="33" t="s">
        <v>450</v>
      </c>
      <c r="D183" s="24">
        <v>203.3</v>
      </c>
      <c r="E183" s="25">
        <v>0.4</v>
      </c>
      <c r="F183" s="25">
        <f t="shared" si="5"/>
        <v>81.320000000000007</v>
      </c>
      <c r="G183" s="25"/>
      <c r="H183" s="25">
        <f t="shared" si="4"/>
        <v>81.320000000000007</v>
      </c>
      <c r="I183" s="34">
        <v>18620918</v>
      </c>
      <c r="J183" s="26"/>
    </row>
    <row r="184" spans="1:10" s="144" customFormat="1" x14ac:dyDescent="0.25">
      <c r="A184" s="54">
        <v>185</v>
      </c>
      <c r="B184" s="54">
        <v>3750</v>
      </c>
      <c r="C184" s="55" t="s">
        <v>452</v>
      </c>
      <c r="D184" s="56">
        <v>426.1</v>
      </c>
      <c r="E184" s="57">
        <v>0.4</v>
      </c>
      <c r="F184" s="57">
        <f t="shared" si="5"/>
        <v>170.44000000000003</v>
      </c>
      <c r="G184" s="57">
        <f>F184</f>
        <v>170.44000000000003</v>
      </c>
      <c r="H184" s="57">
        <f t="shared" si="4"/>
        <v>0</v>
      </c>
      <c r="I184" s="84">
        <v>939641</v>
      </c>
      <c r="J184" s="461">
        <v>45902</v>
      </c>
    </row>
    <row r="185" spans="1:10" s="36" customFormat="1" x14ac:dyDescent="0.25">
      <c r="A185" s="27">
        <v>186</v>
      </c>
      <c r="B185" s="27">
        <v>3751</v>
      </c>
      <c r="C185" s="28" t="s">
        <v>454</v>
      </c>
      <c r="D185" s="29">
        <v>1116.5999999999999</v>
      </c>
      <c r="E185" s="30">
        <v>0.4</v>
      </c>
      <c r="F185" s="30">
        <f t="shared" si="5"/>
        <v>446.64</v>
      </c>
      <c r="G185" s="30">
        <f>F185</f>
        <v>446.64</v>
      </c>
      <c r="H185" s="30">
        <f t="shared" si="4"/>
        <v>0</v>
      </c>
      <c r="I185" s="27">
        <v>2116627</v>
      </c>
      <c r="J185" s="31" t="s">
        <v>903</v>
      </c>
    </row>
    <row r="186" spans="1:10" s="36" customFormat="1" x14ac:dyDescent="0.25">
      <c r="A186" s="27">
        <v>187</v>
      </c>
      <c r="B186" s="27">
        <v>3752</v>
      </c>
      <c r="C186" s="28" t="s">
        <v>456</v>
      </c>
      <c r="D186" s="29">
        <v>342.7</v>
      </c>
      <c r="E186" s="30">
        <v>0.4</v>
      </c>
      <c r="F186" s="30">
        <f t="shared" si="5"/>
        <v>137.08000000000001</v>
      </c>
      <c r="G186" s="30">
        <f>F186</f>
        <v>137.08000000000001</v>
      </c>
      <c r="H186" s="30">
        <f t="shared" si="4"/>
        <v>0</v>
      </c>
      <c r="I186" s="32">
        <v>2789493</v>
      </c>
      <c r="J186" s="31" t="s">
        <v>906</v>
      </c>
    </row>
    <row r="187" spans="1:10" x14ac:dyDescent="0.25">
      <c r="A187" s="22">
        <v>188</v>
      </c>
      <c r="B187" s="22">
        <v>3753</v>
      </c>
      <c r="C187" s="33" t="s">
        <v>458</v>
      </c>
      <c r="D187" s="24">
        <v>222.5</v>
      </c>
      <c r="E187" s="25">
        <v>0.4</v>
      </c>
      <c r="F187" s="25">
        <f t="shared" si="5"/>
        <v>89</v>
      </c>
      <c r="G187" s="25"/>
      <c r="H187" s="25">
        <f t="shared" si="4"/>
        <v>89</v>
      </c>
      <c r="I187" s="34">
        <v>13938302</v>
      </c>
      <c r="J187" s="26"/>
    </row>
    <row r="188" spans="1:10" x14ac:dyDescent="0.25">
      <c r="A188" s="22">
        <v>189</v>
      </c>
      <c r="B188" s="22">
        <v>3754</v>
      </c>
      <c r="C188" s="33" t="s">
        <v>460</v>
      </c>
      <c r="D188" s="24">
        <v>824.3</v>
      </c>
      <c r="E188" s="25">
        <v>0.4</v>
      </c>
      <c r="F188" s="25">
        <f t="shared" si="5"/>
        <v>329.72</v>
      </c>
      <c r="G188" s="25"/>
      <c r="H188" s="25">
        <f t="shared" si="4"/>
        <v>329.72</v>
      </c>
      <c r="I188" s="34">
        <v>443075</v>
      </c>
      <c r="J188" s="26"/>
    </row>
    <row r="189" spans="1:10" s="36" customFormat="1" x14ac:dyDescent="0.25">
      <c r="A189" s="27">
        <v>190</v>
      </c>
      <c r="B189" s="27">
        <v>3755</v>
      </c>
      <c r="C189" s="28" t="s">
        <v>462</v>
      </c>
      <c r="D189" s="29">
        <v>644</v>
      </c>
      <c r="E189" s="30">
        <v>0.4</v>
      </c>
      <c r="F189" s="30">
        <f t="shared" si="5"/>
        <v>257.60000000000002</v>
      </c>
      <c r="G189" s="30">
        <f>253.23</f>
        <v>253.23</v>
      </c>
      <c r="H189" s="30">
        <f t="shared" si="4"/>
        <v>4.370000000000033</v>
      </c>
      <c r="I189" s="32">
        <v>15536654</v>
      </c>
      <c r="J189" s="31" t="s">
        <v>901</v>
      </c>
    </row>
    <row r="190" spans="1:10" x14ac:dyDescent="0.25">
      <c r="A190" s="22">
        <v>191</v>
      </c>
      <c r="B190" s="22">
        <v>3756</v>
      </c>
      <c r="C190" s="33" t="s">
        <v>464</v>
      </c>
      <c r="D190" s="24">
        <v>282.7</v>
      </c>
      <c r="E190" s="25">
        <v>0.4</v>
      </c>
      <c r="F190" s="25">
        <f t="shared" si="5"/>
        <v>113.08</v>
      </c>
      <c r="G190" s="25"/>
      <c r="H190" s="25">
        <f t="shared" si="4"/>
        <v>113.08</v>
      </c>
      <c r="I190" s="34">
        <v>630458</v>
      </c>
      <c r="J190" s="26"/>
    </row>
    <row r="191" spans="1:10" s="36" customFormat="1" x14ac:dyDescent="0.25">
      <c r="A191" s="27">
        <v>192</v>
      </c>
      <c r="B191" s="27">
        <v>3757</v>
      </c>
      <c r="C191" s="28" t="s">
        <v>466</v>
      </c>
      <c r="D191" s="29">
        <v>345</v>
      </c>
      <c r="E191" s="30">
        <v>0.4</v>
      </c>
      <c r="F191" s="30">
        <f t="shared" si="5"/>
        <v>138</v>
      </c>
      <c r="G191" s="30">
        <f>136.37</f>
        <v>136.37</v>
      </c>
      <c r="H191" s="30">
        <f t="shared" si="4"/>
        <v>1.6299999999999955</v>
      </c>
      <c r="I191" s="32">
        <v>729973</v>
      </c>
      <c r="J191" s="35">
        <v>45993</v>
      </c>
    </row>
    <row r="192" spans="1:10" x14ac:dyDescent="0.25">
      <c r="A192" s="27">
        <v>193</v>
      </c>
      <c r="B192" s="27">
        <v>3758</v>
      </c>
      <c r="C192" s="28" t="s">
        <v>468</v>
      </c>
      <c r="D192" s="29">
        <v>345</v>
      </c>
      <c r="E192" s="30">
        <v>0.4</v>
      </c>
      <c r="F192" s="30">
        <f t="shared" si="5"/>
        <v>138</v>
      </c>
      <c r="G192" s="30">
        <f>137.68</f>
        <v>137.68</v>
      </c>
      <c r="H192" s="30">
        <f t="shared" si="4"/>
        <v>0.31999999999999318</v>
      </c>
      <c r="I192" s="32">
        <v>18899068</v>
      </c>
      <c r="J192" s="35">
        <v>45993</v>
      </c>
    </row>
    <row r="193" spans="1:11" x14ac:dyDescent="0.25">
      <c r="A193" s="27">
        <v>194</v>
      </c>
      <c r="B193" s="27">
        <v>3759</v>
      </c>
      <c r="C193" s="28" t="s">
        <v>774</v>
      </c>
      <c r="D193" s="29">
        <v>345</v>
      </c>
      <c r="E193" s="30">
        <v>0.4</v>
      </c>
      <c r="F193" s="30">
        <f t="shared" si="5"/>
        <v>138</v>
      </c>
      <c r="G193" s="30">
        <f>133.48</f>
        <v>133.47999999999999</v>
      </c>
      <c r="H193" s="30">
        <f t="shared" si="4"/>
        <v>4.5200000000000102</v>
      </c>
      <c r="I193" s="32">
        <v>5634282</v>
      </c>
      <c r="J193" s="35">
        <v>45993</v>
      </c>
    </row>
    <row r="194" spans="1:11" s="36" customFormat="1" x14ac:dyDescent="0.25">
      <c r="A194" s="27">
        <v>195</v>
      </c>
      <c r="B194" s="27">
        <v>3760</v>
      </c>
      <c r="C194" s="28" t="s">
        <v>470</v>
      </c>
      <c r="D194" s="29">
        <v>314.89999999999998</v>
      </c>
      <c r="E194" s="30">
        <v>0.4</v>
      </c>
      <c r="F194" s="30">
        <f t="shared" si="5"/>
        <v>125.96</v>
      </c>
      <c r="G194" s="30">
        <f>118.67</f>
        <v>118.67</v>
      </c>
      <c r="H194" s="30">
        <f t="shared" si="4"/>
        <v>7.289999999999992</v>
      </c>
      <c r="I194" s="32">
        <v>19531566</v>
      </c>
      <c r="J194" s="31" t="s">
        <v>904</v>
      </c>
    </row>
    <row r="195" spans="1:11" s="36" customFormat="1" x14ac:dyDescent="0.25">
      <c r="A195" s="27">
        <v>196</v>
      </c>
      <c r="B195" s="27">
        <v>3762</v>
      </c>
      <c r="C195" s="28" t="s">
        <v>472</v>
      </c>
      <c r="D195" s="29">
        <v>401.8</v>
      </c>
      <c r="E195" s="30">
        <v>0.4</v>
      </c>
      <c r="F195" s="30">
        <f t="shared" si="5"/>
        <v>160.72000000000003</v>
      </c>
      <c r="G195" s="30">
        <f>156.79+3.93</f>
        <v>160.72</v>
      </c>
      <c r="H195" s="30">
        <f t="shared" si="4"/>
        <v>0</v>
      </c>
      <c r="I195" s="32">
        <v>15664101</v>
      </c>
      <c r="J195" s="31" t="s">
        <v>893</v>
      </c>
      <c r="K195" s="36" t="s">
        <v>904</v>
      </c>
    </row>
    <row r="196" spans="1:11" s="144" customFormat="1" x14ac:dyDescent="0.25">
      <c r="A196" s="54">
        <v>197</v>
      </c>
      <c r="B196" s="54">
        <v>3764</v>
      </c>
      <c r="C196" s="55" t="s">
        <v>474</v>
      </c>
      <c r="D196" s="56">
        <v>805.3</v>
      </c>
      <c r="E196" s="57">
        <v>0.4</v>
      </c>
      <c r="F196" s="57">
        <f t="shared" si="5"/>
        <v>322.12</v>
      </c>
      <c r="G196" s="57">
        <f>F196</f>
        <v>322.12</v>
      </c>
      <c r="H196" s="57">
        <f t="shared" si="4"/>
        <v>0</v>
      </c>
      <c r="I196" s="84">
        <v>1996843</v>
      </c>
      <c r="J196" s="61" t="s">
        <v>898</v>
      </c>
    </row>
    <row r="197" spans="1:11" x14ac:dyDescent="0.25">
      <c r="A197" s="22">
        <v>198</v>
      </c>
      <c r="B197" s="22">
        <v>3765</v>
      </c>
      <c r="C197" s="33" t="s">
        <v>31</v>
      </c>
      <c r="D197" s="24">
        <v>837.9</v>
      </c>
      <c r="E197" s="25">
        <v>0.4</v>
      </c>
      <c r="F197" s="25">
        <f t="shared" si="5"/>
        <v>335.16</v>
      </c>
      <c r="G197" s="25"/>
      <c r="H197" s="25">
        <f t="shared" ref="H197:H260" si="6">F197-G197</f>
        <v>335.16</v>
      </c>
      <c r="I197" s="34">
        <v>19752023</v>
      </c>
      <c r="J197" s="26"/>
    </row>
    <row r="198" spans="1:11" x14ac:dyDescent="0.25">
      <c r="A198" s="22">
        <v>199</v>
      </c>
      <c r="B198" s="22">
        <v>3766</v>
      </c>
      <c r="C198" s="33" t="s">
        <v>476</v>
      </c>
      <c r="D198" s="24">
        <v>319.5</v>
      </c>
      <c r="E198" s="25">
        <v>0.4</v>
      </c>
      <c r="F198" s="25">
        <f t="shared" ref="F198:F261" si="7">E198*D198</f>
        <v>127.80000000000001</v>
      </c>
      <c r="G198" s="25"/>
      <c r="H198" s="25">
        <f t="shared" si="6"/>
        <v>127.80000000000001</v>
      </c>
      <c r="I198" s="34">
        <v>5729117</v>
      </c>
      <c r="J198" s="26"/>
    </row>
    <row r="199" spans="1:11" x14ac:dyDescent="0.25">
      <c r="A199" s="22">
        <v>200</v>
      </c>
      <c r="B199" s="22">
        <v>3767</v>
      </c>
      <c r="C199" s="33" t="s">
        <v>478</v>
      </c>
      <c r="D199" s="24">
        <v>1242</v>
      </c>
      <c r="E199" s="25">
        <v>0.4</v>
      </c>
      <c r="F199" s="25">
        <f t="shared" si="7"/>
        <v>496.8</v>
      </c>
      <c r="G199" s="25"/>
      <c r="H199" s="25">
        <f t="shared" si="6"/>
        <v>496.8</v>
      </c>
      <c r="I199" s="34">
        <v>971428</v>
      </c>
      <c r="J199" s="26"/>
    </row>
    <row r="200" spans="1:11" x14ac:dyDescent="0.25">
      <c r="A200" s="22">
        <v>201</v>
      </c>
      <c r="B200" s="22">
        <v>3768</v>
      </c>
      <c r="C200" s="33" t="s">
        <v>480</v>
      </c>
      <c r="D200" s="24">
        <v>311</v>
      </c>
      <c r="E200" s="25">
        <v>0.4</v>
      </c>
      <c r="F200" s="25">
        <f t="shared" si="7"/>
        <v>124.4</v>
      </c>
      <c r="G200" s="25"/>
      <c r="H200" s="25">
        <f t="shared" si="6"/>
        <v>124.4</v>
      </c>
      <c r="I200" s="34">
        <v>21349024</v>
      </c>
      <c r="J200" s="26"/>
    </row>
    <row r="201" spans="1:11" s="36" customFormat="1" x14ac:dyDescent="0.25">
      <c r="A201" s="27">
        <v>202</v>
      </c>
      <c r="B201" s="27">
        <v>3769</v>
      </c>
      <c r="C201" s="28" t="s">
        <v>482</v>
      </c>
      <c r="D201" s="29">
        <v>389.4</v>
      </c>
      <c r="E201" s="30">
        <v>0.4</v>
      </c>
      <c r="F201" s="30">
        <f t="shared" si="7"/>
        <v>155.76</v>
      </c>
      <c r="G201" s="30">
        <f>154.34</f>
        <v>154.34</v>
      </c>
      <c r="H201" s="30">
        <f t="shared" si="6"/>
        <v>1.4199999999999875</v>
      </c>
      <c r="I201" s="32">
        <v>24915633</v>
      </c>
      <c r="J201" s="35">
        <v>45932</v>
      </c>
    </row>
    <row r="202" spans="1:11" x14ac:dyDescent="0.25">
      <c r="A202" s="22">
        <v>203</v>
      </c>
      <c r="B202" s="22">
        <v>3770</v>
      </c>
      <c r="C202" s="33" t="s">
        <v>33</v>
      </c>
      <c r="D202" s="24">
        <v>252.3</v>
      </c>
      <c r="E202" s="25">
        <v>0.4</v>
      </c>
      <c r="F202" s="25">
        <f t="shared" si="7"/>
        <v>100.92000000000002</v>
      </c>
      <c r="G202" s="25"/>
      <c r="H202" s="25">
        <f t="shared" si="6"/>
        <v>100.92000000000002</v>
      </c>
      <c r="I202" s="34">
        <v>7198036</v>
      </c>
      <c r="J202" s="26"/>
    </row>
    <row r="203" spans="1:11" x14ac:dyDescent="0.25">
      <c r="A203" s="22">
        <v>204</v>
      </c>
      <c r="B203" s="22">
        <v>3771</v>
      </c>
      <c r="C203" s="33" t="s">
        <v>484</v>
      </c>
      <c r="D203" s="24">
        <v>644</v>
      </c>
      <c r="E203" s="25">
        <v>0.4</v>
      </c>
      <c r="F203" s="25">
        <f t="shared" si="7"/>
        <v>257.60000000000002</v>
      </c>
      <c r="G203" s="25"/>
      <c r="H203" s="25">
        <f t="shared" si="6"/>
        <v>257.60000000000002</v>
      </c>
      <c r="I203" s="34">
        <v>1977962</v>
      </c>
      <c r="J203" s="26"/>
    </row>
    <row r="204" spans="1:11" x14ac:dyDescent="0.25">
      <c r="A204" s="22">
        <v>205</v>
      </c>
      <c r="B204" s="22">
        <v>3772</v>
      </c>
      <c r="C204" s="33" t="s">
        <v>486</v>
      </c>
      <c r="D204" s="24">
        <v>321</v>
      </c>
      <c r="E204" s="25">
        <v>0.4</v>
      </c>
      <c r="F204" s="25">
        <f t="shared" si="7"/>
        <v>128.4</v>
      </c>
      <c r="G204" s="25"/>
      <c r="H204" s="25">
        <f t="shared" si="6"/>
        <v>128.4</v>
      </c>
      <c r="I204" s="34">
        <v>6419804</v>
      </c>
      <c r="J204" s="26"/>
    </row>
    <row r="205" spans="1:11" x14ac:dyDescent="0.25">
      <c r="A205" s="22">
        <v>206</v>
      </c>
      <c r="B205" s="22">
        <v>3773</v>
      </c>
      <c r="C205" s="33" t="s">
        <v>488</v>
      </c>
      <c r="D205" s="24">
        <v>388.6</v>
      </c>
      <c r="E205" s="25">
        <v>0.4</v>
      </c>
      <c r="F205" s="25">
        <f t="shared" si="7"/>
        <v>155.44000000000003</v>
      </c>
      <c r="G205" s="25"/>
      <c r="H205" s="25">
        <f t="shared" si="6"/>
        <v>155.44000000000003</v>
      </c>
      <c r="I205" s="34">
        <v>2023936</v>
      </c>
      <c r="J205" s="26"/>
    </row>
    <row r="206" spans="1:11" s="36" customFormat="1" x14ac:dyDescent="0.25">
      <c r="A206" s="27">
        <v>207</v>
      </c>
      <c r="B206" s="27">
        <v>3774</v>
      </c>
      <c r="C206" s="28" t="s">
        <v>490</v>
      </c>
      <c r="D206" s="29">
        <v>127.2</v>
      </c>
      <c r="E206" s="30">
        <v>0.4</v>
      </c>
      <c r="F206" s="30">
        <f t="shared" si="7"/>
        <v>50.88</v>
      </c>
      <c r="G206" s="30">
        <f>48.5+2.38</f>
        <v>50.88</v>
      </c>
      <c r="H206" s="30">
        <f t="shared" si="6"/>
        <v>0</v>
      </c>
      <c r="I206" s="32">
        <v>889849</v>
      </c>
      <c r="J206" s="35">
        <v>45902</v>
      </c>
      <c r="K206" s="36" t="s">
        <v>908</v>
      </c>
    </row>
    <row r="207" spans="1:11" s="36" customFormat="1" x14ac:dyDescent="0.25">
      <c r="A207" s="27">
        <v>208</v>
      </c>
      <c r="B207" s="27">
        <v>3775</v>
      </c>
      <c r="C207" s="28" t="s">
        <v>492</v>
      </c>
      <c r="D207" s="29">
        <v>225.7</v>
      </c>
      <c r="E207" s="30">
        <v>0.4</v>
      </c>
      <c r="F207" s="30">
        <f t="shared" si="7"/>
        <v>90.28</v>
      </c>
      <c r="G207" s="30">
        <f>86.13</f>
        <v>86.13</v>
      </c>
      <c r="H207" s="30">
        <f t="shared" si="6"/>
        <v>4.1500000000000057</v>
      </c>
      <c r="I207" s="32">
        <v>7198074</v>
      </c>
      <c r="J207" s="35">
        <v>45779</v>
      </c>
    </row>
    <row r="208" spans="1:11" x14ac:dyDescent="0.25">
      <c r="A208" s="22">
        <v>209</v>
      </c>
      <c r="B208" s="22">
        <v>3776</v>
      </c>
      <c r="C208" s="33" t="s">
        <v>494</v>
      </c>
      <c r="D208" s="24">
        <v>311.60000000000002</v>
      </c>
      <c r="E208" s="25">
        <v>0.4</v>
      </c>
      <c r="F208" s="25">
        <f t="shared" si="7"/>
        <v>124.64000000000001</v>
      </c>
      <c r="G208" s="25"/>
      <c r="H208" s="25">
        <f t="shared" si="6"/>
        <v>124.64000000000001</v>
      </c>
      <c r="I208" s="34">
        <v>5530783</v>
      </c>
      <c r="J208" s="26"/>
    </row>
    <row r="209" spans="1:10" x14ac:dyDescent="0.25">
      <c r="A209" s="22">
        <v>210</v>
      </c>
      <c r="B209" s="22">
        <v>3777</v>
      </c>
      <c r="C209" s="33" t="s">
        <v>496</v>
      </c>
      <c r="D209" s="24">
        <v>742.3</v>
      </c>
      <c r="E209" s="25">
        <v>0.4</v>
      </c>
      <c r="F209" s="25">
        <f t="shared" si="7"/>
        <v>296.92</v>
      </c>
      <c r="G209" s="25"/>
      <c r="H209" s="25">
        <f t="shared" si="6"/>
        <v>296.92</v>
      </c>
      <c r="I209" s="34">
        <v>6538875</v>
      </c>
      <c r="J209" s="26"/>
    </row>
    <row r="210" spans="1:10" s="144" customFormat="1" x14ac:dyDescent="0.25">
      <c r="A210" s="54">
        <v>211</v>
      </c>
      <c r="B210" s="54">
        <v>3778</v>
      </c>
      <c r="C210" s="55" t="s">
        <v>498</v>
      </c>
      <c r="D210" s="56">
        <v>452.2</v>
      </c>
      <c r="E210" s="57">
        <v>0.4</v>
      </c>
      <c r="F210" s="57">
        <f t="shared" si="7"/>
        <v>180.88</v>
      </c>
      <c r="G210" s="57">
        <f>F210</f>
        <v>180.88</v>
      </c>
      <c r="H210" s="57">
        <f t="shared" si="6"/>
        <v>0</v>
      </c>
      <c r="I210" s="84">
        <v>1481822</v>
      </c>
      <c r="J210" s="61" t="s">
        <v>899</v>
      </c>
    </row>
    <row r="211" spans="1:10" x14ac:dyDescent="0.25">
      <c r="A211" s="22">
        <v>212</v>
      </c>
      <c r="B211" s="22">
        <v>3781</v>
      </c>
      <c r="C211" s="33" t="s">
        <v>500</v>
      </c>
      <c r="D211" s="24">
        <v>680.7</v>
      </c>
      <c r="E211" s="25">
        <v>0.4</v>
      </c>
      <c r="F211" s="25">
        <f t="shared" si="7"/>
        <v>272.28000000000003</v>
      </c>
      <c r="G211" s="25"/>
      <c r="H211" s="25">
        <f t="shared" si="6"/>
        <v>272.28000000000003</v>
      </c>
      <c r="I211" s="470" t="s">
        <v>501</v>
      </c>
      <c r="J211" s="26"/>
    </row>
    <row r="212" spans="1:10" s="36" customFormat="1" x14ac:dyDescent="0.25">
      <c r="A212" s="27">
        <v>213</v>
      </c>
      <c r="B212" s="27">
        <v>3782</v>
      </c>
      <c r="C212" s="28" t="s">
        <v>505</v>
      </c>
      <c r="D212" s="29">
        <v>589</v>
      </c>
      <c r="E212" s="30">
        <v>0.4</v>
      </c>
      <c r="F212" s="30">
        <f t="shared" si="7"/>
        <v>235.60000000000002</v>
      </c>
      <c r="G212" s="30">
        <f>231.06</f>
        <v>231.06</v>
      </c>
      <c r="H212" s="30">
        <f t="shared" si="6"/>
        <v>4.5400000000000205</v>
      </c>
      <c r="I212" s="32">
        <v>8467003</v>
      </c>
      <c r="J212" s="35">
        <v>45810</v>
      </c>
    </row>
    <row r="213" spans="1:10" x14ac:dyDescent="0.25">
      <c r="A213" s="22">
        <v>214</v>
      </c>
      <c r="B213" s="22">
        <v>3783</v>
      </c>
      <c r="C213" s="33" t="s">
        <v>507</v>
      </c>
      <c r="D213" s="24">
        <v>320.39999999999998</v>
      </c>
      <c r="E213" s="25">
        <v>0.4</v>
      </c>
      <c r="F213" s="25">
        <f t="shared" si="7"/>
        <v>128.16</v>
      </c>
      <c r="G213" s="25"/>
      <c r="H213" s="25">
        <f t="shared" si="6"/>
        <v>128.16</v>
      </c>
      <c r="I213" s="34">
        <v>25019867</v>
      </c>
      <c r="J213" s="26"/>
    </row>
    <row r="214" spans="1:10" x14ac:dyDescent="0.25">
      <c r="A214" s="22">
        <v>215</v>
      </c>
      <c r="B214" s="22">
        <v>3784</v>
      </c>
      <c r="C214" s="33" t="s">
        <v>509</v>
      </c>
      <c r="D214" s="24">
        <v>437.7</v>
      </c>
      <c r="E214" s="25">
        <v>0.4</v>
      </c>
      <c r="F214" s="25">
        <f t="shared" si="7"/>
        <v>175.08</v>
      </c>
      <c r="G214" s="25"/>
      <c r="H214" s="25">
        <f t="shared" si="6"/>
        <v>175.08</v>
      </c>
      <c r="I214" s="34">
        <v>19870884</v>
      </c>
      <c r="J214" s="26"/>
    </row>
    <row r="215" spans="1:10" s="36" customFormat="1" x14ac:dyDescent="0.25">
      <c r="A215" s="27">
        <v>216</v>
      </c>
      <c r="B215" s="27">
        <v>3786</v>
      </c>
      <c r="C215" s="28" t="s">
        <v>511</v>
      </c>
      <c r="D215" s="29">
        <v>351.2</v>
      </c>
      <c r="E215" s="30">
        <v>0.4</v>
      </c>
      <c r="F215" s="30">
        <f t="shared" si="7"/>
        <v>140.47999999999999</v>
      </c>
      <c r="G215" s="30">
        <f>139.82</f>
        <v>139.82</v>
      </c>
      <c r="H215" s="30">
        <f t="shared" si="6"/>
        <v>0.65999999999999659</v>
      </c>
      <c r="I215" s="32">
        <v>941209</v>
      </c>
      <c r="J215" s="31" t="s">
        <v>901</v>
      </c>
    </row>
    <row r="216" spans="1:10" x14ac:dyDescent="0.25">
      <c r="A216" s="22">
        <v>217</v>
      </c>
      <c r="B216" s="22">
        <v>3787</v>
      </c>
      <c r="C216" s="33" t="s">
        <v>513</v>
      </c>
      <c r="D216" s="24">
        <v>655.20000000000005</v>
      </c>
      <c r="E216" s="25">
        <v>0.4</v>
      </c>
      <c r="F216" s="25">
        <f t="shared" si="7"/>
        <v>262.08000000000004</v>
      </c>
      <c r="G216" s="25"/>
      <c r="H216" s="25">
        <f t="shared" si="6"/>
        <v>262.08000000000004</v>
      </c>
      <c r="I216" s="34">
        <v>813786</v>
      </c>
      <c r="J216" s="26"/>
    </row>
    <row r="217" spans="1:10" x14ac:dyDescent="0.25">
      <c r="A217" s="22">
        <v>218</v>
      </c>
      <c r="B217" s="22">
        <v>3789</v>
      </c>
      <c r="C217" s="33" t="s">
        <v>515</v>
      </c>
      <c r="D217" s="24">
        <v>276</v>
      </c>
      <c r="E217" s="25">
        <v>0.4</v>
      </c>
      <c r="F217" s="25">
        <f t="shared" si="7"/>
        <v>110.4</v>
      </c>
      <c r="G217" s="25"/>
      <c r="H217" s="25">
        <f t="shared" si="6"/>
        <v>110.4</v>
      </c>
      <c r="I217" s="34">
        <v>22338686</v>
      </c>
      <c r="J217" s="26"/>
    </row>
    <row r="218" spans="1:10" x14ac:dyDescent="0.25">
      <c r="A218" s="22">
        <v>219</v>
      </c>
      <c r="B218" s="22">
        <v>3791</v>
      </c>
      <c r="C218" s="33" t="s">
        <v>517</v>
      </c>
      <c r="D218" s="24">
        <v>293.3</v>
      </c>
      <c r="E218" s="25">
        <v>0.4</v>
      </c>
      <c r="F218" s="25">
        <f t="shared" si="7"/>
        <v>117.32000000000001</v>
      </c>
      <c r="G218" s="25"/>
      <c r="H218" s="25">
        <f t="shared" si="6"/>
        <v>117.32000000000001</v>
      </c>
      <c r="I218" s="34">
        <v>20365611</v>
      </c>
      <c r="J218" s="26"/>
    </row>
    <row r="219" spans="1:10" x14ac:dyDescent="0.25">
      <c r="A219" s="22">
        <v>220</v>
      </c>
      <c r="B219" s="22">
        <v>3792</v>
      </c>
      <c r="C219" s="464" t="s">
        <v>519</v>
      </c>
      <c r="D219" s="24">
        <v>305.2</v>
      </c>
      <c r="E219" s="25">
        <v>0.4</v>
      </c>
      <c r="F219" s="25">
        <f t="shared" si="7"/>
        <v>122.08</v>
      </c>
      <c r="G219" s="25"/>
      <c r="H219" s="25">
        <f t="shared" si="6"/>
        <v>122.08</v>
      </c>
      <c r="I219" s="471">
        <v>23169608</v>
      </c>
      <c r="J219" s="26"/>
    </row>
    <row r="220" spans="1:10" s="79" customFormat="1" x14ac:dyDescent="0.25">
      <c r="A220" s="22">
        <v>221</v>
      </c>
      <c r="B220" s="22">
        <v>3793</v>
      </c>
      <c r="C220" s="23" t="s">
        <v>521</v>
      </c>
      <c r="D220" s="24">
        <v>703</v>
      </c>
      <c r="E220" s="25">
        <v>0.4</v>
      </c>
      <c r="F220" s="25">
        <f t="shared" si="7"/>
        <v>281.2</v>
      </c>
      <c r="G220" s="25"/>
      <c r="H220" s="25">
        <f t="shared" si="6"/>
        <v>281.2</v>
      </c>
      <c r="I220" s="34">
        <v>1283875</v>
      </c>
      <c r="J220" s="26"/>
    </row>
    <row r="221" spans="1:10" x14ac:dyDescent="0.25">
      <c r="A221" s="22">
        <v>222</v>
      </c>
      <c r="B221" s="22">
        <v>3794</v>
      </c>
      <c r="C221" s="33" t="s">
        <v>523</v>
      </c>
      <c r="D221" s="24">
        <v>771.1</v>
      </c>
      <c r="E221" s="25">
        <v>0.4</v>
      </c>
      <c r="F221" s="25">
        <f t="shared" si="7"/>
        <v>308.44000000000005</v>
      </c>
      <c r="G221" s="25"/>
      <c r="H221" s="25">
        <f t="shared" si="6"/>
        <v>308.44000000000005</v>
      </c>
      <c r="I221" s="34">
        <v>8222931</v>
      </c>
      <c r="J221" s="26"/>
    </row>
    <row r="222" spans="1:10" s="36" customFormat="1" x14ac:dyDescent="0.25">
      <c r="A222" s="27">
        <v>223</v>
      </c>
      <c r="B222" s="27">
        <v>3795</v>
      </c>
      <c r="C222" s="28" t="s">
        <v>525</v>
      </c>
      <c r="D222" s="29">
        <v>321.89999999999998</v>
      </c>
      <c r="E222" s="30">
        <v>0.4</v>
      </c>
      <c r="F222" s="30">
        <f t="shared" si="7"/>
        <v>128.76</v>
      </c>
      <c r="G222" s="30">
        <f>124.82</f>
        <v>124.82</v>
      </c>
      <c r="H222" s="30">
        <f t="shared" si="6"/>
        <v>3.9399999999999977</v>
      </c>
      <c r="I222" s="32">
        <v>2331658</v>
      </c>
      <c r="J222" s="31" t="s">
        <v>904</v>
      </c>
    </row>
    <row r="223" spans="1:10" x14ac:dyDescent="0.25">
      <c r="A223" s="22">
        <v>224</v>
      </c>
      <c r="B223" s="22">
        <v>3796</v>
      </c>
      <c r="C223" s="33" t="s">
        <v>527</v>
      </c>
      <c r="D223" s="24">
        <v>153.1</v>
      </c>
      <c r="E223" s="25">
        <v>0.4</v>
      </c>
      <c r="F223" s="25">
        <f t="shared" si="7"/>
        <v>61.24</v>
      </c>
      <c r="G223" s="25"/>
      <c r="H223" s="25">
        <f t="shared" si="6"/>
        <v>61.24</v>
      </c>
      <c r="I223" s="34">
        <v>6455206</v>
      </c>
      <c r="J223" s="26"/>
    </row>
    <row r="224" spans="1:10" x14ac:dyDescent="0.25">
      <c r="A224" s="22">
        <v>225</v>
      </c>
      <c r="B224" s="22">
        <v>3798</v>
      </c>
      <c r="C224" s="33" t="s">
        <v>529</v>
      </c>
      <c r="D224" s="24">
        <v>302.60000000000002</v>
      </c>
      <c r="E224" s="25">
        <v>0.4</v>
      </c>
      <c r="F224" s="25">
        <f t="shared" si="7"/>
        <v>121.04000000000002</v>
      </c>
      <c r="G224" s="25"/>
      <c r="H224" s="25">
        <f t="shared" si="6"/>
        <v>121.04000000000002</v>
      </c>
      <c r="I224" s="34">
        <v>6048954</v>
      </c>
      <c r="J224" s="26"/>
    </row>
    <row r="225" spans="1:11" x14ac:dyDescent="0.25">
      <c r="A225" s="22">
        <v>226</v>
      </c>
      <c r="B225" s="22">
        <v>3799</v>
      </c>
      <c r="C225" s="33" t="s">
        <v>531</v>
      </c>
      <c r="D225" s="24">
        <v>644.1</v>
      </c>
      <c r="E225" s="25">
        <v>0.4</v>
      </c>
      <c r="F225" s="25">
        <f t="shared" si="7"/>
        <v>257.64000000000004</v>
      </c>
      <c r="G225" s="25"/>
      <c r="H225" s="25">
        <f t="shared" si="6"/>
        <v>257.64000000000004</v>
      </c>
      <c r="I225" s="34">
        <v>12494672</v>
      </c>
      <c r="J225" s="26"/>
    </row>
    <row r="226" spans="1:11" x14ac:dyDescent="0.25">
      <c r="A226" s="22">
        <v>227</v>
      </c>
      <c r="B226" s="22">
        <v>3800</v>
      </c>
      <c r="C226" s="33" t="s">
        <v>534</v>
      </c>
      <c r="D226" s="24">
        <v>346.1</v>
      </c>
      <c r="E226" s="25">
        <v>0.4</v>
      </c>
      <c r="F226" s="25">
        <f t="shared" si="7"/>
        <v>138.44000000000003</v>
      </c>
      <c r="G226" s="25"/>
      <c r="H226" s="25">
        <f t="shared" si="6"/>
        <v>138.44000000000003</v>
      </c>
      <c r="I226" s="34">
        <v>11566758</v>
      </c>
      <c r="J226" s="26"/>
    </row>
    <row r="227" spans="1:11" x14ac:dyDescent="0.25">
      <c r="A227" s="22">
        <v>228</v>
      </c>
      <c r="B227" s="22">
        <v>3801</v>
      </c>
      <c r="C227" s="33" t="s">
        <v>536</v>
      </c>
      <c r="D227" s="24">
        <v>440.6</v>
      </c>
      <c r="E227" s="25">
        <v>0.4</v>
      </c>
      <c r="F227" s="25">
        <f t="shared" si="7"/>
        <v>176.24</v>
      </c>
      <c r="G227" s="25"/>
      <c r="H227" s="25">
        <f t="shared" si="6"/>
        <v>176.24</v>
      </c>
      <c r="I227" s="34">
        <v>19559588</v>
      </c>
      <c r="J227" s="26"/>
    </row>
    <row r="228" spans="1:11" x14ac:dyDescent="0.25">
      <c r="A228" s="22">
        <v>229</v>
      </c>
      <c r="B228" s="22">
        <v>3802</v>
      </c>
      <c r="C228" s="33" t="s">
        <v>538</v>
      </c>
      <c r="D228" s="45">
        <v>473.9</v>
      </c>
      <c r="E228" s="25">
        <v>0.4</v>
      </c>
      <c r="F228" s="25">
        <f t="shared" si="7"/>
        <v>189.56</v>
      </c>
      <c r="G228" s="25"/>
      <c r="H228" s="25">
        <f t="shared" si="6"/>
        <v>189.56</v>
      </c>
      <c r="I228" s="34">
        <v>1260268</v>
      </c>
      <c r="J228" s="26"/>
    </row>
    <row r="229" spans="1:11" x14ac:dyDescent="0.25">
      <c r="A229" s="22">
        <v>230</v>
      </c>
      <c r="B229" s="22">
        <v>3803</v>
      </c>
      <c r="C229" s="33" t="s">
        <v>540</v>
      </c>
      <c r="D229" s="24">
        <v>483</v>
      </c>
      <c r="E229" s="25">
        <v>0.4</v>
      </c>
      <c r="F229" s="25">
        <f t="shared" si="7"/>
        <v>193.20000000000002</v>
      </c>
      <c r="G229" s="25"/>
      <c r="H229" s="25">
        <f t="shared" si="6"/>
        <v>193.20000000000002</v>
      </c>
      <c r="I229" s="34">
        <v>4890484</v>
      </c>
      <c r="J229" s="26"/>
    </row>
    <row r="230" spans="1:11" x14ac:dyDescent="0.25">
      <c r="A230" s="22">
        <v>231</v>
      </c>
      <c r="B230" s="22">
        <v>3804</v>
      </c>
      <c r="C230" s="33" t="s">
        <v>542</v>
      </c>
      <c r="D230" s="24">
        <v>313</v>
      </c>
      <c r="E230" s="25">
        <v>0.4</v>
      </c>
      <c r="F230" s="25">
        <f t="shared" si="7"/>
        <v>125.2</v>
      </c>
      <c r="G230" s="25"/>
      <c r="H230" s="25">
        <f t="shared" si="6"/>
        <v>125.2</v>
      </c>
      <c r="I230" s="34">
        <v>18102928</v>
      </c>
      <c r="J230" s="26"/>
    </row>
    <row r="231" spans="1:11" x14ac:dyDescent="0.25">
      <c r="A231" s="22">
        <v>232</v>
      </c>
      <c r="B231" s="22">
        <v>3805</v>
      </c>
      <c r="C231" s="33" t="s">
        <v>544</v>
      </c>
      <c r="D231" s="24">
        <v>278.3</v>
      </c>
      <c r="E231" s="25">
        <v>0.4</v>
      </c>
      <c r="F231" s="25">
        <f t="shared" si="7"/>
        <v>111.32000000000001</v>
      </c>
      <c r="G231" s="25"/>
      <c r="H231" s="25">
        <f t="shared" si="6"/>
        <v>111.32000000000001</v>
      </c>
      <c r="I231" s="462">
        <v>18675553</v>
      </c>
      <c r="J231" s="26"/>
    </row>
    <row r="232" spans="1:11" x14ac:dyDescent="0.25">
      <c r="A232" s="22">
        <v>233</v>
      </c>
      <c r="B232" s="22">
        <v>3807</v>
      </c>
      <c r="C232" s="33" t="s">
        <v>546</v>
      </c>
      <c r="D232" s="24">
        <v>185.9</v>
      </c>
      <c r="E232" s="25">
        <v>0.4</v>
      </c>
      <c r="F232" s="25">
        <f t="shared" si="7"/>
        <v>74.36</v>
      </c>
      <c r="G232" s="25"/>
      <c r="H232" s="25">
        <f t="shared" si="6"/>
        <v>74.36</v>
      </c>
      <c r="I232" s="34">
        <v>2110484</v>
      </c>
      <c r="J232" s="26"/>
    </row>
    <row r="233" spans="1:11" x14ac:dyDescent="0.25">
      <c r="A233" s="22">
        <v>234</v>
      </c>
      <c r="B233" s="22">
        <v>3808</v>
      </c>
      <c r="C233" s="33" t="s">
        <v>548</v>
      </c>
      <c r="D233" s="24">
        <v>621.9</v>
      </c>
      <c r="E233" s="25">
        <v>0.4</v>
      </c>
      <c r="F233" s="25">
        <f t="shared" si="7"/>
        <v>248.76</v>
      </c>
      <c r="G233" s="25"/>
      <c r="H233" s="25">
        <f t="shared" si="6"/>
        <v>248.76</v>
      </c>
      <c r="I233" s="34">
        <v>1366005</v>
      </c>
      <c r="J233" s="26"/>
    </row>
    <row r="234" spans="1:11" s="36" customFormat="1" x14ac:dyDescent="0.25">
      <c r="A234" s="27">
        <v>235</v>
      </c>
      <c r="B234" s="27">
        <v>3809</v>
      </c>
      <c r="C234" s="28" t="s">
        <v>550</v>
      </c>
      <c r="D234" s="29">
        <v>683.5</v>
      </c>
      <c r="E234" s="30">
        <v>0.4</v>
      </c>
      <c r="F234" s="30">
        <f t="shared" si="7"/>
        <v>273.40000000000003</v>
      </c>
      <c r="G234" s="30">
        <f>28.22</f>
        <v>28.22</v>
      </c>
      <c r="H234" s="30">
        <f t="shared" si="6"/>
        <v>245.18000000000004</v>
      </c>
      <c r="I234" s="32">
        <v>10913998</v>
      </c>
      <c r="J234" s="35">
        <v>45810</v>
      </c>
    </row>
    <row r="235" spans="1:11" x14ac:dyDescent="0.25">
      <c r="A235" s="22">
        <v>236</v>
      </c>
      <c r="B235" s="22">
        <v>3810</v>
      </c>
      <c r="C235" s="464" t="s">
        <v>553</v>
      </c>
      <c r="D235" s="24">
        <v>178.2</v>
      </c>
      <c r="E235" s="25">
        <v>0.4</v>
      </c>
      <c r="F235" s="25">
        <f t="shared" si="7"/>
        <v>71.28</v>
      </c>
      <c r="G235" s="25"/>
      <c r="H235" s="25">
        <f t="shared" si="6"/>
        <v>71.28</v>
      </c>
      <c r="I235" s="471">
        <v>9442232</v>
      </c>
      <c r="J235" s="26"/>
    </row>
    <row r="236" spans="1:11" x14ac:dyDescent="0.25">
      <c r="A236" s="22">
        <v>237</v>
      </c>
      <c r="B236" s="22">
        <v>3811</v>
      </c>
      <c r="C236" s="33" t="s">
        <v>555</v>
      </c>
      <c r="D236" s="24">
        <v>308.8</v>
      </c>
      <c r="E236" s="25">
        <v>0.4</v>
      </c>
      <c r="F236" s="25">
        <f t="shared" si="7"/>
        <v>123.52000000000001</v>
      </c>
      <c r="G236" s="25"/>
      <c r="H236" s="25">
        <f t="shared" si="6"/>
        <v>123.52000000000001</v>
      </c>
      <c r="I236" s="34">
        <v>6865286</v>
      </c>
      <c r="J236" s="26"/>
    </row>
    <row r="237" spans="1:11" x14ac:dyDescent="0.25">
      <c r="A237" s="22">
        <v>238</v>
      </c>
      <c r="B237" s="22">
        <v>3812</v>
      </c>
      <c r="C237" s="33" t="s">
        <v>557</v>
      </c>
      <c r="D237" s="24">
        <v>380.7</v>
      </c>
      <c r="E237" s="25">
        <v>0.4</v>
      </c>
      <c r="F237" s="25">
        <f t="shared" si="7"/>
        <v>152.28</v>
      </c>
      <c r="G237" s="25"/>
      <c r="H237" s="25">
        <f t="shared" si="6"/>
        <v>152.28</v>
      </c>
      <c r="I237" s="34">
        <v>2441718</v>
      </c>
      <c r="J237" s="26"/>
    </row>
    <row r="238" spans="1:11" x14ac:dyDescent="0.25">
      <c r="A238" s="22">
        <v>240</v>
      </c>
      <c r="B238" s="22">
        <v>3814</v>
      </c>
      <c r="C238" s="33" t="s">
        <v>561</v>
      </c>
      <c r="D238" s="24">
        <v>333.3</v>
      </c>
      <c r="E238" s="25">
        <v>0.4</v>
      </c>
      <c r="F238" s="25">
        <f t="shared" si="7"/>
        <v>133.32000000000002</v>
      </c>
      <c r="G238" s="25"/>
      <c r="H238" s="25">
        <f t="shared" si="6"/>
        <v>133.32000000000002</v>
      </c>
      <c r="I238" s="83">
        <v>6998672</v>
      </c>
      <c r="J238" s="26"/>
    </row>
    <row r="239" spans="1:11" s="36" customFormat="1" x14ac:dyDescent="0.25">
      <c r="A239" s="27">
        <v>241</v>
      </c>
      <c r="B239" s="27">
        <v>3815</v>
      </c>
      <c r="C239" s="28" t="s">
        <v>563</v>
      </c>
      <c r="D239" s="29">
        <v>213.7</v>
      </c>
      <c r="E239" s="30">
        <v>0.4</v>
      </c>
      <c r="F239" s="30">
        <f t="shared" si="7"/>
        <v>85.48</v>
      </c>
      <c r="G239" s="30">
        <f>84.53</f>
        <v>84.53</v>
      </c>
      <c r="H239" s="30">
        <f t="shared" si="6"/>
        <v>0.95000000000000284</v>
      </c>
      <c r="I239" s="65">
        <v>24909353</v>
      </c>
      <c r="J239" s="31" t="s">
        <v>893</v>
      </c>
    </row>
    <row r="240" spans="1:11" s="36" customFormat="1" x14ac:dyDescent="0.25">
      <c r="A240" s="27">
        <v>242</v>
      </c>
      <c r="B240" s="27">
        <v>3816</v>
      </c>
      <c r="C240" s="28" t="s">
        <v>565</v>
      </c>
      <c r="D240" s="29">
        <v>440.6</v>
      </c>
      <c r="E240" s="30">
        <v>0.4</v>
      </c>
      <c r="F240" s="30">
        <f t="shared" si="7"/>
        <v>176.24</v>
      </c>
      <c r="G240" s="30">
        <f>171.75+4.49</f>
        <v>176.24</v>
      </c>
      <c r="H240" s="30">
        <f t="shared" si="6"/>
        <v>0</v>
      </c>
      <c r="I240" s="32">
        <v>27389488</v>
      </c>
      <c r="J240" s="35">
        <v>45810</v>
      </c>
      <c r="K240" s="36" t="s">
        <v>903</v>
      </c>
    </row>
    <row r="241" spans="1:11" s="36" customFormat="1" x14ac:dyDescent="0.25">
      <c r="A241" s="27">
        <v>243</v>
      </c>
      <c r="B241" s="27">
        <v>3817</v>
      </c>
      <c r="C241" s="28" t="s">
        <v>567</v>
      </c>
      <c r="D241" s="29">
        <v>405.4</v>
      </c>
      <c r="E241" s="30">
        <v>0.4</v>
      </c>
      <c r="F241" s="30">
        <f t="shared" si="7"/>
        <v>162.16</v>
      </c>
      <c r="G241" s="30">
        <f>161.7</f>
        <v>161.69999999999999</v>
      </c>
      <c r="H241" s="30">
        <f t="shared" si="6"/>
        <v>0.46000000000000796</v>
      </c>
      <c r="I241" s="32">
        <v>7851322</v>
      </c>
      <c r="J241" s="35">
        <v>45993</v>
      </c>
    </row>
    <row r="242" spans="1:11" x14ac:dyDescent="0.25">
      <c r="A242" s="22">
        <v>244</v>
      </c>
      <c r="B242" s="22">
        <v>3818</v>
      </c>
      <c r="C242" s="33" t="s">
        <v>569</v>
      </c>
      <c r="D242" s="45">
        <v>656</v>
      </c>
      <c r="E242" s="25">
        <v>0.4</v>
      </c>
      <c r="F242" s="25">
        <f t="shared" si="7"/>
        <v>262.40000000000003</v>
      </c>
      <c r="G242" s="25"/>
      <c r="H242" s="25">
        <f t="shared" si="6"/>
        <v>262.40000000000003</v>
      </c>
      <c r="I242" s="34">
        <v>2520858</v>
      </c>
      <c r="J242" s="26"/>
    </row>
    <row r="243" spans="1:11" s="36" customFormat="1" x14ac:dyDescent="0.25">
      <c r="A243" s="27">
        <v>245</v>
      </c>
      <c r="B243" s="27">
        <v>3819</v>
      </c>
      <c r="C243" s="28" t="s">
        <v>571</v>
      </c>
      <c r="D243" s="29">
        <v>872.7</v>
      </c>
      <c r="E243" s="30">
        <v>0.4</v>
      </c>
      <c r="F243" s="30">
        <f t="shared" si="7"/>
        <v>349.08000000000004</v>
      </c>
      <c r="G243" s="30">
        <f>344.35+4.73</f>
        <v>349.08000000000004</v>
      </c>
      <c r="H243" s="30">
        <f t="shared" si="6"/>
        <v>0</v>
      </c>
      <c r="I243" s="32">
        <v>3952839</v>
      </c>
      <c r="J243" s="35">
        <v>45932</v>
      </c>
      <c r="K243" s="36" t="s">
        <v>904</v>
      </c>
    </row>
    <row r="244" spans="1:11" x14ac:dyDescent="0.25">
      <c r="A244" s="22">
        <v>246</v>
      </c>
      <c r="B244" s="22">
        <v>3820</v>
      </c>
      <c r="C244" s="33" t="s">
        <v>573</v>
      </c>
      <c r="D244" s="24">
        <v>316.5</v>
      </c>
      <c r="E244" s="25">
        <v>0.4</v>
      </c>
      <c r="F244" s="25">
        <f t="shared" si="7"/>
        <v>126.60000000000001</v>
      </c>
      <c r="G244" s="25"/>
      <c r="H244" s="25">
        <f t="shared" si="6"/>
        <v>126.60000000000001</v>
      </c>
      <c r="I244" s="34">
        <v>20898806</v>
      </c>
      <c r="J244" s="26"/>
    </row>
    <row r="245" spans="1:11" x14ac:dyDescent="0.25">
      <c r="A245" s="22">
        <v>247</v>
      </c>
      <c r="B245" s="22">
        <v>3821</v>
      </c>
      <c r="C245" s="33" t="s">
        <v>575</v>
      </c>
      <c r="D245" s="24">
        <v>280.89999999999998</v>
      </c>
      <c r="E245" s="25">
        <v>0.4</v>
      </c>
      <c r="F245" s="25">
        <f t="shared" si="7"/>
        <v>112.36</v>
      </c>
      <c r="G245" s="25"/>
      <c r="H245" s="25">
        <f t="shared" si="6"/>
        <v>112.36</v>
      </c>
      <c r="I245" s="34">
        <v>5773746</v>
      </c>
      <c r="J245" s="26"/>
    </row>
    <row r="246" spans="1:11" x14ac:dyDescent="0.25">
      <c r="A246" s="22">
        <v>248</v>
      </c>
      <c r="B246" s="22">
        <v>3822</v>
      </c>
      <c r="C246" s="33" t="s">
        <v>577</v>
      </c>
      <c r="D246" s="24">
        <v>1214.8</v>
      </c>
      <c r="E246" s="25">
        <v>0.4</v>
      </c>
      <c r="F246" s="25">
        <f t="shared" si="7"/>
        <v>485.92</v>
      </c>
      <c r="G246" s="25"/>
      <c r="H246" s="25">
        <f t="shared" si="6"/>
        <v>485.92</v>
      </c>
      <c r="I246" s="34">
        <v>1522824</v>
      </c>
      <c r="J246" s="26"/>
    </row>
    <row r="247" spans="1:11" x14ac:dyDescent="0.25">
      <c r="A247" s="22">
        <v>249</v>
      </c>
      <c r="B247" s="22">
        <v>3823</v>
      </c>
      <c r="C247" s="33" t="s">
        <v>579</v>
      </c>
      <c r="D247" s="24">
        <v>318.89999999999998</v>
      </c>
      <c r="E247" s="25">
        <v>0.4</v>
      </c>
      <c r="F247" s="25">
        <f t="shared" si="7"/>
        <v>127.56</v>
      </c>
      <c r="G247" s="25"/>
      <c r="H247" s="25">
        <f t="shared" si="6"/>
        <v>127.56</v>
      </c>
      <c r="I247" s="34">
        <v>865789</v>
      </c>
      <c r="J247" s="26"/>
    </row>
    <row r="248" spans="1:11" s="144" customFormat="1" x14ac:dyDescent="0.25">
      <c r="A248" s="54">
        <v>250</v>
      </c>
      <c r="B248" s="54">
        <v>3824</v>
      </c>
      <c r="C248" s="55" t="s">
        <v>581</v>
      </c>
      <c r="D248" s="56">
        <v>741.7</v>
      </c>
      <c r="E248" s="57">
        <v>0.4</v>
      </c>
      <c r="F248" s="57">
        <f t="shared" si="7"/>
        <v>296.68</v>
      </c>
      <c r="G248" s="57">
        <f>F248</f>
        <v>296.68</v>
      </c>
      <c r="H248" s="57">
        <f t="shared" si="6"/>
        <v>0</v>
      </c>
      <c r="I248" s="84">
        <v>18878869</v>
      </c>
      <c r="J248" s="461">
        <v>45628</v>
      </c>
    </row>
    <row r="249" spans="1:11" s="144" customFormat="1" x14ac:dyDescent="0.25">
      <c r="A249" s="54">
        <v>251</v>
      </c>
      <c r="B249" s="54">
        <v>3827</v>
      </c>
      <c r="C249" s="55" t="s">
        <v>583</v>
      </c>
      <c r="D249" s="56">
        <v>819.3</v>
      </c>
      <c r="E249" s="57">
        <v>0.4</v>
      </c>
      <c r="F249" s="57">
        <f t="shared" si="7"/>
        <v>327.72</v>
      </c>
      <c r="G249" s="57">
        <f>F249</f>
        <v>327.72</v>
      </c>
      <c r="H249" s="57">
        <f t="shared" si="6"/>
        <v>0</v>
      </c>
      <c r="I249" s="84">
        <v>19049113</v>
      </c>
      <c r="J249" s="61" t="s">
        <v>901</v>
      </c>
    </row>
    <row r="250" spans="1:11" x14ac:dyDescent="0.25">
      <c r="A250" s="27">
        <v>252</v>
      </c>
      <c r="B250" s="27">
        <v>3828</v>
      </c>
      <c r="C250" s="28" t="s">
        <v>585</v>
      </c>
      <c r="D250" s="29">
        <v>300</v>
      </c>
      <c r="E250" s="30">
        <v>0.4</v>
      </c>
      <c r="F250" s="30">
        <f t="shared" si="7"/>
        <v>120</v>
      </c>
      <c r="G250" s="30">
        <f>116.8</f>
        <v>116.8</v>
      </c>
      <c r="H250" s="30">
        <f t="shared" si="6"/>
        <v>3.2000000000000028</v>
      </c>
      <c r="I250" s="32">
        <v>5520522</v>
      </c>
      <c r="J250" s="35">
        <v>45993</v>
      </c>
      <c r="K250" s="36"/>
    </row>
    <row r="251" spans="1:11" x14ac:dyDescent="0.25">
      <c r="A251" s="22">
        <v>253</v>
      </c>
      <c r="B251" s="22">
        <v>3829</v>
      </c>
      <c r="C251" s="33" t="s">
        <v>587</v>
      </c>
      <c r="D251" s="24">
        <v>321.3</v>
      </c>
      <c r="E251" s="25">
        <v>0.4</v>
      </c>
      <c r="F251" s="25">
        <f t="shared" si="7"/>
        <v>128.52000000000001</v>
      </c>
      <c r="G251" s="25"/>
      <c r="H251" s="25">
        <f t="shared" si="6"/>
        <v>128.52000000000001</v>
      </c>
      <c r="I251" s="34">
        <v>897384</v>
      </c>
      <c r="J251" s="26"/>
    </row>
    <row r="252" spans="1:11" x14ac:dyDescent="0.25">
      <c r="A252" s="22">
        <v>254</v>
      </c>
      <c r="B252" s="22">
        <v>3830</v>
      </c>
      <c r="C252" s="33" t="s">
        <v>589</v>
      </c>
      <c r="D252" s="24">
        <v>440.9</v>
      </c>
      <c r="E252" s="25">
        <v>0.4</v>
      </c>
      <c r="F252" s="25">
        <f t="shared" si="7"/>
        <v>176.36</v>
      </c>
      <c r="G252" s="25"/>
      <c r="H252" s="25">
        <f t="shared" si="6"/>
        <v>176.36</v>
      </c>
      <c r="I252" s="34">
        <v>2153706</v>
      </c>
      <c r="J252" s="26"/>
    </row>
    <row r="253" spans="1:11" x14ac:dyDescent="0.25">
      <c r="A253" s="22">
        <v>255</v>
      </c>
      <c r="B253" s="22">
        <v>3831</v>
      </c>
      <c r="C253" s="33" t="s">
        <v>591</v>
      </c>
      <c r="D253" s="24">
        <v>363.9</v>
      </c>
      <c r="E253" s="25">
        <v>0.4</v>
      </c>
      <c r="F253" s="25">
        <f t="shared" si="7"/>
        <v>145.56</v>
      </c>
      <c r="G253" s="25"/>
      <c r="H253" s="25">
        <f t="shared" si="6"/>
        <v>145.56</v>
      </c>
      <c r="I253" s="34">
        <v>873604</v>
      </c>
      <c r="J253" s="26"/>
    </row>
    <row r="254" spans="1:11" s="144" customFormat="1" x14ac:dyDescent="0.25">
      <c r="A254" s="54">
        <v>257</v>
      </c>
      <c r="B254" s="54">
        <v>3833</v>
      </c>
      <c r="C254" s="55" t="s">
        <v>593</v>
      </c>
      <c r="D254" s="56">
        <v>344</v>
      </c>
      <c r="E254" s="57">
        <v>0.4</v>
      </c>
      <c r="F254" s="57">
        <f t="shared" si="7"/>
        <v>137.6</v>
      </c>
      <c r="G254" s="57">
        <f>F254</f>
        <v>137.6</v>
      </c>
      <c r="H254" s="57">
        <f t="shared" si="6"/>
        <v>0</v>
      </c>
      <c r="I254" s="84">
        <v>19179619</v>
      </c>
      <c r="J254" s="461">
        <v>45690</v>
      </c>
    </row>
    <row r="255" spans="1:11" x14ac:dyDescent="0.25">
      <c r="A255" s="22">
        <v>258</v>
      </c>
      <c r="B255" s="22">
        <v>3834</v>
      </c>
      <c r="C255" s="33" t="s">
        <v>595</v>
      </c>
      <c r="D255" s="24">
        <v>638</v>
      </c>
      <c r="E255" s="25">
        <v>0.4</v>
      </c>
      <c r="F255" s="25">
        <f t="shared" si="7"/>
        <v>255.20000000000002</v>
      </c>
      <c r="G255" s="25"/>
      <c r="H255" s="25">
        <f t="shared" si="6"/>
        <v>255.20000000000002</v>
      </c>
      <c r="I255" s="34">
        <v>5544756</v>
      </c>
      <c r="J255" s="26"/>
    </row>
    <row r="256" spans="1:11" x14ac:dyDescent="0.25">
      <c r="A256" s="22">
        <v>259</v>
      </c>
      <c r="B256" s="22">
        <v>3835</v>
      </c>
      <c r="C256" s="33" t="s">
        <v>598</v>
      </c>
      <c r="D256" s="24">
        <v>339.6</v>
      </c>
      <c r="E256" s="25">
        <v>0.4</v>
      </c>
      <c r="F256" s="25">
        <f t="shared" si="7"/>
        <v>135.84</v>
      </c>
      <c r="G256" s="25"/>
      <c r="H256" s="25">
        <f t="shared" si="6"/>
        <v>135.84</v>
      </c>
      <c r="I256" s="34">
        <v>781845</v>
      </c>
      <c r="J256" s="26"/>
    </row>
    <row r="257" spans="1:16" s="144" customFormat="1" x14ac:dyDescent="0.25">
      <c r="A257" s="54">
        <v>260</v>
      </c>
      <c r="B257" s="54">
        <v>3836</v>
      </c>
      <c r="C257" s="55" t="s">
        <v>600</v>
      </c>
      <c r="D257" s="56">
        <v>598.9</v>
      </c>
      <c r="E257" s="57">
        <v>0.4</v>
      </c>
      <c r="F257" s="57">
        <f t="shared" si="7"/>
        <v>239.56</v>
      </c>
      <c r="G257" s="57">
        <f>F257</f>
        <v>239.56</v>
      </c>
      <c r="H257" s="57">
        <f t="shared" si="6"/>
        <v>0</v>
      </c>
      <c r="I257" s="84">
        <v>20264434</v>
      </c>
      <c r="J257" s="61" t="s">
        <v>901</v>
      </c>
    </row>
    <row r="258" spans="1:16" x14ac:dyDescent="0.25">
      <c r="A258" s="22">
        <v>261</v>
      </c>
      <c r="B258" s="22">
        <v>3837</v>
      </c>
      <c r="C258" s="33" t="s">
        <v>602</v>
      </c>
      <c r="D258" s="24">
        <v>428.2</v>
      </c>
      <c r="E258" s="25">
        <v>0.4</v>
      </c>
      <c r="F258" s="25">
        <f t="shared" si="7"/>
        <v>171.28</v>
      </c>
      <c r="G258" s="25"/>
      <c r="H258" s="25">
        <f t="shared" si="6"/>
        <v>171.28</v>
      </c>
      <c r="I258" s="34">
        <v>1935947</v>
      </c>
      <c r="J258" s="26"/>
    </row>
    <row r="259" spans="1:16" x14ac:dyDescent="0.25">
      <c r="A259" s="22">
        <v>262</v>
      </c>
      <c r="B259" s="22">
        <v>3838</v>
      </c>
      <c r="C259" s="33" t="s">
        <v>604</v>
      </c>
      <c r="D259" s="24">
        <v>364.4</v>
      </c>
      <c r="E259" s="25">
        <v>0.4</v>
      </c>
      <c r="F259" s="25">
        <f t="shared" si="7"/>
        <v>145.76</v>
      </c>
      <c r="G259" s="25"/>
      <c r="H259" s="25">
        <f t="shared" si="6"/>
        <v>145.76</v>
      </c>
      <c r="I259" s="34">
        <v>18553115</v>
      </c>
      <c r="J259" s="26"/>
    </row>
    <row r="260" spans="1:16" s="144" customFormat="1" x14ac:dyDescent="0.25">
      <c r="A260" s="54">
        <v>263</v>
      </c>
      <c r="B260" s="54">
        <v>3839</v>
      </c>
      <c r="C260" s="55" t="s">
        <v>606</v>
      </c>
      <c r="D260" s="56">
        <v>1285.2</v>
      </c>
      <c r="E260" s="57">
        <v>0.4</v>
      </c>
      <c r="F260" s="57">
        <f t="shared" si="7"/>
        <v>514.08000000000004</v>
      </c>
      <c r="G260" s="57">
        <f>F260</f>
        <v>514.08000000000004</v>
      </c>
      <c r="H260" s="57">
        <f t="shared" si="6"/>
        <v>0</v>
      </c>
      <c r="I260" s="84">
        <v>22799311</v>
      </c>
      <c r="J260" s="61" t="s">
        <v>901</v>
      </c>
    </row>
    <row r="261" spans="1:16" x14ac:dyDescent="0.25">
      <c r="A261" s="22">
        <v>264</v>
      </c>
      <c r="B261" s="22">
        <v>3840</v>
      </c>
      <c r="C261" s="33" t="s">
        <v>608</v>
      </c>
      <c r="D261" s="24">
        <v>496.8</v>
      </c>
      <c r="E261" s="25">
        <v>0.4</v>
      </c>
      <c r="F261" s="25">
        <f t="shared" si="7"/>
        <v>198.72000000000003</v>
      </c>
      <c r="G261" s="25"/>
      <c r="H261" s="25">
        <f t="shared" ref="H261:H307" si="8">F261-G261</f>
        <v>198.72000000000003</v>
      </c>
      <c r="I261" s="34">
        <v>19777334</v>
      </c>
      <c r="J261" s="26"/>
    </row>
    <row r="262" spans="1:16" x14ac:dyDescent="0.25">
      <c r="A262" s="22">
        <v>265</v>
      </c>
      <c r="B262" s="22">
        <v>3841</v>
      </c>
      <c r="C262" s="33" t="s">
        <v>610</v>
      </c>
      <c r="D262" s="24">
        <v>644</v>
      </c>
      <c r="E262" s="25">
        <v>0.4</v>
      </c>
      <c r="F262" s="25">
        <f t="shared" ref="F262:F307" si="9">E262*D262</f>
        <v>257.60000000000002</v>
      </c>
      <c r="G262" s="25"/>
      <c r="H262" s="25">
        <f t="shared" si="8"/>
        <v>257.60000000000002</v>
      </c>
      <c r="I262" s="34">
        <v>2538202</v>
      </c>
      <c r="J262" s="26"/>
    </row>
    <row r="263" spans="1:16" s="144" customFormat="1" x14ac:dyDescent="0.25">
      <c r="A263" s="115">
        <v>266</v>
      </c>
      <c r="B263" s="115">
        <v>3843</v>
      </c>
      <c r="C263" s="116" t="s">
        <v>612</v>
      </c>
      <c r="D263" s="117">
        <v>920</v>
      </c>
      <c r="E263" s="118">
        <v>0.4</v>
      </c>
      <c r="F263" s="118">
        <f t="shared" si="9"/>
        <v>368</v>
      </c>
      <c r="G263" s="118">
        <f>84.88+283.12</f>
        <v>368</v>
      </c>
      <c r="H263" s="57">
        <f t="shared" si="8"/>
        <v>0</v>
      </c>
      <c r="I263" s="84">
        <v>19564247</v>
      </c>
      <c r="J263" s="61" t="s">
        <v>905</v>
      </c>
      <c r="P263" s="144" t="s">
        <v>906</v>
      </c>
    </row>
    <row r="264" spans="1:16" s="144" customFormat="1" x14ac:dyDescent="0.25">
      <c r="A264" s="54">
        <v>267</v>
      </c>
      <c r="B264" s="54">
        <v>3844</v>
      </c>
      <c r="C264" s="55" t="s">
        <v>614</v>
      </c>
      <c r="D264" s="56">
        <v>1410.9</v>
      </c>
      <c r="E264" s="57">
        <v>0.4</v>
      </c>
      <c r="F264" s="57">
        <f t="shared" si="9"/>
        <v>564.36</v>
      </c>
      <c r="G264" s="57">
        <f>F264</f>
        <v>564.36</v>
      </c>
      <c r="H264" s="57">
        <f t="shared" si="8"/>
        <v>0</v>
      </c>
      <c r="I264" s="84">
        <v>1036602</v>
      </c>
      <c r="J264" s="461">
        <v>45932</v>
      </c>
    </row>
    <row r="265" spans="1:16" x14ac:dyDescent="0.25">
      <c r="A265" s="22">
        <v>268</v>
      </c>
      <c r="B265" s="22">
        <v>3845</v>
      </c>
      <c r="C265" s="33" t="s">
        <v>616</v>
      </c>
      <c r="D265" s="24">
        <v>1378.9</v>
      </c>
      <c r="E265" s="25">
        <v>0.4</v>
      </c>
      <c r="F265" s="25">
        <f t="shared" si="9"/>
        <v>551.56000000000006</v>
      </c>
      <c r="G265" s="25"/>
      <c r="H265" s="25">
        <f t="shared" si="8"/>
        <v>551.56000000000006</v>
      </c>
      <c r="I265" s="34">
        <v>1432563</v>
      </c>
      <c r="J265" s="26"/>
    </row>
    <row r="266" spans="1:16" x14ac:dyDescent="0.25">
      <c r="A266" s="22">
        <v>269</v>
      </c>
      <c r="B266" s="22">
        <v>3846</v>
      </c>
      <c r="C266" s="33" t="s">
        <v>618</v>
      </c>
      <c r="D266" s="24">
        <v>303</v>
      </c>
      <c r="E266" s="25">
        <v>0.4</v>
      </c>
      <c r="F266" s="25">
        <f t="shared" si="9"/>
        <v>121.2</v>
      </c>
      <c r="G266" s="25"/>
      <c r="H266" s="25">
        <f t="shared" si="8"/>
        <v>121.2</v>
      </c>
      <c r="I266" s="34">
        <v>8115103</v>
      </c>
      <c r="J266" s="26"/>
    </row>
    <row r="267" spans="1:16" x14ac:dyDescent="0.25">
      <c r="A267" s="22">
        <v>270</v>
      </c>
      <c r="B267" s="22">
        <v>3847</v>
      </c>
      <c r="C267" s="33" t="s">
        <v>620</v>
      </c>
      <c r="D267" s="24">
        <v>1392.2</v>
      </c>
      <c r="E267" s="25">
        <v>0.4</v>
      </c>
      <c r="F267" s="25">
        <f t="shared" si="9"/>
        <v>556.88</v>
      </c>
      <c r="G267" s="25"/>
      <c r="H267" s="25">
        <f t="shared" si="8"/>
        <v>556.88</v>
      </c>
      <c r="I267" s="34">
        <v>238234</v>
      </c>
      <c r="J267" s="26"/>
    </row>
    <row r="268" spans="1:16" x14ac:dyDescent="0.25">
      <c r="A268" s="22">
        <v>271</v>
      </c>
      <c r="B268" s="22">
        <v>3848</v>
      </c>
      <c r="C268" s="33" t="s">
        <v>622</v>
      </c>
      <c r="D268" s="24">
        <v>1308.3</v>
      </c>
      <c r="E268" s="25">
        <v>0.4</v>
      </c>
      <c r="F268" s="25">
        <f t="shared" si="9"/>
        <v>523.32000000000005</v>
      </c>
      <c r="G268" s="25"/>
      <c r="H268" s="25">
        <f t="shared" si="8"/>
        <v>523.32000000000005</v>
      </c>
      <c r="I268" s="34">
        <v>19231852</v>
      </c>
      <c r="J268" s="26"/>
    </row>
    <row r="269" spans="1:16" x14ac:dyDescent="0.25">
      <c r="A269" s="22">
        <v>272</v>
      </c>
      <c r="B269" s="22">
        <v>3849</v>
      </c>
      <c r="C269" s="33" t="s">
        <v>624</v>
      </c>
      <c r="D269" s="24">
        <v>447.9</v>
      </c>
      <c r="E269" s="25">
        <v>0.4</v>
      </c>
      <c r="F269" s="25">
        <f t="shared" si="9"/>
        <v>179.16</v>
      </c>
      <c r="G269" s="25"/>
      <c r="H269" s="25">
        <f t="shared" si="8"/>
        <v>179.16</v>
      </c>
      <c r="I269" s="470">
        <v>18693727</v>
      </c>
      <c r="J269" s="26"/>
    </row>
    <row r="270" spans="1:16" x14ac:dyDescent="0.25">
      <c r="A270" s="22">
        <v>273</v>
      </c>
      <c r="B270" s="22">
        <v>3850</v>
      </c>
      <c r="C270" s="33" t="s">
        <v>626</v>
      </c>
      <c r="D270" s="24">
        <v>352.3</v>
      </c>
      <c r="E270" s="25">
        <v>0.4</v>
      </c>
      <c r="F270" s="25">
        <f t="shared" si="9"/>
        <v>140.92000000000002</v>
      </c>
      <c r="G270" s="25"/>
      <c r="H270" s="25">
        <f t="shared" si="8"/>
        <v>140.92000000000002</v>
      </c>
      <c r="I270" s="34">
        <v>5742985</v>
      </c>
      <c r="J270" s="26"/>
    </row>
    <row r="271" spans="1:16" x14ac:dyDescent="0.25">
      <c r="A271" s="22">
        <v>274</v>
      </c>
      <c r="B271" s="22">
        <v>3851</v>
      </c>
      <c r="C271" s="33" t="s">
        <v>629</v>
      </c>
      <c r="D271" s="24">
        <v>424.4</v>
      </c>
      <c r="E271" s="25">
        <v>0.4</v>
      </c>
      <c r="F271" s="25">
        <f t="shared" si="9"/>
        <v>169.76</v>
      </c>
      <c r="G271" s="25"/>
      <c r="H271" s="25">
        <f t="shared" si="8"/>
        <v>169.76</v>
      </c>
      <c r="I271" s="34">
        <v>22766611</v>
      </c>
      <c r="J271" s="26"/>
    </row>
    <row r="272" spans="1:16" s="36" customFormat="1" x14ac:dyDescent="0.25">
      <c r="A272" s="27">
        <v>275</v>
      </c>
      <c r="B272" s="27">
        <v>3852</v>
      </c>
      <c r="C272" s="28" t="s">
        <v>631</v>
      </c>
      <c r="D272" s="29">
        <v>506.2</v>
      </c>
      <c r="E272" s="30">
        <v>0.4</v>
      </c>
      <c r="F272" s="30">
        <f t="shared" si="9"/>
        <v>202.48000000000002</v>
      </c>
      <c r="G272" s="30">
        <f>201.43+1.05</f>
        <v>202.48000000000002</v>
      </c>
      <c r="H272" s="30">
        <f t="shared" si="8"/>
        <v>0</v>
      </c>
      <c r="I272" s="32">
        <v>8827979</v>
      </c>
      <c r="J272" s="35">
        <v>45690</v>
      </c>
      <c r="K272" s="36" t="s">
        <v>901</v>
      </c>
    </row>
    <row r="273" spans="1:11" s="144" customFormat="1" x14ac:dyDescent="0.25">
      <c r="A273" s="54">
        <v>276</v>
      </c>
      <c r="B273" s="54">
        <v>3853</v>
      </c>
      <c r="C273" s="55" t="s">
        <v>633</v>
      </c>
      <c r="D273" s="56">
        <v>296.10000000000002</v>
      </c>
      <c r="E273" s="57">
        <v>0.4</v>
      </c>
      <c r="F273" s="57">
        <f t="shared" si="9"/>
        <v>118.44000000000001</v>
      </c>
      <c r="G273" s="57">
        <f>F273</f>
        <v>118.44000000000001</v>
      </c>
      <c r="H273" s="57">
        <f t="shared" si="8"/>
        <v>0</v>
      </c>
      <c r="I273" s="84">
        <v>5857446</v>
      </c>
      <c r="J273" s="61" t="s">
        <v>893</v>
      </c>
    </row>
    <row r="274" spans="1:11" x14ac:dyDescent="0.25">
      <c r="A274" s="22">
        <v>277</v>
      </c>
      <c r="B274" s="22">
        <v>3854</v>
      </c>
      <c r="C274" s="33" t="s">
        <v>635</v>
      </c>
      <c r="D274" s="24">
        <v>269.8</v>
      </c>
      <c r="E274" s="25">
        <v>0.4</v>
      </c>
      <c r="F274" s="25">
        <f t="shared" si="9"/>
        <v>107.92000000000002</v>
      </c>
      <c r="G274" s="25"/>
      <c r="H274" s="25">
        <f t="shared" si="8"/>
        <v>107.92000000000002</v>
      </c>
      <c r="I274" s="34">
        <v>1085838</v>
      </c>
      <c r="J274" s="26"/>
    </row>
    <row r="275" spans="1:11" x14ac:dyDescent="0.25">
      <c r="A275" s="22">
        <v>278</v>
      </c>
      <c r="B275" s="22">
        <v>3855</v>
      </c>
      <c r="C275" s="33" t="s">
        <v>637</v>
      </c>
      <c r="D275" s="24">
        <v>389.5</v>
      </c>
      <c r="E275" s="25">
        <v>0.4</v>
      </c>
      <c r="F275" s="25">
        <f t="shared" si="9"/>
        <v>155.80000000000001</v>
      </c>
      <c r="G275" s="25"/>
      <c r="H275" s="25">
        <f t="shared" si="8"/>
        <v>155.80000000000001</v>
      </c>
      <c r="I275" s="34">
        <v>4948259</v>
      </c>
      <c r="J275" s="26"/>
    </row>
    <row r="276" spans="1:11" s="36" customFormat="1" x14ac:dyDescent="0.25">
      <c r="A276" s="27">
        <v>279</v>
      </c>
      <c r="B276" s="27">
        <v>3856</v>
      </c>
      <c r="C276" s="28" t="s">
        <v>639</v>
      </c>
      <c r="D276" s="29">
        <v>261.39999999999998</v>
      </c>
      <c r="E276" s="30">
        <v>0.4</v>
      </c>
      <c r="F276" s="30">
        <f t="shared" si="9"/>
        <v>104.56</v>
      </c>
      <c r="G276" s="30">
        <f>99.85</f>
        <v>99.85</v>
      </c>
      <c r="H276" s="30">
        <f t="shared" si="8"/>
        <v>4.710000000000008</v>
      </c>
      <c r="I276" s="32">
        <v>15097631</v>
      </c>
      <c r="J276" s="31" t="s">
        <v>901</v>
      </c>
    </row>
    <row r="277" spans="1:11" s="36" customFormat="1" x14ac:dyDescent="0.25">
      <c r="A277" s="27">
        <v>280</v>
      </c>
      <c r="B277" s="27">
        <v>3857</v>
      </c>
      <c r="C277" s="28" t="s">
        <v>36</v>
      </c>
      <c r="D277" s="29">
        <v>784.3</v>
      </c>
      <c r="E277" s="30">
        <v>0.4</v>
      </c>
      <c r="F277" s="30">
        <f t="shared" si="9"/>
        <v>313.72000000000003</v>
      </c>
      <c r="G277" s="30">
        <v>311.85000000000002</v>
      </c>
      <c r="H277" s="30">
        <f t="shared" si="8"/>
        <v>1.8700000000000045</v>
      </c>
      <c r="I277" s="32">
        <v>28903474</v>
      </c>
      <c r="J277" s="35">
        <v>45932</v>
      </c>
    </row>
    <row r="278" spans="1:11" s="36" customFormat="1" x14ac:dyDescent="0.25">
      <c r="A278" s="27">
        <v>281</v>
      </c>
      <c r="B278" s="27">
        <v>3858</v>
      </c>
      <c r="C278" s="28" t="s">
        <v>641</v>
      </c>
      <c r="D278" s="29">
        <v>359</v>
      </c>
      <c r="E278" s="30">
        <v>0.4</v>
      </c>
      <c r="F278" s="30">
        <f t="shared" si="9"/>
        <v>143.6</v>
      </c>
      <c r="G278" s="30">
        <f>110.21</f>
        <v>110.21</v>
      </c>
      <c r="H278" s="30">
        <f t="shared" si="8"/>
        <v>33.39</v>
      </c>
      <c r="I278" s="32">
        <v>18451569</v>
      </c>
      <c r="J278" s="438" t="s">
        <v>893</v>
      </c>
    </row>
    <row r="279" spans="1:11" x14ac:dyDescent="0.25">
      <c r="A279" s="22">
        <v>282</v>
      </c>
      <c r="B279" s="22">
        <v>3859</v>
      </c>
      <c r="C279" s="33" t="s">
        <v>442</v>
      </c>
      <c r="D279" s="24">
        <v>628.5</v>
      </c>
      <c r="E279" s="25">
        <v>0.4</v>
      </c>
      <c r="F279" s="25">
        <f t="shared" si="9"/>
        <v>251.4</v>
      </c>
      <c r="G279" s="25"/>
      <c r="H279" s="25">
        <f t="shared" si="8"/>
        <v>251.4</v>
      </c>
      <c r="I279" s="34">
        <v>6038764</v>
      </c>
      <c r="J279" s="26"/>
    </row>
    <row r="280" spans="1:11" x14ac:dyDescent="0.25">
      <c r="A280" s="22">
        <v>283</v>
      </c>
      <c r="B280" s="22">
        <v>3860</v>
      </c>
      <c r="C280" s="33" t="s">
        <v>644</v>
      </c>
      <c r="D280" s="24">
        <v>336.5</v>
      </c>
      <c r="E280" s="25">
        <v>0.4</v>
      </c>
      <c r="F280" s="25">
        <f t="shared" si="9"/>
        <v>134.6</v>
      </c>
      <c r="G280" s="25"/>
      <c r="H280" s="25">
        <f t="shared" si="8"/>
        <v>134.6</v>
      </c>
      <c r="I280" s="34">
        <v>6132261</v>
      </c>
      <c r="J280" s="26"/>
    </row>
    <row r="281" spans="1:11" s="36" customFormat="1" x14ac:dyDescent="0.25">
      <c r="A281" s="27">
        <v>284</v>
      </c>
      <c r="B281" s="27">
        <v>3861</v>
      </c>
      <c r="C281" s="28" t="s">
        <v>646</v>
      </c>
      <c r="D281" s="29">
        <v>439.2</v>
      </c>
      <c r="E281" s="30">
        <v>0.4</v>
      </c>
      <c r="F281" s="30">
        <f t="shared" si="9"/>
        <v>175.68</v>
      </c>
      <c r="G281" s="30">
        <f>93.51+82.17</f>
        <v>175.68</v>
      </c>
      <c r="H281" s="30">
        <f t="shared" si="8"/>
        <v>0</v>
      </c>
      <c r="I281" s="32">
        <v>14330506</v>
      </c>
      <c r="J281" s="31" t="s">
        <v>904</v>
      </c>
      <c r="K281" s="36" t="s">
        <v>907</v>
      </c>
    </row>
    <row r="282" spans="1:11" x14ac:dyDescent="0.25">
      <c r="A282" s="54">
        <v>285</v>
      </c>
      <c r="B282" s="54">
        <v>3862</v>
      </c>
      <c r="C282" s="55" t="s">
        <v>648</v>
      </c>
      <c r="D282" s="56">
        <v>457.3</v>
      </c>
      <c r="E282" s="57">
        <v>0.4</v>
      </c>
      <c r="F282" s="57">
        <f t="shared" si="9"/>
        <v>182.92000000000002</v>
      </c>
      <c r="G282" s="57">
        <f>F282</f>
        <v>182.92000000000002</v>
      </c>
      <c r="H282" s="57">
        <f t="shared" si="8"/>
        <v>0</v>
      </c>
      <c r="I282" s="84">
        <v>5892019</v>
      </c>
      <c r="J282" s="461">
        <v>45932</v>
      </c>
    </row>
    <row r="283" spans="1:11" s="144" customFormat="1" x14ac:dyDescent="0.25">
      <c r="A283" s="54">
        <v>286</v>
      </c>
      <c r="B283" s="54">
        <v>3863</v>
      </c>
      <c r="C283" s="55" t="s">
        <v>650</v>
      </c>
      <c r="D283" s="56">
        <v>303.60000000000002</v>
      </c>
      <c r="E283" s="57">
        <v>0.4</v>
      </c>
      <c r="F283" s="57">
        <f t="shared" si="9"/>
        <v>121.44000000000001</v>
      </c>
      <c r="G283" s="57">
        <f>F283</f>
        <v>121.44000000000001</v>
      </c>
      <c r="H283" s="57">
        <f t="shared" si="8"/>
        <v>0</v>
      </c>
      <c r="I283" s="84">
        <v>10772417</v>
      </c>
      <c r="J283" s="61" t="s">
        <v>904</v>
      </c>
    </row>
    <row r="284" spans="1:11" s="144" customFormat="1" x14ac:dyDescent="0.25">
      <c r="A284" s="54">
        <v>287</v>
      </c>
      <c r="B284" s="54">
        <v>3864</v>
      </c>
      <c r="C284" s="55" t="s">
        <v>652</v>
      </c>
      <c r="D284" s="56">
        <v>628.29999999999995</v>
      </c>
      <c r="E284" s="57">
        <v>0.4</v>
      </c>
      <c r="F284" s="57">
        <f t="shared" si="9"/>
        <v>251.32</v>
      </c>
      <c r="G284" s="57">
        <f>F284</f>
        <v>251.32</v>
      </c>
      <c r="H284" s="57">
        <f t="shared" si="8"/>
        <v>0</v>
      </c>
      <c r="I284" s="84">
        <v>6493803</v>
      </c>
      <c r="J284" s="61" t="s">
        <v>901</v>
      </c>
    </row>
    <row r="285" spans="1:11" x14ac:dyDescent="0.25">
      <c r="A285" s="22">
        <v>288</v>
      </c>
      <c r="B285" s="22">
        <v>3865</v>
      </c>
      <c r="C285" s="33" t="s">
        <v>654</v>
      </c>
      <c r="D285" s="24">
        <v>701.8</v>
      </c>
      <c r="E285" s="25">
        <v>0.4</v>
      </c>
      <c r="F285" s="25">
        <f t="shared" si="9"/>
        <v>280.71999999999997</v>
      </c>
      <c r="G285" s="25"/>
      <c r="H285" s="25">
        <f t="shared" si="8"/>
        <v>280.71999999999997</v>
      </c>
      <c r="I285" s="34">
        <v>15219317</v>
      </c>
      <c r="J285" s="26"/>
    </row>
    <row r="286" spans="1:11" x14ac:dyDescent="0.25">
      <c r="A286" s="22">
        <v>289</v>
      </c>
      <c r="B286" s="22">
        <v>3866</v>
      </c>
      <c r="C286" s="33" t="s">
        <v>656</v>
      </c>
      <c r="D286" s="24">
        <v>445.9</v>
      </c>
      <c r="E286" s="25">
        <v>0.4</v>
      </c>
      <c r="F286" s="25">
        <f t="shared" si="9"/>
        <v>178.36</v>
      </c>
      <c r="G286" s="25"/>
      <c r="H286" s="25">
        <f t="shared" si="8"/>
        <v>178.36</v>
      </c>
      <c r="I286" s="34">
        <v>11772662</v>
      </c>
      <c r="J286" s="26"/>
    </row>
    <row r="287" spans="1:11" x14ac:dyDescent="0.25">
      <c r="A287" s="22">
        <v>290</v>
      </c>
      <c r="B287" s="22">
        <v>3867</v>
      </c>
      <c r="C287" s="33" t="s">
        <v>658</v>
      </c>
      <c r="D287" s="24">
        <v>343</v>
      </c>
      <c r="E287" s="25">
        <v>0.4</v>
      </c>
      <c r="F287" s="25">
        <f t="shared" si="9"/>
        <v>137.20000000000002</v>
      </c>
      <c r="G287" s="25"/>
      <c r="H287" s="25">
        <f t="shared" si="8"/>
        <v>137.20000000000002</v>
      </c>
      <c r="I287" s="34">
        <v>18189491</v>
      </c>
      <c r="J287" s="26"/>
    </row>
    <row r="288" spans="1:11" x14ac:dyDescent="0.25">
      <c r="A288" s="22">
        <v>291</v>
      </c>
      <c r="B288" s="22">
        <v>3868</v>
      </c>
      <c r="C288" s="33" t="s">
        <v>660</v>
      </c>
      <c r="D288" s="24">
        <v>263.5</v>
      </c>
      <c r="E288" s="25">
        <v>0.4</v>
      </c>
      <c r="F288" s="25">
        <f t="shared" si="9"/>
        <v>105.4</v>
      </c>
      <c r="G288" s="25"/>
      <c r="H288" s="25">
        <f t="shared" si="8"/>
        <v>105.4</v>
      </c>
      <c r="I288" s="34">
        <v>23619706</v>
      </c>
      <c r="J288" s="26"/>
    </row>
    <row r="289" spans="1:10" x14ac:dyDescent="0.25">
      <c r="A289" s="22">
        <v>292</v>
      </c>
      <c r="B289" s="22">
        <v>3869</v>
      </c>
      <c r="C289" s="33" t="s">
        <v>662</v>
      </c>
      <c r="D289" s="24">
        <v>276.5</v>
      </c>
      <c r="E289" s="25">
        <v>0.4</v>
      </c>
      <c r="F289" s="25">
        <f t="shared" si="9"/>
        <v>110.60000000000001</v>
      </c>
      <c r="G289" s="25"/>
      <c r="H289" s="25">
        <f t="shared" si="8"/>
        <v>110.60000000000001</v>
      </c>
      <c r="I289" s="34">
        <v>1265569</v>
      </c>
      <c r="J289" s="26"/>
    </row>
    <row r="290" spans="1:10" s="144" customFormat="1" x14ac:dyDescent="0.25">
      <c r="A290" s="54">
        <v>293</v>
      </c>
      <c r="B290" s="54">
        <v>3870</v>
      </c>
      <c r="C290" s="55" t="s">
        <v>664</v>
      </c>
      <c r="D290" s="56">
        <v>1012</v>
      </c>
      <c r="E290" s="57">
        <v>0.4</v>
      </c>
      <c r="F290" s="57">
        <f t="shared" si="9"/>
        <v>404.8</v>
      </c>
      <c r="G290" s="57">
        <f>F290</f>
        <v>404.8</v>
      </c>
      <c r="H290" s="57">
        <f t="shared" si="8"/>
        <v>0</v>
      </c>
      <c r="I290" s="84">
        <v>7138058</v>
      </c>
      <c r="J290" s="461">
        <v>45690</v>
      </c>
    </row>
    <row r="291" spans="1:10" x14ac:dyDescent="0.25">
      <c r="A291" s="22">
        <v>294</v>
      </c>
      <c r="B291" s="22">
        <v>3871</v>
      </c>
      <c r="C291" s="33" t="s">
        <v>38</v>
      </c>
      <c r="D291" s="24">
        <v>824.6</v>
      </c>
      <c r="E291" s="25">
        <v>0.4</v>
      </c>
      <c r="F291" s="25">
        <f t="shared" si="9"/>
        <v>329.84000000000003</v>
      </c>
      <c r="G291" s="25"/>
      <c r="H291" s="25">
        <f t="shared" si="8"/>
        <v>329.84000000000003</v>
      </c>
      <c r="I291" s="34">
        <v>6920684</v>
      </c>
      <c r="J291" s="26"/>
    </row>
    <row r="292" spans="1:10" s="144" customFormat="1" x14ac:dyDescent="0.25">
      <c r="A292" s="54">
        <v>295</v>
      </c>
      <c r="B292" s="54">
        <v>3872</v>
      </c>
      <c r="C292" s="55" t="s">
        <v>666</v>
      </c>
      <c r="D292" s="56">
        <v>802.6</v>
      </c>
      <c r="E292" s="57">
        <v>0.4</v>
      </c>
      <c r="F292" s="57">
        <f t="shared" si="9"/>
        <v>321.04000000000002</v>
      </c>
      <c r="G292" s="57">
        <f>F292</f>
        <v>321.04000000000002</v>
      </c>
      <c r="H292" s="57">
        <f t="shared" si="8"/>
        <v>0</v>
      </c>
      <c r="I292" s="84">
        <v>5546892</v>
      </c>
      <c r="J292" s="61" t="s">
        <v>901</v>
      </c>
    </row>
    <row r="293" spans="1:10" s="36" customFormat="1" x14ac:dyDescent="0.25">
      <c r="A293" s="27">
        <v>296</v>
      </c>
      <c r="B293" s="27">
        <v>3873</v>
      </c>
      <c r="C293" s="28" t="s">
        <v>668</v>
      </c>
      <c r="D293" s="29">
        <v>911</v>
      </c>
      <c r="E293" s="30">
        <v>0.4</v>
      </c>
      <c r="F293" s="30">
        <f t="shared" si="9"/>
        <v>364.40000000000003</v>
      </c>
      <c r="G293" s="30">
        <f>363.77</f>
        <v>363.77</v>
      </c>
      <c r="H293" s="30">
        <f t="shared" si="8"/>
        <v>0.6300000000000523</v>
      </c>
      <c r="I293" s="32">
        <v>6560744</v>
      </c>
      <c r="J293" s="35">
        <v>45932</v>
      </c>
    </row>
    <row r="294" spans="1:10" x14ac:dyDescent="0.25">
      <c r="A294" s="22">
        <v>297</v>
      </c>
      <c r="B294" s="22">
        <v>3874</v>
      </c>
      <c r="C294" s="33" t="s">
        <v>670</v>
      </c>
      <c r="D294" s="24">
        <v>418</v>
      </c>
      <c r="E294" s="25">
        <v>0.4</v>
      </c>
      <c r="F294" s="25">
        <f t="shared" si="9"/>
        <v>167.20000000000002</v>
      </c>
      <c r="G294" s="25"/>
      <c r="H294" s="25">
        <f t="shared" si="8"/>
        <v>167.20000000000002</v>
      </c>
      <c r="I294" s="34">
        <v>8105354</v>
      </c>
      <c r="J294" s="26"/>
    </row>
    <row r="295" spans="1:10" x14ac:dyDescent="0.25">
      <c r="A295" s="22">
        <v>298</v>
      </c>
      <c r="B295" s="22">
        <v>3875</v>
      </c>
      <c r="C295" s="33" t="s">
        <v>672</v>
      </c>
      <c r="D295" s="24">
        <v>481.5</v>
      </c>
      <c r="E295" s="25">
        <v>0.4</v>
      </c>
      <c r="F295" s="25">
        <f t="shared" si="9"/>
        <v>192.60000000000002</v>
      </c>
      <c r="G295" s="25"/>
      <c r="H295" s="25">
        <f t="shared" si="8"/>
        <v>192.60000000000002</v>
      </c>
      <c r="I295" s="34">
        <v>1345289</v>
      </c>
      <c r="J295" s="26"/>
    </row>
    <row r="296" spans="1:10" x14ac:dyDescent="0.25">
      <c r="A296" s="54">
        <v>299</v>
      </c>
      <c r="B296" s="54">
        <v>3876</v>
      </c>
      <c r="C296" s="55" t="s">
        <v>674</v>
      </c>
      <c r="D296" s="56">
        <v>471.8</v>
      </c>
      <c r="E296" s="57">
        <v>0.4</v>
      </c>
      <c r="F296" s="57">
        <f t="shared" si="9"/>
        <v>188.72000000000003</v>
      </c>
      <c r="G296" s="57">
        <f>F296</f>
        <v>188.72000000000003</v>
      </c>
      <c r="H296" s="57">
        <f t="shared" si="8"/>
        <v>0</v>
      </c>
      <c r="I296" s="84">
        <v>4767948</v>
      </c>
      <c r="J296" s="461">
        <v>45690</v>
      </c>
    </row>
    <row r="297" spans="1:10" x14ac:dyDescent="0.25">
      <c r="A297" s="54">
        <v>300</v>
      </c>
      <c r="B297" s="54">
        <v>3877</v>
      </c>
      <c r="C297" s="55" t="s">
        <v>41</v>
      </c>
      <c r="D297" s="56">
        <v>341.5</v>
      </c>
      <c r="E297" s="57">
        <v>0.4</v>
      </c>
      <c r="F297" s="57">
        <f t="shared" si="9"/>
        <v>136.6</v>
      </c>
      <c r="G297" s="57">
        <f>F297</f>
        <v>136.6</v>
      </c>
      <c r="H297" s="57">
        <f t="shared" si="8"/>
        <v>0</v>
      </c>
      <c r="I297" s="84">
        <v>14897254</v>
      </c>
      <c r="J297" s="61" t="s">
        <v>886</v>
      </c>
    </row>
    <row r="298" spans="1:10" x14ac:dyDescent="0.25">
      <c r="A298" s="22">
        <v>301</v>
      </c>
      <c r="B298" s="22">
        <v>3878</v>
      </c>
      <c r="C298" s="33" t="s">
        <v>676</v>
      </c>
      <c r="D298" s="24">
        <v>348.3</v>
      </c>
      <c r="E298" s="25">
        <v>0.4</v>
      </c>
      <c r="F298" s="25">
        <f t="shared" si="9"/>
        <v>139.32000000000002</v>
      </c>
      <c r="G298" s="25"/>
      <c r="H298" s="25">
        <f t="shared" si="8"/>
        <v>139.32000000000002</v>
      </c>
      <c r="I298" s="34">
        <v>22687078</v>
      </c>
      <c r="J298" s="26"/>
    </row>
    <row r="299" spans="1:10" s="79" customFormat="1" x14ac:dyDescent="0.25">
      <c r="A299" s="27">
        <v>302</v>
      </c>
      <c r="B299" s="27">
        <v>3879</v>
      </c>
      <c r="C299" s="28" t="s">
        <v>678</v>
      </c>
      <c r="D299" s="29">
        <v>136.1</v>
      </c>
      <c r="E299" s="30">
        <v>0.4</v>
      </c>
      <c r="F299" s="30">
        <f t="shared" si="9"/>
        <v>54.44</v>
      </c>
      <c r="G299" s="30">
        <f>50.59</f>
        <v>50.59</v>
      </c>
      <c r="H299" s="30">
        <f t="shared" si="8"/>
        <v>3.8499999999999943</v>
      </c>
      <c r="I299" s="32">
        <v>23178497</v>
      </c>
      <c r="J299" s="35">
        <v>45691</v>
      </c>
    </row>
    <row r="300" spans="1:10" x14ac:dyDescent="0.25">
      <c r="A300" s="22">
        <v>303</v>
      </c>
      <c r="B300" s="22">
        <v>3880</v>
      </c>
      <c r="C300" s="33" t="s">
        <v>680</v>
      </c>
      <c r="D300" s="24">
        <v>877.2</v>
      </c>
      <c r="E300" s="25">
        <v>0.4</v>
      </c>
      <c r="F300" s="25">
        <f t="shared" si="9"/>
        <v>350.88000000000005</v>
      </c>
      <c r="G300" s="25"/>
      <c r="H300" s="25">
        <f t="shared" si="8"/>
        <v>350.88000000000005</v>
      </c>
      <c r="I300" s="34">
        <v>6370697</v>
      </c>
      <c r="J300" s="26"/>
    </row>
    <row r="301" spans="1:10" s="144" customFormat="1" x14ac:dyDescent="0.25">
      <c r="A301" s="54">
        <v>304</v>
      </c>
      <c r="B301" s="54">
        <v>3882</v>
      </c>
      <c r="C301" s="55" t="s">
        <v>684</v>
      </c>
      <c r="D301" s="56">
        <v>427.8</v>
      </c>
      <c r="E301" s="57">
        <v>0.4</v>
      </c>
      <c r="F301" s="57">
        <f t="shared" si="9"/>
        <v>171.12</v>
      </c>
      <c r="G301" s="57">
        <f>F301</f>
        <v>171.12</v>
      </c>
      <c r="H301" s="57">
        <f t="shared" si="8"/>
        <v>0</v>
      </c>
      <c r="I301" s="84">
        <v>26752992</v>
      </c>
      <c r="J301" s="61" t="s">
        <v>907</v>
      </c>
    </row>
    <row r="302" spans="1:10" x14ac:dyDescent="0.25">
      <c r="A302" s="22">
        <v>305</v>
      </c>
      <c r="B302" s="22">
        <v>3884</v>
      </c>
      <c r="C302" s="33" t="s">
        <v>688</v>
      </c>
      <c r="D302" s="24">
        <v>212.9</v>
      </c>
      <c r="E302" s="25">
        <v>0.4</v>
      </c>
      <c r="F302" s="25">
        <f t="shared" si="9"/>
        <v>85.160000000000011</v>
      </c>
      <c r="G302" s="25"/>
      <c r="H302" s="25">
        <f t="shared" si="8"/>
        <v>85.160000000000011</v>
      </c>
      <c r="I302" s="34">
        <v>22716378</v>
      </c>
      <c r="J302" s="26"/>
    </row>
    <row r="303" spans="1:10" x14ac:dyDescent="0.25">
      <c r="A303" s="27">
        <v>306</v>
      </c>
      <c r="B303" s="27">
        <v>3885</v>
      </c>
      <c r="C303" s="28" t="s">
        <v>690</v>
      </c>
      <c r="D303" s="29">
        <v>253.1</v>
      </c>
      <c r="E303" s="30">
        <v>0.4</v>
      </c>
      <c r="F303" s="30">
        <f t="shared" si="9"/>
        <v>101.24000000000001</v>
      </c>
      <c r="G303" s="30">
        <f>96.5</f>
        <v>96.5</v>
      </c>
      <c r="H303" s="30">
        <f t="shared" si="8"/>
        <v>4.7400000000000091</v>
      </c>
      <c r="I303" s="32">
        <v>9920479</v>
      </c>
      <c r="J303" s="35">
        <v>45691</v>
      </c>
    </row>
    <row r="304" spans="1:10" x14ac:dyDescent="0.25">
      <c r="A304" s="22">
        <v>307</v>
      </c>
      <c r="B304" s="22">
        <v>3886</v>
      </c>
      <c r="C304" s="33" t="s">
        <v>692</v>
      </c>
      <c r="D304" s="24">
        <v>411.8</v>
      </c>
      <c r="E304" s="25">
        <v>0.4</v>
      </c>
      <c r="F304" s="25">
        <f t="shared" si="9"/>
        <v>164.72000000000003</v>
      </c>
      <c r="G304" s="25"/>
      <c r="H304" s="25">
        <f t="shared" si="8"/>
        <v>164.72000000000003</v>
      </c>
      <c r="I304" s="34">
        <v>21941594</v>
      </c>
      <c r="J304" s="26"/>
    </row>
    <row r="305" spans="1:10" s="36" customFormat="1" x14ac:dyDescent="0.25">
      <c r="A305" s="27">
        <v>308</v>
      </c>
      <c r="B305" s="27">
        <v>3887</v>
      </c>
      <c r="C305" s="28" t="s">
        <v>694</v>
      </c>
      <c r="D305" s="29">
        <v>131.1</v>
      </c>
      <c r="E305" s="30">
        <v>0.4</v>
      </c>
      <c r="F305" s="30">
        <f t="shared" si="9"/>
        <v>52.44</v>
      </c>
      <c r="G305" s="30">
        <f>51.5</f>
        <v>51.5</v>
      </c>
      <c r="H305" s="30">
        <f t="shared" si="8"/>
        <v>0.93999999999999773</v>
      </c>
      <c r="I305" s="32">
        <v>13204809</v>
      </c>
      <c r="J305" s="31" t="s">
        <v>893</v>
      </c>
    </row>
    <row r="306" spans="1:10" x14ac:dyDescent="0.25">
      <c r="A306" s="22">
        <v>309</v>
      </c>
      <c r="B306" s="22">
        <v>3888</v>
      </c>
      <c r="C306" s="33" t="s">
        <v>696</v>
      </c>
      <c r="D306" s="24">
        <v>343.6</v>
      </c>
      <c r="E306" s="25">
        <v>0.4</v>
      </c>
      <c r="F306" s="25">
        <f t="shared" si="9"/>
        <v>137.44000000000003</v>
      </c>
      <c r="G306" s="25"/>
      <c r="H306" s="25">
        <f t="shared" si="8"/>
        <v>137.44000000000003</v>
      </c>
      <c r="I306" s="34">
        <v>1808869</v>
      </c>
      <c r="J306" s="26"/>
    </row>
    <row r="307" spans="1:10" s="144" customFormat="1" x14ac:dyDescent="0.25">
      <c r="A307" s="54">
        <v>310</v>
      </c>
      <c r="B307" s="54">
        <v>3889</v>
      </c>
      <c r="C307" s="55" t="s">
        <v>698</v>
      </c>
      <c r="D307" s="56">
        <v>457.6</v>
      </c>
      <c r="E307" s="57">
        <v>0.4</v>
      </c>
      <c r="F307" s="57">
        <f t="shared" si="9"/>
        <v>183.04000000000002</v>
      </c>
      <c r="G307" s="57">
        <f>F307</f>
        <v>183.04000000000002</v>
      </c>
      <c r="H307" s="57">
        <f t="shared" si="8"/>
        <v>0</v>
      </c>
      <c r="I307" s="84">
        <v>6499103</v>
      </c>
      <c r="J307" s="61" t="s">
        <v>902</v>
      </c>
    </row>
    <row r="308" spans="1:10" x14ac:dyDescent="0.25">
      <c r="A308" s="37"/>
      <c r="B308" s="38"/>
      <c r="C308" s="39" t="s">
        <v>45</v>
      </c>
      <c r="D308" s="40">
        <f>SUM(D4:D307)</f>
        <v>150428.09999999989</v>
      </c>
      <c r="E308" s="41"/>
      <c r="F308" s="42">
        <f>SUM(F4:F307)</f>
        <v>60171.239999999991</v>
      </c>
      <c r="G308" s="42">
        <f t="shared" ref="G308:H308" si="10">SUM(G4:G307)</f>
        <v>21393.141999999993</v>
      </c>
      <c r="H308" s="42">
        <f t="shared" si="10"/>
        <v>38778.097999999991</v>
      </c>
      <c r="I308" s="37"/>
      <c r="J308" s="44"/>
    </row>
    <row r="309" spans="1:10" x14ac:dyDescent="0.25">
      <c r="D309" s="472"/>
    </row>
    <row r="310" spans="1:10" x14ac:dyDescent="0.25">
      <c r="D310" s="150"/>
    </row>
  </sheetData>
  <autoFilter ref="A3:J308" xr:uid="{171B42B0-438E-434D-9E2D-20B335AE74CE}"/>
  <mergeCells count="1">
    <mergeCell ref="A1:J2"/>
  </mergeCells>
  <pageMargins left="0.7" right="0.7" top="0.75" bottom="0.75" header="0.3" footer="0.3"/>
  <pageSetup paperSize="9"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38CB-14EE-4E97-987F-EF5C2FC4E0BE}">
  <dimension ref="A1:W316"/>
  <sheetViews>
    <sheetView view="pageBreakPreview" zoomScale="130" zoomScaleNormal="100" zoomScaleSheetLayoutView="130" workbookViewId="0">
      <pane xSplit="2" ySplit="3" topLeftCell="E4" activePane="bottomRight" state="frozen"/>
      <selection pane="topRight" activeCell="D1" sqref="D1"/>
      <selection pane="bottomLeft" activeCell="A4" sqref="A4"/>
      <selection pane="bottomRight" activeCell="G12" sqref="G12"/>
    </sheetView>
  </sheetViews>
  <sheetFormatPr defaultRowHeight="15" x14ac:dyDescent="0.25"/>
  <cols>
    <col min="1" max="1" width="60.85546875" bestFit="1" customWidth="1"/>
    <col min="2" max="2" width="36.5703125" customWidth="1"/>
    <col min="3" max="3" width="12.28515625" hidden="1" customWidth="1"/>
    <col min="4" max="4" width="9.28515625" hidden="1" customWidth="1"/>
    <col min="5" max="6" width="13.5703125" hidden="1" customWidth="1"/>
    <col min="7" max="7" width="13.5703125" customWidth="1"/>
    <col min="8" max="8" width="11.140625" hidden="1" customWidth="1"/>
    <col min="9" max="9" width="15.42578125" hidden="1" customWidth="1"/>
    <col min="10" max="10" width="16.5703125" hidden="1" customWidth="1"/>
    <col min="11" max="11" width="12.28515625" hidden="1" customWidth="1"/>
    <col min="12" max="12" width="9.42578125" hidden="1" customWidth="1"/>
    <col min="13" max="13" width="11.5703125" hidden="1" customWidth="1"/>
    <col min="14" max="14" width="10.7109375" hidden="1" customWidth="1"/>
    <col min="15" max="15" width="12.42578125" bestFit="1" customWidth="1"/>
    <col min="16" max="16" width="12.42578125" customWidth="1"/>
    <col min="17" max="17" width="37.28515625" customWidth="1"/>
    <col min="18" max="18" width="14.7109375" customWidth="1"/>
    <col min="19" max="19" width="9.5703125" bestFit="1" customWidth="1"/>
    <col min="20" max="20" width="9.5703125" customWidth="1"/>
    <col min="21" max="21" width="18.42578125" bestFit="1" customWidth="1"/>
    <col min="22" max="22" width="21.7109375" bestFit="1" customWidth="1"/>
    <col min="23" max="23" width="15.28515625" bestFit="1" customWidth="1"/>
  </cols>
  <sheetData>
    <row r="1" spans="1:15" x14ac:dyDescent="0.25">
      <c r="A1" s="142" t="s">
        <v>917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5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5" ht="27" x14ac:dyDescent="0.25">
      <c r="A3" s="14" t="s">
        <v>2</v>
      </c>
      <c r="B3" s="15" t="s">
        <v>3</v>
      </c>
      <c r="C3" s="16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7" t="s">
        <v>9</v>
      </c>
      <c r="I3" s="18" t="s">
        <v>10</v>
      </c>
      <c r="J3" s="18" t="s">
        <v>11</v>
      </c>
      <c r="K3" s="19" t="s">
        <v>12</v>
      </c>
      <c r="L3" s="20" t="s">
        <v>13</v>
      </c>
      <c r="M3" s="21" t="s">
        <v>14</v>
      </c>
    </row>
    <row r="4" spans="1:15" x14ac:dyDescent="0.25">
      <c r="A4" s="457">
        <v>1108</v>
      </c>
      <c r="B4" s="33" t="s">
        <v>49</v>
      </c>
      <c r="C4" s="45">
        <v>612.4</v>
      </c>
      <c r="D4" s="25">
        <v>0.4</v>
      </c>
      <c r="E4" s="25">
        <f>D4*C4</f>
        <v>244.96</v>
      </c>
      <c r="F4" s="25"/>
      <c r="G4" s="25">
        <f t="shared" ref="G4:G67" si="0">E4-F4</f>
        <v>244.96</v>
      </c>
      <c r="H4" s="458">
        <v>15218386</v>
      </c>
      <c r="I4" s="473" t="s">
        <v>50</v>
      </c>
      <c r="J4" s="473" t="s">
        <v>25</v>
      </c>
      <c r="K4" s="214" t="s">
        <v>26</v>
      </c>
      <c r="L4" s="458">
        <v>92776884</v>
      </c>
      <c r="M4" s="26"/>
    </row>
    <row r="5" spans="1:15" s="144" customFormat="1" x14ac:dyDescent="0.25">
      <c r="A5" s="54">
        <v>1390</v>
      </c>
      <c r="B5" s="55" t="s">
        <v>51</v>
      </c>
      <c r="C5" s="56">
        <v>251.4</v>
      </c>
      <c r="D5" s="57">
        <v>0.4</v>
      </c>
      <c r="E5" s="57">
        <f t="shared" ref="E5:E68" si="1">D5*C5</f>
        <v>100.56</v>
      </c>
      <c r="F5" s="57">
        <f>96.73+3.83</f>
        <v>100.56</v>
      </c>
      <c r="G5" s="57">
        <f t="shared" si="0"/>
        <v>0</v>
      </c>
      <c r="H5" s="54">
        <v>12181822</v>
      </c>
      <c r="I5" s="59" t="s">
        <v>52</v>
      </c>
      <c r="J5" s="59" t="s">
        <v>25</v>
      </c>
      <c r="K5" s="60" t="s">
        <v>26</v>
      </c>
      <c r="L5" s="54">
        <v>92442060</v>
      </c>
      <c r="M5" s="61" t="s">
        <v>928</v>
      </c>
      <c r="N5" s="144" t="s">
        <v>959</v>
      </c>
    </row>
    <row r="6" spans="1:15" s="144" customFormat="1" x14ac:dyDescent="0.25">
      <c r="A6" s="54">
        <v>1399</v>
      </c>
      <c r="B6" s="55" t="s">
        <v>53</v>
      </c>
      <c r="C6" s="56">
        <v>201.4</v>
      </c>
      <c r="D6" s="57">
        <v>0.4</v>
      </c>
      <c r="E6" s="57">
        <f t="shared" si="1"/>
        <v>80.56</v>
      </c>
      <c r="F6" s="57">
        <f>77.52+3.04</f>
        <v>80.56</v>
      </c>
      <c r="G6" s="57">
        <f t="shared" si="0"/>
        <v>0</v>
      </c>
      <c r="H6" s="84">
        <v>10065546</v>
      </c>
      <c r="I6" s="60" t="s">
        <v>54</v>
      </c>
      <c r="J6" s="59" t="s">
        <v>43</v>
      </c>
      <c r="K6" s="60" t="s">
        <v>44</v>
      </c>
      <c r="L6" s="54"/>
      <c r="M6" s="61" t="s">
        <v>926</v>
      </c>
      <c r="N6" s="461">
        <v>45727</v>
      </c>
    </row>
    <row r="7" spans="1:15" s="144" customFormat="1" x14ac:dyDescent="0.25">
      <c r="A7" s="54">
        <v>1422</v>
      </c>
      <c r="B7" s="55" t="s">
        <v>56</v>
      </c>
      <c r="C7" s="56">
        <v>126.3</v>
      </c>
      <c r="D7" s="57">
        <v>0.4</v>
      </c>
      <c r="E7" s="57">
        <f t="shared" si="1"/>
        <v>50.52</v>
      </c>
      <c r="F7" s="57">
        <f>E7</f>
        <v>50.52</v>
      </c>
      <c r="G7" s="57">
        <f t="shared" si="0"/>
        <v>0</v>
      </c>
      <c r="H7" s="520">
        <v>3280016</v>
      </c>
      <c r="I7" s="59" t="s">
        <v>57</v>
      </c>
      <c r="J7" s="59" t="s">
        <v>25</v>
      </c>
      <c r="K7" s="60" t="s">
        <v>26</v>
      </c>
      <c r="L7" s="520"/>
      <c r="M7" s="61" t="s">
        <v>936</v>
      </c>
      <c r="O7" s="530"/>
    </row>
    <row r="8" spans="1:15" s="79" customFormat="1" x14ac:dyDescent="0.25">
      <c r="A8" s="22">
        <v>1424</v>
      </c>
      <c r="B8" s="23" t="s">
        <v>58</v>
      </c>
      <c r="C8" s="110"/>
      <c r="D8" s="25">
        <v>0.4</v>
      </c>
      <c r="E8" s="25">
        <f t="shared" si="1"/>
        <v>0</v>
      </c>
      <c r="F8" s="25"/>
      <c r="G8" s="25">
        <f t="shared" si="0"/>
        <v>0</v>
      </c>
      <c r="H8" s="46">
        <v>748395</v>
      </c>
      <c r="I8" s="216" t="s">
        <v>59</v>
      </c>
      <c r="J8" s="26" t="s">
        <v>17</v>
      </c>
      <c r="K8" s="26" t="s">
        <v>18</v>
      </c>
      <c r="L8" s="46">
        <v>93011211</v>
      </c>
      <c r="M8" s="26"/>
    </row>
    <row r="9" spans="1:15" x14ac:dyDescent="0.25">
      <c r="A9" s="22">
        <v>1429</v>
      </c>
      <c r="B9" s="33" t="s">
        <v>60</v>
      </c>
      <c r="C9" s="24">
        <v>340.7</v>
      </c>
      <c r="D9" s="25">
        <v>0.4</v>
      </c>
      <c r="E9" s="25">
        <f t="shared" si="1"/>
        <v>136.28</v>
      </c>
      <c r="F9" s="25"/>
      <c r="G9" s="25">
        <f t="shared" si="0"/>
        <v>136.28</v>
      </c>
      <c r="H9" s="34">
        <v>339725</v>
      </c>
      <c r="I9" s="214" t="s">
        <v>61</v>
      </c>
      <c r="J9" s="473" t="s">
        <v>25</v>
      </c>
      <c r="K9" s="474" t="s">
        <v>26</v>
      </c>
      <c r="L9" s="22"/>
      <c r="M9" s="26"/>
    </row>
    <row r="10" spans="1:15" x14ac:dyDescent="0.25">
      <c r="A10" s="22">
        <v>1431</v>
      </c>
      <c r="B10" s="33" t="s">
        <v>62</v>
      </c>
      <c r="C10" s="45">
        <v>235.8</v>
      </c>
      <c r="D10" s="25">
        <v>0.4</v>
      </c>
      <c r="E10" s="25">
        <f t="shared" si="1"/>
        <v>94.320000000000007</v>
      </c>
      <c r="F10" s="25"/>
      <c r="G10" s="25">
        <f t="shared" si="0"/>
        <v>94.320000000000007</v>
      </c>
      <c r="H10" s="46">
        <v>721445</v>
      </c>
      <c r="I10" s="215" t="s">
        <v>63</v>
      </c>
      <c r="J10" s="26" t="s">
        <v>17</v>
      </c>
      <c r="K10" s="26" t="s">
        <v>18</v>
      </c>
      <c r="L10" s="46">
        <v>99291700</v>
      </c>
      <c r="M10" s="26"/>
    </row>
    <row r="11" spans="1:15" s="144" customFormat="1" x14ac:dyDescent="0.25">
      <c r="A11" s="54">
        <v>1443</v>
      </c>
      <c r="B11" s="55" t="s">
        <v>65</v>
      </c>
      <c r="C11" s="56">
        <v>827.6</v>
      </c>
      <c r="D11" s="57">
        <v>0.4</v>
      </c>
      <c r="E11" s="57">
        <f t="shared" si="1"/>
        <v>331.04</v>
      </c>
      <c r="F11" s="57">
        <f>E11</f>
        <v>331.04</v>
      </c>
      <c r="G11" s="57">
        <f t="shared" si="0"/>
        <v>0</v>
      </c>
      <c r="H11" s="520">
        <v>6026992</v>
      </c>
      <c r="I11" s="59" t="s">
        <v>66</v>
      </c>
      <c r="J11" s="59" t="s">
        <v>25</v>
      </c>
      <c r="K11" s="60" t="s">
        <v>26</v>
      </c>
      <c r="L11" s="520">
        <v>95863774</v>
      </c>
      <c r="M11" s="558">
        <v>45728</v>
      </c>
    </row>
    <row r="12" spans="1:15" s="144" customFormat="1" x14ac:dyDescent="0.25">
      <c r="A12" s="54">
        <v>1452</v>
      </c>
      <c r="B12" s="55" t="s">
        <v>67</v>
      </c>
      <c r="C12" s="56">
        <v>186.5</v>
      </c>
      <c r="D12" s="57">
        <v>0.4</v>
      </c>
      <c r="E12" s="57">
        <f t="shared" si="1"/>
        <v>74.600000000000009</v>
      </c>
      <c r="F12" s="57">
        <f>E12</f>
        <v>74.600000000000009</v>
      </c>
      <c r="G12" s="57">
        <f t="shared" si="0"/>
        <v>0</v>
      </c>
      <c r="H12" s="515">
        <v>20917176</v>
      </c>
      <c r="I12" s="516" t="s">
        <v>68</v>
      </c>
      <c r="J12" s="73" t="s">
        <v>25</v>
      </c>
      <c r="K12" s="516" t="s">
        <v>26</v>
      </c>
      <c r="L12" s="515">
        <v>95863774</v>
      </c>
      <c r="M12" s="61" t="s">
        <v>931</v>
      </c>
      <c r="O12" s="530"/>
    </row>
    <row r="13" spans="1:15" x14ac:dyDescent="0.25">
      <c r="A13" s="22">
        <v>1458</v>
      </c>
      <c r="B13" s="33" t="s">
        <v>69</v>
      </c>
      <c r="C13" s="45">
        <v>246.3</v>
      </c>
      <c r="D13" s="25">
        <v>0.4</v>
      </c>
      <c r="E13" s="25">
        <f t="shared" si="1"/>
        <v>98.52000000000001</v>
      </c>
      <c r="F13" s="25"/>
      <c r="G13" s="25">
        <f t="shared" si="0"/>
        <v>98.52000000000001</v>
      </c>
      <c r="H13" s="46">
        <v>77628</v>
      </c>
      <c r="I13" s="215" t="s">
        <v>70</v>
      </c>
      <c r="J13" s="26" t="s">
        <v>17</v>
      </c>
      <c r="K13" s="26" t="s">
        <v>18</v>
      </c>
      <c r="L13" s="46">
        <v>99275608</v>
      </c>
      <c r="M13" s="26"/>
    </row>
    <row r="14" spans="1:15" s="144" customFormat="1" x14ac:dyDescent="0.25">
      <c r="A14" s="54">
        <v>1461</v>
      </c>
      <c r="B14" s="55" t="s">
        <v>71</v>
      </c>
      <c r="C14" s="56">
        <v>241.3</v>
      </c>
      <c r="D14" s="57">
        <v>0.4</v>
      </c>
      <c r="E14" s="57">
        <f t="shared" si="1"/>
        <v>96.52000000000001</v>
      </c>
      <c r="F14" s="57">
        <v>92.79</v>
      </c>
      <c r="G14" s="57">
        <f t="shared" si="0"/>
        <v>3.730000000000004</v>
      </c>
      <c r="H14" s="520">
        <v>6828806</v>
      </c>
      <c r="I14" s="59" t="s">
        <v>72</v>
      </c>
      <c r="J14" s="59" t="s">
        <v>25</v>
      </c>
      <c r="K14" s="60" t="s">
        <v>26</v>
      </c>
      <c r="L14" s="520">
        <v>92330321</v>
      </c>
      <c r="M14" s="61" t="s">
        <v>926</v>
      </c>
    </row>
    <row r="15" spans="1:15" s="144" customFormat="1" x14ac:dyDescent="0.25">
      <c r="A15" s="54">
        <v>1465</v>
      </c>
      <c r="B15" s="55" t="s">
        <v>73</v>
      </c>
      <c r="C15" s="56">
        <v>229.8</v>
      </c>
      <c r="D15" s="57">
        <v>0.4</v>
      </c>
      <c r="E15" s="57">
        <f t="shared" si="1"/>
        <v>91.920000000000016</v>
      </c>
      <c r="F15" s="57">
        <f>E15</f>
        <v>91.920000000000016</v>
      </c>
      <c r="G15" s="57">
        <f t="shared" si="0"/>
        <v>0</v>
      </c>
      <c r="H15" s="54">
        <v>757601</v>
      </c>
      <c r="I15" s="60" t="s">
        <v>74</v>
      </c>
      <c r="J15" s="58" t="s">
        <v>75</v>
      </c>
      <c r="K15" s="61" t="s">
        <v>76</v>
      </c>
      <c r="L15" s="54">
        <v>99892131</v>
      </c>
      <c r="M15" s="61" t="s">
        <v>926</v>
      </c>
    </row>
    <row r="16" spans="1:15" s="144" customFormat="1" x14ac:dyDescent="0.25">
      <c r="A16" s="54">
        <v>1474</v>
      </c>
      <c r="B16" s="55" t="s">
        <v>15</v>
      </c>
      <c r="C16" s="56">
        <v>428.4</v>
      </c>
      <c r="D16" s="57">
        <v>0.4</v>
      </c>
      <c r="E16" s="57">
        <f t="shared" si="1"/>
        <v>171.36</v>
      </c>
      <c r="F16" s="57">
        <f>0.14+171.22</f>
        <v>171.35999999999999</v>
      </c>
      <c r="G16" s="57">
        <f t="shared" si="0"/>
        <v>0</v>
      </c>
      <c r="H16" s="54">
        <v>4603773</v>
      </c>
      <c r="I16" s="61" t="s">
        <v>16</v>
      </c>
      <c r="J16" s="61" t="s">
        <v>17</v>
      </c>
      <c r="K16" s="61" t="s">
        <v>18</v>
      </c>
      <c r="L16" s="54">
        <v>98820843</v>
      </c>
      <c r="M16" s="461">
        <v>45936</v>
      </c>
      <c r="N16" s="61" t="s">
        <v>931</v>
      </c>
    </row>
    <row r="17" spans="1:15" s="144" customFormat="1" x14ac:dyDescent="0.25">
      <c r="A17" s="54">
        <v>1479</v>
      </c>
      <c r="B17" s="499" t="s">
        <v>77</v>
      </c>
      <c r="C17" s="56">
        <v>208.3</v>
      </c>
      <c r="D17" s="57">
        <v>0.4</v>
      </c>
      <c r="E17" s="57">
        <f t="shared" si="1"/>
        <v>83.320000000000007</v>
      </c>
      <c r="F17" s="57">
        <f>81.41+1.91</f>
        <v>83.32</v>
      </c>
      <c r="G17" s="57">
        <f t="shared" si="0"/>
        <v>0</v>
      </c>
      <c r="H17" s="500">
        <v>5217726</v>
      </c>
      <c r="I17" s="501" t="s">
        <v>78</v>
      </c>
      <c r="J17" s="502" t="s">
        <v>25</v>
      </c>
      <c r="K17" s="502" t="s">
        <v>26</v>
      </c>
      <c r="L17" s="500">
        <v>92610234</v>
      </c>
      <c r="M17" s="61" t="s">
        <v>926</v>
      </c>
      <c r="N17" s="144" t="s">
        <v>968</v>
      </c>
    </row>
    <row r="18" spans="1:15" s="144" customFormat="1" x14ac:dyDescent="0.25">
      <c r="A18" s="54">
        <v>1483</v>
      </c>
      <c r="B18" s="55" t="s">
        <v>79</v>
      </c>
      <c r="C18" s="56">
        <v>608.70000000000005</v>
      </c>
      <c r="D18" s="57">
        <v>0.4</v>
      </c>
      <c r="E18" s="57">
        <f t="shared" si="1"/>
        <v>243.48000000000002</v>
      </c>
      <c r="F18" s="57">
        <f>239.25+4.23</f>
        <v>243.48</v>
      </c>
      <c r="G18" s="57">
        <f t="shared" si="0"/>
        <v>0</v>
      </c>
      <c r="H18" s="54">
        <v>1567826</v>
      </c>
      <c r="I18" s="58" t="s">
        <v>80</v>
      </c>
      <c r="J18" s="61" t="s">
        <v>75</v>
      </c>
      <c r="K18" s="60" t="s">
        <v>76</v>
      </c>
      <c r="L18" s="54">
        <v>98532884</v>
      </c>
      <c r="M18" s="61" t="s">
        <v>927</v>
      </c>
      <c r="N18" s="61" t="s">
        <v>966</v>
      </c>
    </row>
    <row r="19" spans="1:15" s="79" customFormat="1" x14ac:dyDescent="0.25">
      <c r="A19" s="22">
        <v>1486</v>
      </c>
      <c r="B19" s="23" t="s">
        <v>714</v>
      </c>
      <c r="C19" s="29"/>
      <c r="D19" s="25">
        <v>0.4</v>
      </c>
      <c r="E19" s="25">
        <f t="shared" si="1"/>
        <v>0</v>
      </c>
      <c r="F19" s="25"/>
      <c r="G19" s="25">
        <f t="shared" si="0"/>
        <v>0</v>
      </c>
      <c r="H19" s="22">
        <v>22792564</v>
      </c>
      <c r="I19" s="216" t="s">
        <v>715</v>
      </c>
      <c r="J19" s="517" t="s">
        <v>25</v>
      </c>
      <c r="K19" s="517" t="s">
        <v>26</v>
      </c>
      <c r="L19" s="22"/>
      <c r="M19" s="26"/>
    </row>
    <row r="20" spans="1:15" s="144" customFormat="1" x14ac:dyDescent="0.25">
      <c r="A20" s="54">
        <v>1762</v>
      </c>
      <c r="B20" s="55" t="s">
        <v>82</v>
      </c>
      <c r="C20" s="56">
        <v>634</v>
      </c>
      <c r="D20" s="57">
        <v>0.4</v>
      </c>
      <c r="E20" s="57">
        <f t="shared" si="1"/>
        <v>253.60000000000002</v>
      </c>
      <c r="F20" s="57">
        <f>E20</f>
        <v>253.60000000000002</v>
      </c>
      <c r="G20" s="57">
        <f t="shared" si="0"/>
        <v>0</v>
      </c>
      <c r="H20" s="84">
        <v>1409527</v>
      </c>
      <c r="I20" s="60" t="s">
        <v>83</v>
      </c>
      <c r="J20" s="59" t="s">
        <v>84</v>
      </c>
      <c r="K20" s="60" t="s">
        <v>26</v>
      </c>
      <c r="L20" s="54"/>
      <c r="M20" s="61" t="s">
        <v>928</v>
      </c>
    </row>
    <row r="21" spans="1:15" s="144" customFormat="1" x14ac:dyDescent="0.25">
      <c r="A21" s="54">
        <v>1792</v>
      </c>
      <c r="B21" s="55" t="s">
        <v>85</v>
      </c>
      <c r="C21" s="56">
        <v>178.5</v>
      </c>
      <c r="D21" s="57">
        <v>0.4</v>
      </c>
      <c r="E21" s="57">
        <f t="shared" si="1"/>
        <v>71.400000000000006</v>
      </c>
      <c r="F21" s="57">
        <f>E21</f>
        <v>71.400000000000006</v>
      </c>
      <c r="G21" s="57">
        <f t="shared" si="0"/>
        <v>0</v>
      </c>
      <c r="H21" s="71">
        <v>9545556</v>
      </c>
      <c r="I21" s="72" t="s">
        <v>86</v>
      </c>
      <c r="J21" s="61" t="s">
        <v>17</v>
      </c>
      <c r="K21" s="72" t="s">
        <v>18</v>
      </c>
      <c r="L21" s="54"/>
      <c r="M21" s="461">
        <v>45727</v>
      </c>
    </row>
    <row r="22" spans="1:15" x14ac:dyDescent="0.25">
      <c r="A22" s="22">
        <v>3009</v>
      </c>
      <c r="B22" s="33" t="s">
        <v>87</v>
      </c>
      <c r="C22" s="45">
        <v>218</v>
      </c>
      <c r="D22" s="25">
        <v>0.4</v>
      </c>
      <c r="E22" s="25">
        <f t="shared" si="1"/>
        <v>87.2</v>
      </c>
      <c r="F22" s="25"/>
      <c r="G22" s="25">
        <f t="shared" si="0"/>
        <v>87.2</v>
      </c>
      <c r="H22" s="22">
        <v>1448391</v>
      </c>
      <c r="I22" s="477" t="s">
        <v>88</v>
      </c>
      <c r="J22" s="26" t="s">
        <v>43</v>
      </c>
      <c r="K22" s="26" t="s">
        <v>44</v>
      </c>
      <c r="L22" s="22">
        <v>99100144</v>
      </c>
      <c r="M22" s="26"/>
    </row>
    <row r="23" spans="1:15" s="144" customFormat="1" x14ac:dyDescent="0.25">
      <c r="A23" s="54">
        <v>3012</v>
      </c>
      <c r="B23" s="55" t="s">
        <v>90</v>
      </c>
      <c r="C23" s="56">
        <v>241.5</v>
      </c>
      <c r="D23" s="57">
        <v>0.4</v>
      </c>
      <c r="E23" s="57">
        <f t="shared" si="1"/>
        <v>96.600000000000009</v>
      </c>
      <c r="F23" s="57">
        <f>95.55+1.05</f>
        <v>96.6</v>
      </c>
      <c r="G23" s="57">
        <f t="shared" si="0"/>
        <v>0</v>
      </c>
      <c r="H23" s="54">
        <v>5634422</v>
      </c>
      <c r="I23" s="58" t="s">
        <v>91</v>
      </c>
      <c r="J23" s="59" t="s">
        <v>25</v>
      </c>
      <c r="K23" s="60" t="s">
        <v>26</v>
      </c>
      <c r="L23" s="54">
        <v>96922118</v>
      </c>
      <c r="M23" s="61" t="s">
        <v>927</v>
      </c>
      <c r="N23" s="461">
        <v>45881</v>
      </c>
    </row>
    <row r="24" spans="1:15" s="144" customFormat="1" x14ac:dyDescent="0.25">
      <c r="A24" s="54">
        <v>3014</v>
      </c>
      <c r="B24" s="55" t="s">
        <v>92</v>
      </c>
      <c r="C24" s="56">
        <v>193.6</v>
      </c>
      <c r="D24" s="57">
        <v>0.4</v>
      </c>
      <c r="E24" s="57">
        <f t="shared" si="1"/>
        <v>77.44</v>
      </c>
      <c r="F24" s="57">
        <f>E24</f>
        <v>77.44</v>
      </c>
      <c r="G24" s="57">
        <f t="shared" si="0"/>
        <v>0</v>
      </c>
      <c r="H24" s="54">
        <v>648421</v>
      </c>
      <c r="I24" s="58" t="s">
        <v>93</v>
      </c>
      <c r="J24" s="61" t="s">
        <v>43</v>
      </c>
      <c r="K24" s="61" t="s">
        <v>44</v>
      </c>
      <c r="L24" s="54">
        <v>98815665</v>
      </c>
      <c r="M24" s="461">
        <v>45848</v>
      </c>
      <c r="N24" s="144" t="s">
        <v>922</v>
      </c>
    </row>
    <row r="25" spans="1:15" x14ac:dyDescent="0.25">
      <c r="A25" s="22">
        <v>3015</v>
      </c>
      <c r="B25" s="33" t="s">
        <v>94</v>
      </c>
      <c r="C25" s="45">
        <v>261.8</v>
      </c>
      <c r="D25" s="25">
        <v>0.4</v>
      </c>
      <c r="E25" s="25">
        <f t="shared" si="1"/>
        <v>104.72000000000001</v>
      </c>
      <c r="F25" s="25"/>
      <c r="G25" s="25">
        <f t="shared" si="0"/>
        <v>104.72000000000001</v>
      </c>
      <c r="H25" s="22">
        <v>5753033</v>
      </c>
      <c r="I25" s="216" t="s">
        <v>95</v>
      </c>
      <c r="J25" s="473" t="s">
        <v>25</v>
      </c>
      <c r="K25" s="214" t="s">
        <v>26</v>
      </c>
      <c r="L25" s="22">
        <v>92838405</v>
      </c>
      <c r="M25" s="26"/>
    </row>
    <row r="26" spans="1:15" s="144" customFormat="1" x14ac:dyDescent="0.25">
      <c r="A26" s="54">
        <v>3018</v>
      </c>
      <c r="B26" s="55" t="s">
        <v>96</v>
      </c>
      <c r="C26" s="56">
        <v>155.5</v>
      </c>
      <c r="D26" s="57">
        <v>0.4</v>
      </c>
      <c r="E26" s="57">
        <f t="shared" si="1"/>
        <v>62.2</v>
      </c>
      <c r="F26" s="57">
        <f>E26</f>
        <v>62.2</v>
      </c>
      <c r="G26" s="57">
        <f t="shared" si="0"/>
        <v>0</v>
      </c>
      <c r="H26" s="84">
        <v>1528087</v>
      </c>
      <c r="I26" s="72" t="s">
        <v>97</v>
      </c>
      <c r="J26" s="59" t="s">
        <v>25</v>
      </c>
      <c r="K26" s="60" t="s">
        <v>26</v>
      </c>
      <c r="L26" s="54"/>
      <c r="M26" s="61" t="s">
        <v>940</v>
      </c>
    </row>
    <row r="27" spans="1:15" s="144" customFormat="1" x14ac:dyDescent="0.25">
      <c r="A27" s="54">
        <v>3020</v>
      </c>
      <c r="B27" s="55" t="s">
        <v>98</v>
      </c>
      <c r="C27" s="56">
        <v>426.8</v>
      </c>
      <c r="D27" s="57">
        <v>0.4</v>
      </c>
      <c r="E27" s="57">
        <f t="shared" si="1"/>
        <v>170.72000000000003</v>
      </c>
      <c r="F27" s="57">
        <f>24.55+146.17</f>
        <v>170.72</v>
      </c>
      <c r="G27" s="57">
        <f t="shared" si="0"/>
        <v>0</v>
      </c>
      <c r="H27" s="54">
        <v>5418422</v>
      </c>
      <c r="I27" s="58" t="s">
        <v>99</v>
      </c>
      <c r="J27" s="59" t="s">
        <v>25</v>
      </c>
      <c r="K27" s="60" t="s">
        <v>26</v>
      </c>
      <c r="L27" s="54">
        <v>99495434</v>
      </c>
      <c r="M27" s="61" t="s">
        <v>930</v>
      </c>
      <c r="N27" s="61" t="s">
        <v>938</v>
      </c>
    </row>
    <row r="28" spans="1:15" s="144" customFormat="1" x14ac:dyDescent="0.25">
      <c r="A28" s="54">
        <v>3022</v>
      </c>
      <c r="B28" s="55" t="s">
        <v>100</v>
      </c>
      <c r="C28" s="56">
        <v>560.5</v>
      </c>
      <c r="D28" s="57">
        <v>0.4</v>
      </c>
      <c r="E28" s="57">
        <f t="shared" si="1"/>
        <v>224.20000000000002</v>
      </c>
      <c r="F28" s="57">
        <f>E28</f>
        <v>224.20000000000002</v>
      </c>
      <c r="G28" s="57">
        <f t="shared" si="0"/>
        <v>0</v>
      </c>
      <c r="H28" s="54">
        <v>5360253</v>
      </c>
      <c r="I28" s="58" t="s">
        <v>101</v>
      </c>
      <c r="J28" s="61" t="s">
        <v>75</v>
      </c>
      <c r="K28" s="60" t="s">
        <v>76</v>
      </c>
      <c r="L28" s="54">
        <v>99257989</v>
      </c>
      <c r="M28" s="61" t="s">
        <v>930</v>
      </c>
    </row>
    <row r="29" spans="1:15" ht="42.75" customHeight="1" x14ac:dyDescent="0.25">
      <c r="A29" s="22">
        <v>3025</v>
      </c>
      <c r="B29" s="33" t="s">
        <v>102</v>
      </c>
      <c r="C29" s="45">
        <v>443</v>
      </c>
      <c r="D29" s="25">
        <v>0.4</v>
      </c>
      <c r="E29" s="25">
        <f t="shared" si="1"/>
        <v>177.20000000000002</v>
      </c>
      <c r="F29" s="25"/>
      <c r="G29" s="25">
        <f t="shared" si="0"/>
        <v>177.20000000000002</v>
      </c>
      <c r="H29" s="22">
        <v>7542172</v>
      </c>
      <c r="I29" s="216" t="s">
        <v>103</v>
      </c>
      <c r="J29" s="473" t="s">
        <v>25</v>
      </c>
      <c r="K29" s="214" t="s">
        <v>26</v>
      </c>
      <c r="L29" s="22"/>
      <c r="M29" s="26"/>
    </row>
    <row r="30" spans="1:15" x14ac:dyDescent="0.25">
      <c r="A30" s="22">
        <v>3026</v>
      </c>
      <c r="B30" s="33" t="s">
        <v>105</v>
      </c>
      <c r="C30" s="45">
        <v>235.2</v>
      </c>
      <c r="D30" s="25">
        <v>0.4</v>
      </c>
      <c r="E30" s="25">
        <f t="shared" si="1"/>
        <v>94.08</v>
      </c>
      <c r="F30" s="25"/>
      <c r="G30" s="25">
        <f t="shared" si="0"/>
        <v>94.08</v>
      </c>
      <c r="H30" s="22">
        <v>7033819</v>
      </c>
      <c r="I30" s="216" t="s">
        <v>106</v>
      </c>
      <c r="J30" s="473" t="s">
        <v>25</v>
      </c>
      <c r="K30" s="214" t="s">
        <v>26</v>
      </c>
      <c r="L30" s="22">
        <v>92256918</v>
      </c>
      <c r="M30" s="26"/>
    </row>
    <row r="31" spans="1:15" s="144" customFormat="1" x14ac:dyDescent="0.25">
      <c r="A31" s="54">
        <v>3027</v>
      </c>
      <c r="B31" s="55" t="s">
        <v>107</v>
      </c>
      <c r="C31" s="56">
        <v>493</v>
      </c>
      <c r="D31" s="57">
        <v>0.4</v>
      </c>
      <c r="E31" s="57">
        <f t="shared" si="1"/>
        <v>197.20000000000002</v>
      </c>
      <c r="F31" s="57">
        <f>E31</f>
        <v>197.20000000000002</v>
      </c>
      <c r="G31" s="57">
        <f t="shared" si="0"/>
        <v>0</v>
      </c>
      <c r="H31" s="54">
        <v>6420643</v>
      </c>
      <c r="I31" s="58" t="s">
        <v>108</v>
      </c>
      <c r="J31" s="59" t="s">
        <v>17</v>
      </c>
      <c r="K31" s="60" t="s">
        <v>18</v>
      </c>
      <c r="L31" s="54">
        <v>92288434</v>
      </c>
      <c r="M31" s="61" t="s">
        <v>933</v>
      </c>
    </row>
    <row r="32" spans="1:15" s="144" customFormat="1" x14ac:dyDescent="0.25">
      <c r="A32" s="54">
        <v>3030</v>
      </c>
      <c r="B32" s="55" t="s">
        <v>109</v>
      </c>
      <c r="C32" s="56">
        <v>243.8</v>
      </c>
      <c r="D32" s="57">
        <v>0.4</v>
      </c>
      <c r="E32" s="57">
        <f t="shared" si="1"/>
        <v>97.52000000000001</v>
      </c>
      <c r="F32" s="57">
        <f>94.23+3.29</f>
        <v>97.52000000000001</v>
      </c>
      <c r="G32" s="57">
        <f t="shared" si="0"/>
        <v>0</v>
      </c>
      <c r="H32" s="54">
        <v>6021175</v>
      </c>
      <c r="I32" s="58" t="s">
        <v>110</v>
      </c>
      <c r="J32" s="59" t="s">
        <v>25</v>
      </c>
      <c r="K32" s="60" t="s">
        <v>26</v>
      </c>
      <c r="L32" s="54">
        <v>91716888</v>
      </c>
      <c r="M32" s="61" t="s">
        <v>927</v>
      </c>
      <c r="N32" s="461">
        <v>45727</v>
      </c>
      <c r="O32" s="530"/>
    </row>
    <row r="33" spans="1:15" s="144" customFormat="1" x14ac:dyDescent="0.25">
      <c r="A33" s="54">
        <v>3038</v>
      </c>
      <c r="B33" s="55" t="s">
        <v>111</v>
      </c>
      <c r="C33" s="56">
        <v>487.3</v>
      </c>
      <c r="D33" s="57">
        <v>0.4</v>
      </c>
      <c r="E33" s="57">
        <f t="shared" si="1"/>
        <v>194.92000000000002</v>
      </c>
      <c r="F33" s="57">
        <f>82.85+112.07</f>
        <v>194.92</v>
      </c>
      <c r="G33" s="57">
        <f t="shared" si="0"/>
        <v>0</v>
      </c>
      <c r="H33" s="54">
        <v>7976</v>
      </c>
      <c r="I33" s="58" t="s">
        <v>112</v>
      </c>
      <c r="J33" s="61" t="s">
        <v>43</v>
      </c>
      <c r="K33" s="61" t="s">
        <v>44</v>
      </c>
      <c r="L33" s="54">
        <v>98920007</v>
      </c>
      <c r="M33" s="61" t="s">
        <v>936</v>
      </c>
    </row>
    <row r="34" spans="1:15" s="144" customFormat="1" x14ac:dyDescent="0.25">
      <c r="A34" s="54">
        <v>3043</v>
      </c>
      <c r="B34" s="55" t="s">
        <v>113</v>
      </c>
      <c r="C34" s="56">
        <v>219.5</v>
      </c>
      <c r="D34" s="57">
        <v>0.4</v>
      </c>
      <c r="E34" s="57">
        <f t="shared" si="1"/>
        <v>87.800000000000011</v>
      </c>
      <c r="F34" s="57">
        <f>E34</f>
        <v>87.800000000000011</v>
      </c>
      <c r="G34" s="57">
        <f t="shared" si="0"/>
        <v>0</v>
      </c>
      <c r="H34" s="54">
        <v>396336</v>
      </c>
      <c r="I34" s="58" t="s">
        <v>114</v>
      </c>
      <c r="J34" s="59" t="s">
        <v>25</v>
      </c>
      <c r="K34" s="60" t="s">
        <v>26</v>
      </c>
      <c r="L34" s="54">
        <v>99498844</v>
      </c>
      <c r="M34" s="61" t="s">
        <v>938</v>
      </c>
    </row>
    <row r="35" spans="1:15" x14ac:dyDescent="0.25">
      <c r="A35" s="22">
        <v>3058</v>
      </c>
      <c r="B35" s="33" t="s">
        <v>115</v>
      </c>
      <c r="C35" s="45">
        <v>786.5</v>
      </c>
      <c r="D35" s="25">
        <v>0.4</v>
      </c>
      <c r="E35" s="25">
        <f t="shared" si="1"/>
        <v>314.60000000000002</v>
      </c>
      <c r="F35" s="25"/>
      <c r="G35" s="25">
        <f t="shared" si="0"/>
        <v>314.60000000000002</v>
      </c>
      <c r="H35" s="22">
        <v>965148</v>
      </c>
      <c r="I35" s="216" t="s">
        <v>116</v>
      </c>
      <c r="J35" s="26" t="s">
        <v>43</v>
      </c>
      <c r="K35" s="26" t="s">
        <v>44</v>
      </c>
      <c r="L35" s="22">
        <v>90980121</v>
      </c>
      <c r="M35" s="26"/>
    </row>
    <row r="36" spans="1:15" x14ac:dyDescent="0.25">
      <c r="A36" s="22">
        <v>3070</v>
      </c>
      <c r="B36" s="33" t="s">
        <v>117</v>
      </c>
      <c r="C36" s="45">
        <v>734.1</v>
      </c>
      <c r="D36" s="25">
        <v>0.4</v>
      </c>
      <c r="E36" s="25">
        <f t="shared" si="1"/>
        <v>293.64000000000004</v>
      </c>
      <c r="F36" s="25">
        <f>E36</f>
        <v>293.64000000000004</v>
      </c>
      <c r="G36" s="25">
        <f t="shared" si="0"/>
        <v>0</v>
      </c>
      <c r="H36" s="46">
        <v>1918001</v>
      </c>
      <c r="I36" s="216" t="s">
        <v>118</v>
      </c>
      <c r="J36" s="473" t="s">
        <v>25</v>
      </c>
      <c r="K36" s="214" t="s">
        <v>26</v>
      </c>
      <c r="L36" s="46">
        <v>92863640</v>
      </c>
      <c r="M36" s="461">
        <v>45700</v>
      </c>
    </row>
    <row r="37" spans="1:15" s="144" customFormat="1" x14ac:dyDescent="0.25">
      <c r="A37" s="54">
        <v>3072</v>
      </c>
      <c r="B37" s="55" t="s">
        <v>119</v>
      </c>
      <c r="C37" s="56">
        <v>245.4</v>
      </c>
      <c r="D37" s="57">
        <v>0.4</v>
      </c>
      <c r="E37" s="57">
        <f t="shared" si="1"/>
        <v>98.160000000000011</v>
      </c>
      <c r="F37" s="57">
        <f>E37</f>
        <v>98.160000000000011</v>
      </c>
      <c r="G37" s="57">
        <f t="shared" si="0"/>
        <v>0</v>
      </c>
      <c r="H37" s="54">
        <v>993077</v>
      </c>
      <c r="I37" s="58" t="s">
        <v>120</v>
      </c>
      <c r="J37" s="61" t="s">
        <v>121</v>
      </c>
      <c r="K37" s="61" t="s">
        <v>122</v>
      </c>
      <c r="L37" s="54">
        <v>92252981</v>
      </c>
      <c r="M37" s="61" t="s">
        <v>937</v>
      </c>
    </row>
    <row r="38" spans="1:15" s="144" customFormat="1" x14ac:dyDescent="0.25">
      <c r="A38" s="54">
        <v>3077</v>
      </c>
      <c r="B38" s="55" t="s">
        <v>123</v>
      </c>
      <c r="C38" s="56">
        <v>485.7</v>
      </c>
      <c r="D38" s="57">
        <v>0.4</v>
      </c>
      <c r="E38" s="57">
        <f t="shared" si="1"/>
        <v>194.28</v>
      </c>
      <c r="F38" s="57">
        <f>E38</f>
        <v>194.28</v>
      </c>
      <c r="G38" s="57">
        <f t="shared" si="0"/>
        <v>0</v>
      </c>
      <c r="H38" s="54">
        <v>21978752</v>
      </c>
      <c r="I38" s="58" t="s">
        <v>124</v>
      </c>
      <c r="J38" s="59" t="s">
        <v>25</v>
      </c>
      <c r="K38" s="60" t="s">
        <v>26</v>
      </c>
      <c r="L38" s="54">
        <v>90833336</v>
      </c>
      <c r="M38" s="144" t="s">
        <v>968</v>
      </c>
    </row>
    <row r="39" spans="1:15" s="144" customFormat="1" x14ac:dyDescent="0.25">
      <c r="A39" s="54">
        <v>3081</v>
      </c>
      <c r="B39" s="55" t="s">
        <v>126</v>
      </c>
      <c r="C39" s="56">
        <v>327</v>
      </c>
      <c r="D39" s="57">
        <v>0.4</v>
      </c>
      <c r="E39" s="57">
        <f t="shared" si="1"/>
        <v>130.80000000000001</v>
      </c>
      <c r="F39" s="57">
        <f>E39</f>
        <v>130.80000000000001</v>
      </c>
      <c r="G39" s="57">
        <f t="shared" si="0"/>
        <v>0</v>
      </c>
      <c r="H39" s="54">
        <v>21219868</v>
      </c>
      <c r="I39" s="488" t="s">
        <v>127</v>
      </c>
      <c r="J39" s="61" t="s">
        <v>128</v>
      </c>
      <c r="K39" s="69" t="s">
        <v>129</v>
      </c>
      <c r="L39" s="54">
        <v>93288777</v>
      </c>
      <c r="M39" s="61" t="s">
        <v>931</v>
      </c>
    </row>
    <row r="40" spans="1:15" s="170" customFormat="1" x14ac:dyDescent="0.25">
      <c r="A40" s="115">
        <v>3089</v>
      </c>
      <c r="B40" s="116" t="s">
        <v>130</v>
      </c>
      <c r="C40" s="117">
        <v>195.2</v>
      </c>
      <c r="D40" s="118">
        <v>0.4</v>
      </c>
      <c r="E40" s="118">
        <f t="shared" si="1"/>
        <v>78.08</v>
      </c>
      <c r="F40" s="118">
        <f>E40</f>
        <v>78.08</v>
      </c>
      <c r="G40" s="118">
        <f t="shared" si="0"/>
        <v>0</v>
      </c>
      <c r="H40" s="115">
        <v>18790484</v>
      </c>
      <c r="I40" s="168" t="s">
        <v>131</v>
      </c>
      <c r="J40" s="121" t="s">
        <v>25</v>
      </c>
      <c r="K40" s="120" t="s">
        <v>26</v>
      </c>
      <c r="L40" s="115"/>
      <c r="M40" s="125" t="s">
        <v>946</v>
      </c>
    </row>
    <row r="41" spans="1:15" x14ac:dyDescent="0.25">
      <c r="A41" s="22">
        <v>3093</v>
      </c>
      <c r="B41" s="33" t="s">
        <v>132</v>
      </c>
      <c r="C41" s="45">
        <v>366.7</v>
      </c>
      <c r="D41" s="25">
        <v>0.4</v>
      </c>
      <c r="E41" s="25">
        <f t="shared" si="1"/>
        <v>146.68</v>
      </c>
      <c r="F41" s="25"/>
      <c r="G41" s="25">
        <f t="shared" si="0"/>
        <v>146.68</v>
      </c>
      <c r="H41" s="22">
        <v>6361035</v>
      </c>
      <c r="I41" s="216" t="s">
        <v>133</v>
      </c>
      <c r="J41" s="26" t="s">
        <v>134</v>
      </c>
      <c r="K41" s="214" t="s">
        <v>135</v>
      </c>
      <c r="L41" s="22">
        <v>99497919</v>
      </c>
      <c r="M41" s="26"/>
    </row>
    <row r="42" spans="1:15" x14ac:dyDescent="0.25">
      <c r="A42" s="22">
        <v>3094</v>
      </c>
      <c r="B42" s="33" t="s">
        <v>136</v>
      </c>
      <c r="C42" s="45">
        <v>644.5</v>
      </c>
      <c r="D42" s="25">
        <v>0.4</v>
      </c>
      <c r="E42" s="25">
        <f t="shared" si="1"/>
        <v>257.8</v>
      </c>
      <c r="F42" s="25"/>
      <c r="G42" s="25">
        <f t="shared" si="0"/>
        <v>257.8</v>
      </c>
      <c r="H42" s="22">
        <v>26343985</v>
      </c>
      <c r="I42" s="216" t="s">
        <v>137</v>
      </c>
      <c r="J42" s="473" t="s">
        <v>25</v>
      </c>
      <c r="K42" s="214" t="s">
        <v>26</v>
      </c>
      <c r="L42" s="22">
        <v>93327740</v>
      </c>
      <c r="M42" s="26"/>
    </row>
    <row r="43" spans="1:15" s="144" customFormat="1" x14ac:dyDescent="0.25">
      <c r="A43" s="54">
        <v>3100</v>
      </c>
      <c r="B43" s="55" t="s">
        <v>138</v>
      </c>
      <c r="C43" s="56">
        <v>1020</v>
      </c>
      <c r="D43" s="57">
        <v>0.4</v>
      </c>
      <c r="E43" s="57">
        <f t="shared" si="1"/>
        <v>408</v>
      </c>
      <c r="F43" s="57">
        <f>3.33999999999996+403.75+0.91</f>
        <v>408</v>
      </c>
      <c r="G43" s="57">
        <f t="shared" si="0"/>
        <v>0</v>
      </c>
      <c r="H43" s="54">
        <v>1278615</v>
      </c>
      <c r="I43" s="58" t="s">
        <v>139</v>
      </c>
      <c r="J43" s="61" t="s">
        <v>75</v>
      </c>
      <c r="K43" s="60" t="s">
        <v>26</v>
      </c>
      <c r="L43" s="54">
        <v>99806386</v>
      </c>
      <c r="M43" s="61" t="s">
        <v>954</v>
      </c>
      <c r="N43" s="503">
        <v>45942</v>
      </c>
      <c r="O43" s="61" t="s">
        <v>972</v>
      </c>
    </row>
    <row r="44" spans="1:15" x14ac:dyDescent="0.25">
      <c r="A44" s="22">
        <v>3101</v>
      </c>
      <c r="B44" s="33" t="s">
        <v>140</v>
      </c>
      <c r="C44" s="45">
        <v>277.3</v>
      </c>
      <c r="D44" s="25">
        <v>0.4</v>
      </c>
      <c r="E44" s="25">
        <f t="shared" si="1"/>
        <v>110.92000000000002</v>
      </c>
      <c r="F44" s="25"/>
      <c r="G44" s="25">
        <f t="shared" si="0"/>
        <v>110.92000000000002</v>
      </c>
      <c r="H44" s="22">
        <v>6767598</v>
      </c>
      <c r="I44" s="216" t="s">
        <v>141</v>
      </c>
      <c r="J44" s="473" t="s">
        <v>25</v>
      </c>
      <c r="K44" s="214" t="s">
        <v>26</v>
      </c>
      <c r="L44" s="22">
        <v>99100344</v>
      </c>
      <c r="M44" s="26"/>
    </row>
    <row r="45" spans="1:15" x14ac:dyDescent="0.25">
      <c r="A45" s="54">
        <v>3102</v>
      </c>
      <c r="B45" s="55" t="s">
        <v>142</v>
      </c>
      <c r="C45" s="56">
        <v>435.6</v>
      </c>
      <c r="D45" s="57">
        <v>0.4</v>
      </c>
      <c r="E45" s="57">
        <f t="shared" si="1"/>
        <v>174.24</v>
      </c>
      <c r="F45" s="57">
        <f>4.12+170.12</f>
        <v>174.24</v>
      </c>
      <c r="G45" s="57">
        <f t="shared" si="0"/>
        <v>0</v>
      </c>
      <c r="H45" s="54">
        <v>5916838</v>
      </c>
      <c r="I45" s="60" t="s">
        <v>143</v>
      </c>
      <c r="J45" s="59" t="s">
        <v>25</v>
      </c>
      <c r="K45" s="60" t="s">
        <v>26</v>
      </c>
      <c r="L45" s="54">
        <v>91917520</v>
      </c>
      <c r="M45" s="61" t="s">
        <v>940</v>
      </c>
      <c r="N45" s="61" t="s">
        <v>954</v>
      </c>
    </row>
    <row r="46" spans="1:15" s="170" customFormat="1" x14ac:dyDescent="0.25">
      <c r="A46" s="115">
        <v>3119</v>
      </c>
      <c r="B46" s="116" t="s">
        <v>144</v>
      </c>
      <c r="C46" s="117">
        <v>125.9</v>
      </c>
      <c r="D46" s="118">
        <v>0.4</v>
      </c>
      <c r="E46" s="118">
        <f t="shared" si="1"/>
        <v>50.360000000000007</v>
      </c>
      <c r="F46" s="118">
        <f>E46</f>
        <v>50.360000000000007</v>
      </c>
      <c r="G46" s="118">
        <f t="shared" si="0"/>
        <v>0</v>
      </c>
      <c r="H46" s="115">
        <v>5903061</v>
      </c>
      <c r="I46" s="168" t="s">
        <v>145</v>
      </c>
      <c r="J46" s="121" t="s">
        <v>25</v>
      </c>
      <c r="K46" s="120" t="s">
        <v>26</v>
      </c>
      <c r="L46" s="115">
        <v>91904279</v>
      </c>
      <c r="M46" s="125"/>
      <c r="N46" s="170" t="s">
        <v>963</v>
      </c>
    </row>
    <row r="47" spans="1:15" s="144" customFormat="1" x14ac:dyDescent="0.25">
      <c r="A47" s="54">
        <v>3122</v>
      </c>
      <c r="B47" s="55" t="s">
        <v>146</v>
      </c>
      <c r="C47" s="56">
        <v>249</v>
      </c>
      <c r="D47" s="57">
        <v>0.4</v>
      </c>
      <c r="E47" s="57">
        <f t="shared" si="1"/>
        <v>99.600000000000009</v>
      </c>
      <c r="F47" s="57">
        <f>96.45+3.15</f>
        <v>99.600000000000009</v>
      </c>
      <c r="G47" s="57">
        <f t="shared" si="0"/>
        <v>0</v>
      </c>
      <c r="H47" s="54">
        <v>12415718</v>
      </c>
      <c r="I47" s="58" t="s">
        <v>110</v>
      </c>
      <c r="J47" s="59" t="s">
        <v>25</v>
      </c>
      <c r="K47" s="60" t="s">
        <v>26</v>
      </c>
      <c r="L47" s="54">
        <v>99481799</v>
      </c>
      <c r="M47" s="61" t="s">
        <v>927</v>
      </c>
      <c r="N47" s="461">
        <v>45727</v>
      </c>
    </row>
    <row r="48" spans="1:15" s="144" customFormat="1" x14ac:dyDescent="0.25">
      <c r="A48" s="54">
        <v>3136</v>
      </c>
      <c r="B48" s="55" t="s">
        <v>20</v>
      </c>
      <c r="C48" s="56">
        <v>452.6</v>
      </c>
      <c r="D48" s="57">
        <v>0.4</v>
      </c>
      <c r="E48" s="57">
        <f t="shared" si="1"/>
        <v>181.04000000000002</v>
      </c>
      <c r="F48" s="57">
        <f>E48</f>
        <v>181.04000000000002</v>
      </c>
      <c r="G48" s="57">
        <f t="shared" si="0"/>
        <v>0</v>
      </c>
      <c r="H48" s="54">
        <v>183498</v>
      </c>
      <c r="I48" s="58" t="s">
        <v>21</v>
      </c>
      <c r="J48" s="59" t="s">
        <v>17</v>
      </c>
      <c r="K48" s="60" t="s">
        <v>18</v>
      </c>
      <c r="L48" s="54">
        <v>99481314</v>
      </c>
      <c r="M48" s="61" t="s">
        <v>931</v>
      </c>
    </row>
    <row r="49" spans="1:21" s="489" customFormat="1" x14ac:dyDescent="0.25">
      <c r="A49" s="490">
        <v>3178</v>
      </c>
      <c r="B49" s="495" t="s">
        <v>147</v>
      </c>
      <c r="C49" s="494">
        <v>1592.4</v>
      </c>
      <c r="D49" s="493">
        <v>0.4</v>
      </c>
      <c r="E49" s="493">
        <f t="shared" si="1"/>
        <v>636.96</v>
      </c>
      <c r="F49" s="493">
        <f>E49</f>
        <v>636.96</v>
      </c>
      <c r="G49" s="493">
        <f t="shared" si="0"/>
        <v>0</v>
      </c>
      <c r="H49" s="490">
        <v>1511754</v>
      </c>
      <c r="I49" s="505" t="s">
        <v>148</v>
      </c>
      <c r="J49" s="504" t="s">
        <v>43</v>
      </c>
      <c r="K49" s="504" t="s">
        <v>44</v>
      </c>
      <c r="L49" s="490">
        <v>99495933</v>
      </c>
      <c r="M49" s="504" t="s">
        <v>962</v>
      </c>
    </row>
    <row r="50" spans="1:21" s="144" customFormat="1" x14ac:dyDescent="0.25">
      <c r="A50" s="54">
        <v>3199</v>
      </c>
      <c r="B50" s="55" t="s">
        <v>149</v>
      </c>
      <c r="C50" s="56">
        <v>223.4</v>
      </c>
      <c r="D50" s="57">
        <v>0.4</v>
      </c>
      <c r="E50" s="57">
        <f t="shared" si="1"/>
        <v>89.360000000000014</v>
      </c>
      <c r="F50" s="57">
        <f>E50</f>
        <v>89.360000000000014</v>
      </c>
      <c r="G50" s="57">
        <f t="shared" si="0"/>
        <v>0</v>
      </c>
      <c r="H50" s="54">
        <v>5168327</v>
      </c>
      <c r="I50" s="58" t="s">
        <v>150</v>
      </c>
      <c r="J50" s="59" t="s">
        <v>25</v>
      </c>
      <c r="K50" s="60" t="s">
        <v>26</v>
      </c>
      <c r="L50" s="54">
        <v>98066833</v>
      </c>
      <c r="M50" s="61" t="s">
        <v>938</v>
      </c>
    </row>
    <row r="51" spans="1:21" s="144" customFormat="1" x14ac:dyDescent="0.25">
      <c r="A51" s="54">
        <v>3200</v>
      </c>
      <c r="B51" s="55" t="s">
        <v>151</v>
      </c>
      <c r="C51" s="56">
        <v>213.5</v>
      </c>
      <c r="D51" s="57">
        <v>0.4</v>
      </c>
      <c r="E51" s="57">
        <f t="shared" si="1"/>
        <v>85.4</v>
      </c>
      <c r="F51" s="57">
        <f>E51</f>
        <v>85.4</v>
      </c>
      <c r="G51" s="57">
        <f t="shared" si="0"/>
        <v>0</v>
      </c>
      <c r="H51" s="84">
        <v>21947578</v>
      </c>
      <c r="I51" s="60" t="s">
        <v>152</v>
      </c>
      <c r="J51" s="59" t="s">
        <v>25</v>
      </c>
      <c r="K51" s="60" t="s">
        <v>26</v>
      </c>
      <c r="L51" s="54"/>
      <c r="M51" s="61" t="s">
        <v>931</v>
      </c>
    </row>
    <row r="52" spans="1:21" x14ac:dyDescent="0.25">
      <c r="A52" s="22">
        <v>3201</v>
      </c>
      <c r="B52" s="33" t="s">
        <v>153</v>
      </c>
      <c r="C52" s="45">
        <v>223</v>
      </c>
      <c r="D52" s="25">
        <v>0.4</v>
      </c>
      <c r="E52" s="25">
        <f t="shared" si="1"/>
        <v>89.2</v>
      </c>
      <c r="F52" s="25"/>
      <c r="G52" s="25">
        <f t="shared" si="0"/>
        <v>89.2</v>
      </c>
      <c r="H52" s="22">
        <v>7048401</v>
      </c>
      <c r="I52" s="216" t="s">
        <v>154</v>
      </c>
      <c r="J52" s="26" t="s">
        <v>17</v>
      </c>
      <c r="K52" s="26" t="s">
        <v>18</v>
      </c>
      <c r="L52" s="22"/>
      <c r="M52" s="26"/>
    </row>
    <row r="53" spans="1:21" s="144" customFormat="1" x14ac:dyDescent="0.25">
      <c r="A53" s="54">
        <v>3202</v>
      </c>
      <c r="B53" s="55" t="s">
        <v>155</v>
      </c>
      <c r="C53" s="56">
        <v>246.6</v>
      </c>
      <c r="D53" s="57">
        <v>0.4</v>
      </c>
      <c r="E53" s="57">
        <f t="shared" si="1"/>
        <v>98.64</v>
      </c>
      <c r="F53" s="57">
        <f>96.17+2.47</f>
        <v>98.64</v>
      </c>
      <c r="G53" s="57">
        <f t="shared" si="0"/>
        <v>0</v>
      </c>
      <c r="H53" s="54">
        <v>5197371</v>
      </c>
      <c r="I53" s="58" t="s">
        <v>156</v>
      </c>
      <c r="J53" s="59" t="s">
        <v>25</v>
      </c>
      <c r="K53" s="60" t="s">
        <v>26</v>
      </c>
      <c r="L53" s="54">
        <v>93889732</v>
      </c>
      <c r="M53" s="461">
        <v>45727</v>
      </c>
      <c r="N53" s="61" t="s">
        <v>966</v>
      </c>
    </row>
    <row r="54" spans="1:21" s="144" customFormat="1" x14ac:dyDescent="0.25">
      <c r="A54" s="54">
        <v>3203</v>
      </c>
      <c r="B54" s="55" t="s">
        <v>157</v>
      </c>
      <c r="C54" s="56">
        <v>306.8</v>
      </c>
      <c r="D54" s="57">
        <v>0.4</v>
      </c>
      <c r="E54" s="57">
        <f t="shared" si="1"/>
        <v>122.72000000000001</v>
      </c>
      <c r="F54" s="57">
        <f>E54</f>
        <v>122.72000000000001</v>
      </c>
      <c r="G54" s="57">
        <f t="shared" si="0"/>
        <v>0</v>
      </c>
      <c r="H54" s="54">
        <v>23215097</v>
      </c>
      <c r="I54" s="58" t="s">
        <v>158</v>
      </c>
      <c r="J54" s="59" t="s">
        <v>25</v>
      </c>
      <c r="K54" s="60" t="s">
        <v>26</v>
      </c>
      <c r="L54" s="54"/>
      <c r="M54" s="461">
        <v>45700</v>
      </c>
    </row>
    <row r="55" spans="1:21" s="144" customFormat="1" x14ac:dyDescent="0.25">
      <c r="A55" s="54">
        <v>3204</v>
      </c>
      <c r="B55" s="55" t="s">
        <v>159</v>
      </c>
      <c r="C55" s="56">
        <v>374</v>
      </c>
      <c r="D55" s="57">
        <v>0.4</v>
      </c>
      <c r="E55" s="57">
        <f t="shared" si="1"/>
        <v>149.6</v>
      </c>
      <c r="F55" s="57">
        <f>146.66+2.94</f>
        <v>149.6</v>
      </c>
      <c r="G55" s="57">
        <f t="shared" si="0"/>
        <v>0</v>
      </c>
      <c r="H55" s="54">
        <v>24958926</v>
      </c>
      <c r="I55" s="58" t="s">
        <v>160</v>
      </c>
      <c r="J55" s="59" t="s">
        <v>25</v>
      </c>
      <c r="K55" s="60" t="s">
        <v>26</v>
      </c>
      <c r="L55" s="54">
        <v>99312225</v>
      </c>
      <c r="M55" s="61" t="s">
        <v>927</v>
      </c>
      <c r="N55" s="461">
        <v>45727</v>
      </c>
    </row>
    <row r="56" spans="1:21" x14ac:dyDescent="0.25">
      <c r="A56" s="22">
        <v>3207</v>
      </c>
      <c r="B56" s="33" t="s">
        <v>162</v>
      </c>
      <c r="C56" s="45">
        <v>563.70000000000005</v>
      </c>
      <c r="D56" s="25">
        <v>0.4</v>
      </c>
      <c r="E56" s="25">
        <f t="shared" si="1"/>
        <v>225.48000000000002</v>
      </c>
      <c r="F56" s="25"/>
      <c r="G56" s="25">
        <f t="shared" si="0"/>
        <v>225.48000000000002</v>
      </c>
      <c r="H56" s="22">
        <v>11940175</v>
      </c>
      <c r="I56" s="216" t="s">
        <v>163</v>
      </c>
      <c r="J56" s="473" t="s">
        <v>25</v>
      </c>
      <c r="K56" s="214" t="s">
        <v>26</v>
      </c>
      <c r="L56" s="22">
        <v>98138748</v>
      </c>
      <c r="M56" s="26"/>
    </row>
    <row r="57" spans="1:21" x14ac:dyDescent="0.25">
      <c r="A57" s="22">
        <v>3208</v>
      </c>
      <c r="B57" s="33" t="s">
        <v>164</v>
      </c>
      <c r="C57" s="45">
        <v>468.1</v>
      </c>
      <c r="D57" s="25">
        <v>0.4</v>
      </c>
      <c r="E57" s="25">
        <f t="shared" si="1"/>
        <v>187.24</v>
      </c>
      <c r="F57" s="25"/>
      <c r="G57" s="25">
        <f t="shared" si="0"/>
        <v>187.24</v>
      </c>
      <c r="H57" s="22">
        <v>1742664</v>
      </c>
      <c r="I57" s="216" t="s">
        <v>165</v>
      </c>
      <c r="J57" s="26" t="s">
        <v>166</v>
      </c>
      <c r="K57" s="26" t="s">
        <v>129</v>
      </c>
      <c r="L57" s="22">
        <v>99482598</v>
      </c>
      <c r="M57" s="26"/>
    </row>
    <row r="58" spans="1:21" s="144" customFormat="1" x14ac:dyDescent="0.25">
      <c r="A58" s="54">
        <v>3209</v>
      </c>
      <c r="B58" s="55" t="s">
        <v>169</v>
      </c>
      <c r="C58" s="56">
        <v>257.2</v>
      </c>
      <c r="D58" s="57">
        <v>0.4</v>
      </c>
      <c r="E58" s="57">
        <f t="shared" si="1"/>
        <v>102.88</v>
      </c>
      <c r="F58" s="57">
        <f>99.35+3.53</f>
        <v>102.88</v>
      </c>
      <c r="G58" s="57">
        <f t="shared" si="0"/>
        <v>0</v>
      </c>
      <c r="H58" s="54">
        <v>5634328</v>
      </c>
      <c r="I58" s="58" t="s">
        <v>170</v>
      </c>
      <c r="J58" s="59" t="s">
        <v>25</v>
      </c>
      <c r="K58" s="60" t="s">
        <v>26</v>
      </c>
      <c r="L58" s="54">
        <v>92283227</v>
      </c>
      <c r="M58" s="61" t="s">
        <v>927</v>
      </c>
      <c r="N58" s="461">
        <v>45881</v>
      </c>
    </row>
    <row r="59" spans="1:21" s="144" customFormat="1" x14ac:dyDescent="0.25">
      <c r="A59" s="54">
        <v>3210</v>
      </c>
      <c r="B59" s="55" t="s">
        <v>171</v>
      </c>
      <c r="C59" s="56">
        <v>456.9</v>
      </c>
      <c r="D59" s="57">
        <v>0.4</v>
      </c>
      <c r="E59" s="57">
        <f t="shared" si="1"/>
        <v>182.76</v>
      </c>
      <c r="F59" s="57">
        <f>181.98+0.78</f>
        <v>182.76</v>
      </c>
      <c r="G59" s="57">
        <f t="shared" si="0"/>
        <v>0</v>
      </c>
      <c r="H59" s="54">
        <v>45419</v>
      </c>
      <c r="I59" s="58" t="s">
        <v>172</v>
      </c>
      <c r="J59" s="59" t="s">
        <v>25</v>
      </c>
      <c r="K59" s="60" t="s">
        <v>26</v>
      </c>
      <c r="L59" s="54">
        <v>90101070</v>
      </c>
      <c r="M59" s="461">
        <v>45879</v>
      </c>
      <c r="N59" s="61" t="s">
        <v>933</v>
      </c>
    </row>
    <row r="60" spans="1:21" s="79" customFormat="1" x14ac:dyDescent="0.25">
      <c r="A60" s="22">
        <v>3211</v>
      </c>
      <c r="B60" s="23" t="s">
        <v>173</v>
      </c>
      <c r="C60" s="29"/>
      <c r="D60" s="25">
        <v>0.4</v>
      </c>
      <c r="E60" s="25">
        <f t="shared" si="1"/>
        <v>0</v>
      </c>
      <c r="F60" s="25"/>
      <c r="G60" s="25">
        <f t="shared" si="0"/>
        <v>0</v>
      </c>
      <c r="H60" s="463">
        <v>9927207</v>
      </c>
      <c r="I60" s="460" t="s">
        <v>174</v>
      </c>
      <c r="J60" s="460" t="s">
        <v>17</v>
      </c>
      <c r="K60" s="460" t="s">
        <v>18</v>
      </c>
      <c r="L60" s="463"/>
      <c r="M60" s="62"/>
      <c r="O60" s="559"/>
      <c r="U60" s="560"/>
    </row>
    <row r="61" spans="1:21" x14ac:dyDescent="0.25">
      <c r="A61" s="22">
        <v>3212</v>
      </c>
      <c r="B61" s="33" t="s">
        <v>175</v>
      </c>
      <c r="C61" s="45">
        <v>658</v>
      </c>
      <c r="D61" s="25">
        <v>0.4</v>
      </c>
      <c r="E61" s="25">
        <f t="shared" si="1"/>
        <v>263.2</v>
      </c>
      <c r="F61" s="25"/>
      <c r="G61" s="25">
        <f t="shared" si="0"/>
        <v>263.2</v>
      </c>
      <c r="H61" s="22">
        <v>804443</v>
      </c>
      <c r="I61" s="216" t="s">
        <v>176</v>
      </c>
      <c r="J61" s="26" t="s">
        <v>121</v>
      </c>
      <c r="K61" s="26" t="s">
        <v>122</v>
      </c>
      <c r="L61" s="22">
        <v>99483202</v>
      </c>
      <c r="M61" s="26"/>
    </row>
    <row r="62" spans="1:21" x14ac:dyDescent="0.25">
      <c r="A62" s="22">
        <v>3213</v>
      </c>
      <c r="B62" s="33" t="s">
        <v>177</v>
      </c>
      <c r="C62" s="45">
        <v>289.3</v>
      </c>
      <c r="D62" s="25">
        <v>0.4</v>
      </c>
      <c r="E62" s="25">
        <f t="shared" si="1"/>
        <v>115.72000000000001</v>
      </c>
      <c r="F62" s="25">
        <f>E62</f>
        <v>115.72000000000001</v>
      </c>
      <c r="G62" s="25">
        <f t="shared" si="0"/>
        <v>0</v>
      </c>
      <c r="H62" s="22">
        <v>2594336</v>
      </c>
      <c r="I62" s="216" t="s">
        <v>178</v>
      </c>
      <c r="J62" s="473" t="s">
        <v>25</v>
      </c>
      <c r="K62" s="474" t="s">
        <v>26</v>
      </c>
      <c r="L62" s="22">
        <v>71773005</v>
      </c>
      <c r="M62" s="461">
        <v>45700</v>
      </c>
    </row>
    <row r="63" spans="1:21" s="144" customFormat="1" x14ac:dyDescent="0.25">
      <c r="A63" s="54">
        <v>3214</v>
      </c>
      <c r="B63" s="55" t="s">
        <v>179</v>
      </c>
      <c r="C63" s="56">
        <v>641</v>
      </c>
      <c r="D63" s="57">
        <v>0.4</v>
      </c>
      <c r="E63" s="57">
        <f t="shared" si="1"/>
        <v>256.40000000000003</v>
      </c>
      <c r="F63" s="57">
        <f>E63</f>
        <v>256.40000000000003</v>
      </c>
      <c r="G63" s="57">
        <f t="shared" si="0"/>
        <v>0</v>
      </c>
      <c r="H63" s="54">
        <v>5168262</v>
      </c>
      <c r="I63" s="58" t="s">
        <v>180</v>
      </c>
      <c r="J63" s="61" t="s">
        <v>17</v>
      </c>
      <c r="K63" s="61" t="s">
        <v>18</v>
      </c>
      <c r="L63" s="54">
        <v>99895383</v>
      </c>
      <c r="M63" s="61" t="s">
        <v>933</v>
      </c>
    </row>
    <row r="64" spans="1:21" s="144" customFormat="1" x14ac:dyDescent="0.25">
      <c r="A64" s="54">
        <v>3215</v>
      </c>
      <c r="B64" s="55" t="s">
        <v>181</v>
      </c>
      <c r="C64" s="56">
        <v>372.3</v>
      </c>
      <c r="D64" s="57">
        <v>0.4</v>
      </c>
      <c r="E64" s="57">
        <f t="shared" si="1"/>
        <v>148.92000000000002</v>
      </c>
      <c r="F64" s="57">
        <f>E64</f>
        <v>148.92000000000002</v>
      </c>
      <c r="G64" s="57">
        <f t="shared" si="0"/>
        <v>0</v>
      </c>
      <c r="H64" s="84">
        <v>11684091</v>
      </c>
      <c r="I64" s="60" t="s">
        <v>182</v>
      </c>
      <c r="J64" s="61" t="s">
        <v>17</v>
      </c>
      <c r="K64" s="61" t="s">
        <v>18</v>
      </c>
      <c r="L64" s="54"/>
      <c r="M64" s="541" t="s">
        <v>930</v>
      </c>
    </row>
    <row r="65" spans="1:15" x14ac:dyDescent="0.25">
      <c r="A65" s="22">
        <v>3216</v>
      </c>
      <c r="B65" s="33" t="s">
        <v>23</v>
      </c>
      <c r="C65" s="24">
        <v>682.3</v>
      </c>
      <c r="D65" s="25">
        <v>0.4</v>
      </c>
      <c r="E65" s="25">
        <f t="shared" si="1"/>
        <v>272.92</v>
      </c>
      <c r="F65" s="25">
        <f>E65</f>
        <v>272.92</v>
      </c>
      <c r="G65" s="25">
        <f t="shared" si="0"/>
        <v>0</v>
      </c>
      <c r="H65" s="462">
        <v>18715567</v>
      </c>
      <c r="I65" s="476" t="s">
        <v>24</v>
      </c>
      <c r="J65" s="478" t="s">
        <v>25</v>
      </c>
      <c r="K65" s="476" t="s">
        <v>26</v>
      </c>
      <c r="L65" s="22">
        <v>77279900</v>
      </c>
      <c r="M65" s="144" t="s">
        <v>968</v>
      </c>
    </row>
    <row r="66" spans="1:15" x14ac:dyDescent="0.25">
      <c r="A66" s="22">
        <v>3217</v>
      </c>
      <c r="B66" s="33" t="s">
        <v>183</v>
      </c>
      <c r="C66" s="45">
        <v>125.8</v>
      </c>
      <c r="D66" s="25">
        <v>0.4</v>
      </c>
      <c r="E66" s="25">
        <f t="shared" si="1"/>
        <v>50.32</v>
      </c>
      <c r="F66" s="25"/>
      <c r="G66" s="25">
        <f t="shared" si="0"/>
        <v>50.32</v>
      </c>
      <c r="H66" s="22">
        <v>1568196</v>
      </c>
      <c r="I66" s="216" t="s">
        <v>184</v>
      </c>
      <c r="J66" s="26" t="s">
        <v>134</v>
      </c>
      <c r="K66" s="214" t="s">
        <v>135</v>
      </c>
      <c r="L66" s="22">
        <v>99494635</v>
      </c>
      <c r="M66" s="26"/>
    </row>
    <row r="67" spans="1:15" s="144" customFormat="1" x14ac:dyDescent="0.25">
      <c r="A67" s="54">
        <v>3219</v>
      </c>
      <c r="B67" s="55" t="s">
        <v>185</v>
      </c>
      <c r="C67" s="56">
        <v>729.2</v>
      </c>
      <c r="D67" s="57">
        <v>0.4</v>
      </c>
      <c r="E67" s="57">
        <f t="shared" si="1"/>
        <v>291.68</v>
      </c>
      <c r="F67" s="57">
        <f>288.25+3.43</f>
        <v>291.68</v>
      </c>
      <c r="G67" s="57">
        <f t="shared" si="0"/>
        <v>0</v>
      </c>
      <c r="H67" s="71">
        <v>12398617</v>
      </c>
      <c r="I67" s="72" t="s">
        <v>186</v>
      </c>
      <c r="J67" s="73" t="s">
        <v>25</v>
      </c>
      <c r="K67" s="72" t="s">
        <v>26</v>
      </c>
      <c r="L67" s="54"/>
      <c r="M67" s="61" t="s">
        <v>927</v>
      </c>
      <c r="N67" s="461">
        <v>45788</v>
      </c>
    </row>
    <row r="68" spans="1:15" x14ac:dyDescent="0.25">
      <c r="A68" s="22">
        <v>3220</v>
      </c>
      <c r="B68" s="33" t="s">
        <v>187</v>
      </c>
      <c r="C68" s="45">
        <v>462</v>
      </c>
      <c r="D68" s="25">
        <v>0.4</v>
      </c>
      <c r="E68" s="25">
        <f t="shared" si="1"/>
        <v>184.8</v>
      </c>
      <c r="F68" s="25"/>
      <c r="G68" s="25">
        <f t="shared" ref="G68:G131" si="2">E68-F68</f>
        <v>184.8</v>
      </c>
      <c r="H68" s="22">
        <v>5348311</v>
      </c>
      <c r="I68" s="216" t="s">
        <v>188</v>
      </c>
      <c r="J68" s="26" t="s">
        <v>17</v>
      </c>
      <c r="K68" s="26" t="s">
        <v>18</v>
      </c>
      <c r="L68" s="22">
        <v>96313636</v>
      </c>
      <c r="M68" s="26"/>
    </row>
    <row r="69" spans="1:15" s="144" customFormat="1" x14ac:dyDescent="0.25">
      <c r="A69" s="54">
        <v>3221</v>
      </c>
      <c r="B69" s="55" t="s">
        <v>189</v>
      </c>
      <c r="C69" s="56">
        <v>247.9</v>
      </c>
      <c r="D69" s="57">
        <v>0.4</v>
      </c>
      <c r="E69" s="57">
        <f t="shared" ref="E69:E135" si="3">D69*C69</f>
        <v>99.160000000000011</v>
      </c>
      <c r="F69" s="57">
        <f>E69</f>
        <v>99.160000000000011</v>
      </c>
      <c r="G69" s="57">
        <f t="shared" si="2"/>
        <v>0</v>
      </c>
      <c r="H69" s="54">
        <v>13362673</v>
      </c>
      <c r="I69" s="58" t="s">
        <v>190</v>
      </c>
      <c r="J69" s="59" t="s">
        <v>25</v>
      </c>
      <c r="K69" s="60" t="s">
        <v>26</v>
      </c>
      <c r="L69" s="54">
        <v>92665337</v>
      </c>
      <c r="M69" s="61" t="s">
        <v>936</v>
      </c>
    </row>
    <row r="70" spans="1:15" s="144" customFormat="1" x14ac:dyDescent="0.25">
      <c r="A70" s="54">
        <v>3222</v>
      </c>
      <c r="B70" s="55" t="s">
        <v>191</v>
      </c>
      <c r="C70" s="56">
        <v>409.6</v>
      </c>
      <c r="D70" s="57">
        <v>0.4</v>
      </c>
      <c r="E70" s="57">
        <f t="shared" si="3"/>
        <v>163.84000000000003</v>
      </c>
      <c r="F70" s="57">
        <f>E70</f>
        <v>163.84000000000003</v>
      </c>
      <c r="G70" s="57">
        <f t="shared" si="2"/>
        <v>0</v>
      </c>
      <c r="H70" s="54">
        <v>18091329</v>
      </c>
      <c r="I70" s="58" t="s">
        <v>192</v>
      </c>
      <c r="J70" s="61" t="s">
        <v>17</v>
      </c>
      <c r="K70" s="61" t="s">
        <v>18</v>
      </c>
      <c r="L70" s="54">
        <v>92197820</v>
      </c>
      <c r="M70" s="61" t="s">
        <v>935</v>
      </c>
    </row>
    <row r="71" spans="1:15" x14ac:dyDescent="0.25">
      <c r="A71" s="22">
        <v>3223</v>
      </c>
      <c r="B71" s="33" t="s">
        <v>193</v>
      </c>
      <c r="C71" s="45">
        <v>249.1</v>
      </c>
      <c r="D71" s="25">
        <v>0.4</v>
      </c>
      <c r="E71" s="25">
        <f t="shared" si="3"/>
        <v>99.64</v>
      </c>
      <c r="F71" s="25"/>
      <c r="G71" s="25">
        <f t="shared" si="2"/>
        <v>99.64</v>
      </c>
      <c r="H71" s="22">
        <v>5334914</v>
      </c>
      <c r="I71" s="216" t="s">
        <v>194</v>
      </c>
      <c r="J71" s="26" t="s">
        <v>134</v>
      </c>
      <c r="K71" s="214" t="s">
        <v>135</v>
      </c>
      <c r="L71" s="22">
        <v>98800996</v>
      </c>
      <c r="M71" s="26"/>
    </row>
    <row r="72" spans="1:15" s="144" customFormat="1" x14ac:dyDescent="0.25">
      <c r="A72" s="54">
        <v>3224</v>
      </c>
      <c r="B72" s="55" t="s">
        <v>195</v>
      </c>
      <c r="C72" s="56">
        <v>191.8</v>
      </c>
      <c r="D72" s="57">
        <v>0.4</v>
      </c>
      <c r="E72" s="57">
        <f t="shared" si="3"/>
        <v>76.720000000000013</v>
      </c>
      <c r="F72" s="57">
        <f>E72</f>
        <v>76.720000000000013</v>
      </c>
      <c r="G72" s="57">
        <f t="shared" si="2"/>
        <v>0</v>
      </c>
      <c r="H72" s="54">
        <v>2066756</v>
      </c>
      <c r="I72" s="488" t="s">
        <v>196</v>
      </c>
      <c r="J72" s="61" t="s">
        <v>25</v>
      </c>
      <c r="K72" s="60" t="s">
        <v>26</v>
      </c>
      <c r="L72" s="54">
        <v>95316025</v>
      </c>
      <c r="M72" s="61" t="s">
        <v>927</v>
      </c>
    </row>
    <row r="73" spans="1:15" s="144" customFormat="1" x14ac:dyDescent="0.25">
      <c r="A73" s="54">
        <v>3225</v>
      </c>
      <c r="B73" s="55" t="s">
        <v>197</v>
      </c>
      <c r="C73" s="56">
        <v>216.7</v>
      </c>
      <c r="D73" s="57">
        <v>0.4</v>
      </c>
      <c r="E73" s="57">
        <f t="shared" si="3"/>
        <v>86.68</v>
      </c>
      <c r="F73" s="57">
        <f>E73</f>
        <v>86.68</v>
      </c>
      <c r="G73" s="57">
        <f t="shared" si="2"/>
        <v>0</v>
      </c>
      <c r="H73" s="71">
        <v>798637</v>
      </c>
      <c r="I73" s="72" t="s">
        <v>198</v>
      </c>
      <c r="J73" s="73" t="s">
        <v>25</v>
      </c>
      <c r="K73" s="72" t="s">
        <v>26</v>
      </c>
      <c r="L73" s="54"/>
      <c r="M73" s="461">
        <v>45881</v>
      </c>
      <c r="O73" s="530"/>
    </row>
    <row r="74" spans="1:15" s="144" customFormat="1" x14ac:dyDescent="0.25">
      <c r="A74" s="54">
        <v>3227</v>
      </c>
      <c r="B74" s="55" t="s">
        <v>790</v>
      </c>
      <c r="C74" s="56">
        <v>97.4</v>
      </c>
      <c r="D74" s="57">
        <v>0.4</v>
      </c>
      <c r="E74" s="57">
        <f t="shared" si="3"/>
        <v>38.960000000000008</v>
      </c>
      <c r="F74" s="57">
        <f>37.86+1.1</f>
        <v>38.96</v>
      </c>
      <c r="G74" s="57">
        <f t="shared" si="2"/>
        <v>0</v>
      </c>
      <c r="H74" s="71">
        <v>15214649</v>
      </c>
      <c r="I74" s="514" t="s">
        <v>199</v>
      </c>
      <c r="J74" s="73" t="s">
        <v>25</v>
      </c>
      <c r="K74" s="72" t="s">
        <v>26</v>
      </c>
      <c r="L74" s="54">
        <v>92171914</v>
      </c>
      <c r="M74" s="61" t="s">
        <v>927</v>
      </c>
      <c r="N74" s="503">
        <v>45941</v>
      </c>
      <c r="O74" s="530"/>
    </row>
    <row r="75" spans="1:15" x14ac:dyDescent="0.25">
      <c r="A75" s="22">
        <v>3228</v>
      </c>
      <c r="B75" s="33" t="s">
        <v>200</v>
      </c>
      <c r="C75" s="45">
        <v>476</v>
      </c>
      <c r="D75" s="25">
        <v>0.4</v>
      </c>
      <c r="E75" s="25">
        <f t="shared" si="3"/>
        <v>190.4</v>
      </c>
      <c r="F75" s="25"/>
      <c r="G75" s="25">
        <f t="shared" si="2"/>
        <v>190.4</v>
      </c>
      <c r="H75" s="22">
        <v>1307775</v>
      </c>
      <c r="I75" s="216" t="s">
        <v>201</v>
      </c>
      <c r="J75" s="26" t="s">
        <v>17</v>
      </c>
      <c r="K75" s="26" t="s">
        <v>18</v>
      </c>
      <c r="L75" s="22">
        <v>99484101</v>
      </c>
      <c r="M75" s="26"/>
    </row>
    <row r="76" spans="1:15" x14ac:dyDescent="0.25">
      <c r="A76" s="22">
        <v>3229</v>
      </c>
      <c r="B76" s="33" t="s">
        <v>202</v>
      </c>
      <c r="C76" s="45">
        <v>374</v>
      </c>
      <c r="D76" s="25">
        <v>0.4</v>
      </c>
      <c r="E76" s="25">
        <f t="shared" si="3"/>
        <v>149.6</v>
      </c>
      <c r="F76" s="25"/>
      <c r="G76" s="25">
        <f t="shared" si="2"/>
        <v>149.6</v>
      </c>
      <c r="H76" s="22">
        <v>6370978</v>
      </c>
      <c r="I76" s="216" t="s">
        <v>203</v>
      </c>
      <c r="J76" s="473" t="s">
        <v>25</v>
      </c>
      <c r="K76" s="214" t="s">
        <v>26</v>
      </c>
      <c r="L76" s="22">
        <v>99485611</v>
      </c>
      <c r="M76" s="26"/>
    </row>
    <row r="77" spans="1:15" x14ac:dyDescent="0.25">
      <c r="A77" s="22">
        <v>3230</v>
      </c>
      <c r="B77" s="33" t="s">
        <v>204</v>
      </c>
      <c r="C77" s="45">
        <v>294.5</v>
      </c>
      <c r="D77" s="25">
        <v>0.4</v>
      </c>
      <c r="E77" s="25">
        <f t="shared" si="3"/>
        <v>117.80000000000001</v>
      </c>
      <c r="F77" s="25"/>
      <c r="G77" s="25">
        <f t="shared" si="2"/>
        <v>117.80000000000001</v>
      </c>
      <c r="H77" s="22">
        <v>1968755</v>
      </c>
      <c r="I77" s="214" t="s">
        <v>205</v>
      </c>
      <c r="J77" s="473" t="s">
        <v>25</v>
      </c>
      <c r="K77" s="214" t="s">
        <v>26</v>
      </c>
      <c r="L77" s="22"/>
      <c r="M77" s="26"/>
    </row>
    <row r="78" spans="1:15" s="144" customFormat="1" x14ac:dyDescent="0.25">
      <c r="A78" s="54">
        <v>3231</v>
      </c>
      <c r="B78" s="55" t="s">
        <v>206</v>
      </c>
      <c r="C78" s="56">
        <v>429.2</v>
      </c>
      <c r="D78" s="57">
        <v>0.4</v>
      </c>
      <c r="E78" s="57">
        <f t="shared" si="3"/>
        <v>171.68</v>
      </c>
      <c r="F78" s="57">
        <f>171.08+0.6</f>
        <v>171.68</v>
      </c>
      <c r="G78" s="57">
        <f t="shared" si="2"/>
        <v>0</v>
      </c>
      <c r="H78" s="54">
        <v>6203903</v>
      </c>
      <c r="I78" s="58" t="s">
        <v>207</v>
      </c>
      <c r="J78" s="61" t="s">
        <v>17</v>
      </c>
      <c r="K78" s="61" t="s">
        <v>18</v>
      </c>
      <c r="L78" s="54">
        <v>92535588</v>
      </c>
      <c r="M78" s="61" t="s">
        <v>927</v>
      </c>
      <c r="N78" s="461">
        <v>45727</v>
      </c>
    </row>
    <row r="79" spans="1:15" s="144" customFormat="1" x14ac:dyDescent="0.25">
      <c r="A79" s="54">
        <v>3232</v>
      </c>
      <c r="B79" s="55" t="s">
        <v>208</v>
      </c>
      <c r="C79" s="56">
        <v>249.1</v>
      </c>
      <c r="D79" s="57">
        <v>0.4</v>
      </c>
      <c r="E79" s="57">
        <f t="shared" si="3"/>
        <v>99.64</v>
      </c>
      <c r="F79" s="57">
        <f>0.59+99.05</f>
        <v>99.64</v>
      </c>
      <c r="G79" s="57">
        <f t="shared" si="2"/>
        <v>0</v>
      </c>
      <c r="H79" s="54">
        <v>6387264</v>
      </c>
      <c r="I79" s="72" t="s">
        <v>209</v>
      </c>
      <c r="J79" s="59" t="s">
        <v>210</v>
      </c>
      <c r="K79" s="72" t="s">
        <v>211</v>
      </c>
      <c r="L79" s="54">
        <v>96661076</v>
      </c>
      <c r="M79" s="461">
        <v>45879</v>
      </c>
      <c r="N79" s="461">
        <v>45881</v>
      </c>
      <c r="O79" s="530"/>
    </row>
    <row r="80" spans="1:15" x14ac:dyDescent="0.25">
      <c r="A80" s="22">
        <v>3234</v>
      </c>
      <c r="B80" s="33" t="s">
        <v>212</v>
      </c>
      <c r="C80" s="45">
        <v>481.4</v>
      </c>
      <c r="D80" s="25">
        <v>0.4</v>
      </c>
      <c r="E80" s="25">
        <f t="shared" si="3"/>
        <v>192.56</v>
      </c>
      <c r="F80" s="25"/>
      <c r="G80" s="25">
        <f t="shared" si="2"/>
        <v>192.56</v>
      </c>
      <c r="H80" s="22">
        <v>21834239</v>
      </c>
      <c r="I80" s="216" t="s">
        <v>213</v>
      </c>
      <c r="J80" s="473" t="s">
        <v>25</v>
      </c>
      <c r="K80" s="214" t="s">
        <v>26</v>
      </c>
      <c r="L80" s="22">
        <v>98135444</v>
      </c>
      <c r="M80" s="26"/>
    </row>
    <row r="81" spans="1:21" s="144" customFormat="1" x14ac:dyDescent="0.25">
      <c r="A81" s="54">
        <v>3235</v>
      </c>
      <c r="B81" s="55" t="s">
        <v>214</v>
      </c>
      <c r="C81" s="56">
        <v>493</v>
      </c>
      <c r="D81" s="57">
        <v>0.4</v>
      </c>
      <c r="E81" s="57">
        <f t="shared" si="3"/>
        <v>197.20000000000002</v>
      </c>
      <c r="F81" s="57">
        <f>1.25+195.95</f>
        <v>197.2</v>
      </c>
      <c r="G81" s="57">
        <f t="shared" si="2"/>
        <v>0</v>
      </c>
      <c r="H81" s="54">
        <v>1234245</v>
      </c>
      <c r="I81" s="58" t="s">
        <v>215</v>
      </c>
      <c r="J81" s="61" t="s">
        <v>75</v>
      </c>
      <c r="K81" s="60" t="s">
        <v>76</v>
      </c>
      <c r="L81" s="54">
        <v>99487759</v>
      </c>
      <c r="M81" s="461">
        <v>45879</v>
      </c>
      <c r="N81" s="61" t="s">
        <v>956</v>
      </c>
    </row>
    <row r="82" spans="1:21" s="144" customFormat="1" x14ac:dyDescent="0.25">
      <c r="A82" s="54">
        <v>3236</v>
      </c>
      <c r="B82" s="55" t="s">
        <v>216</v>
      </c>
      <c r="C82" s="56">
        <v>136.69999999999999</v>
      </c>
      <c r="D82" s="57">
        <v>0.4</v>
      </c>
      <c r="E82" s="57">
        <f t="shared" si="3"/>
        <v>54.68</v>
      </c>
      <c r="F82" s="57">
        <f>E82</f>
        <v>54.68</v>
      </c>
      <c r="G82" s="57">
        <f t="shared" si="2"/>
        <v>0</v>
      </c>
      <c r="H82" s="71">
        <v>6733333</v>
      </c>
      <c r="I82" s="72" t="s">
        <v>217</v>
      </c>
      <c r="J82" s="59" t="s">
        <v>25</v>
      </c>
      <c r="K82" s="72" t="s">
        <v>26</v>
      </c>
      <c r="L82" s="54"/>
      <c r="M82" s="61" t="s">
        <v>931</v>
      </c>
    </row>
    <row r="83" spans="1:21" s="144" customFormat="1" x14ac:dyDescent="0.25">
      <c r="A83" s="54">
        <v>3237</v>
      </c>
      <c r="B83" s="55" t="s">
        <v>218</v>
      </c>
      <c r="C83" s="56">
        <v>492.6</v>
      </c>
      <c r="D83" s="57">
        <v>0.4</v>
      </c>
      <c r="E83" s="57">
        <f t="shared" si="3"/>
        <v>197.04000000000002</v>
      </c>
      <c r="F83" s="57">
        <f>195.42+1.62</f>
        <v>197.04</v>
      </c>
      <c r="G83" s="57">
        <f t="shared" si="2"/>
        <v>0</v>
      </c>
      <c r="H83" s="54">
        <v>873637</v>
      </c>
      <c r="I83" s="60" t="s">
        <v>219</v>
      </c>
      <c r="J83" s="61" t="s">
        <v>43</v>
      </c>
      <c r="K83" s="60" t="s">
        <v>44</v>
      </c>
      <c r="L83" s="54">
        <v>97659667</v>
      </c>
      <c r="M83" s="61" t="s">
        <v>927</v>
      </c>
      <c r="N83" s="61" t="s">
        <v>956</v>
      </c>
    </row>
    <row r="84" spans="1:21" s="79" customFormat="1" x14ac:dyDescent="0.25">
      <c r="A84" s="22">
        <v>3238</v>
      </c>
      <c r="B84" s="23" t="s">
        <v>220</v>
      </c>
      <c r="C84" s="24">
        <v>217.2</v>
      </c>
      <c r="D84" s="25">
        <v>0.4</v>
      </c>
      <c r="E84" s="25">
        <f t="shared" si="3"/>
        <v>86.88</v>
      </c>
      <c r="F84" s="25"/>
      <c r="G84" s="25">
        <f t="shared" si="2"/>
        <v>86.88</v>
      </c>
      <c r="H84" s="141">
        <v>5361082</v>
      </c>
      <c r="I84" s="479" t="s">
        <v>221</v>
      </c>
      <c r="J84" s="460" t="s">
        <v>25</v>
      </c>
      <c r="K84" s="480" t="s">
        <v>26</v>
      </c>
      <c r="L84" s="22"/>
      <c r="M84" s="62"/>
      <c r="O84" s="559"/>
      <c r="U84" s="560"/>
    </row>
    <row r="85" spans="1:21" s="144" customFormat="1" x14ac:dyDescent="0.25">
      <c r="A85" s="54">
        <v>3239</v>
      </c>
      <c r="B85" s="55" t="s">
        <v>222</v>
      </c>
      <c r="C85" s="56">
        <v>293.39999999999998</v>
      </c>
      <c r="D85" s="57">
        <v>0.4</v>
      </c>
      <c r="E85" s="57">
        <f t="shared" si="3"/>
        <v>117.36</v>
      </c>
      <c r="F85" s="57">
        <f>E85</f>
        <v>117.36</v>
      </c>
      <c r="G85" s="57">
        <f t="shared" si="2"/>
        <v>0</v>
      </c>
      <c r="H85" s="54">
        <v>14379226</v>
      </c>
      <c r="I85" s="58" t="s">
        <v>223</v>
      </c>
      <c r="J85" s="59" t="s">
        <v>25</v>
      </c>
      <c r="K85" s="60" t="s">
        <v>26</v>
      </c>
      <c r="L85" s="54">
        <v>92385524</v>
      </c>
      <c r="M85" s="61" t="s">
        <v>938</v>
      </c>
    </row>
    <row r="86" spans="1:21" s="144" customFormat="1" x14ac:dyDescent="0.25">
      <c r="A86" s="54">
        <v>3240</v>
      </c>
      <c r="B86" s="55" t="s">
        <v>224</v>
      </c>
      <c r="C86" s="56">
        <v>373.4</v>
      </c>
      <c r="D86" s="57">
        <v>0.4</v>
      </c>
      <c r="E86" s="57">
        <f t="shared" si="3"/>
        <v>149.35999999999999</v>
      </c>
      <c r="F86" s="57">
        <f>E86</f>
        <v>149.35999999999999</v>
      </c>
      <c r="G86" s="57">
        <f t="shared" si="2"/>
        <v>0</v>
      </c>
      <c r="H86" s="54">
        <v>5622856</v>
      </c>
      <c r="I86" s="58" t="s">
        <v>225</v>
      </c>
      <c r="J86" s="61" t="s">
        <v>134</v>
      </c>
      <c r="K86" s="60" t="s">
        <v>135</v>
      </c>
      <c r="L86" s="54">
        <v>92400553</v>
      </c>
      <c r="M86" s="61" t="s">
        <v>938</v>
      </c>
    </row>
    <row r="87" spans="1:21" x14ac:dyDescent="0.25">
      <c r="A87" s="22">
        <v>3241</v>
      </c>
      <c r="B87" s="33" t="s">
        <v>227</v>
      </c>
      <c r="C87" s="45">
        <v>249.6</v>
      </c>
      <c r="D87" s="25">
        <v>0.4</v>
      </c>
      <c r="E87" s="25">
        <f t="shared" si="3"/>
        <v>99.84</v>
      </c>
      <c r="F87" s="25"/>
      <c r="G87" s="25">
        <f t="shared" si="2"/>
        <v>99.84</v>
      </c>
      <c r="H87" s="22">
        <v>21125518</v>
      </c>
      <c r="I87" s="216" t="s">
        <v>228</v>
      </c>
      <c r="J87" s="473" t="s">
        <v>25</v>
      </c>
      <c r="K87" s="214" t="s">
        <v>26</v>
      </c>
      <c r="L87" s="22">
        <v>99508853</v>
      </c>
      <c r="M87" s="26"/>
    </row>
    <row r="88" spans="1:21" s="144" customFormat="1" x14ac:dyDescent="0.25">
      <c r="A88" s="54">
        <v>3243</v>
      </c>
      <c r="B88" s="55" t="s">
        <v>229</v>
      </c>
      <c r="C88" s="56">
        <v>258.39999999999998</v>
      </c>
      <c r="D88" s="57">
        <v>0.4</v>
      </c>
      <c r="E88" s="57">
        <f t="shared" si="3"/>
        <v>103.36</v>
      </c>
      <c r="F88" s="57">
        <f>101.818+1.542</f>
        <v>103.36</v>
      </c>
      <c r="G88" s="57">
        <f t="shared" si="2"/>
        <v>0</v>
      </c>
      <c r="H88" s="54">
        <v>25887256</v>
      </c>
      <c r="I88" s="58" t="s">
        <v>230</v>
      </c>
      <c r="J88" s="59" t="s">
        <v>25</v>
      </c>
      <c r="K88" s="60" t="s">
        <v>26</v>
      </c>
      <c r="L88" s="54">
        <v>93271871</v>
      </c>
      <c r="M88" s="61" t="s">
        <v>927</v>
      </c>
      <c r="N88" s="61" t="s">
        <v>940</v>
      </c>
    </row>
    <row r="89" spans="1:21" x14ac:dyDescent="0.25">
      <c r="A89" s="22">
        <v>3244</v>
      </c>
      <c r="B89" s="33" t="s">
        <v>232</v>
      </c>
      <c r="C89" s="45">
        <v>205.9</v>
      </c>
      <c r="D89" s="25">
        <v>0.4</v>
      </c>
      <c r="E89" s="25">
        <f t="shared" si="3"/>
        <v>82.360000000000014</v>
      </c>
      <c r="F89" s="25"/>
      <c r="G89" s="25">
        <f t="shared" si="2"/>
        <v>82.360000000000014</v>
      </c>
      <c r="H89" s="22">
        <v>19340943</v>
      </c>
      <c r="I89" s="216" t="s">
        <v>233</v>
      </c>
      <c r="J89" s="473" t="s">
        <v>25</v>
      </c>
      <c r="K89" s="214" t="s">
        <v>26</v>
      </c>
      <c r="L89" s="22">
        <v>92594446</v>
      </c>
      <c r="M89" s="26"/>
    </row>
    <row r="90" spans="1:21" s="144" customFormat="1" x14ac:dyDescent="0.25">
      <c r="A90" s="54">
        <v>3245</v>
      </c>
      <c r="B90" s="55" t="s">
        <v>234</v>
      </c>
      <c r="C90" s="56">
        <v>205.9</v>
      </c>
      <c r="D90" s="57">
        <v>0.4</v>
      </c>
      <c r="E90" s="57">
        <f t="shared" si="3"/>
        <v>82.360000000000014</v>
      </c>
      <c r="F90" s="57">
        <f>79.69+2.67</f>
        <v>82.36</v>
      </c>
      <c r="G90" s="57">
        <f t="shared" si="2"/>
        <v>0</v>
      </c>
      <c r="H90" s="124" t="s">
        <v>235</v>
      </c>
      <c r="I90" s="60" t="s">
        <v>236</v>
      </c>
      <c r="J90" s="61" t="s">
        <v>43</v>
      </c>
      <c r="K90" s="60" t="s">
        <v>44</v>
      </c>
      <c r="L90" s="54">
        <v>99699068</v>
      </c>
      <c r="M90" s="61" t="s">
        <v>927</v>
      </c>
      <c r="N90" s="144" t="s">
        <v>956</v>
      </c>
    </row>
    <row r="91" spans="1:21" s="144" customFormat="1" x14ac:dyDescent="0.25">
      <c r="A91" s="54">
        <v>3246</v>
      </c>
      <c r="B91" s="55" t="s">
        <v>237</v>
      </c>
      <c r="C91" s="56">
        <v>201.8</v>
      </c>
      <c r="D91" s="57">
        <v>0.4</v>
      </c>
      <c r="E91" s="57">
        <f t="shared" si="3"/>
        <v>80.720000000000013</v>
      </c>
      <c r="F91" s="57">
        <f>3.26999999999999+77.45</f>
        <v>80.72</v>
      </c>
      <c r="G91" s="57">
        <f t="shared" si="2"/>
        <v>0</v>
      </c>
      <c r="H91" s="54">
        <v>662648</v>
      </c>
      <c r="I91" s="58" t="s">
        <v>238</v>
      </c>
      <c r="J91" s="59" t="s">
        <v>25</v>
      </c>
      <c r="K91" s="60" t="s">
        <v>26</v>
      </c>
      <c r="L91" s="54">
        <v>99498382</v>
      </c>
      <c r="M91" s="61" t="s">
        <v>931</v>
      </c>
      <c r="N91" s="461">
        <v>45788</v>
      </c>
    </row>
    <row r="92" spans="1:21" s="144" customFormat="1" x14ac:dyDescent="0.25">
      <c r="A92" s="54">
        <v>3247</v>
      </c>
      <c r="B92" s="55" t="s">
        <v>239</v>
      </c>
      <c r="C92" s="56">
        <v>215.1</v>
      </c>
      <c r="D92" s="57">
        <v>0.4</v>
      </c>
      <c r="E92" s="57">
        <f t="shared" si="3"/>
        <v>86.04</v>
      </c>
      <c r="F92" s="57">
        <f>0.0899999999999999+85.5+0.45</f>
        <v>86.04</v>
      </c>
      <c r="G92" s="57">
        <f t="shared" si="2"/>
        <v>0</v>
      </c>
      <c r="H92" s="54">
        <v>6457783</v>
      </c>
      <c r="I92" s="60" t="s">
        <v>240</v>
      </c>
      <c r="J92" s="59" t="s">
        <v>25</v>
      </c>
      <c r="K92" s="60" t="s">
        <v>26</v>
      </c>
      <c r="L92" s="54">
        <v>92594442</v>
      </c>
      <c r="M92" s="61" t="s">
        <v>931</v>
      </c>
      <c r="N92" s="461">
        <v>45788</v>
      </c>
      <c r="O92" s="461">
        <v>46008</v>
      </c>
    </row>
    <row r="93" spans="1:21" s="144" customFormat="1" x14ac:dyDescent="0.25">
      <c r="A93" s="54">
        <v>3248</v>
      </c>
      <c r="B93" s="55" t="s">
        <v>241</v>
      </c>
      <c r="C93" s="56">
        <v>202.6</v>
      </c>
      <c r="D93" s="57">
        <v>0.4</v>
      </c>
      <c r="E93" s="57">
        <f t="shared" si="3"/>
        <v>81.040000000000006</v>
      </c>
      <c r="F93" s="57">
        <f>1.79000000000001+79.25</f>
        <v>81.040000000000006</v>
      </c>
      <c r="G93" s="57">
        <f t="shared" si="2"/>
        <v>0</v>
      </c>
      <c r="H93" s="54">
        <v>18811851</v>
      </c>
      <c r="I93" s="58" t="s">
        <v>242</v>
      </c>
      <c r="J93" s="59" t="s">
        <v>25</v>
      </c>
      <c r="K93" s="60" t="s">
        <v>26</v>
      </c>
      <c r="L93" s="54">
        <v>92597556</v>
      </c>
      <c r="M93" s="61" t="s">
        <v>931</v>
      </c>
      <c r="N93" s="461">
        <v>45788</v>
      </c>
      <c r="O93" s="461" t="s">
        <v>719</v>
      </c>
    </row>
    <row r="94" spans="1:21" s="144" customFormat="1" x14ac:dyDescent="0.25">
      <c r="A94" s="54">
        <v>3249</v>
      </c>
      <c r="B94" s="55" t="s">
        <v>243</v>
      </c>
      <c r="C94" s="56">
        <v>442</v>
      </c>
      <c r="D94" s="57">
        <v>0.4</v>
      </c>
      <c r="E94" s="57">
        <f t="shared" si="3"/>
        <v>176.8</v>
      </c>
      <c r="F94" s="57">
        <f>173.5+3.3</f>
        <v>176.8</v>
      </c>
      <c r="G94" s="57">
        <f t="shared" si="2"/>
        <v>0</v>
      </c>
      <c r="H94" s="54">
        <v>24540784</v>
      </c>
      <c r="I94" s="69" t="s">
        <v>244</v>
      </c>
      <c r="J94" s="61" t="s">
        <v>25</v>
      </c>
      <c r="K94" s="60" t="s">
        <v>26</v>
      </c>
      <c r="L94" s="54">
        <v>99693301</v>
      </c>
      <c r="M94" s="61" t="s">
        <v>928</v>
      </c>
      <c r="N94" s="61" t="s">
        <v>938</v>
      </c>
    </row>
    <row r="95" spans="1:21" s="144" customFormat="1" x14ac:dyDescent="0.25">
      <c r="A95" s="54">
        <v>3251</v>
      </c>
      <c r="B95" s="55" t="s">
        <v>245</v>
      </c>
      <c r="C95" s="56">
        <v>264</v>
      </c>
      <c r="D95" s="57">
        <v>0.4</v>
      </c>
      <c r="E95" s="57">
        <f t="shared" si="3"/>
        <v>105.60000000000001</v>
      </c>
      <c r="F95" s="57">
        <f>E95</f>
        <v>105.60000000000001</v>
      </c>
      <c r="G95" s="57">
        <f t="shared" si="2"/>
        <v>0</v>
      </c>
      <c r="H95" s="54">
        <v>6420681</v>
      </c>
      <c r="I95" s="58" t="s">
        <v>246</v>
      </c>
      <c r="J95" s="59" t="s">
        <v>25</v>
      </c>
      <c r="K95" s="60" t="s">
        <v>26</v>
      </c>
      <c r="L95" s="54">
        <v>99588744</v>
      </c>
      <c r="M95" s="461">
        <v>46002</v>
      </c>
    </row>
    <row r="96" spans="1:21" s="549" customFormat="1" x14ac:dyDescent="0.25">
      <c r="A96" s="542">
        <v>3252</v>
      </c>
      <c r="B96" s="543" t="s">
        <v>247</v>
      </c>
      <c r="C96" s="544">
        <v>158.69999999999999</v>
      </c>
      <c r="D96" s="545">
        <v>0.4</v>
      </c>
      <c r="E96" s="545">
        <f t="shared" si="3"/>
        <v>63.48</v>
      </c>
      <c r="F96" s="545">
        <f>E96</f>
        <v>63.48</v>
      </c>
      <c r="G96" s="545">
        <f t="shared" si="2"/>
        <v>0</v>
      </c>
      <c r="H96" s="542">
        <v>460074</v>
      </c>
      <c r="I96" s="582" t="s">
        <v>248</v>
      </c>
      <c r="J96" s="582" t="s">
        <v>25</v>
      </c>
      <c r="K96" s="547" t="s">
        <v>26</v>
      </c>
      <c r="L96" s="542">
        <v>99292354</v>
      </c>
      <c r="M96" s="579" t="s">
        <v>953</v>
      </c>
      <c r="O96" s="584"/>
    </row>
    <row r="97" spans="1:15" s="144" customFormat="1" x14ac:dyDescent="0.25">
      <c r="A97" s="54">
        <v>3253</v>
      </c>
      <c r="B97" s="55" t="s">
        <v>249</v>
      </c>
      <c r="C97" s="56">
        <v>476</v>
      </c>
      <c r="D97" s="57">
        <v>0.4</v>
      </c>
      <c r="E97" s="57">
        <f t="shared" si="3"/>
        <v>190.4</v>
      </c>
      <c r="F97" s="57">
        <f>188.5+1.9</f>
        <v>190.4</v>
      </c>
      <c r="G97" s="57">
        <f t="shared" si="2"/>
        <v>0</v>
      </c>
      <c r="H97" s="54">
        <v>25887589</v>
      </c>
      <c r="I97" s="58" t="s">
        <v>250</v>
      </c>
      <c r="J97" s="59" t="s">
        <v>25</v>
      </c>
      <c r="K97" s="60" t="s">
        <v>26</v>
      </c>
      <c r="L97" s="54">
        <v>93995997</v>
      </c>
      <c r="M97" s="61" t="s">
        <v>927</v>
      </c>
      <c r="N97" s="61" t="s">
        <v>940</v>
      </c>
    </row>
    <row r="98" spans="1:15" s="144" customFormat="1" x14ac:dyDescent="0.25">
      <c r="A98" s="54">
        <v>3254</v>
      </c>
      <c r="B98" s="55" t="s">
        <v>251</v>
      </c>
      <c r="C98" s="56">
        <v>409.5</v>
      </c>
      <c r="D98" s="57">
        <v>0.4</v>
      </c>
      <c r="E98" s="57">
        <f t="shared" si="3"/>
        <v>163.80000000000001</v>
      </c>
      <c r="F98" s="57">
        <f>163.35+0.45</f>
        <v>163.79999999999998</v>
      </c>
      <c r="G98" s="57">
        <f t="shared" si="2"/>
        <v>0</v>
      </c>
      <c r="H98" s="54">
        <v>6668983</v>
      </c>
      <c r="I98" s="58" t="s">
        <v>252</v>
      </c>
      <c r="J98" s="59" t="s">
        <v>25</v>
      </c>
      <c r="K98" s="60" t="s">
        <v>26</v>
      </c>
      <c r="L98" s="54">
        <v>92321002</v>
      </c>
      <c r="M98" s="61" t="s">
        <v>927</v>
      </c>
      <c r="N98" s="461">
        <v>45788</v>
      </c>
    </row>
    <row r="99" spans="1:15" s="144" customFormat="1" x14ac:dyDescent="0.25">
      <c r="A99" s="54">
        <v>3255</v>
      </c>
      <c r="B99" s="55" t="s">
        <v>253</v>
      </c>
      <c r="C99" s="56">
        <v>273.3</v>
      </c>
      <c r="D99" s="57">
        <v>0.4</v>
      </c>
      <c r="E99" s="57">
        <f t="shared" si="3"/>
        <v>109.32000000000001</v>
      </c>
      <c r="F99" s="57">
        <f>0.7+108.62</f>
        <v>109.32000000000001</v>
      </c>
      <c r="G99" s="57">
        <f t="shared" si="2"/>
        <v>0</v>
      </c>
      <c r="H99" s="54">
        <v>5851949</v>
      </c>
      <c r="I99" s="60" t="s">
        <v>254</v>
      </c>
      <c r="J99" s="59" t="s">
        <v>75</v>
      </c>
      <c r="K99" s="60" t="s">
        <v>76</v>
      </c>
      <c r="L99" s="54"/>
      <c r="M99" s="61" t="s">
        <v>923</v>
      </c>
      <c r="N99" s="61" t="s">
        <v>938</v>
      </c>
    </row>
    <row r="100" spans="1:15" s="144" customFormat="1" x14ac:dyDescent="0.25">
      <c r="A100" s="54">
        <v>3256</v>
      </c>
      <c r="B100" s="55" t="s">
        <v>255</v>
      </c>
      <c r="C100" s="56">
        <v>1517</v>
      </c>
      <c r="D100" s="57">
        <v>0.4</v>
      </c>
      <c r="E100" s="57">
        <f t="shared" si="3"/>
        <v>606.80000000000007</v>
      </c>
      <c r="F100" s="57">
        <f>E100</f>
        <v>606.80000000000007</v>
      </c>
      <c r="G100" s="57">
        <f t="shared" si="2"/>
        <v>0</v>
      </c>
      <c r="H100" s="54">
        <v>6147152</v>
      </c>
      <c r="I100" s="58" t="s">
        <v>256</v>
      </c>
      <c r="J100" s="61" t="s">
        <v>257</v>
      </c>
      <c r="K100" s="60" t="s">
        <v>258</v>
      </c>
      <c r="L100" s="54">
        <v>99889778</v>
      </c>
      <c r="M100" s="61" t="s">
        <v>926</v>
      </c>
    </row>
    <row r="101" spans="1:15" s="144" customFormat="1" x14ac:dyDescent="0.25">
      <c r="A101" s="54">
        <v>3258</v>
      </c>
      <c r="B101" s="55" t="s">
        <v>259</v>
      </c>
      <c r="C101" s="56">
        <v>671.5</v>
      </c>
      <c r="D101" s="57">
        <v>0.4</v>
      </c>
      <c r="E101" s="57">
        <f t="shared" si="3"/>
        <v>268.60000000000002</v>
      </c>
      <c r="F101" s="57">
        <f>E101</f>
        <v>268.60000000000002</v>
      </c>
      <c r="G101" s="57">
        <f t="shared" si="2"/>
        <v>0</v>
      </c>
      <c r="H101" s="54">
        <v>15335306</v>
      </c>
      <c r="I101" s="58" t="s">
        <v>260</v>
      </c>
      <c r="J101" s="61" t="s">
        <v>75</v>
      </c>
      <c r="K101" s="60" t="s">
        <v>76</v>
      </c>
      <c r="L101" s="54">
        <v>99772646</v>
      </c>
      <c r="M101" s="61" t="s">
        <v>931</v>
      </c>
    </row>
    <row r="102" spans="1:15" s="144" customFormat="1" x14ac:dyDescent="0.25">
      <c r="A102" s="54">
        <v>3260</v>
      </c>
      <c r="B102" s="55" t="s">
        <v>261</v>
      </c>
      <c r="C102" s="56">
        <v>252.1</v>
      </c>
      <c r="D102" s="57">
        <v>0.4</v>
      </c>
      <c r="E102" s="57">
        <f t="shared" si="3"/>
        <v>100.84</v>
      </c>
      <c r="F102" s="57">
        <f>1.98+98.86</f>
        <v>100.84</v>
      </c>
      <c r="G102" s="57">
        <f t="shared" si="2"/>
        <v>0</v>
      </c>
      <c r="H102" s="54">
        <v>19361936</v>
      </c>
      <c r="I102" s="72" t="s">
        <v>262</v>
      </c>
      <c r="J102" s="61" t="s">
        <v>25</v>
      </c>
      <c r="K102" s="72" t="s">
        <v>26</v>
      </c>
      <c r="L102" s="54">
        <v>99550633</v>
      </c>
      <c r="M102" s="461">
        <v>45788</v>
      </c>
      <c r="N102" s="461">
        <v>46002</v>
      </c>
    </row>
    <row r="103" spans="1:15" x14ac:dyDescent="0.25">
      <c r="A103" s="22">
        <v>3261</v>
      </c>
      <c r="B103" s="33" t="s">
        <v>263</v>
      </c>
      <c r="C103" s="45">
        <v>212.9</v>
      </c>
      <c r="D103" s="25">
        <v>0.4</v>
      </c>
      <c r="E103" s="25">
        <f t="shared" si="3"/>
        <v>85.160000000000011</v>
      </c>
      <c r="F103" s="25"/>
      <c r="G103" s="25">
        <f t="shared" si="2"/>
        <v>85.160000000000011</v>
      </c>
      <c r="H103" s="22">
        <v>8124516</v>
      </c>
      <c r="I103" s="216" t="s">
        <v>264</v>
      </c>
      <c r="J103" s="473" t="s">
        <v>25</v>
      </c>
      <c r="K103" s="214" t="s">
        <v>26</v>
      </c>
      <c r="L103" s="22">
        <v>92661167</v>
      </c>
      <c r="M103" s="26"/>
    </row>
    <row r="104" spans="1:15" s="529" customFormat="1" x14ac:dyDescent="0.25">
      <c r="A104" s="515">
        <v>3262</v>
      </c>
      <c r="B104" s="526" t="s">
        <v>265</v>
      </c>
      <c r="C104" s="527">
        <v>396.2</v>
      </c>
      <c r="D104" s="528">
        <v>0.4</v>
      </c>
      <c r="E104" s="528">
        <f t="shared" si="3"/>
        <v>158.48000000000002</v>
      </c>
      <c r="F104" s="528">
        <f>E104</f>
        <v>158.48000000000002</v>
      </c>
      <c r="G104" s="57">
        <f t="shared" si="2"/>
        <v>0</v>
      </c>
      <c r="H104" s="515">
        <v>1483142</v>
      </c>
      <c r="I104" s="488" t="s">
        <v>266</v>
      </c>
      <c r="J104" s="516" t="s">
        <v>43</v>
      </c>
      <c r="K104" s="69" t="s">
        <v>44</v>
      </c>
      <c r="L104" s="515">
        <v>99499613</v>
      </c>
      <c r="M104" s="61" t="s">
        <v>938</v>
      </c>
    </row>
    <row r="105" spans="1:15" s="170" customFormat="1" x14ac:dyDescent="0.25">
      <c r="A105" s="115">
        <v>3263</v>
      </c>
      <c r="B105" s="116" t="s">
        <v>267</v>
      </c>
      <c r="C105" s="117">
        <v>319.10000000000002</v>
      </c>
      <c r="D105" s="118">
        <v>0.4</v>
      </c>
      <c r="E105" s="118">
        <f t="shared" si="3"/>
        <v>127.64000000000001</v>
      </c>
      <c r="F105" s="118">
        <f>E105</f>
        <v>127.64000000000001</v>
      </c>
      <c r="G105" s="118">
        <f t="shared" si="2"/>
        <v>0</v>
      </c>
      <c r="H105" s="115">
        <v>986981</v>
      </c>
      <c r="I105" s="120" t="s">
        <v>268</v>
      </c>
      <c r="J105" s="125" t="s">
        <v>75</v>
      </c>
      <c r="K105" s="120" t="s">
        <v>76</v>
      </c>
      <c r="L105" s="115">
        <v>99667979</v>
      </c>
      <c r="M105" s="125" t="s">
        <v>946</v>
      </c>
    </row>
    <row r="106" spans="1:15" x14ac:dyDescent="0.25">
      <c r="A106" s="54">
        <v>3266</v>
      </c>
      <c r="B106" s="55" t="s">
        <v>269</v>
      </c>
      <c r="C106" s="56">
        <v>493</v>
      </c>
      <c r="D106" s="57">
        <v>0.4</v>
      </c>
      <c r="E106" s="57">
        <f t="shared" si="3"/>
        <v>197.20000000000002</v>
      </c>
      <c r="F106" s="57">
        <f>E106</f>
        <v>197.20000000000002</v>
      </c>
      <c r="G106" s="57">
        <f t="shared" si="2"/>
        <v>0</v>
      </c>
      <c r="H106" s="54">
        <v>25891616</v>
      </c>
      <c r="I106" s="58" t="s">
        <v>270</v>
      </c>
      <c r="J106" s="59" t="s">
        <v>25</v>
      </c>
      <c r="K106" s="60" t="s">
        <v>26</v>
      </c>
      <c r="L106" s="54">
        <v>99157779</v>
      </c>
      <c r="M106" s="61" t="s">
        <v>933</v>
      </c>
    </row>
    <row r="107" spans="1:15" s="144" customFormat="1" x14ac:dyDescent="0.25">
      <c r="A107" s="54">
        <v>3268</v>
      </c>
      <c r="B107" s="55" t="s">
        <v>271</v>
      </c>
      <c r="C107" s="56">
        <v>687.4</v>
      </c>
      <c r="D107" s="57">
        <v>0.4</v>
      </c>
      <c r="E107" s="57">
        <f t="shared" si="3"/>
        <v>274.95999999999998</v>
      </c>
      <c r="F107" s="57">
        <f>E107</f>
        <v>274.95999999999998</v>
      </c>
      <c r="G107" s="57">
        <f t="shared" si="2"/>
        <v>0</v>
      </c>
      <c r="H107" s="71">
        <v>22373123</v>
      </c>
      <c r="I107" s="72" t="s">
        <v>272</v>
      </c>
      <c r="J107" s="73" t="s">
        <v>25</v>
      </c>
      <c r="K107" s="72" t="s">
        <v>26</v>
      </c>
      <c r="L107" s="54"/>
      <c r="M107" s="61" t="s">
        <v>954</v>
      </c>
      <c r="O107" s="530"/>
    </row>
    <row r="108" spans="1:15" s="144" customFormat="1" x14ac:dyDescent="0.25">
      <c r="A108" s="54">
        <v>3269</v>
      </c>
      <c r="B108" s="55" t="s">
        <v>273</v>
      </c>
      <c r="C108" s="56">
        <v>224.8</v>
      </c>
      <c r="D108" s="57">
        <v>0.4</v>
      </c>
      <c r="E108" s="57">
        <f t="shared" si="3"/>
        <v>89.920000000000016</v>
      </c>
      <c r="F108" s="57">
        <f>87.6+2.32</f>
        <v>89.919999999999987</v>
      </c>
      <c r="G108" s="57">
        <f t="shared" si="2"/>
        <v>0</v>
      </c>
      <c r="H108" s="71">
        <v>14052947</v>
      </c>
      <c r="I108" s="72" t="s">
        <v>274</v>
      </c>
      <c r="J108" s="59" t="s">
        <v>210</v>
      </c>
      <c r="K108" s="72" t="s">
        <v>211</v>
      </c>
      <c r="L108" s="54">
        <v>92203300</v>
      </c>
      <c r="M108" s="61" t="s">
        <v>928</v>
      </c>
      <c r="N108" s="144" t="s">
        <v>959</v>
      </c>
    </row>
    <row r="109" spans="1:15" s="144" customFormat="1" x14ac:dyDescent="0.25">
      <c r="A109" s="54">
        <v>3270</v>
      </c>
      <c r="B109" s="55" t="s">
        <v>275</v>
      </c>
      <c r="C109" s="56">
        <v>405.4</v>
      </c>
      <c r="D109" s="57">
        <v>0.4</v>
      </c>
      <c r="E109" s="57">
        <f t="shared" si="3"/>
        <v>162.16</v>
      </c>
      <c r="F109" s="57">
        <f>161.77+0.39</f>
        <v>162.16</v>
      </c>
      <c r="G109" s="57">
        <f t="shared" si="2"/>
        <v>0</v>
      </c>
      <c r="H109" s="54">
        <v>11242698</v>
      </c>
      <c r="I109" s="58" t="s">
        <v>276</v>
      </c>
      <c r="J109" s="61" t="s">
        <v>17</v>
      </c>
      <c r="K109" s="61" t="s">
        <v>18</v>
      </c>
      <c r="L109" s="54">
        <v>93839955</v>
      </c>
      <c r="M109" s="61" t="s">
        <v>926</v>
      </c>
      <c r="N109" s="461">
        <v>45788</v>
      </c>
    </row>
    <row r="110" spans="1:15" s="144" customFormat="1" x14ac:dyDescent="0.25">
      <c r="A110" s="54">
        <v>3271</v>
      </c>
      <c r="B110" s="521" t="s">
        <v>277</v>
      </c>
      <c r="C110" s="56">
        <v>324.10000000000002</v>
      </c>
      <c r="D110" s="57">
        <v>0.4</v>
      </c>
      <c r="E110" s="57">
        <f t="shared" si="3"/>
        <v>129.64000000000001</v>
      </c>
      <c r="F110" s="57">
        <f>E110</f>
        <v>129.64000000000001</v>
      </c>
      <c r="G110" s="57">
        <f t="shared" si="2"/>
        <v>0</v>
      </c>
      <c r="H110" s="522">
        <v>24503986</v>
      </c>
      <c r="I110" s="525" t="s">
        <v>278</v>
      </c>
      <c r="J110" s="521" t="s">
        <v>17</v>
      </c>
      <c r="K110" s="523" t="s">
        <v>18</v>
      </c>
      <c r="L110" s="522">
        <v>92235243</v>
      </c>
      <c r="M110" s="563" t="s">
        <v>940</v>
      </c>
    </row>
    <row r="111" spans="1:15" s="144" customFormat="1" x14ac:dyDescent="0.25">
      <c r="A111" s="54">
        <v>3272</v>
      </c>
      <c r="B111" s="521" t="s">
        <v>279</v>
      </c>
      <c r="C111" s="56">
        <v>204.9</v>
      </c>
      <c r="D111" s="57">
        <v>0.4</v>
      </c>
      <c r="E111" s="57">
        <f t="shared" si="3"/>
        <v>81.960000000000008</v>
      </c>
      <c r="F111" s="57">
        <f>E111</f>
        <v>81.960000000000008</v>
      </c>
      <c r="G111" s="57">
        <f t="shared" si="2"/>
        <v>0</v>
      </c>
      <c r="H111" s="522">
        <v>22977225</v>
      </c>
      <c r="I111" s="501" t="s">
        <v>280</v>
      </c>
      <c r="J111" s="521" t="s">
        <v>25</v>
      </c>
      <c r="K111" s="523" t="s">
        <v>26</v>
      </c>
      <c r="L111" s="524"/>
      <c r="M111" s="563" t="s">
        <v>940</v>
      </c>
    </row>
    <row r="112" spans="1:15" s="144" customFormat="1" x14ac:dyDescent="0.25">
      <c r="A112" s="54">
        <v>3273</v>
      </c>
      <c r="B112" s="55" t="s">
        <v>281</v>
      </c>
      <c r="C112" s="56">
        <v>449.2</v>
      </c>
      <c r="D112" s="57">
        <v>0.4</v>
      </c>
      <c r="E112" s="57">
        <f t="shared" si="3"/>
        <v>179.68</v>
      </c>
      <c r="F112" s="57">
        <v>178.67</v>
      </c>
      <c r="G112" s="57">
        <f t="shared" si="2"/>
        <v>1.0100000000000193</v>
      </c>
      <c r="H112" s="54">
        <v>7047221</v>
      </c>
      <c r="I112" s="58" t="s">
        <v>282</v>
      </c>
      <c r="J112" s="61" t="s">
        <v>17</v>
      </c>
      <c r="K112" s="61" t="s">
        <v>18</v>
      </c>
      <c r="L112" s="54">
        <v>92152241</v>
      </c>
      <c r="M112" s="61" t="s">
        <v>954</v>
      </c>
    </row>
    <row r="113" spans="1:15" s="144" customFormat="1" x14ac:dyDescent="0.25">
      <c r="A113" s="54">
        <v>3277</v>
      </c>
      <c r="B113" s="55" t="s">
        <v>283</v>
      </c>
      <c r="C113" s="56">
        <v>344.9</v>
      </c>
      <c r="D113" s="57">
        <v>0.4</v>
      </c>
      <c r="E113" s="57">
        <f t="shared" si="3"/>
        <v>137.96</v>
      </c>
      <c r="F113" s="57">
        <f>136.51+1.45</f>
        <v>137.95999999999998</v>
      </c>
      <c r="G113" s="57">
        <f t="shared" si="2"/>
        <v>0</v>
      </c>
      <c r="H113" s="54">
        <v>14277741</v>
      </c>
      <c r="I113" s="58" t="s">
        <v>284</v>
      </c>
      <c r="J113" s="59" t="s">
        <v>25</v>
      </c>
      <c r="K113" s="60" t="s">
        <v>26</v>
      </c>
      <c r="L113" s="54">
        <v>92160872</v>
      </c>
      <c r="M113" s="61" t="s">
        <v>927</v>
      </c>
      <c r="N113" s="461">
        <v>45788</v>
      </c>
    </row>
    <row r="114" spans="1:15" x14ac:dyDescent="0.25">
      <c r="A114" s="22">
        <v>3278</v>
      </c>
      <c r="B114" s="33" t="s">
        <v>285</v>
      </c>
      <c r="C114" s="45">
        <v>238.3</v>
      </c>
      <c r="D114" s="25">
        <v>0.4</v>
      </c>
      <c r="E114" s="25">
        <f t="shared" si="3"/>
        <v>95.320000000000007</v>
      </c>
      <c r="F114" s="25"/>
      <c r="G114" s="25">
        <f t="shared" si="2"/>
        <v>95.320000000000007</v>
      </c>
      <c r="H114" s="22">
        <v>27713998</v>
      </c>
      <c r="I114" s="216" t="s">
        <v>286</v>
      </c>
      <c r="J114" s="26" t="s">
        <v>75</v>
      </c>
      <c r="K114" s="214" t="s">
        <v>76</v>
      </c>
      <c r="L114" s="22">
        <v>99257989</v>
      </c>
      <c r="M114" s="26"/>
    </row>
    <row r="115" spans="1:15" s="144" customFormat="1" x14ac:dyDescent="0.25">
      <c r="A115" s="54">
        <v>3279</v>
      </c>
      <c r="B115" s="55" t="s">
        <v>287</v>
      </c>
      <c r="C115" s="56">
        <v>1080.4000000000001</v>
      </c>
      <c r="D115" s="57">
        <v>0.4</v>
      </c>
      <c r="E115" s="57">
        <f t="shared" si="3"/>
        <v>432.16000000000008</v>
      </c>
      <c r="F115" s="57">
        <f>430.13+2.03</f>
        <v>432.15999999999997</v>
      </c>
      <c r="G115" s="57">
        <f t="shared" si="2"/>
        <v>0</v>
      </c>
      <c r="H115" s="78">
        <v>20468811</v>
      </c>
      <c r="I115" s="60" t="s">
        <v>244</v>
      </c>
      <c r="J115" s="59" t="s">
        <v>25</v>
      </c>
      <c r="K115" s="60" t="s">
        <v>26</v>
      </c>
      <c r="L115" s="54"/>
      <c r="M115" s="61" t="s">
        <v>927</v>
      </c>
      <c r="N115" s="61" t="s">
        <v>938</v>
      </c>
    </row>
    <row r="116" spans="1:15" s="144" customFormat="1" x14ac:dyDescent="0.25">
      <c r="A116" s="54">
        <v>3280</v>
      </c>
      <c r="B116" s="55" t="s">
        <v>288</v>
      </c>
      <c r="C116" s="56">
        <v>458.5</v>
      </c>
      <c r="D116" s="57">
        <v>0.4</v>
      </c>
      <c r="E116" s="57">
        <f t="shared" si="3"/>
        <v>183.4</v>
      </c>
      <c r="F116" s="57">
        <f>182.36+1.04</f>
        <v>183.4</v>
      </c>
      <c r="G116" s="57">
        <f t="shared" si="2"/>
        <v>0</v>
      </c>
      <c r="H116" s="54">
        <v>25887523</v>
      </c>
      <c r="I116" s="58" t="s">
        <v>289</v>
      </c>
      <c r="J116" s="61" t="s">
        <v>290</v>
      </c>
      <c r="K116" s="60" t="s">
        <v>291</v>
      </c>
      <c r="L116" s="54">
        <v>91774010</v>
      </c>
      <c r="M116" s="61" t="s">
        <v>928</v>
      </c>
      <c r="N116" s="563" t="s">
        <v>940</v>
      </c>
    </row>
    <row r="117" spans="1:15" x14ac:dyDescent="0.25">
      <c r="A117" s="22">
        <v>3281</v>
      </c>
      <c r="B117" s="33" t="s">
        <v>292</v>
      </c>
      <c r="C117" s="45">
        <v>470.6</v>
      </c>
      <c r="D117" s="25">
        <v>0.4</v>
      </c>
      <c r="E117" s="25">
        <f t="shared" si="3"/>
        <v>188.24</v>
      </c>
      <c r="F117" s="25"/>
      <c r="G117" s="25">
        <f t="shared" si="2"/>
        <v>188.24</v>
      </c>
      <c r="H117" s="22">
        <v>1045575</v>
      </c>
      <c r="I117" s="216" t="s">
        <v>293</v>
      </c>
      <c r="J117" s="26" t="s">
        <v>134</v>
      </c>
      <c r="K117" s="214" t="s">
        <v>135</v>
      </c>
      <c r="L117" s="22">
        <v>99841917</v>
      </c>
      <c r="M117" s="26"/>
    </row>
    <row r="118" spans="1:15" x14ac:dyDescent="0.25">
      <c r="A118" s="22">
        <v>3286</v>
      </c>
      <c r="B118" s="33" t="s">
        <v>295</v>
      </c>
      <c r="C118" s="45">
        <v>324.7</v>
      </c>
      <c r="D118" s="25">
        <v>0.4</v>
      </c>
      <c r="E118" s="25">
        <f t="shared" si="3"/>
        <v>129.88</v>
      </c>
      <c r="F118" s="25">
        <f>E118</f>
        <v>129.88</v>
      </c>
      <c r="G118" s="25">
        <f t="shared" si="2"/>
        <v>0</v>
      </c>
      <c r="H118" s="22">
        <v>23232841</v>
      </c>
      <c r="I118" s="216" t="s">
        <v>296</v>
      </c>
      <c r="J118" s="473" t="s">
        <v>25</v>
      </c>
      <c r="K118" s="214" t="s">
        <v>26</v>
      </c>
      <c r="L118" s="22"/>
      <c r="M118" s="144" t="s">
        <v>959</v>
      </c>
    </row>
    <row r="119" spans="1:15" s="144" customFormat="1" x14ac:dyDescent="0.25">
      <c r="A119" s="54">
        <v>3287</v>
      </c>
      <c r="B119" s="55" t="s">
        <v>297</v>
      </c>
      <c r="C119" s="56">
        <v>300.60000000000002</v>
      </c>
      <c r="D119" s="57">
        <v>0.4</v>
      </c>
      <c r="E119" s="57">
        <f t="shared" si="3"/>
        <v>120.24000000000001</v>
      </c>
      <c r="F119" s="57">
        <f>E119</f>
        <v>120.24000000000001</v>
      </c>
      <c r="G119" s="57">
        <f t="shared" si="2"/>
        <v>0</v>
      </c>
      <c r="H119" s="54">
        <v>6504554</v>
      </c>
      <c r="I119" s="58" t="s">
        <v>298</v>
      </c>
      <c r="J119" s="59" t="s">
        <v>25</v>
      </c>
      <c r="K119" s="60" t="s">
        <v>26</v>
      </c>
      <c r="L119" s="54">
        <v>95606029</v>
      </c>
      <c r="M119" s="61" t="s">
        <v>938</v>
      </c>
    </row>
    <row r="120" spans="1:15" s="144" customFormat="1" x14ac:dyDescent="0.25">
      <c r="A120" s="54">
        <v>3288</v>
      </c>
      <c r="B120" s="55" t="s">
        <v>300</v>
      </c>
      <c r="C120" s="56">
        <v>139.69999999999999</v>
      </c>
      <c r="D120" s="57">
        <v>0.4</v>
      </c>
      <c r="E120" s="57">
        <f t="shared" si="3"/>
        <v>55.879999999999995</v>
      </c>
      <c r="F120" s="57">
        <f>E120</f>
        <v>55.879999999999995</v>
      </c>
      <c r="G120" s="57">
        <f t="shared" si="2"/>
        <v>0</v>
      </c>
      <c r="H120" s="84">
        <v>1460824</v>
      </c>
      <c r="I120" s="60" t="s">
        <v>301</v>
      </c>
      <c r="J120" s="59" t="s">
        <v>302</v>
      </c>
      <c r="K120" s="60" t="s">
        <v>18</v>
      </c>
      <c r="L120" s="54"/>
      <c r="M120" s="61" t="s">
        <v>938</v>
      </c>
    </row>
    <row r="121" spans="1:15" x14ac:dyDescent="0.25">
      <c r="A121" s="22">
        <v>3291</v>
      </c>
      <c r="B121" s="33" t="s">
        <v>303</v>
      </c>
      <c r="C121" s="24">
        <v>663</v>
      </c>
      <c r="D121" s="25">
        <v>0.4</v>
      </c>
      <c r="E121" s="25">
        <f t="shared" si="3"/>
        <v>265.2</v>
      </c>
      <c r="F121" s="25"/>
      <c r="G121" s="25">
        <f t="shared" si="2"/>
        <v>265.2</v>
      </c>
      <c r="H121" s="22">
        <v>1974735</v>
      </c>
      <c r="I121" s="216" t="s">
        <v>304</v>
      </c>
      <c r="J121" s="214" t="s">
        <v>75</v>
      </c>
      <c r="K121" s="216" t="s">
        <v>76</v>
      </c>
      <c r="L121" s="22">
        <v>99085848</v>
      </c>
      <c r="M121" s="26"/>
    </row>
    <row r="122" spans="1:15" s="144" customFormat="1" x14ac:dyDescent="0.25">
      <c r="A122" s="54">
        <v>3292</v>
      </c>
      <c r="B122" s="55" t="s">
        <v>305</v>
      </c>
      <c r="C122" s="56">
        <v>376.4</v>
      </c>
      <c r="D122" s="57">
        <v>0.4</v>
      </c>
      <c r="E122" s="57">
        <f t="shared" si="3"/>
        <v>150.56</v>
      </c>
      <c r="F122" s="57">
        <f>E122</f>
        <v>150.56</v>
      </c>
      <c r="G122" s="57">
        <f t="shared" si="2"/>
        <v>0</v>
      </c>
      <c r="H122" s="71">
        <v>13282353</v>
      </c>
      <c r="I122" s="72" t="s">
        <v>306</v>
      </c>
      <c r="J122" s="61" t="s">
        <v>17</v>
      </c>
      <c r="K122" s="72" t="s">
        <v>18</v>
      </c>
      <c r="L122" s="54"/>
      <c r="M122" s="61" t="s">
        <v>933</v>
      </c>
      <c r="O122" s="530"/>
    </row>
    <row r="123" spans="1:15" s="79" customFormat="1" x14ac:dyDescent="0.25">
      <c r="A123" s="22">
        <v>3293</v>
      </c>
      <c r="B123" s="23" t="s">
        <v>307</v>
      </c>
      <c r="C123" s="29"/>
      <c r="D123" s="25">
        <v>0.4</v>
      </c>
      <c r="E123" s="25">
        <f t="shared" si="3"/>
        <v>0</v>
      </c>
      <c r="F123" s="25"/>
      <c r="G123" s="25">
        <f t="shared" si="2"/>
        <v>0</v>
      </c>
      <c r="H123" s="22">
        <v>4048259</v>
      </c>
      <c r="I123" s="214" t="s">
        <v>308</v>
      </c>
      <c r="J123" s="26" t="s">
        <v>75</v>
      </c>
      <c r="K123" s="214" t="s">
        <v>76</v>
      </c>
      <c r="L123" s="22">
        <v>92970078</v>
      </c>
      <c r="M123" s="26"/>
    </row>
    <row r="124" spans="1:15" s="144" customFormat="1" x14ac:dyDescent="0.25">
      <c r="A124" s="54">
        <v>3294</v>
      </c>
      <c r="B124" s="55" t="s">
        <v>309</v>
      </c>
      <c r="C124" s="56">
        <v>369.6</v>
      </c>
      <c r="D124" s="57">
        <v>0.4</v>
      </c>
      <c r="E124" s="57">
        <f t="shared" si="3"/>
        <v>147.84</v>
      </c>
      <c r="F124" s="57">
        <f>E124</f>
        <v>147.84</v>
      </c>
      <c r="G124" s="57">
        <f t="shared" si="2"/>
        <v>0</v>
      </c>
      <c r="H124" s="54">
        <v>19263029</v>
      </c>
      <c r="I124" s="58" t="s">
        <v>310</v>
      </c>
      <c r="J124" s="59" t="s">
        <v>25</v>
      </c>
      <c r="K124" s="60" t="s">
        <v>26</v>
      </c>
      <c r="L124" s="54">
        <v>92387034</v>
      </c>
      <c r="M124" s="61" t="s">
        <v>971</v>
      </c>
    </row>
    <row r="125" spans="1:15" s="144" customFormat="1" x14ac:dyDescent="0.25">
      <c r="A125" s="54">
        <v>3295</v>
      </c>
      <c r="B125" s="55" t="s">
        <v>311</v>
      </c>
      <c r="C125" s="56">
        <v>240</v>
      </c>
      <c r="D125" s="57">
        <v>0.4</v>
      </c>
      <c r="E125" s="57">
        <f t="shared" si="3"/>
        <v>96</v>
      </c>
      <c r="F125" s="57">
        <f>E125</f>
        <v>96</v>
      </c>
      <c r="G125" s="57">
        <f t="shared" si="2"/>
        <v>0</v>
      </c>
      <c r="H125" s="54">
        <v>20378353</v>
      </c>
      <c r="I125" s="58" t="s">
        <v>312</v>
      </c>
      <c r="J125" s="61" t="s">
        <v>17</v>
      </c>
      <c r="K125" s="61" t="s">
        <v>18</v>
      </c>
      <c r="L125" s="54">
        <v>99489171</v>
      </c>
      <c r="M125" s="61" t="s">
        <v>931</v>
      </c>
    </row>
    <row r="126" spans="1:15" s="170" customFormat="1" x14ac:dyDescent="0.25">
      <c r="A126" s="115">
        <v>3297</v>
      </c>
      <c r="B126" s="116" t="s">
        <v>313</v>
      </c>
      <c r="C126" s="117">
        <v>159.1</v>
      </c>
      <c r="D126" s="118">
        <v>0.4</v>
      </c>
      <c r="E126" s="118">
        <f t="shared" si="3"/>
        <v>63.64</v>
      </c>
      <c r="F126" s="118">
        <f>E126</f>
        <v>63.64</v>
      </c>
      <c r="G126" s="118">
        <f t="shared" si="2"/>
        <v>0</v>
      </c>
      <c r="H126" s="115">
        <v>5359682</v>
      </c>
      <c r="I126" s="120" t="s">
        <v>314</v>
      </c>
      <c r="J126" s="125" t="s">
        <v>25</v>
      </c>
      <c r="K126" s="125" t="s">
        <v>26</v>
      </c>
      <c r="L126" s="115">
        <v>93240442</v>
      </c>
      <c r="M126" s="125" t="s">
        <v>948</v>
      </c>
    </row>
    <row r="127" spans="1:15" s="144" customFormat="1" x14ac:dyDescent="0.25">
      <c r="A127" s="54">
        <v>3298</v>
      </c>
      <c r="B127" s="55" t="s">
        <v>315</v>
      </c>
      <c r="C127" s="56">
        <v>260.7</v>
      </c>
      <c r="D127" s="57">
        <v>0.4</v>
      </c>
      <c r="E127" s="57">
        <f t="shared" si="3"/>
        <v>104.28</v>
      </c>
      <c r="F127" s="57">
        <f>103.55+0.73</f>
        <v>104.28</v>
      </c>
      <c r="G127" s="57">
        <f t="shared" si="2"/>
        <v>0</v>
      </c>
      <c r="H127" s="84">
        <v>6160236</v>
      </c>
      <c r="I127" s="72" t="s">
        <v>316</v>
      </c>
      <c r="J127" s="59" t="s">
        <v>25</v>
      </c>
      <c r="K127" s="72" t="s">
        <v>26</v>
      </c>
      <c r="L127" s="54"/>
      <c r="M127" s="461">
        <v>46002</v>
      </c>
      <c r="N127" s="461">
        <v>45700</v>
      </c>
      <c r="O127" s="530"/>
    </row>
    <row r="128" spans="1:15" x14ac:dyDescent="0.25">
      <c r="A128" s="22">
        <v>3302</v>
      </c>
      <c r="B128" s="33" t="s">
        <v>317</v>
      </c>
      <c r="C128" s="45">
        <v>400.4</v>
      </c>
      <c r="D128" s="25">
        <v>0.4</v>
      </c>
      <c r="E128" s="25">
        <f t="shared" si="3"/>
        <v>160.16</v>
      </c>
      <c r="F128" s="25">
        <f>E128</f>
        <v>160.16</v>
      </c>
      <c r="G128" s="25">
        <f t="shared" si="2"/>
        <v>0</v>
      </c>
      <c r="H128" s="22">
        <v>71004483</v>
      </c>
      <c r="I128" s="510" t="s">
        <v>318</v>
      </c>
      <c r="J128" s="473" t="s">
        <v>25</v>
      </c>
      <c r="K128" s="214" t="s">
        <v>26</v>
      </c>
      <c r="L128" s="22">
        <v>92557761</v>
      </c>
      <c r="M128" s="144" t="s">
        <v>959</v>
      </c>
    </row>
    <row r="129" spans="1:15" x14ac:dyDescent="0.25">
      <c r="A129" s="22">
        <v>3303</v>
      </c>
      <c r="B129" s="33" t="s">
        <v>319</v>
      </c>
      <c r="C129" s="24">
        <v>211.2</v>
      </c>
      <c r="D129" s="25">
        <v>0.4</v>
      </c>
      <c r="E129" s="25">
        <f t="shared" si="3"/>
        <v>84.48</v>
      </c>
      <c r="F129" s="25"/>
      <c r="G129" s="25">
        <f t="shared" si="2"/>
        <v>84.48</v>
      </c>
      <c r="H129" s="34">
        <v>3172781</v>
      </c>
      <c r="I129" s="214" t="s">
        <v>320</v>
      </c>
      <c r="J129" s="473" t="s">
        <v>17</v>
      </c>
      <c r="K129" s="474" t="s">
        <v>18</v>
      </c>
      <c r="L129" s="22">
        <v>99282770</v>
      </c>
      <c r="M129" s="26"/>
    </row>
    <row r="130" spans="1:15" s="549" customFormat="1" x14ac:dyDescent="0.25">
      <c r="A130" s="542">
        <v>3309</v>
      </c>
      <c r="B130" s="543" t="s">
        <v>321</v>
      </c>
      <c r="C130" s="544">
        <v>143</v>
      </c>
      <c r="D130" s="545">
        <v>0.4</v>
      </c>
      <c r="E130" s="545">
        <f t="shared" si="3"/>
        <v>57.2</v>
      </c>
      <c r="F130" s="545">
        <f>E130</f>
        <v>57.2</v>
      </c>
      <c r="G130" s="545">
        <f t="shared" si="2"/>
        <v>0</v>
      </c>
      <c r="H130" s="546">
        <v>21453611</v>
      </c>
      <c r="I130" s="583" t="s">
        <v>322</v>
      </c>
      <c r="J130" s="548" t="s">
        <v>25</v>
      </c>
      <c r="K130" s="547" t="s">
        <v>26</v>
      </c>
      <c r="L130" s="542">
        <v>93389969</v>
      </c>
      <c r="M130" s="579" t="s">
        <v>953</v>
      </c>
      <c r="O130" s="584"/>
    </row>
    <row r="131" spans="1:15" x14ac:dyDescent="0.25">
      <c r="A131" s="22">
        <v>3311</v>
      </c>
      <c r="B131" s="33" t="s">
        <v>323</v>
      </c>
      <c r="C131" s="45">
        <v>367.1</v>
      </c>
      <c r="D131" s="25">
        <v>0.4</v>
      </c>
      <c r="E131" s="25">
        <f t="shared" si="3"/>
        <v>146.84</v>
      </c>
      <c r="F131" s="25"/>
      <c r="G131" s="25">
        <f t="shared" si="2"/>
        <v>146.84</v>
      </c>
      <c r="H131" s="22" t="s">
        <v>324</v>
      </c>
      <c r="I131" s="216" t="s">
        <v>325</v>
      </c>
      <c r="J131" s="215" t="s">
        <v>326</v>
      </c>
      <c r="K131" s="216" t="s">
        <v>327</v>
      </c>
      <c r="L131" s="22">
        <v>92817378</v>
      </c>
      <c r="M131" s="26"/>
    </row>
    <row r="132" spans="1:15" s="144" customFormat="1" x14ac:dyDescent="0.25">
      <c r="A132" s="54">
        <v>3312</v>
      </c>
      <c r="B132" s="55" t="s">
        <v>328</v>
      </c>
      <c r="C132" s="56">
        <v>472</v>
      </c>
      <c r="D132" s="57">
        <v>0.4</v>
      </c>
      <c r="E132" s="57">
        <f t="shared" si="3"/>
        <v>188.8</v>
      </c>
      <c r="F132" s="57">
        <f>184.12+4.68</f>
        <v>188.8</v>
      </c>
      <c r="G132" s="57">
        <f t="shared" ref="G132:G195" si="4">E132-F132</f>
        <v>0</v>
      </c>
      <c r="H132" s="54">
        <v>881326</v>
      </c>
      <c r="I132" s="58" t="s">
        <v>329</v>
      </c>
      <c r="J132" s="61" t="s">
        <v>121</v>
      </c>
      <c r="K132" s="61" t="s">
        <v>122</v>
      </c>
      <c r="L132" s="54">
        <v>99481799</v>
      </c>
      <c r="M132" s="61" t="s">
        <v>927</v>
      </c>
      <c r="N132" s="461">
        <v>45727</v>
      </c>
    </row>
    <row r="133" spans="1:15" s="144" customFormat="1" x14ac:dyDescent="0.25">
      <c r="A133" s="54">
        <v>3314</v>
      </c>
      <c r="B133" s="55" t="s">
        <v>330</v>
      </c>
      <c r="C133" s="56">
        <v>446</v>
      </c>
      <c r="D133" s="57">
        <v>0.4</v>
      </c>
      <c r="E133" s="57">
        <f t="shared" si="3"/>
        <v>178.4</v>
      </c>
      <c r="F133" s="57">
        <f>E133</f>
        <v>178.4</v>
      </c>
      <c r="G133" s="57">
        <f t="shared" si="4"/>
        <v>0</v>
      </c>
      <c r="H133" s="54">
        <v>766893</v>
      </c>
      <c r="I133" s="58" t="s">
        <v>331</v>
      </c>
      <c r="J133" s="59" t="s">
        <v>25</v>
      </c>
      <c r="K133" s="60" t="s">
        <v>26</v>
      </c>
      <c r="L133" s="54">
        <v>99257989</v>
      </c>
      <c r="M133" s="61" t="s">
        <v>931</v>
      </c>
    </row>
    <row r="134" spans="1:15" s="549" customFormat="1" x14ac:dyDescent="0.25">
      <c r="A134" s="542">
        <v>3315</v>
      </c>
      <c r="B134" s="543" t="s">
        <v>333</v>
      </c>
      <c r="C134" s="544">
        <v>176.2</v>
      </c>
      <c r="D134" s="545">
        <v>0.4</v>
      </c>
      <c r="E134" s="545">
        <f t="shared" si="3"/>
        <v>70.48</v>
      </c>
      <c r="F134" s="545">
        <f>E134</f>
        <v>70.48</v>
      </c>
      <c r="G134" s="545">
        <f t="shared" si="4"/>
        <v>0</v>
      </c>
      <c r="H134" s="542">
        <v>23957422</v>
      </c>
      <c r="I134" s="580" t="s">
        <v>334</v>
      </c>
      <c r="J134" s="581" t="s">
        <v>25</v>
      </c>
      <c r="K134" s="582" t="s">
        <v>26</v>
      </c>
      <c r="L134" s="542">
        <v>99601665</v>
      </c>
      <c r="M134" s="579" t="s">
        <v>953</v>
      </c>
    </row>
    <row r="135" spans="1:15" s="549" customFormat="1" x14ac:dyDescent="0.25">
      <c r="A135" s="542">
        <v>3316</v>
      </c>
      <c r="B135" s="543" t="s">
        <v>335</v>
      </c>
      <c r="C135" s="544">
        <v>176.1</v>
      </c>
      <c r="D135" s="545">
        <v>0.4</v>
      </c>
      <c r="E135" s="545">
        <f t="shared" si="3"/>
        <v>70.44</v>
      </c>
      <c r="F135" s="545">
        <f>E135</f>
        <v>70.44</v>
      </c>
      <c r="G135" s="545">
        <f t="shared" si="4"/>
        <v>0</v>
      </c>
      <c r="H135" s="542">
        <v>26159748</v>
      </c>
      <c r="I135" s="547" t="s">
        <v>336</v>
      </c>
      <c r="J135" s="581" t="s">
        <v>25</v>
      </c>
      <c r="K135" s="582" t="s">
        <v>26</v>
      </c>
      <c r="L135" s="542">
        <v>99601665</v>
      </c>
      <c r="M135" s="579" t="s">
        <v>953</v>
      </c>
      <c r="O135" s="584"/>
    </row>
    <row r="136" spans="1:15" x14ac:dyDescent="0.25">
      <c r="A136" s="22">
        <v>3320</v>
      </c>
      <c r="B136" s="33" t="s">
        <v>337</v>
      </c>
      <c r="C136" s="45">
        <v>230</v>
      </c>
      <c r="D136" s="25">
        <v>0.4</v>
      </c>
      <c r="E136" s="25">
        <f t="shared" ref="E136:E199" si="5">D136*C136</f>
        <v>92</v>
      </c>
      <c r="F136" s="25"/>
      <c r="G136" s="25">
        <f t="shared" si="4"/>
        <v>92</v>
      </c>
      <c r="H136" s="22">
        <v>2096234</v>
      </c>
      <c r="I136" s="216" t="s">
        <v>338</v>
      </c>
      <c r="J136" s="473" t="s">
        <v>25</v>
      </c>
      <c r="K136" s="214" t="s">
        <v>26</v>
      </c>
      <c r="L136" s="22">
        <v>99495933</v>
      </c>
      <c r="M136" s="26"/>
    </row>
    <row r="137" spans="1:15" x14ac:dyDescent="0.25">
      <c r="A137" s="22">
        <v>3321</v>
      </c>
      <c r="B137" s="33" t="s">
        <v>339</v>
      </c>
      <c r="C137" s="45">
        <v>139.6</v>
      </c>
      <c r="D137" s="25">
        <v>0.4</v>
      </c>
      <c r="E137" s="25">
        <f t="shared" si="5"/>
        <v>55.84</v>
      </c>
      <c r="F137" s="25"/>
      <c r="G137" s="25">
        <f t="shared" si="4"/>
        <v>55.84</v>
      </c>
      <c r="H137" s="22">
        <v>10721505</v>
      </c>
      <c r="I137" s="216" t="s">
        <v>340</v>
      </c>
      <c r="J137" s="473" t="s">
        <v>25</v>
      </c>
      <c r="K137" s="214" t="s">
        <v>26</v>
      </c>
      <c r="L137" s="22">
        <v>93955800</v>
      </c>
      <c r="M137" s="26"/>
    </row>
    <row r="138" spans="1:15" x14ac:dyDescent="0.25">
      <c r="A138" s="22">
        <v>3322</v>
      </c>
      <c r="B138" s="33" t="s">
        <v>341</v>
      </c>
      <c r="C138" s="45">
        <v>275.39999999999998</v>
      </c>
      <c r="D138" s="25">
        <v>0.4</v>
      </c>
      <c r="E138" s="25">
        <f t="shared" si="5"/>
        <v>110.16</v>
      </c>
      <c r="F138" s="25"/>
      <c r="G138" s="25">
        <f t="shared" si="4"/>
        <v>110.16</v>
      </c>
      <c r="H138" s="22">
        <v>6047858</v>
      </c>
      <c r="I138" s="216" t="s">
        <v>342</v>
      </c>
      <c r="J138" s="26" t="s">
        <v>43</v>
      </c>
      <c r="K138" s="214" t="s">
        <v>44</v>
      </c>
      <c r="L138" s="22"/>
      <c r="M138" s="26"/>
    </row>
    <row r="139" spans="1:15" s="144" customFormat="1" x14ac:dyDescent="0.25">
      <c r="A139" s="54">
        <v>3325</v>
      </c>
      <c r="B139" s="55" t="s">
        <v>153</v>
      </c>
      <c r="C139" s="56">
        <v>101.2</v>
      </c>
      <c r="D139" s="57">
        <v>0.4</v>
      </c>
      <c r="E139" s="57">
        <f t="shared" si="5"/>
        <v>40.480000000000004</v>
      </c>
      <c r="F139" s="57">
        <f>36.09+4.39</f>
        <v>40.480000000000004</v>
      </c>
      <c r="G139" s="57">
        <f t="shared" si="4"/>
        <v>0</v>
      </c>
      <c r="H139" s="54">
        <v>21849398</v>
      </c>
      <c r="I139" s="58" t="s">
        <v>343</v>
      </c>
      <c r="J139" s="59" t="s">
        <v>25</v>
      </c>
      <c r="K139" s="60" t="s">
        <v>26</v>
      </c>
      <c r="L139" s="54">
        <v>93233323</v>
      </c>
      <c r="M139" s="61" t="s">
        <v>925</v>
      </c>
      <c r="N139" s="61" t="s">
        <v>938</v>
      </c>
    </row>
    <row r="140" spans="1:15" s="144" customFormat="1" x14ac:dyDescent="0.25">
      <c r="A140" s="54">
        <v>3326</v>
      </c>
      <c r="B140" s="55" t="s">
        <v>344</v>
      </c>
      <c r="C140" s="56">
        <v>450.4</v>
      </c>
      <c r="D140" s="57">
        <v>0.4</v>
      </c>
      <c r="E140" s="57">
        <f t="shared" si="5"/>
        <v>180.16</v>
      </c>
      <c r="F140" s="57">
        <f>E140</f>
        <v>180.16</v>
      </c>
      <c r="G140" s="57">
        <f t="shared" si="4"/>
        <v>0</v>
      </c>
      <c r="H140" s="54">
        <v>1466865</v>
      </c>
      <c r="I140" s="58" t="s">
        <v>345</v>
      </c>
      <c r="J140" s="61" t="s">
        <v>17</v>
      </c>
      <c r="K140" s="61" t="s">
        <v>18</v>
      </c>
      <c r="L140" s="54"/>
      <c r="M140" s="61" t="s">
        <v>936</v>
      </c>
    </row>
    <row r="141" spans="1:15" s="144" customFormat="1" x14ac:dyDescent="0.25">
      <c r="A141" s="54">
        <v>3328</v>
      </c>
      <c r="B141" s="55" t="s">
        <v>346</v>
      </c>
      <c r="C141" s="56">
        <v>399.1</v>
      </c>
      <c r="D141" s="57">
        <v>0.4</v>
      </c>
      <c r="E141" s="57">
        <f t="shared" si="5"/>
        <v>159.64000000000001</v>
      </c>
      <c r="F141" s="57">
        <f>155.35+4.29</f>
        <v>159.63999999999999</v>
      </c>
      <c r="G141" s="57">
        <f t="shared" si="4"/>
        <v>0</v>
      </c>
      <c r="H141" s="54">
        <v>1934204</v>
      </c>
      <c r="I141" s="60" t="s">
        <v>347</v>
      </c>
      <c r="J141" s="59" t="s">
        <v>25</v>
      </c>
      <c r="K141" s="60" t="s">
        <v>26</v>
      </c>
      <c r="L141" s="54"/>
      <c r="M141" s="61" t="s">
        <v>928</v>
      </c>
      <c r="N141" s="461">
        <v>45788</v>
      </c>
    </row>
    <row r="142" spans="1:15" s="144" customFormat="1" x14ac:dyDescent="0.25">
      <c r="A142" s="54">
        <v>3329</v>
      </c>
      <c r="B142" s="55" t="s">
        <v>348</v>
      </c>
      <c r="C142" s="56">
        <v>272</v>
      </c>
      <c r="D142" s="57">
        <v>0.4</v>
      </c>
      <c r="E142" s="57">
        <f t="shared" si="5"/>
        <v>108.80000000000001</v>
      </c>
      <c r="F142" s="57">
        <f>E142</f>
        <v>108.80000000000001</v>
      </c>
      <c r="G142" s="57">
        <f t="shared" si="4"/>
        <v>0</v>
      </c>
      <c r="H142" s="54">
        <v>9086292</v>
      </c>
      <c r="I142" s="60" t="s">
        <v>349</v>
      </c>
      <c r="J142" s="61" t="s">
        <v>75</v>
      </c>
      <c r="K142" s="60" t="s">
        <v>76</v>
      </c>
      <c r="L142" s="54">
        <v>95976260</v>
      </c>
      <c r="M142" s="461">
        <v>45941</v>
      </c>
    </row>
    <row r="143" spans="1:15" s="144" customFormat="1" x14ac:dyDescent="0.25">
      <c r="A143" s="54">
        <v>3331</v>
      </c>
      <c r="B143" s="55" t="s">
        <v>350</v>
      </c>
      <c r="C143" s="56">
        <v>434.1</v>
      </c>
      <c r="D143" s="57">
        <v>0.4</v>
      </c>
      <c r="E143" s="57">
        <f t="shared" si="5"/>
        <v>173.64000000000001</v>
      </c>
      <c r="F143" s="57">
        <f>E143</f>
        <v>173.64000000000001</v>
      </c>
      <c r="G143" s="57">
        <f t="shared" si="4"/>
        <v>0</v>
      </c>
      <c r="H143" s="54">
        <v>18048861</v>
      </c>
      <c r="I143" s="58" t="s">
        <v>351</v>
      </c>
      <c r="J143" s="61" t="s">
        <v>352</v>
      </c>
      <c r="K143" s="60" t="s">
        <v>129</v>
      </c>
      <c r="L143" s="54"/>
      <c r="M143" s="461">
        <v>45788</v>
      </c>
    </row>
    <row r="144" spans="1:15" s="144" customFormat="1" x14ac:dyDescent="0.25">
      <c r="A144" s="54">
        <v>3332</v>
      </c>
      <c r="B144" s="55" t="s">
        <v>721</v>
      </c>
      <c r="C144" s="56">
        <v>102.1</v>
      </c>
      <c r="D144" s="57">
        <v>0.4</v>
      </c>
      <c r="E144" s="57">
        <f t="shared" si="5"/>
        <v>40.840000000000003</v>
      </c>
      <c r="F144" s="57">
        <f>E144</f>
        <v>40.840000000000003</v>
      </c>
      <c r="G144" s="57">
        <f t="shared" si="4"/>
        <v>0</v>
      </c>
      <c r="H144" s="54">
        <v>1320775</v>
      </c>
      <c r="I144" s="58"/>
      <c r="J144" s="61"/>
      <c r="K144" s="60"/>
      <c r="L144" s="54">
        <v>99490105</v>
      </c>
      <c r="M144" s="461">
        <v>45941</v>
      </c>
    </row>
    <row r="145" spans="1:14" x14ac:dyDescent="0.25">
      <c r="A145" s="22">
        <v>3334</v>
      </c>
      <c r="B145" s="33" t="s">
        <v>353</v>
      </c>
      <c r="C145" s="45">
        <v>341.6</v>
      </c>
      <c r="D145" s="25">
        <v>0.4</v>
      </c>
      <c r="E145" s="25">
        <f t="shared" si="5"/>
        <v>136.64000000000001</v>
      </c>
      <c r="F145" s="25"/>
      <c r="G145" s="25">
        <f t="shared" si="4"/>
        <v>136.64000000000001</v>
      </c>
      <c r="H145" s="22">
        <v>1176211</v>
      </c>
      <c r="I145" s="216" t="s">
        <v>354</v>
      </c>
      <c r="J145" s="26" t="s">
        <v>17</v>
      </c>
      <c r="K145" s="26" t="s">
        <v>18</v>
      </c>
      <c r="L145" s="22">
        <v>99480111</v>
      </c>
      <c r="M145" s="26"/>
    </row>
    <row r="146" spans="1:14" s="144" customFormat="1" x14ac:dyDescent="0.25">
      <c r="A146" s="54">
        <v>3335</v>
      </c>
      <c r="B146" s="55" t="s">
        <v>355</v>
      </c>
      <c r="C146" s="56">
        <v>118.1</v>
      </c>
      <c r="D146" s="57">
        <v>0.4</v>
      </c>
      <c r="E146" s="57">
        <f t="shared" si="5"/>
        <v>47.24</v>
      </c>
      <c r="F146" s="57">
        <f>E146</f>
        <v>47.24</v>
      </c>
      <c r="G146" s="57">
        <f t="shared" si="4"/>
        <v>0</v>
      </c>
      <c r="H146" s="54">
        <v>2022545</v>
      </c>
      <c r="I146" s="58" t="s">
        <v>356</v>
      </c>
      <c r="J146" s="59" t="s">
        <v>25</v>
      </c>
      <c r="K146" s="60" t="s">
        <v>26</v>
      </c>
      <c r="L146" s="54">
        <v>99489989</v>
      </c>
      <c r="M146" s="461">
        <v>45727</v>
      </c>
    </row>
    <row r="147" spans="1:14" s="144" customFormat="1" x14ac:dyDescent="0.25">
      <c r="A147" s="54">
        <v>3336</v>
      </c>
      <c r="B147" s="55" t="s">
        <v>357</v>
      </c>
      <c r="C147" s="56">
        <v>242.7</v>
      </c>
      <c r="D147" s="57">
        <v>0.4</v>
      </c>
      <c r="E147" s="57">
        <f t="shared" si="5"/>
        <v>97.08</v>
      </c>
      <c r="F147" s="57">
        <f>E147</f>
        <v>97.08</v>
      </c>
      <c r="G147" s="57">
        <f t="shared" si="4"/>
        <v>0</v>
      </c>
      <c r="H147" s="54">
        <v>905756</v>
      </c>
      <c r="I147" s="58" t="s">
        <v>358</v>
      </c>
      <c r="J147" s="59" t="s">
        <v>25</v>
      </c>
      <c r="K147" s="60" t="s">
        <v>26</v>
      </c>
      <c r="L147" s="54">
        <v>92321799</v>
      </c>
      <c r="M147" s="61" t="s">
        <v>941</v>
      </c>
    </row>
    <row r="148" spans="1:14" x14ac:dyDescent="0.25">
      <c r="A148" s="22">
        <v>3337</v>
      </c>
      <c r="B148" s="33" t="s">
        <v>359</v>
      </c>
      <c r="C148" s="561">
        <v>209.2</v>
      </c>
      <c r="D148" s="25">
        <v>0.4</v>
      </c>
      <c r="E148" s="25">
        <f t="shared" si="5"/>
        <v>83.68</v>
      </c>
      <c r="F148" s="25"/>
      <c r="G148" s="25">
        <f t="shared" si="4"/>
        <v>83.68</v>
      </c>
      <c r="H148" s="22">
        <v>19344361</v>
      </c>
      <c r="I148" s="216" t="s">
        <v>360</v>
      </c>
      <c r="J148" s="473" t="s">
        <v>25</v>
      </c>
      <c r="K148" s="214" t="s">
        <v>26</v>
      </c>
      <c r="L148" s="22"/>
      <c r="M148" s="26"/>
    </row>
    <row r="149" spans="1:14" x14ac:dyDescent="0.25">
      <c r="A149" s="22">
        <v>3338</v>
      </c>
      <c r="B149" s="33" t="s">
        <v>361</v>
      </c>
      <c r="C149" s="24">
        <v>268.8</v>
      </c>
      <c r="D149" s="25">
        <v>0.4</v>
      </c>
      <c r="E149" s="25">
        <f t="shared" si="5"/>
        <v>107.52000000000001</v>
      </c>
      <c r="F149" s="25"/>
      <c r="G149" s="25">
        <f t="shared" si="4"/>
        <v>107.52000000000001</v>
      </c>
      <c r="H149" s="22">
        <v>1078791</v>
      </c>
      <c r="I149" s="216" t="s">
        <v>362</v>
      </c>
      <c r="J149" s="26" t="s">
        <v>17</v>
      </c>
      <c r="K149" s="26" t="s">
        <v>18</v>
      </c>
      <c r="L149" s="22"/>
      <c r="M149" s="26"/>
    </row>
    <row r="150" spans="1:14" s="144" customFormat="1" x14ac:dyDescent="0.25">
      <c r="A150" s="54">
        <v>3340</v>
      </c>
      <c r="B150" s="55" t="s">
        <v>363</v>
      </c>
      <c r="C150" s="56">
        <v>187.3</v>
      </c>
      <c r="D150" s="57">
        <v>0.4</v>
      </c>
      <c r="E150" s="57">
        <f t="shared" si="5"/>
        <v>74.92</v>
      </c>
      <c r="F150" s="57">
        <f>74.62+0.3</f>
        <v>74.92</v>
      </c>
      <c r="G150" s="57">
        <f t="shared" si="4"/>
        <v>0</v>
      </c>
      <c r="H150" s="54">
        <v>906355</v>
      </c>
      <c r="I150" s="58" t="s">
        <v>364</v>
      </c>
      <c r="J150" s="59" t="s">
        <v>25</v>
      </c>
      <c r="K150" s="60" t="s">
        <v>26</v>
      </c>
      <c r="L150" s="54">
        <v>95333933</v>
      </c>
      <c r="M150" s="61" t="s">
        <v>954</v>
      </c>
      <c r="N150" s="144" t="s">
        <v>974</v>
      </c>
    </row>
    <row r="151" spans="1:14" s="144" customFormat="1" x14ac:dyDescent="0.25">
      <c r="A151" s="54">
        <v>3342</v>
      </c>
      <c r="B151" s="55" t="s">
        <v>366</v>
      </c>
      <c r="C151" s="56">
        <v>165.1</v>
      </c>
      <c r="D151" s="57">
        <v>0.4</v>
      </c>
      <c r="E151" s="57">
        <f t="shared" si="5"/>
        <v>66.040000000000006</v>
      </c>
      <c r="F151" s="57">
        <f>E151</f>
        <v>66.040000000000006</v>
      </c>
      <c r="G151" s="57">
        <f t="shared" si="4"/>
        <v>0</v>
      </c>
      <c r="H151" s="54">
        <v>1779485</v>
      </c>
      <c r="I151" s="58" t="s">
        <v>367</v>
      </c>
      <c r="J151" s="61" t="s">
        <v>17</v>
      </c>
      <c r="K151" s="61" t="s">
        <v>18</v>
      </c>
      <c r="L151" s="54"/>
      <c r="M151" s="61" t="s">
        <v>938</v>
      </c>
    </row>
    <row r="152" spans="1:14" s="144" customFormat="1" x14ac:dyDescent="0.25">
      <c r="A152" s="54">
        <v>3346</v>
      </c>
      <c r="B152" s="55" t="s">
        <v>368</v>
      </c>
      <c r="C152" s="56">
        <v>397.8</v>
      </c>
      <c r="D152" s="57">
        <v>0.4</v>
      </c>
      <c r="E152" s="57">
        <f t="shared" si="5"/>
        <v>159.12</v>
      </c>
      <c r="F152" s="57">
        <f>157.41+1.71</f>
        <v>159.12</v>
      </c>
      <c r="G152" s="57">
        <f t="shared" si="4"/>
        <v>0</v>
      </c>
      <c r="H152" s="54">
        <v>1586848</v>
      </c>
      <c r="I152" s="58" t="s">
        <v>369</v>
      </c>
      <c r="J152" s="61" t="s">
        <v>166</v>
      </c>
      <c r="K152" s="61" t="s">
        <v>129</v>
      </c>
      <c r="L152" s="54">
        <v>92930610</v>
      </c>
      <c r="M152" s="61" t="s">
        <v>927</v>
      </c>
      <c r="N152" s="61" t="s">
        <v>934</v>
      </c>
    </row>
    <row r="153" spans="1:14" s="144" customFormat="1" x14ac:dyDescent="0.25">
      <c r="A153" s="54">
        <v>3700</v>
      </c>
      <c r="B153" s="55" t="s">
        <v>27</v>
      </c>
      <c r="C153" s="56">
        <v>648.4</v>
      </c>
      <c r="D153" s="57">
        <v>0.4</v>
      </c>
      <c r="E153" s="57">
        <f t="shared" si="5"/>
        <v>259.36</v>
      </c>
      <c r="F153" s="57">
        <f>257.79+1.57</f>
        <v>259.36</v>
      </c>
      <c r="G153" s="57">
        <f t="shared" si="4"/>
        <v>0</v>
      </c>
      <c r="H153" s="54">
        <v>19729836</v>
      </c>
      <c r="I153" s="60" t="s">
        <v>28</v>
      </c>
      <c r="J153" s="59" t="s">
        <v>25</v>
      </c>
      <c r="K153" s="61" t="s">
        <v>26</v>
      </c>
      <c r="L153" s="54">
        <v>99633838</v>
      </c>
      <c r="M153" s="61" t="s">
        <v>918</v>
      </c>
      <c r="N153" s="61" t="s">
        <v>938</v>
      </c>
    </row>
    <row r="154" spans="1:14" s="144" customFormat="1" x14ac:dyDescent="0.25">
      <c r="A154" s="54">
        <v>3702</v>
      </c>
      <c r="B154" s="55" t="s">
        <v>370</v>
      </c>
      <c r="C154" s="56">
        <v>264.7</v>
      </c>
      <c r="D154" s="57">
        <v>0.4</v>
      </c>
      <c r="E154" s="57">
        <f t="shared" si="5"/>
        <v>105.88</v>
      </c>
      <c r="F154" s="57">
        <f>103.35+2.53</f>
        <v>105.88</v>
      </c>
      <c r="G154" s="57">
        <f t="shared" si="4"/>
        <v>0</v>
      </c>
      <c r="H154" s="124" t="s">
        <v>371</v>
      </c>
      <c r="I154" s="60" t="s">
        <v>372</v>
      </c>
      <c r="J154" s="61" t="s">
        <v>17</v>
      </c>
      <c r="K154" s="61" t="s">
        <v>18</v>
      </c>
      <c r="L154" s="54">
        <v>90939111</v>
      </c>
      <c r="M154" s="61" t="s">
        <v>928</v>
      </c>
      <c r="N154" s="461">
        <v>45700</v>
      </c>
    </row>
    <row r="155" spans="1:14" s="144" customFormat="1" x14ac:dyDescent="0.25">
      <c r="A155" s="54">
        <v>3703</v>
      </c>
      <c r="B155" s="55" t="s">
        <v>373</v>
      </c>
      <c r="C155" s="56">
        <v>635</v>
      </c>
      <c r="D155" s="57">
        <v>0.4</v>
      </c>
      <c r="E155" s="57">
        <f t="shared" si="5"/>
        <v>254</v>
      </c>
      <c r="F155" s="57">
        <f>E155</f>
        <v>254</v>
      </c>
      <c r="G155" s="57">
        <f t="shared" si="4"/>
        <v>0</v>
      </c>
      <c r="H155" s="54">
        <v>6332137</v>
      </c>
      <c r="I155" s="60" t="s">
        <v>374</v>
      </c>
      <c r="J155" s="61" t="s">
        <v>121</v>
      </c>
      <c r="K155" s="61" t="s">
        <v>122</v>
      </c>
      <c r="L155" s="54">
        <v>98239666</v>
      </c>
      <c r="M155" s="461">
        <v>45699</v>
      </c>
    </row>
    <row r="156" spans="1:14" x14ac:dyDescent="0.25">
      <c r="A156" s="22">
        <v>3704</v>
      </c>
      <c r="B156" s="33" t="s">
        <v>375</v>
      </c>
      <c r="C156" s="24">
        <v>339.8</v>
      </c>
      <c r="D156" s="25">
        <v>0.4</v>
      </c>
      <c r="E156" s="25">
        <f t="shared" si="5"/>
        <v>135.92000000000002</v>
      </c>
      <c r="F156" s="25"/>
      <c r="G156" s="25">
        <f t="shared" si="4"/>
        <v>135.92000000000002</v>
      </c>
      <c r="H156" s="22">
        <v>730722</v>
      </c>
      <c r="I156" s="216" t="s">
        <v>376</v>
      </c>
      <c r="J156" s="26" t="s">
        <v>25</v>
      </c>
      <c r="K156" s="214" t="s">
        <v>26</v>
      </c>
      <c r="L156" s="22">
        <v>92499000</v>
      </c>
      <c r="M156" s="26"/>
    </row>
    <row r="157" spans="1:14" s="144" customFormat="1" x14ac:dyDescent="0.25">
      <c r="A157" s="54">
        <v>3705</v>
      </c>
      <c r="B157" s="55" t="s">
        <v>377</v>
      </c>
      <c r="C157" s="56">
        <v>215.3</v>
      </c>
      <c r="D157" s="57">
        <v>0.4</v>
      </c>
      <c r="E157" s="57">
        <f t="shared" si="5"/>
        <v>86.12</v>
      </c>
      <c r="F157" s="57">
        <f>E157</f>
        <v>86.12</v>
      </c>
      <c r="G157" s="57">
        <f t="shared" si="4"/>
        <v>0</v>
      </c>
      <c r="H157" s="54">
        <v>738486</v>
      </c>
      <c r="I157" s="58" t="s">
        <v>378</v>
      </c>
      <c r="J157" s="61" t="s">
        <v>25</v>
      </c>
      <c r="K157" s="60" t="s">
        <v>26</v>
      </c>
      <c r="L157" s="54">
        <v>99486030</v>
      </c>
      <c r="M157" s="61" t="s">
        <v>931</v>
      </c>
    </row>
    <row r="158" spans="1:14" s="144" customFormat="1" x14ac:dyDescent="0.25">
      <c r="A158" s="54">
        <v>3706</v>
      </c>
      <c r="B158" s="55" t="s">
        <v>379</v>
      </c>
      <c r="C158" s="56">
        <v>210.4</v>
      </c>
      <c r="D158" s="57">
        <v>0.4</v>
      </c>
      <c r="E158" s="57">
        <f t="shared" si="5"/>
        <v>84.160000000000011</v>
      </c>
      <c r="F158" s="57">
        <f>E158</f>
        <v>84.160000000000011</v>
      </c>
      <c r="G158" s="57">
        <f t="shared" si="4"/>
        <v>0</v>
      </c>
      <c r="H158" s="54">
        <v>8098795</v>
      </c>
      <c r="I158" s="58" t="s">
        <v>380</v>
      </c>
      <c r="J158" s="61" t="s">
        <v>25</v>
      </c>
      <c r="K158" s="60" t="s">
        <v>26</v>
      </c>
      <c r="L158" s="54">
        <v>93567000</v>
      </c>
      <c r="M158" s="61" t="s">
        <v>931</v>
      </c>
    </row>
    <row r="159" spans="1:14" s="549" customFormat="1" x14ac:dyDescent="0.25">
      <c r="A159" s="542">
        <v>3708</v>
      </c>
      <c r="B159" s="543" t="s">
        <v>381</v>
      </c>
      <c r="C159" s="544">
        <v>431.4</v>
      </c>
      <c r="D159" s="545">
        <v>0.4</v>
      </c>
      <c r="E159" s="545">
        <f t="shared" si="5"/>
        <v>172.56</v>
      </c>
      <c r="F159" s="545">
        <f>E159</f>
        <v>172.56</v>
      </c>
      <c r="G159" s="545">
        <f t="shared" si="4"/>
        <v>0</v>
      </c>
      <c r="H159" s="545">
        <v>5304255</v>
      </c>
      <c r="I159" s="547" t="s">
        <v>383</v>
      </c>
      <c r="J159" s="548" t="s">
        <v>25</v>
      </c>
      <c r="K159" s="547" t="s">
        <v>26</v>
      </c>
      <c r="L159" s="542">
        <v>98822655</v>
      </c>
      <c r="M159" s="579" t="s">
        <v>953</v>
      </c>
    </row>
    <row r="160" spans="1:14" s="144" customFormat="1" ht="14.25" customHeight="1" x14ac:dyDescent="0.25">
      <c r="A160" s="54">
        <v>3709</v>
      </c>
      <c r="B160" s="55" t="s">
        <v>912</v>
      </c>
      <c r="C160" s="56">
        <v>419.5</v>
      </c>
      <c r="D160" s="57">
        <v>0.4</v>
      </c>
      <c r="E160" s="57">
        <f t="shared" si="5"/>
        <v>167.8</v>
      </c>
      <c r="F160" s="57">
        <f>3.28000000000001+164.52</f>
        <v>167.8</v>
      </c>
      <c r="G160" s="57">
        <f t="shared" si="4"/>
        <v>0</v>
      </c>
      <c r="H160" s="124" t="s">
        <v>913</v>
      </c>
      <c r="I160" s="60" t="s">
        <v>911</v>
      </c>
      <c r="J160" s="59" t="s">
        <v>25</v>
      </c>
      <c r="K160" s="60" t="s">
        <v>26</v>
      </c>
      <c r="L160" s="54">
        <v>99693314</v>
      </c>
      <c r="M160" s="461">
        <v>45788</v>
      </c>
      <c r="N160" s="61" t="s">
        <v>954</v>
      </c>
    </row>
    <row r="161" spans="1:21" s="144" customFormat="1" x14ac:dyDescent="0.25">
      <c r="A161" s="54">
        <v>3711</v>
      </c>
      <c r="B161" s="55" t="s">
        <v>387</v>
      </c>
      <c r="C161" s="56">
        <v>162.80000000000001</v>
      </c>
      <c r="D161" s="57">
        <v>0.4</v>
      </c>
      <c r="E161" s="57">
        <f t="shared" si="5"/>
        <v>65.12</v>
      </c>
      <c r="F161" s="57">
        <f>E161</f>
        <v>65.12</v>
      </c>
      <c r="G161" s="57">
        <f t="shared" si="4"/>
        <v>0</v>
      </c>
      <c r="H161" s="124" t="s">
        <v>388</v>
      </c>
      <c r="I161" s="60" t="s">
        <v>389</v>
      </c>
      <c r="J161" s="61" t="s">
        <v>17</v>
      </c>
      <c r="K161" s="61" t="s">
        <v>18</v>
      </c>
      <c r="L161" s="54">
        <v>99590400</v>
      </c>
      <c r="M161" s="61" t="s">
        <v>934</v>
      </c>
    </row>
    <row r="162" spans="1:21" s="170" customFormat="1" x14ac:dyDescent="0.25">
      <c r="A162" s="115">
        <v>3712</v>
      </c>
      <c r="B162" s="116" t="s">
        <v>390</v>
      </c>
      <c r="C162" s="117">
        <v>149.1</v>
      </c>
      <c r="D162" s="118">
        <v>0.4</v>
      </c>
      <c r="E162" s="118">
        <f t="shared" si="5"/>
        <v>59.64</v>
      </c>
      <c r="F162" s="118">
        <f>E162</f>
        <v>59.64</v>
      </c>
      <c r="G162" s="118">
        <f t="shared" si="4"/>
        <v>0</v>
      </c>
      <c r="H162" s="569" t="s">
        <v>391</v>
      </c>
      <c r="I162" s="120" t="s">
        <v>392</v>
      </c>
      <c r="J162" s="121" t="s">
        <v>25</v>
      </c>
      <c r="K162" s="120" t="s">
        <v>26</v>
      </c>
      <c r="L162" s="115">
        <v>99586643</v>
      </c>
      <c r="M162" s="125" t="s">
        <v>946</v>
      </c>
    </row>
    <row r="163" spans="1:21" x14ac:dyDescent="0.25">
      <c r="A163" s="22">
        <v>3713</v>
      </c>
      <c r="B163" s="33" t="s">
        <v>393</v>
      </c>
      <c r="C163" s="24">
        <v>100.8</v>
      </c>
      <c r="D163" s="25">
        <v>0.4</v>
      </c>
      <c r="E163" s="25">
        <f t="shared" si="5"/>
        <v>40.32</v>
      </c>
      <c r="F163" s="25"/>
      <c r="G163" s="25">
        <f t="shared" si="4"/>
        <v>40.32</v>
      </c>
      <c r="H163" s="80" t="s">
        <v>394</v>
      </c>
      <c r="I163" s="26" t="s">
        <v>395</v>
      </c>
      <c r="J163" s="26" t="s">
        <v>121</v>
      </c>
      <c r="K163" s="26" t="s">
        <v>122</v>
      </c>
      <c r="L163" s="22">
        <v>99490438</v>
      </c>
      <c r="M163" s="26"/>
    </row>
    <row r="164" spans="1:21" s="144" customFormat="1" x14ac:dyDescent="0.25">
      <c r="A164" s="54">
        <v>3716</v>
      </c>
      <c r="B164" s="55" t="s">
        <v>396</v>
      </c>
      <c r="C164" s="56">
        <v>455.4</v>
      </c>
      <c r="D164" s="57">
        <v>0.4</v>
      </c>
      <c r="E164" s="57">
        <f t="shared" si="5"/>
        <v>182.16</v>
      </c>
      <c r="F164" s="57">
        <f>E164</f>
        <v>182.16</v>
      </c>
      <c r="G164" s="57">
        <f t="shared" si="4"/>
        <v>0</v>
      </c>
      <c r="H164" s="84" t="s">
        <v>397</v>
      </c>
      <c r="I164" s="60" t="s">
        <v>398</v>
      </c>
      <c r="J164" s="59" t="s">
        <v>25</v>
      </c>
      <c r="K164" s="60" t="s">
        <v>26</v>
      </c>
      <c r="L164" s="54"/>
      <c r="M164" s="461">
        <v>45727</v>
      </c>
    </row>
    <row r="165" spans="1:21" s="144" customFormat="1" x14ac:dyDescent="0.25">
      <c r="A165" s="54">
        <v>3717</v>
      </c>
      <c r="B165" s="55" t="s">
        <v>399</v>
      </c>
      <c r="C165" s="56">
        <v>469.6</v>
      </c>
      <c r="D165" s="57">
        <v>0.4</v>
      </c>
      <c r="E165" s="57">
        <f t="shared" si="5"/>
        <v>187.84000000000003</v>
      </c>
      <c r="F165" s="57">
        <f>E165</f>
        <v>187.84000000000003</v>
      </c>
      <c r="G165" s="57">
        <f t="shared" si="4"/>
        <v>0</v>
      </c>
      <c r="H165" s="84" t="s">
        <v>400</v>
      </c>
      <c r="I165" s="60" t="s">
        <v>401</v>
      </c>
      <c r="J165" s="59" t="s">
        <v>25</v>
      </c>
      <c r="K165" s="60" t="s">
        <v>26</v>
      </c>
      <c r="L165" s="54"/>
      <c r="M165" s="461">
        <v>46002</v>
      </c>
    </row>
    <row r="166" spans="1:21" x14ac:dyDescent="0.25">
      <c r="A166" s="22">
        <v>3718</v>
      </c>
      <c r="B166" s="33" t="s">
        <v>403</v>
      </c>
      <c r="C166" s="24">
        <v>157.6</v>
      </c>
      <c r="D166" s="25">
        <v>0.4</v>
      </c>
      <c r="E166" s="25">
        <f t="shared" si="5"/>
        <v>63.04</v>
      </c>
      <c r="F166" s="25"/>
      <c r="G166" s="25">
        <f t="shared" si="4"/>
        <v>63.04</v>
      </c>
      <c r="H166" s="80" t="s">
        <v>404</v>
      </c>
      <c r="I166" s="214" t="s">
        <v>405</v>
      </c>
      <c r="J166" s="26" t="s">
        <v>43</v>
      </c>
      <c r="K166" s="214" t="s">
        <v>44</v>
      </c>
      <c r="L166" s="22">
        <v>92955331</v>
      </c>
      <c r="M166" s="26"/>
    </row>
    <row r="167" spans="1:21" x14ac:dyDescent="0.25">
      <c r="A167" s="22">
        <v>3719</v>
      </c>
      <c r="B167" s="33" t="s">
        <v>406</v>
      </c>
      <c r="C167" s="24">
        <v>262.60000000000002</v>
      </c>
      <c r="D167" s="25">
        <v>0.4</v>
      </c>
      <c r="E167" s="25">
        <f t="shared" si="5"/>
        <v>105.04000000000002</v>
      </c>
      <c r="F167" s="25"/>
      <c r="G167" s="25">
        <f t="shared" si="4"/>
        <v>105.04000000000002</v>
      </c>
      <c r="H167" s="80" t="s">
        <v>407</v>
      </c>
      <c r="I167" s="214" t="s">
        <v>408</v>
      </c>
      <c r="J167" s="216" t="s">
        <v>75</v>
      </c>
      <c r="K167" s="26" t="s">
        <v>76</v>
      </c>
      <c r="L167" s="22">
        <v>99083559</v>
      </c>
      <c r="M167" s="26"/>
    </row>
    <row r="168" spans="1:21" s="144" customFormat="1" x14ac:dyDescent="0.25">
      <c r="A168" s="54">
        <v>3720</v>
      </c>
      <c r="B168" s="55" t="s">
        <v>409</v>
      </c>
      <c r="C168" s="56">
        <v>228.1</v>
      </c>
      <c r="D168" s="57">
        <v>0.4</v>
      </c>
      <c r="E168" s="57">
        <f t="shared" si="5"/>
        <v>91.240000000000009</v>
      </c>
      <c r="F168" s="57">
        <f>90.29+0.95</f>
        <v>91.240000000000009</v>
      </c>
      <c r="G168" s="57">
        <f t="shared" si="4"/>
        <v>0</v>
      </c>
      <c r="H168" s="124" t="s">
        <v>410</v>
      </c>
      <c r="I168" s="60" t="s">
        <v>411</v>
      </c>
      <c r="J168" s="61" t="s">
        <v>17</v>
      </c>
      <c r="K168" s="61" t="s">
        <v>18</v>
      </c>
      <c r="L168" s="54">
        <v>91731345</v>
      </c>
      <c r="M168" s="61" t="s">
        <v>920</v>
      </c>
      <c r="N168" s="61" t="s">
        <v>931</v>
      </c>
    </row>
    <row r="169" spans="1:21" s="578" customFormat="1" x14ac:dyDescent="0.25">
      <c r="A169" s="570">
        <v>3722</v>
      </c>
      <c r="B169" s="571" t="s">
        <v>412</v>
      </c>
      <c r="C169" s="572"/>
      <c r="D169" s="573">
        <v>0.4</v>
      </c>
      <c r="E169" s="573">
        <f t="shared" si="5"/>
        <v>0</v>
      </c>
      <c r="F169" s="573"/>
      <c r="G169" s="573">
        <f t="shared" si="4"/>
        <v>0</v>
      </c>
      <c r="H169" s="574" t="s">
        <v>413</v>
      </c>
      <c r="I169" s="575" t="s">
        <v>414</v>
      </c>
      <c r="J169" s="576" t="s">
        <v>75</v>
      </c>
      <c r="K169" s="577" t="s">
        <v>76</v>
      </c>
      <c r="L169" s="570">
        <v>96912200</v>
      </c>
      <c r="M169" s="577"/>
    </row>
    <row r="170" spans="1:21" x14ac:dyDescent="0.25">
      <c r="A170" s="22">
        <v>3723</v>
      </c>
      <c r="B170" s="33" t="s">
        <v>415</v>
      </c>
      <c r="C170" s="45">
        <v>191</v>
      </c>
      <c r="D170" s="25">
        <v>0.4</v>
      </c>
      <c r="E170" s="25">
        <f t="shared" si="5"/>
        <v>76.400000000000006</v>
      </c>
      <c r="F170" s="25">
        <f>E170</f>
        <v>76.400000000000006</v>
      </c>
      <c r="G170" s="25">
        <f t="shared" si="4"/>
        <v>0</v>
      </c>
      <c r="H170" s="457">
        <v>993752</v>
      </c>
      <c r="I170" s="483" t="s">
        <v>416</v>
      </c>
      <c r="J170" s="478" t="s">
        <v>25</v>
      </c>
      <c r="K170" s="483" t="s">
        <v>26</v>
      </c>
      <c r="L170" s="457">
        <v>99100344</v>
      </c>
      <c r="M170" s="61" t="s">
        <v>965</v>
      </c>
      <c r="O170" s="50"/>
    </row>
    <row r="171" spans="1:21" s="144" customFormat="1" x14ac:dyDescent="0.25">
      <c r="A171" s="54">
        <v>3725</v>
      </c>
      <c r="B171" s="55" t="s">
        <v>297</v>
      </c>
      <c r="C171" s="56">
        <v>392</v>
      </c>
      <c r="D171" s="57">
        <v>0.4</v>
      </c>
      <c r="E171" s="57">
        <f t="shared" si="5"/>
        <v>156.80000000000001</v>
      </c>
      <c r="F171" s="57">
        <f>156.39+0.41</f>
        <v>156.79999999999998</v>
      </c>
      <c r="G171" s="57">
        <f t="shared" si="4"/>
        <v>0</v>
      </c>
      <c r="H171" s="71">
        <v>1648248</v>
      </c>
      <c r="I171" s="514" t="s">
        <v>417</v>
      </c>
      <c r="J171" s="73" t="s">
        <v>25</v>
      </c>
      <c r="K171" s="69" t="s">
        <v>26</v>
      </c>
      <c r="L171" s="54">
        <v>99497550</v>
      </c>
      <c r="M171" s="61" t="s">
        <v>927</v>
      </c>
      <c r="N171" s="503">
        <v>45788</v>
      </c>
      <c r="O171" s="530"/>
      <c r="U171" s="566"/>
    </row>
    <row r="172" spans="1:21" x14ac:dyDescent="0.25">
      <c r="A172" s="22">
        <v>3727</v>
      </c>
      <c r="B172" s="33" t="s">
        <v>419</v>
      </c>
      <c r="C172" s="24">
        <v>88.8</v>
      </c>
      <c r="D172" s="25">
        <v>0.4</v>
      </c>
      <c r="E172" s="25">
        <f t="shared" si="5"/>
        <v>35.520000000000003</v>
      </c>
      <c r="F172" s="25"/>
      <c r="G172" s="25">
        <f t="shared" si="4"/>
        <v>35.520000000000003</v>
      </c>
      <c r="H172" s="80" t="s">
        <v>420</v>
      </c>
      <c r="I172" s="214" t="s">
        <v>421</v>
      </c>
      <c r="J172" s="473" t="s">
        <v>25</v>
      </c>
      <c r="K172" s="214" t="s">
        <v>26</v>
      </c>
      <c r="L172" s="22">
        <v>99679943</v>
      </c>
      <c r="M172" s="26"/>
    </row>
    <row r="173" spans="1:21" s="144" customFormat="1" x14ac:dyDescent="0.25">
      <c r="A173" s="54">
        <v>3728</v>
      </c>
      <c r="B173" s="55" t="s">
        <v>422</v>
      </c>
      <c r="C173" s="56">
        <v>167.4</v>
      </c>
      <c r="D173" s="57">
        <v>0.4</v>
      </c>
      <c r="E173" s="57">
        <f t="shared" si="5"/>
        <v>66.960000000000008</v>
      </c>
      <c r="F173" s="57">
        <f>E173</f>
        <v>66.960000000000008</v>
      </c>
      <c r="G173" s="57">
        <f t="shared" si="4"/>
        <v>0</v>
      </c>
      <c r="H173" s="71">
        <v>25886784</v>
      </c>
      <c r="I173" s="514" t="s">
        <v>423</v>
      </c>
      <c r="J173" s="73" t="s">
        <v>25</v>
      </c>
      <c r="K173" s="69" t="s">
        <v>26</v>
      </c>
      <c r="L173" s="54">
        <v>99564153</v>
      </c>
      <c r="M173" s="461">
        <v>46002</v>
      </c>
      <c r="O173" s="530"/>
      <c r="U173" s="566"/>
    </row>
    <row r="174" spans="1:21" s="144" customFormat="1" x14ac:dyDescent="0.25">
      <c r="A174" s="54">
        <v>3729</v>
      </c>
      <c r="B174" s="55" t="s">
        <v>424</v>
      </c>
      <c r="C174" s="527">
        <v>138.5</v>
      </c>
      <c r="D174" s="57">
        <v>0.4</v>
      </c>
      <c r="E174" s="57">
        <f t="shared" si="5"/>
        <v>55.400000000000006</v>
      </c>
      <c r="F174" s="57">
        <f>E174</f>
        <v>55.400000000000006</v>
      </c>
      <c r="G174" s="57">
        <f t="shared" si="4"/>
        <v>0</v>
      </c>
      <c r="H174" s="506" t="s">
        <v>425</v>
      </c>
      <c r="I174" s="60" t="s">
        <v>426</v>
      </c>
      <c r="J174" s="73" t="s">
        <v>25</v>
      </c>
      <c r="K174" s="69" t="s">
        <v>26</v>
      </c>
      <c r="L174" s="54">
        <v>91288200</v>
      </c>
      <c r="M174" s="61" t="s">
        <v>930</v>
      </c>
    </row>
    <row r="175" spans="1:21" s="144" customFormat="1" x14ac:dyDescent="0.25">
      <c r="A175" s="54">
        <v>3730</v>
      </c>
      <c r="B175" s="55" t="s">
        <v>427</v>
      </c>
      <c r="C175" s="56">
        <v>261.60000000000002</v>
      </c>
      <c r="D175" s="57">
        <v>0.4</v>
      </c>
      <c r="E175" s="57">
        <f t="shared" si="5"/>
        <v>104.64000000000001</v>
      </c>
      <c r="F175" s="57">
        <f>E175</f>
        <v>104.64000000000001</v>
      </c>
      <c r="G175" s="57">
        <f t="shared" si="4"/>
        <v>0</v>
      </c>
      <c r="H175" s="124" t="s">
        <v>428</v>
      </c>
      <c r="I175" s="60" t="s">
        <v>429</v>
      </c>
      <c r="J175" s="59" t="s">
        <v>25</v>
      </c>
      <c r="K175" s="60" t="s">
        <v>26</v>
      </c>
      <c r="L175" s="54">
        <v>93504408</v>
      </c>
      <c r="M175" s="61" t="s">
        <v>935</v>
      </c>
    </row>
    <row r="176" spans="1:21" s="144" customFormat="1" x14ac:dyDescent="0.25">
      <c r="A176" s="54">
        <v>3731</v>
      </c>
      <c r="B176" s="55" t="s">
        <v>430</v>
      </c>
      <c r="C176" s="56">
        <v>486.4</v>
      </c>
      <c r="D176" s="57">
        <v>0.4</v>
      </c>
      <c r="E176" s="57">
        <f t="shared" si="5"/>
        <v>194.56</v>
      </c>
      <c r="F176" s="57">
        <f>E176</f>
        <v>194.56</v>
      </c>
      <c r="G176" s="57">
        <f t="shared" si="4"/>
        <v>0</v>
      </c>
      <c r="H176" s="468">
        <v>4640285</v>
      </c>
      <c r="I176" s="60" t="s">
        <v>431</v>
      </c>
      <c r="J176" s="59" t="s">
        <v>25</v>
      </c>
      <c r="K176" s="60" t="s">
        <v>26</v>
      </c>
      <c r="L176" s="54">
        <v>99493301</v>
      </c>
      <c r="M176" s="61" t="s">
        <v>938</v>
      </c>
    </row>
    <row r="177" spans="1:21" x14ac:dyDescent="0.25">
      <c r="A177" s="22">
        <v>3732</v>
      </c>
      <c r="B177" s="464" t="s">
        <v>791</v>
      </c>
      <c r="C177" s="24">
        <v>14.9</v>
      </c>
      <c r="D177" s="25">
        <v>0.4</v>
      </c>
      <c r="E177" s="25">
        <f t="shared" si="5"/>
        <v>5.9600000000000009</v>
      </c>
      <c r="F177" s="25"/>
      <c r="G177" s="25">
        <f t="shared" si="4"/>
        <v>5.9600000000000009</v>
      </c>
      <c r="H177" s="469">
        <v>194498</v>
      </c>
      <c r="I177" s="481" t="s">
        <v>841</v>
      </c>
      <c r="J177" s="484" t="s">
        <v>17</v>
      </c>
      <c r="K177" s="511" t="s">
        <v>18</v>
      </c>
      <c r="L177" s="22"/>
      <c r="M177" s="26"/>
    </row>
    <row r="178" spans="1:21" x14ac:dyDescent="0.25">
      <c r="A178" s="22">
        <v>3733</v>
      </c>
      <c r="B178" s="33" t="s">
        <v>432</v>
      </c>
      <c r="C178" s="24">
        <v>191.7</v>
      </c>
      <c r="D178" s="25">
        <v>0.4</v>
      </c>
      <c r="E178" s="25">
        <f t="shared" si="5"/>
        <v>76.679999999999993</v>
      </c>
      <c r="F178" s="25">
        <f>E178</f>
        <v>76.679999999999993</v>
      </c>
      <c r="G178" s="25">
        <f t="shared" si="4"/>
        <v>0</v>
      </c>
      <c r="H178" s="83">
        <v>23270163</v>
      </c>
      <c r="I178" s="214" t="s">
        <v>433</v>
      </c>
      <c r="J178" s="478" t="s">
        <v>25</v>
      </c>
      <c r="K178" s="507" t="s">
        <v>26</v>
      </c>
      <c r="L178" s="22">
        <v>92212553</v>
      </c>
      <c r="M178" s="461">
        <v>45700</v>
      </c>
      <c r="O178" s="50"/>
      <c r="U178" s="63"/>
    </row>
    <row r="179" spans="1:21" s="144" customFormat="1" x14ac:dyDescent="0.25">
      <c r="A179" s="54">
        <v>3734</v>
      </c>
      <c r="B179" s="55" t="s">
        <v>434</v>
      </c>
      <c r="C179" s="56">
        <v>243.5</v>
      </c>
      <c r="D179" s="57">
        <v>0.4</v>
      </c>
      <c r="E179" s="57">
        <f t="shared" si="5"/>
        <v>97.4</v>
      </c>
      <c r="F179" s="57">
        <f>95.57+1.83</f>
        <v>97.399999999999991</v>
      </c>
      <c r="G179" s="57">
        <f t="shared" si="4"/>
        <v>0</v>
      </c>
      <c r="H179" s="84">
        <v>6680216</v>
      </c>
      <c r="I179" s="60" t="s">
        <v>435</v>
      </c>
      <c r="J179" s="61" t="s">
        <v>17</v>
      </c>
      <c r="K179" s="61" t="s">
        <v>18</v>
      </c>
      <c r="L179" s="54">
        <v>92333311</v>
      </c>
      <c r="M179" s="61" t="s">
        <v>921</v>
      </c>
      <c r="N179" s="489" t="s">
        <v>962</v>
      </c>
    </row>
    <row r="180" spans="1:21" s="144" customFormat="1" x14ac:dyDescent="0.25">
      <c r="A180" s="54">
        <v>3735</v>
      </c>
      <c r="B180" s="55" t="s">
        <v>436</v>
      </c>
      <c r="C180" s="56">
        <v>192.4</v>
      </c>
      <c r="D180" s="57">
        <v>0.4</v>
      </c>
      <c r="E180" s="57">
        <f t="shared" si="5"/>
        <v>76.960000000000008</v>
      </c>
      <c r="F180" s="57">
        <f>E180</f>
        <v>76.960000000000008</v>
      </c>
      <c r="G180" s="57">
        <f t="shared" si="4"/>
        <v>0</v>
      </c>
      <c r="H180" s="84">
        <v>19952467</v>
      </c>
      <c r="I180" s="60" t="s">
        <v>437</v>
      </c>
      <c r="J180" s="59" t="s">
        <v>25</v>
      </c>
      <c r="K180" s="60" t="s">
        <v>26</v>
      </c>
      <c r="L180" s="54">
        <v>91222276</v>
      </c>
      <c r="M180" s="61" t="s">
        <v>934</v>
      </c>
    </row>
    <row r="181" spans="1:21" x14ac:dyDescent="0.25">
      <c r="A181" s="22">
        <v>3739</v>
      </c>
      <c r="B181" s="44" t="s">
        <v>438</v>
      </c>
      <c r="C181" s="24">
        <v>144.5</v>
      </c>
      <c r="D181" s="25">
        <v>0.4</v>
      </c>
      <c r="E181" s="25">
        <f t="shared" si="5"/>
        <v>57.800000000000004</v>
      </c>
      <c r="F181" s="25"/>
      <c r="G181" s="25">
        <f t="shared" si="4"/>
        <v>57.800000000000004</v>
      </c>
      <c r="H181" s="469">
        <v>22187694</v>
      </c>
      <c r="I181" s="481" t="s">
        <v>439</v>
      </c>
      <c r="J181" s="484" t="s">
        <v>25</v>
      </c>
      <c r="K181" s="481" t="s">
        <v>26</v>
      </c>
      <c r="L181" s="465">
        <v>93000079</v>
      </c>
      <c r="M181" s="26"/>
    </row>
    <row r="182" spans="1:21" s="144" customFormat="1" x14ac:dyDescent="0.25">
      <c r="A182" s="54">
        <v>3740</v>
      </c>
      <c r="B182" s="55" t="s">
        <v>440</v>
      </c>
      <c r="C182" s="56">
        <v>343.6</v>
      </c>
      <c r="D182" s="57">
        <v>0.4</v>
      </c>
      <c r="E182" s="57">
        <f t="shared" si="5"/>
        <v>137.44000000000003</v>
      </c>
      <c r="F182" s="57">
        <f>E182</f>
        <v>137.44000000000003</v>
      </c>
      <c r="G182" s="57">
        <f t="shared" si="4"/>
        <v>0</v>
      </c>
      <c r="H182" s="84">
        <v>25472616</v>
      </c>
      <c r="I182" s="60" t="s">
        <v>441</v>
      </c>
      <c r="J182" s="61" t="s">
        <v>17</v>
      </c>
      <c r="K182" s="61" t="s">
        <v>18</v>
      </c>
      <c r="L182" s="54">
        <v>93318821</v>
      </c>
      <c r="M182" s="61" t="s">
        <v>938</v>
      </c>
    </row>
    <row r="183" spans="1:21" s="144" customFormat="1" x14ac:dyDescent="0.25">
      <c r="A183" s="54">
        <v>3742</v>
      </c>
      <c r="B183" s="55" t="s">
        <v>442</v>
      </c>
      <c r="C183" s="56">
        <v>134.69999999999999</v>
      </c>
      <c r="D183" s="57">
        <v>0.4</v>
      </c>
      <c r="E183" s="57">
        <f t="shared" si="5"/>
        <v>53.879999999999995</v>
      </c>
      <c r="F183" s="57">
        <f>0.39+53.49</f>
        <v>53.88</v>
      </c>
      <c r="G183" s="57">
        <f t="shared" si="4"/>
        <v>0</v>
      </c>
      <c r="H183" s="539">
        <v>1930281</v>
      </c>
      <c r="I183" s="60" t="s">
        <v>443</v>
      </c>
      <c r="J183" s="60" t="s">
        <v>418</v>
      </c>
      <c r="K183" s="72" t="s">
        <v>258</v>
      </c>
      <c r="L183" s="54">
        <v>99330095</v>
      </c>
      <c r="M183" s="461">
        <v>45936</v>
      </c>
      <c r="N183" s="61" t="s">
        <v>934</v>
      </c>
    </row>
    <row r="184" spans="1:21" x14ac:dyDescent="0.25">
      <c r="A184" s="22">
        <v>3743</v>
      </c>
      <c r="B184" s="33" t="s">
        <v>444</v>
      </c>
      <c r="C184" s="24">
        <v>259.2</v>
      </c>
      <c r="D184" s="25">
        <v>0.4</v>
      </c>
      <c r="E184" s="25">
        <f t="shared" si="5"/>
        <v>103.68</v>
      </c>
      <c r="F184" s="25"/>
      <c r="G184" s="25">
        <f t="shared" si="4"/>
        <v>103.68</v>
      </c>
      <c r="H184" s="34">
        <v>599336</v>
      </c>
      <c r="I184" s="214" t="s">
        <v>445</v>
      </c>
      <c r="J184" s="473" t="s">
        <v>25</v>
      </c>
      <c r="K184" s="214" t="s">
        <v>26</v>
      </c>
      <c r="L184" s="22">
        <v>99497544</v>
      </c>
      <c r="M184" s="26"/>
    </row>
    <row r="185" spans="1:21" s="144" customFormat="1" x14ac:dyDescent="0.25">
      <c r="A185" s="54">
        <v>3745</v>
      </c>
      <c r="B185" s="55" t="s">
        <v>446</v>
      </c>
      <c r="C185" s="56">
        <v>176.3</v>
      </c>
      <c r="D185" s="57">
        <v>0.4</v>
      </c>
      <c r="E185" s="57">
        <f t="shared" si="5"/>
        <v>70.52000000000001</v>
      </c>
      <c r="F185" s="57">
        <f>E185</f>
        <v>70.52000000000001</v>
      </c>
      <c r="G185" s="57">
        <f t="shared" si="4"/>
        <v>0</v>
      </c>
      <c r="H185" s="84">
        <v>2199772</v>
      </c>
      <c r="I185" s="60" t="s">
        <v>447</v>
      </c>
      <c r="J185" s="59" t="s">
        <v>25</v>
      </c>
      <c r="K185" s="60" t="s">
        <v>26</v>
      </c>
      <c r="L185" s="54">
        <v>72556787</v>
      </c>
      <c r="M185" s="61" t="s">
        <v>930</v>
      </c>
    </row>
    <row r="186" spans="1:21" x14ac:dyDescent="0.25">
      <c r="A186" s="22">
        <v>3746</v>
      </c>
      <c r="B186" s="33" t="s">
        <v>448</v>
      </c>
      <c r="C186" s="24">
        <v>268.2</v>
      </c>
      <c r="D186" s="25">
        <v>0.4</v>
      </c>
      <c r="E186" s="25">
        <f t="shared" si="5"/>
        <v>107.28</v>
      </c>
      <c r="F186" s="25">
        <f>E186</f>
        <v>107.28</v>
      </c>
      <c r="G186" s="25">
        <f t="shared" si="4"/>
        <v>0</v>
      </c>
      <c r="H186" s="34">
        <v>21973713</v>
      </c>
      <c r="I186" s="214" t="s">
        <v>449</v>
      </c>
      <c r="J186" s="473" t="s">
        <v>25</v>
      </c>
      <c r="K186" s="214" t="s">
        <v>26</v>
      </c>
      <c r="L186" s="22">
        <v>95710331</v>
      </c>
      <c r="M186" s="461">
        <v>45881</v>
      </c>
    </row>
    <row r="187" spans="1:21" s="144" customFormat="1" x14ac:dyDescent="0.25">
      <c r="A187" s="54">
        <v>3748</v>
      </c>
      <c r="B187" s="55" t="s">
        <v>450</v>
      </c>
      <c r="C187" s="56">
        <v>136.19999999999999</v>
      </c>
      <c r="D187" s="57">
        <v>0.4</v>
      </c>
      <c r="E187" s="57">
        <f t="shared" si="5"/>
        <v>54.48</v>
      </c>
      <c r="F187" s="57">
        <f>E187</f>
        <v>54.48</v>
      </c>
      <c r="G187" s="57">
        <f t="shared" si="4"/>
        <v>0</v>
      </c>
      <c r="H187" s="84">
        <v>18620918</v>
      </c>
      <c r="I187" s="60" t="s">
        <v>451</v>
      </c>
      <c r="J187" s="59" t="s">
        <v>25</v>
      </c>
      <c r="K187" s="60" t="s">
        <v>26</v>
      </c>
      <c r="L187" s="54">
        <v>91222276</v>
      </c>
      <c r="M187" s="61" t="s">
        <v>936</v>
      </c>
    </row>
    <row r="188" spans="1:21" s="144" customFormat="1" x14ac:dyDescent="0.25">
      <c r="A188" s="54">
        <v>3750</v>
      </c>
      <c r="B188" s="55" t="s">
        <v>452</v>
      </c>
      <c r="C188" s="56">
        <v>354.8</v>
      </c>
      <c r="D188" s="57">
        <v>0.4</v>
      </c>
      <c r="E188" s="57">
        <f t="shared" si="5"/>
        <v>141.92000000000002</v>
      </c>
      <c r="F188" s="57">
        <f>E188</f>
        <v>141.92000000000002</v>
      </c>
      <c r="G188" s="57">
        <f t="shared" si="4"/>
        <v>0</v>
      </c>
      <c r="H188" s="84">
        <v>939641</v>
      </c>
      <c r="I188" s="60" t="s">
        <v>453</v>
      </c>
      <c r="J188" s="59" t="s">
        <v>25</v>
      </c>
      <c r="K188" s="60" t="s">
        <v>26</v>
      </c>
      <c r="L188" s="54">
        <v>99588609</v>
      </c>
      <c r="M188" s="61" t="s">
        <v>940</v>
      </c>
    </row>
    <row r="189" spans="1:21" x14ac:dyDescent="0.25">
      <c r="A189" s="22">
        <v>3751</v>
      </c>
      <c r="B189" s="33" t="s">
        <v>454</v>
      </c>
      <c r="C189" s="24">
        <v>827.7</v>
      </c>
      <c r="D189" s="25">
        <v>0.4</v>
      </c>
      <c r="E189" s="25">
        <f t="shared" si="5"/>
        <v>331.08000000000004</v>
      </c>
      <c r="F189" s="25"/>
      <c r="G189" s="25">
        <f t="shared" si="4"/>
        <v>331.08000000000004</v>
      </c>
      <c r="H189" s="457">
        <v>2116627</v>
      </c>
      <c r="I189" s="474" t="s">
        <v>455</v>
      </c>
      <c r="J189" s="473" t="s">
        <v>25</v>
      </c>
      <c r="K189" s="474" t="s">
        <v>26</v>
      </c>
      <c r="L189" s="457">
        <v>99493880</v>
      </c>
      <c r="M189" s="26"/>
    </row>
    <row r="190" spans="1:21" s="144" customFormat="1" x14ac:dyDescent="0.25">
      <c r="A190" s="54">
        <v>3752</v>
      </c>
      <c r="B190" s="55" t="s">
        <v>456</v>
      </c>
      <c r="C190" s="56">
        <v>255.6</v>
      </c>
      <c r="D190" s="57">
        <v>0.4</v>
      </c>
      <c r="E190" s="57">
        <f t="shared" si="5"/>
        <v>102.24000000000001</v>
      </c>
      <c r="F190" s="57">
        <f>E190</f>
        <v>102.24000000000001</v>
      </c>
      <c r="G190" s="57">
        <f t="shared" si="4"/>
        <v>0</v>
      </c>
      <c r="H190" s="84">
        <v>2789493</v>
      </c>
      <c r="I190" s="60" t="s">
        <v>457</v>
      </c>
      <c r="J190" s="59" t="s">
        <v>25</v>
      </c>
      <c r="K190" s="60" t="s">
        <v>26</v>
      </c>
      <c r="L190" s="54">
        <v>97884330</v>
      </c>
      <c r="M190" s="61" t="s">
        <v>923</v>
      </c>
    </row>
    <row r="191" spans="1:21" s="144" customFormat="1" x14ac:dyDescent="0.25">
      <c r="A191" s="54">
        <v>3753</v>
      </c>
      <c r="B191" s="55" t="s">
        <v>458</v>
      </c>
      <c r="C191" s="56">
        <v>204.9</v>
      </c>
      <c r="D191" s="57">
        <v>0.4</v>
      </c>
      <c r="E191" s="57">
        <f t="shared" si="5"/>
        <v>81.960000000000008</v>
      </c>
      <c r="F191" s="57">
        <f>E191</f>
        <v>81.960000000000008</v>
      </c>
      <c r="G191" s="57">
        <f t="shared" si="4"/>
        <v>0</v>
      </c>
      <c r="H191" s="84">
        <v>13938302</v>
      </c>
      <c r="I191" s="60" t="s">
        <v>459</v>
      </c>
      <c r="J191" s="61" t="s">
        <v>17</v>
      </c>
      <c r="K191" s="61" t="s">
        <v>18</v>
      </c>
      <c r="L191" s="54">
        <v>99054621</v>
      </c>
      <c r="M191" s="61" t="s">
        <v>954</v>
      </c>
    </row>
    <row r="192" spans="1:21" x14ac:dyDescent="0.25">
      <c r="A192" s="22">
        <v>3754</v>
      </c>
      <c r="B192" s="33" t="s">
        <v>460</v>
      </c>
      <c r="C192" s="24">
        <v>500</v>
      </c>
      <c r="D192" s="25">
        <v>0.4</v>
      </c>
      <c r="E192" s="25">
        <f t="shared" si="5"/>
        <v>200</v>
      </c>
      <c r="F192" s="25"/>
      <c r="G192" s="25">
        <f t="shared" si="4"/>
        <v>200</v>
      </c>
      <c r="H192" s="34">
        <v>443075</v>
      </c>
      <c r="I192" s="214" t="s">
        <v>461</v>
      </c>
      <c r="J192" s="26" t="s">
        <v>210</v>
      </c>
      <c r="K192" s="216" t="s">
        <v>211</v>
      </c>
      <c r="L192" s="22">
        <v>90937047</v>
      </c>
      <c r="M192" s="26"/>
    </row>
    <row r="193" spans="1:14" s="144" customFormat="1" x14ac:dyDescent="0.25">
      <c r="A193" s="54">
        <v>3755</v>
      </c>
      <c r="B193" s="55" t="s">
        <v>462</v>
      </c>
      <c r="C193" s="56">
        <v>432</v>
      </c>
      <c r="D193" s="57">
        <v>0.4</v>
      </c>
      <c r="E193" s="57">
        <f t="shared" si="5"/>
        <v>172.8</v>
      </c>
      <c r="F193" s="57">
        <f>E193</f>
        <v>172.8</v>
      </c>
      <c r="G193" s="57">
        <f t="shared" si="4"/>
        <v>0</v>
      </c>
      <c r="H193" s="84">
        <v>15536654</v>
      </c>
      <c r="I193" s="60" t="s">
        <v>463</v>
      </c>
      <c r="J193" s="59" t="s">
        <v>25</v>
      </c>
      <c r="K193" s="60" t="s">
        <v>26</v>
      </c>
      <c r="L193" s="54">
        <v>92826690</v>
      </c>
      <c r="M193" s="61" t="s">
        <v>940</v>
      </c>
    </row>
    <row r="194" spans="1:14" s="144" customFormat="1" x14ac:dyDescent="0.25">
      <c r="A194" s="54">
        <v>3756</v>
      </c>
      <c r="B194" s="55" t="s">
        <v>464</v>
      </c>
      <c r="C194" s="56">
        <v>189</v>
      </c>
      <c r="D194" s="57">
        <v>0.4</v>
      </c>
      <c r="E194" s="57">
        <f t="shared" si="5"/>
        <v>75.600000000000009</v>
      </c>
      <c r="F194" s="57">
        <f>E194</f>
        <v>75.600000000000009</v>
      </c>
      <c r="G194" s="57">
        <f t="shared" si="4"/>
        <v>0</v>
      </c>
      <c r="H194" s="84">
        <v>630458</v>
      </c>
      <c r="I194" s="60" t="s">
        <v>465</v>
      </c>
      <c r="J194" s="59" t="s">
        <v>25</v>
      </c>
      <c r="K194" s="60" t="s">
        <v>26</v>
      </c>
      <c r="L194" s="54"/>
      <c r="M194" s="61" t="s">
        <v>938</v>
      </c>
    </row>
    <row r="195" spans="1:14" s="144" customFormat="1" x14ac:dyDescent="0.25">
      <c r="A195" s="54">
        <v>3757</v>
      </c>
      <c r="B195" s="55" t="s">
        <v>466</v>
      </c>
      <c r="C195" s="56">
        <v>258.39999999999998</v>
      </c>
      <c r="D195" s="57">
        <v>0.4</v>
      </c>
      <c r="E195" s="57">
        <f t="shared" si="5"/>
        <v>103.36</v>
      </c>
      <c r="F195" s="57">
        <f>103+0.36</f>
        <v>103.36</v>
      </c>
      <c r="G195" s="57">
        <f t="shared" si="4"/>
        <v>0</v>
      </c>
      <c r="H195" s="84">
        <v>729973</v>
      </c>
      <c r="I195" s="60" t="s">
        <v>467</v>
      </c>
      <c r="J195" s="60" t="s">
        <v>121</v>
      </c>
      <c r="K195" s="61" t="s">
        <v>122</v>
      </c>
      <c r="L195" s="54">
        <v>92283227</v>
      </c>
      <c r="M195" s="61" t="s">
        <v>928</v>
      </c>
      <c r="N195" s="461">
        <v>45881</v>
      </c>
    </row>
    <row r="196" spans="1:14" s="144" customFormat="1" x14ac:dyDescent="0.25">
      <c r="A196" s="54">
        <v>3758</v>
      </c>
      <c r="B196" s="55" t="s">
        <v>468</v>
      </c>
      <c r="C196" s="56">
        <v>258.3</v>
      </c>
      <c r="D196" s="57">
        <v>0.4</v>
      </c>
      <c r="E196" s="57">
        <f t="shared" si="5"/>
        <v>103.32000000000001</v>
      </c>
      <c r="F196" s="57">
        <f>102.6+0.72</f>
        <v>103.32</v>
      </c>
      <c r="G196" s="57">
        <f t="shared" ref="G196:G259" si="6">E196-F196</f>
        <v>0</v>
      </c>
      <c r="H196" s="84">
        <v>18899068</v>
      </c>
      <c r="I196" s="60" t="s">
        <v>469</v>
      </c>
      <c r="J196" s="59" t="s">
        <v>25</v>
      </c>
      <c r="K196" s="60" t="s">
        <v>26</v>
      </c>
      <c r="L196" s="54">
        <v>92672061</v>
      </c>
      <c r="M196" s="61" t="s">
        <v>928</v>
      </c>
      <c r="N196" s="461">
        <v>45881</v>
      </c>
    </row>
    <row r="197" spans="1:14" s="144" customFormat="1" x14ac:dyDescent="0.25">
      <c r="A197" s="54">
        <v>3759</v>
      </c>
      <c r="B197" s="55" t="s">
        <v>774</v>
      </c>
      <c r="C197" s="56">
        <v>258.8</v>
      </c>
      <c r="D197" s="57">
        <v>0.4</v>
      </c>
      <c r="E197" s="57">
        <f t="shared" si="5"/>
        <v>103.52000000000001</v>
      </c>
      <c r="F197" s="57">
        <f>102.2+1.32</f>
        <v>103.52</v>
      </c>
      <c r="G197" s="57">
        <f t="shared" si="6"/>
        <v>0</v>
      </c>
      <c r="H197" s="84">
        <v>5634282</v>
      </c>
      <c r="I197" s="60" t="s">
        <v>30</v>
      </c>
      <c r="J197" s="59" t="s">
        <v>25</v>
      </c>
      <c r="K197" s="60" t="s">
        <v>26</v>
      </c>
      <c r="L197" s="54">
        <v>99293745</v>
      </c>
      <c r="M197" s="61" t="s">
        <v>928</v>
      </c>
      <c r="N197" s="461">
        <v>45881</v>
      </c>
    </row>
    <row r="198" spans="1:14" s="144" customFormat="1" x14ac:dyDescent="0.25">
      <c r="A198" s="54">
        <v>3760</v>
      </c>
      <c r="B198" s="55" t="s">
        <v>470</v>
      </c>
      <c r="C198" s="56">
        <v>239.8</v>
      </c>
      <c r="D198" s="57">
        <v>0.4</v>
      </c>
      <c r="E198" s="57">
        <f t="shared" si="5"/>
        <v>95.920000000000016</v>
      </c>
      <c r="F198" s="57">
        <f>E198</f>
        <v>95.920000000000016</v>
      </c>
      <c r="G198" s="57">
        <f t="shared" si="6"/>
        <v>0</v>
      </c>
      <c r="H198" s="84">
        <v>19531566</v>
      </c>
      <c r="I198" s="60" t="s">
        <v>471</v>
      </c>
      <c r="J198" s="61" t="s">
        <v>17</v>
      </c>
      <c r="K198" s="61" t="s">
        <v>18</v>
      </c>
      <c r="L198" s="54">
        <v>90988855</v>
      </c>
      <c r="M198" s="61" t="s">
        <v>938</v>
      </c>
    </row>
    <row r="199" spans="1:14" s="144" customFormat="1" x14ac:dyDescent="0.25">
      <c r="A199" s="54">
        <v>3762</v>
      </c>
      <c r="B199" s="55" t="s">
        <v>472</v>
      </c>
      <c r="C199" s="56">
        <v>310.2</v>
      </c>
      <c r="D199" s="57">
        <v>0.4</v>
      </c>
      <c r="E199" s="57">
        <f t="shared" si="5"/>
        <v>124.08</v>
      </c>
      <c r="F199" s="57">
        <f>E199</f>
        <v>124.08</v>
      </c>
      <c r="G199" s="57">
        <f t="shared" si="6"/>
        <v>0</v>
      </c>
      <c r="H199" s="84">
        <v>15664101</v>
      </c>
      <c r="I199" s="60" t="s">
        <v>473</v>
      </c>
      <c r="J199" s="59" t="s">
        <v>25</v>
      </c>
      <c r="K199" s="60" t="s">
        <v>26</v>
      </c>
      <c r="L199" s="54"/>
      <c r="M199" s="61" t="s">
        <v>954</v>
      </c>
    </row>
    <row r="200" spans="1:14" x14ac:dyDescent="0.25">
      <c r="A200" s="22">
        <v>3764</v>
      </c>
      <c r="B200" s="33" t="s">
        <v>474</v>
      </c>
      <c r="C200" s="24">
        <v>567.4</v>
      </c>
      <c r="D200" s="25">
        <v>0.4</v>
      </c>
      <c r="E200" s="25">
        <f t="shared" ref="E200:E265" si="7">D200*C200</f>
        <v>226.96</v>
      </c>
      <c r="F200" s="25"/>
      <c r="G200" s="25">
        <f t="shared" si="6"/>
        <v>226.96</v>
      </c>
      <c r="H200" s="34">
        <v>1996843</v>
      </c>
      <c r="I200" s="214" t="s">
        <v>475</v>
      </c>
      <c r="J200" s="473" t="s">
        <v>25</v>
      </c>
      <c r="K200" s="214" t="s">
        <v>26</v>
      </c>
      <c r="L200" s="22">
        <v>91918493</v>
      </c>
      <c r="M200" s="26"/>
    </row>
    <row r="201" spans="1:14" x14ac:dyDescent="0.25">
      <c r="A201" s="22">
        <v>3765</v>
      </c>
      <c r="B201" s="33" t="s">
        <v>31</v>
      </c>
      <c r="C201" s="24">
        <v>622</v>
      </c>
      <c r="D201" s="25">
        <v>0.4</v>
      </c>
      <c r="E201" s="25">
        <f t="shared" si="7"/>
        <v>248.8</v>
      </c>
      <c r="F201" s="25"/>
      <c r="G201" s="25">
        <f t="shared" si="6"/>
        <v>248.8</v>
      </c>
      <c r="H201" s="34">
        <v>19752023</v>
      </c>
      <c r="I201" s="214" t="s">
        <v>32</v>
      </c>
      <c r="J201" s="473" t="s">
        <v>25</v>
      </c>
      <c r="K201" s="214" t="s">
        <v>26</v>
      </c>
      <c r="L201" s="22">
        <v>99499894</v>
      </c>
      <c r="M201" s="26"/>
    </row>
    <row r="202" spans="1:14" s="144" customFormat="1" x14ac:dyDescent="0.25">
      <c r="A202" s="54">
        <v>3766</v>
      </c>
      <c r="B202" s="55" t="s">
        <v>476</v>
      </c>
      <c r="C202" s="56">
        <v>206.2</v>
      </c>
      <c r="D202" s="57">
        <v>0.4</v>
      </c>
      <c r="E202" s="57">
        <f t="shared" si="7"/>
        <v>82.48</v>
      </c>
      <c r="F202" s="57">
        <f>80.25+2.23</f>
        <v>82.48</v>
      </c>
      <c r="G202" s="57">
        <f t="shared" si="6"/>
        <v>0</v>
      </c>
      <c r="H202" s="84">
        <v>5729117</v>
      </c>
      <c r="I202" s="60" t="s">
        <v>477</v>
      </c>
      <c r="J202" s="61" t="s">
        <v>17</v>
      </c>
      <c r="K202" s="61" t="s">
        <v>18</v>
      </c>
      <c r="L202" s="54">
        <v>97297211</v>
      </c>
      <c r="M202" s="61" t="s">
        <v>928</v>
      </c>
      <c r="N202" s="461">
        <v>45788</v>
      </c>
    </row>
    <row r="203" spans="1:14" s="170" customFormat="1" x14ac:dyDescent="0.25">
      <c r="A203" s="115">
        <v>3767</v>
      </c>
      <c r="B203" s="116" t="s">
        <v>478</v>
      </c>
      <c r="C203" s="117">
        <v>832</v>
      </c>
      <c r="D203" s="118">
        <v>0.4</v>
      </c>
      <c r="E203" s="118">
        <f t="shared" si="7"/>
        <v>332.8</v>
      </c>
      <c r="F203" s="118">
        <f>E203</f>
        <v>332.8</v>
      </c>
      <c r="G203" s="118">
        <f t="shared" si="6"/>
        <v>0</v>
      </c>
      <c r="H203" s="119">
        <v>971428</v>
      </c>
      <c r="I203" s="120" t="s">
        <v>479</v>
      </c>
      <c r="J203" s="121" t="s">
        <v>25</v>
      </c>
      <c r="K203" s="120" t="s">
        <v>26</v>
      </c>
      <c r="L203" s="115">
        <v>92214819</v>
      </c>
      <c r="M203" s="125" t="s">
        <v>950</v>
      </c>
    </row>
    <row r="204" spans="1:14" s="144" customFormat="1" x14ac:dyDescent="0.25">
      <c r="A204" s="54">
        <v>3768</v>
      </c>
      <c r="B204" s="55" t="s">
        <v>480</v>
      </c>
      <c r="C204" s="56">
        <v>204.1</v>
      </c>
      <c r="D204" s="57">
        <v>0.4</v>
      </c>
      <c r="E204" s="57">
        <f t="shared" si="7"/>
        <v>81.64</v>
      </c>
      <c r="F204" s="57">
        <f>E204</f>
        <v>81.64</v>
      </c>
      <c r="G204" s="57">
        <f t="shared" si="6"/>
        <v>0</v>
      </c>
      <c r="H204" s="84">
        <v>21349024</v>
      </c>
      <c r="I204" s="60" t="s">
        <v>481</v>
      </c>
      <c r="J204" s="59" t="s">
        <v>25</v>
      </c>
      <c r="K204" s="60" t="s">
        <v>26</v>
      </c>
      <c r="L204" s="54">
        <v>71536935</v>
      </c>
      <c r="M204" s="61" t="s">
        <v>930</v>
      </c>
    </row>
    <row r="205" spans="1:14" s="79" customFormat="1" x14ac:dyDescent="0.25">
      <c r="A205" s="22">
        <v>3769</v>
      </c>
      <c r="B205" s="23" t="s">
        <v>482</v>
      </c>
      <c r="C205" s="29"/>
      <c r="D205" s="25">
        <v>0.4</v>
      </c>
      <c r="E205" s="25">
        <f t="shared" si="7"/>
        <v>0</v>
      </c>
      <c r="F205" s="25"/>
      <c r="G205" s="25">
        <f t="shared" si="6"/>
        <v>0</v>
      </c>
      <c r="H205" s="34">
        <v>24915633</v>
      </c>
      <c r="I205" s="214" t="s">
        <v>483</v>
      </c>
      <c r="J205" s="26" t="s">
        <v>43</v>
      </c>
      <c r="K205" s="214" t="s">
        <v>44</v>
      </c>
      <c r="L205" s="22">
        <v>99605319</v>
      </c>
    </row>
    <row r="206" spans="1:14" s="144" customFormat="1" x14ac:dyDescent="0.25">
      <c r="A206" s="54">
        <v>3770</v>
      </c>
      <c r="B206" s="55" t="s">
        <v>33</v>
      </c>
      <c r="C206" s="56">
        <v>195.9</v>
      </c>
      <c r="D206" s="57">
        <v>0.4</v>
      </c>
      <c r="E206" s="57">
        <f t="shared" si="7"/>
        <v>78.360000000000014</v>
      </c>
      <c r="F206" s="57">
        <f>E206</f>
        <v>78.360000000000014</v>
      </c>
      <c r="G206" s="57">
        <f t="shared" si="6"/>
        <v>0</v>
      </c>
      <c r="H206" s="84">
        <v>7198036</v>
      </c>
      <c r="I206" s="60" t="s">
        <v>34</v>
      </c>
      <c r="J206" s="59" t="s">
        <v>25</v>
      </c>
      <c r="K206" s="60" t="s">
        <v>26</v>
      </c>
      <c r="L206" s="54">
        <v>92321799</v>
      </c>
      <c r="M206" s="61" t="s">
        <v>940</v>
      </c>
    </row>
    <row r="207" spans="1:14" s="144" customFormat="1" x14ac:dyDescent="0.25">
      <c r="A207" s="54">
        <v>3771</v>
      </c>
      <c r="B207" s="55" t="s">
        <v>484</v>
      </c>
      <c r="C207" s="56">
        <v>478.1</v>
      </c>
      <c r="D207" s="57">
        <v>0.4</v>
      </c>
      <c r="E207" s="57">
        <f t="shared" si="7"/>
        <v>191.24</v>
      </c>
      <c r="F207" s="57">
        <f>E207</f>
        <v>191.24</v>
      </c>
      <c r="G207" s="57">
        <f t="shared" si="6"/>
        <v>0</v>
      </c>
      <c r="H207" s="84">
        <v>1977962</v>
      </c>
      <c r="I207" s="60" t="s">
        <v>485</v>
      </c>
      <c r="J207" s="59" t="s">
        <v>25</v>
      </c>
      <c r="K207" s="60" t="s">
        <v>26</v>
      </c>
      <c r="L207" s="54">
        <v>99488815</v>
      </c>
      <c r="M207" s="61" t="s">
        <v>938</v>
      </c>
    </row>
    <row r="208" spans="1:14" x14ac:dyDescent="0.25">
      <c r="A208" s="22">
        <v>3772</v>
      </c>
      <c r="B208" s="33" t="s">
        <v>486</v>
      </c>
      <c r="C208" s="24">
        <v>121.9</v>
      </c>
      <c r="D208" s="25">
        <v>0.4</v>
      </c>
      <c r="E208" s="25">
        <f t="shared" si="7"/>
        <v>48.760000000000005</v>
      </c>
      <c r="F208" s="25"/>
      <c r="G208" s="25">
        <f t="shared" si="6"/>
        <v>48.760000000000005</v>
      </c>
      <c r="H208" s="34">
        <v>6419804</v>
      </c>
      <c r="I208" s="214" t="s">
        <v>487</v>
      </c>
      <c r="J208" s="473" t="s">
        <v>25</v>
      </c>
      <c r="K208" s="474" t="s">
        <v>26</v>
      </c>
      <c r="L208" s="22"/>
      <c r="M208" s="26"/>
    </row>
    <row r="209" spans="1:15" x14ac:dyDescent="0.25">
      <c r="A209" s="22">
        <v>3773</v>
      </c>
      <c r="B209" s="33" t="s">
        <v>488</v>
      </c>
      <c r="C209" s="24">
        <v>163.4</v>
      </c>
      <c r="D209" s="25">
        <v>0.4</v>
      </c>
      <c r="E209" s="25">
        <f t="shared" si="7"/>
        <v>65.36</v>
      </c>
      <c r="F209" s="25"/>
      <c r="G209" s="25">
        <f t="shared" si="6"/>
        <v>65.36</v>
      </c>
      <c r="H209" s="34">
        <v>2023936</v>
      </c>
      <c r="I209" s="214" t="s">
        <v>489</v>
      </c>
      <c r="J209" s="473" t="s">
        <v>210</v>
      </c>
      <c r="K209" s="474" t="s">
        <v>211</v>
      </c>
      <c r="L209" s="22"/>
      <c r="M209" s="26"/>
    </row>
    <row r="210" spans="1:15" s="79" customFormat="1" x14ac:dyDescent="0.25">
      <c r="A210" s="22">
        <v>3774</v>
      </c>
      <c r="B210" s="23" t="s">
        <v>490</v>
      </c>
      <c r="C210" s="29"/>
      <c r="D210" s="25">
        <v>0.4</v>
      </c>
      <c r="E210" s="25">
        <f t="shared" si="7"/>
        <v>0</v>
      </c>
      <c r="F210" s="25"/>
      <c r="G210" s="25">
        <f t="shared" si="6"/>
        <v>0</v>
      </c>
      <c r="H210" s="34">
        <v>889849</v>
      </c>
      <c r="I210" s="214" t="s">
        <v>491</v>
      </c>
      <c r="J210" s="26" t="s">
        <v>17</v>
      </c>
      <c r="K210" s="26" t="s">
        <v>18</v>
      </c>
      <c r="L210" s="22">
        <v>93011211</v>
      </c>
      <c r="M210" s="26"/>
      <c r="O210" s="559"/>
    </row>
    <row r="211" spans="1:15" s="144" customFormat="1" x14ac:dyDescent="0.25">
      <c r="A211" s="54">
        <v>3775</v>
      </c>
      <c r="B211" s="55" t="s">
        <v>492</v>
      </c>
      <c r="C211" s="56">
        <v>182.2</v>
      </c>
      <c r="D211" s="57">
        <v>0.4</v>
      </c>
      <c r="E211" s="57">
        <f t="shared" si="7"/>
        <v>72.88</v>
      </c>
      <c r="F211" s="57">
        <f>E211</f>
        <v>72.88</v>
      </c>
      <c r="G211" s="57">
        <f t="shared" si="6"/>
        <v>0</v>
      </c>
      <c r="H211" s="84">
        <v>7198074</v>
      </c>
      <c r="I211" s="60" t="s">
        <v>493</v>
      </c>
      <c r="J211" s="61" t="s">
        <v>210</v>
      </c>
      <c r="K211" s="58" t="s">
        <v>211</v>
      </c>
      <c r="L211" s="54">
        <v>98182322</v>
      </c>
      <c r="M211" s="61" t="s">
        <v>940</v>
      </c>
    </row>
    <row r="212" spans="1:15" x14ac:dyDescent="0.25">
      <c r="A212" s="22">
        <v>3776</v>
      </c>
      <c r="B212" s="33" t="s">
        <v>494</v>
      </c>
      <c r="C212" s="24">
        <v>186.1</v>
      </c>
      <c r="D212" s="25">
        <v>0.4</v>
      </c>
      <c r="E212" s="25">
        <f t="shared" si="7"/>
        <v>74.44</v>
      </c>
      <c r="F212" s="25"/>
      <c r="G212" s="25">
        <f t="shared" si="6"/>
        <v>74.44</v>
      </c>
      <c r="H212" s="34">
        <v>5530783</v>
      </c>
      <c r="I212" s="214" t="s">
        <v>495</v>
      </c>
      <c r="J212" s="473" t="s">
        <v>25</v>
      </c>
      <c r="K212" s="214" t="s">
        <v>26</v>
      </c>
      <c r="L212" s="22">
        <v>97170030</v>
      </c>
      <c r="M212" s="26"/>
    </row>
    <row r="213" spans="1:15" x14ac:dyDescent="0.25">
      <c r="A213" s="22">
        <v>3777</v>
      </c>
      <c r="B213" s="33" t="s">
        <v>496</v>
      </c>
      <c r="C213" s="24">
        <v>568.6</v>
      </c>
      <c r="D213" s="25">
        <v>0.4</v>
      </c>
      <c r="E213" s="25">
        <f t="shared" si="7"/>
        <v>227.44000000000003</v>
      </c>
      <c r="F213" s="25"/>
      <c r="G213" s="25">
        <f t="shared" si="6"/>
        <v>227.44000000000003</v>
      </c>
      <c r="H213" s="34">
        <v>6538875</v>
      </c>
      <c r="I213" s="214" t="s">
        <v>497</v>
      </c>
      <c r="J213" s="473" t="s">
        <v>25</v>
      </c>
      <c r="K213" s="214" t="s">
        <v>26</v>
      </c>
      <c r="L213" s="22">
        <v>91750033</v>
      </c>
      <c r="M213" s="26"/>
    </row>
    <row r="214" spans="1:15" s="144" customFormat="1" x14ac:dyDescent="0.25">
      <c r="A214" s="54">
        <v>3778</v>
      </c>
      <c r="B214" s="55" t="s">
        <v>498</v>
      </c>
      <c r="C214" s="56">
        <v>261.2</v>
      </c>
      <c r="D214" s="57">
        <v>0.4</v>
      </c>
      <c r="E214" s="57">
        <f t="shared" si="7"/>
        <v>104.48</v>
      </c>
      <c r="F214" s="57">
        <f>E214</f>
        <v>104.48</v>
      </c>
      <c r="G214" s="57">
        <f t="shared" si="6"/>
        <v>0</v>
      </c>
      <c r="H214" s="84">
        <v>1481822</v>
      </c>
      <c r="I214" s="60" t="s">
        <v>499</v>
      </c>
      <c r="J214" s="61" t="s">
        <v>17</v>
      </c>
      <c r="K214" s="61" t="s">
        <v>18</v>
      </c>
      <c r="L214" s="54">
        <v>92951944</v>
      </c>
      <c r="M214" s="61" t="s">
        <v>933</v>
      </c>
    </row>
    <row r="215" spans="1:15" s="144" customFormat="1" x14ac:dyDescent="0.25">
      <c r="A215" s="54">
        <v>3781</v>
      </c>
      <c r="B215" s="55" t="s">
        <v>500</v>
      </c>
      <c r="C215" s="56">
        <v>123.8</v>
      </c>
      <c r="D215" s="57">
        <v>0.4</v>
      </c>
      <c r="E215" s="57">
        <f t="shared" si="7"/>
        <v>49.52</v>
      </c>
      <c r="F215" s="57">
        <v>49.050000000000004</v>
      </c>
      <c r="G215" s="57">
        <f t="shared" si="6"/>
        <v>0.46999999999999886</v>
      </c>
      <c r="H215" s="468" t="s">
        <v>501</v>
      </c>
      <c r="I215" s="60" t="s">
        <v>502</v>
      </c>
      <c r="J215" s="60" t="s">
        <v>503</v>
      </c>
      <c r="K215" s="72" t="s">
        <v>504</v>
      </c>
      <c r="L215" s="54">
        <v>95655550</v>
      </c>
      <c r="M215" s="461">
        <v>45788</v>
      </c>
    </row>
    <row r="216" spans="1:15" s="144" customFormat="1" x14ac:dyDescent="0.25">
      <c r="A216" s="54">
        <v>3782</v>
      </c>
      <c r="B216" s="55" t="s">
        <v>505</v>
      </c>
      <c r="C216" s="56">
        <v>356.1</v>
      </c>
      <c r="D216" s="57">
        <v>0.4</v>
      </c>
      <c r="E216" s="57">
        <f t="shared" si="7"/>
        <v>142.44000000000003</v>
      </c>
      <c r="F216" s="57">
        <f>138.91+3.53</f>
        <v>142.44</v>
      </c>
      <c r="G216" s="57">
        <f t="shared" si="6"/>
        <v>0</v>
      </c>
      <c r="H216" s="84">
        <v>8467003</v>
      </c>
      <c r="I216" s="60" t="s">
        <v>506</v>
      </c>
      <c r="J216" s="59" t="s">
        <v>17</v>
      </c>
      <c r="K216" s="60" t="s">
        <v>18</v>
      </c>
      <c r="L216" s="54">
        <v>96138831</v>
      </c>
      <c r="M216" s="61" t="s">
        <v>928</v>
      </c>
      <c r="N216" s="461">
        <v>45788</v>
      </c>
    </row>
    <row r="217" spans="1:15" x14ac:dyDescent="0.25">
      <c r="A217" s="22">
        <v>3783</v>
      </c>
      <c r="B217" s="33" t="s">
        <v>507</v>
      </c>
      <c r="C217" s="24">
        <v>239.5</v>
      </c>
      <c r="D217" s="25">
        <v>0.4</v>
      </c>
      <c r="E217" s="25">
        <f t="shared" si="7"/>
        <v>95.800000000000011</v>
      </c>
      <c r="F217" s="25"/>
      <c r="G217" s="25">
        <f t="shared" si="6"/>
        <v>95.800000000000011</v>
      </c>
      <c r="H217" s="34">
        <v>25019867</v>
      </c>
      <c r="I217" s="214" t="s">
        <v>508</v>
      </c>
      <c r="J217" s="26" t="s">
        <v>17</v>
      </c>
      <c r="K217" s="26" t="s">
        <v>18</v>
      </c>
      <c r="L217" s="22">
        <v>97264292</v>
      </c>
      <c r="M217" s="26"/>
    </row>
    <row r="218" spans="1:15" s="144" customFormat="1" x14ac:dyDescent="0.25">
      <c r="A218" s="54">
        <v>3784</v>
      </c>
      <c r="B218" s="55" t="s">
        <v>509</v>
      </c>
      <c r="C218" s="56">
        <v>453.7</v>
      </c>
      <c r="D218" s="57">
        <v>0.4</v>
      </c>
      <c r="E218" s="57">
        <f t="shared" si="7"/>
        <v>181.48000000000002</v>
      </c>
      <c r="F218" s="57">
        <f>177.18+4.3</f>
        <v>181.48000000000002</v>
      </c>
      <c r="G218" s="57">
        <f t="shared" si="6"/>
        <v>0</v>
      </c>
      <c r="H218" s="84">
        <v>19870884</v>
      </c>
      <c r="I218" s="60" t="s">
        <v>510</v>
      </c>
      <c r="J218" s="59" t="s">
        <v>25</v>
      </c>
      <c r="K218" s="60" t="s">
        <v>26</v>
      </c>
      <c r="L218" s="54">
        <v>94847877</v>
      </c>
      <c r="M218" s="61" t="s">
        <v>921</v>
      </c>
      <c r="N218" s="461">
        <v>45727</v>
      </c>
    </row>
    <row r="219" spans="1:15" s="144" customFormat="1" x14ac:dyDescent="0.25">
      <c r="A219" s="54">
        <v>3786</v>
      </c>
      <c r="B219" s="55" t="s">
        <v>511</v>
      </c>
      <c r="C219" s="56">
        <v>168</v>
      </c>
      <c r="D219" s="57">
        <v>0.4</v>
      </c>
      <c r="E219" s="57">
        <f t="shared" si="7"/>
        <v>67.2</v>
      </c>
      <c r="F219" s="57">
        <f>64+3.2</f>
        <v>67.2</v>
      </c>
      <c r="G219" s="57">
        <f t="shared" si="6"/>
        <v>0</v>
      </c>
      <c r="H219" s="84">
        <v>941209</v>
      </c>
      <c r="I219" s="60" t="s">
        <v>512</v>
      </c>
      <c r="J219" s="61" t="s">
        <v>290</v>
      </c>
      <c r="K219" s="60" t="s">
        <v>291</v>
      </c>
      <c r="L219" s="54">
        <v>92975256</v>
      </c>
      <c r="M219" s="61" t="s">
        <v>928</v>
      </c>
    </row>
    <row r="220" spans="1:15" s="144" customFormat="1" x14ac:dyDescent="0.25">
      <c r="A220" s="54">
        <v>3787</v>
      </c>
      <c r="B220" s="55" t="s">
        <v>513</v>
      </c>
      <c r="C220" s="56">
        <v>480.8</v>
      </c>
      <c r="D220" s="57">
        <v>0.4</v>
      </c>
      <c r="E220" s="57">
        <f t="shared" si="7"/>
        <v>192.32000000000002</v>
      </c>
      <c r="F220" s="57">
        <f>E220</f>
        <v>192.32000000000002</v>
      </c>
      <c r="G220" s="57">
        <f t="shared" si="6"/>
        <v>0</v>
      </c>
      <c r="H220" s="84">
        <v>813786</v>
      </c>
      <c r="I220" s="60" t="s">
        <v>514</v>
      </c>
      <c r="J220" s="59" t="s">
        <v>25</v>
      </c>
      <c r="K220" s="60" t="s">
        <v>26</v>
      </c>
      <c r="L220" s="54">
        <v>99293129</v>
      </c>
      <c r="M220" s="461">
        <v>46002</v>
      </c>
    </row>
    <row r="221" spans="1:15" s="144" customFormat="1" x14ac:dyDescent="0.25">
      <c r="A221" s="54">
        <v>3789</v>
      </c>
      <c r="B221" s="55" t="s">
        <v>515</v>
      </c>
      <c r="C221" s="56">
        <v>203</v>
      </c>
      <c r="D221" s="57">
        <v>0.4</v>
      </c>
      <c r="E221" s="57">
        <f t="shared" si="7"/>
        <v>81.2</v>
      </c>
      <c r="F221" s="57">
        <f>E221</f>
        <v>81.2</v>
      </c>
      <c r="G221" s="57">
        <f t="shared" si="6"/>
        <v>0</v>
      </c>
      <c r="H221" s="84">
        <v>22338686</v>
      </c>
      <c r="I221" s="60" t="s">
        <v>516</v>
      </c>
      <c r="J221" s="59" t="s">
        <v>25</v>
      </c>
      <c r="K221" s="60" t="s">
        <v>26</v>
      </c>
      <c r="L221" s="54">
        <v>92552232</v>
      </c>
      <c r="M221" s="61" t="s">
        <v>938</v>
      </c>
    </row>
    <row r="222" spans="1:15" x14ac:dyDescent="0.25">
      <c r="A222" s="22">
        <v>3791</v>
      </c>
      <c r="B222" s="33" t="s">
        <v>517</v>
      </c>
      <c r="C222" s="24">
        <v>235.7</v>
      </c>
      <c r="D222" s="25">
        <v>0.4</v>
      </c>
      <c r="E222" s="25">
        <f t="shared" si="7"/>
        <v>94.28</v>
      </c>
      <c r="F222" s="25">
        <f>E222</f>
        <v>94.28</v>
      </c>
      <c r="G222" s="25">
        <f t="shared" si="6"/>
        <v>0</v>
      </c>
      <c r="H222" s="34">
        <v>20365611</v>
      </c>
      <c r="I222" s="214" t="s">
        <v>518</v>
      </c>
      <c r="J222" s="473" t="s">
        <v>25</v>
      </c>
      <c r="K222" s="214" t="s">
        <v>26</v>
      </c>
      <c r="L222" s="22">
        <v>9257761</v>
      </c>
      <c r="M222" s="144" t="s">
        <v>959</v>
      </c>
    </row>
    <row r="223" spans="1:15" s="144" customFormat="1" x14ac:dyDescent="0.25">
      <c r="A223" s="54">
        <v>3792</v>
      </c>
      <c r="B223" s="521" t="s">
        <v>519</v>
      </c>
      <c r="C223" s="56">
        <v>241.2</v>
      </c>
      <c r="D223" s="57">
        <v>0.4</v>
      </c>
      <c r="E223" s="57">
        <f t="shared" si="7"/>
        <v>96.48</v>
      </c>
      <c r="F223" s="57">
        <f>E223</f>
        <v>96.48</v>
      </c>
      <c r="G223" s="57">
        <f t="shared" si="6"/>
        <v>0</v>
      </c>
      <c r="H223" s="531">
        <v>23169608</v>
      </c>
      <c r="I223" s="523" t="s">
        <v>520</v>
      </c>
      <c r="J223" s="521" t="s">
        <v>290</v>
      </c>
      <c r="K223" s="523" t="s">
        <v>291</v>
      </c>
      <c r="L223" s="522">
        <v>93380506</v>
      </c>
      <c r="M223" s="461">
        <v>45941</v>
      </c>
    </row>
    <row r="224" spans="1:15" s="79" customFormat="1" x14ac:dyDescent="0.25">
      <c r="A224" s="22">
        <v>3793</v>
      </c>
      <c r="B224" s="23" t="s">
        <v>521</v>
      </c>
      <c r="C224" s="24">
        <v>615.20000000000005</v>
      </c>
      <c r="D224" s="25">
        <v>0.4</v>
      </c>
      <c r="E224" s="25">
        <f t="shared" si="7"/>
        <v>246.08000000000004</v>
      </c>
      <c r="F224" s="25"/>
      <c r="G224" s="25">
        <f t="shared" si="6"/>
        <v>246.08000000000004</v>
      </c>
      <c r="H224" s="34">
        <v>1283875</v>
      </c>
      <c r="I224" s="214" t="s">
        <v>522</v>
      </c>
      <c r="J224" s="26" t="s">
        <v>43</v>
      </c>
      <c r="K224" s="214" t="s">
        <v>44</v>
      </c>
      <c r="L224" s="22">
        <v>92348115</v>
      </c>
      <c r="M224" s="26"/>
    </row>
    <row r="225" spans="1:14" s="144" customFormat="1" x14ac:dyDescent="0.25">
      <c r="A225" s="54">
        <v>3794</v>
      </c>
      <c r="B225" s="55" t="s">
        <v>523</v>
      </c>
      <c r="C225" s="56">
        <v>566.6</v>
      </c>
      <c r="D225" s="57">
        <v>0.4</v>
      </c>
      <c r="E225" s="57">
        <f t="shared" si="7"/>
        <v>226.64000000000001</v>
      </c>
      <c r="F225" s="57">
        <f>226.46+0.18</f>
        <v>226.64000000000001</v>
      </c>
      <c r="G225" s="57">
        <f t="shared" si="6"/>
        <v>0</v>
      </c>
      <c r="H225" s="84">
        <v>8222931</v>
      </c>
      <c r="I225" s="60" t="s">
        <v>524</v>
      </c>
      <c r="J225" s="59" t="s">
        <v>25</v>
      </c>
      <c r="K225" s="60" t="s">
        <v>26</v>
      </c>
      <c r="L225" s="54">
        <v>93377666</v>
      </c>
      <c r="M225" s="61" t="s">
        <v>933</v>
      </c>
      <c r="N225" s="461">
        <v>45941</v>
      </c>
    </row>
    <row r="226" spans="1:14" x14ac:dyDescent="0.25">
      <c r="A226" s="22">
        <v>3795</v>
      </c>
      <c r="B226" s="33" t="s">
        <v>525</v>
      </c>
      <c r="C226" s="24">
        <v>260.2</v>
      </c>
      <c r="D226" s="25">
        <v>0.4</v>
      </c>
      <c r="E226" s="25">
        <f t="shared" si="7"/>
        <v>104.08</v>
      </c>
      <c r="F226" s="25"/>
      <c r="G226" s="25">
        <f t="shared" si="6"/>
        <v>104.08</v>
      </c>
      <c r="H226" s="34">
        <v>2331658</v>
      </c>
      <c r="I226" s="214" t="s">
        <v>526</v>
      </c>
      <c r="J226" s="26" t="s">
        <v>17</v>
      </c>
      <c r="K226" s="26" t="s">
        <v>18</v>
      </c>
      <c r="L226" s="22">
        <v>91790440</v>
      </c>
      <c r="M226" s="26"/>
    </row>
    <row r="227" spans="1:14" s="144" customFormat="1" x14ac:dyDescent="0.25">
      <c r="A227" s="54">
        <v>3796</v>
      </c>
      <c r="B227" s="55" t="s">
        <v>527</v>
      </c>
      <c r="C227" s="56">
        <v>264.2</v>
      </c>
      <c r="D227" s="57">
        <v>0.4</v>
      </c>
      <c r="E227" s="57">
        <f t="shared" si="7"/>
        <v>105.68</v>
      </c>
      <c r="F227" s="57">
        <f>E227</f>
        <v>105.68</v>
      </c>
      <c r="G227" s="57">
        <f t="shared" si="6"/>
        <v>0</v>
      </c>
      <c r="H227" s="84">
        <v>6455206</v>
      </c>
      <c r="I227" s="60" t="s">
        <v>528</v>
      </c>
      <c r="J227" s="59" t="s">
        <v>25</v>
      </c>
      <c r="K227" s="60" t="s">
        <v>26</v>
      </c>
      <c r="L227" s="54">
        <v>97312444</v>
      </c>
      <c r="M227" s="61" t="s">
        <v>954</v>
      </c>
    </row>
    <row r="228" spans="1:14" s="144" customFormat="1" x14ac:dyDescent="0.25">
      <c r="A228" s="54">
        <v>3798</v>
      </c>
      <c r="B228" s="55" t="s">
        <v>529</v>
      </c>
      <c r="C228" s="56">
        <v>193.3</v>
      </c>
      <c r="D228" s="57">
        <v>0.4</v>
      </c>
      <c r="E228" s="57">
        <f t="shared" si="7"/>
        <v>77.320000000000007</v>
      </c>
      <c r="F228" s="57">
        <f>E228</f>
        <v>77.320000000000007</v>
      </c>
      <c r="G228" s="57">
        <f t="shared" si="6"/>
        <v>0</v>
      </c>
      <c r="H228" s="84">
        <v>6048954</v>
      </c>
      <c r="I228" s="60" t="s">
        <v>530</v>
      </c>
      <c r="J228" s="59" t="s">
        <v>25</v>
      </c>
      <c r="K228" s="60" t="s">
        <v>26</v>
      </c>
      <c r="L228" s="54">
        <v>92833445</v>
      </c>
      <c r="M228" s="61" t="s">
        <v>940</v>
      </c>
    </row>
    <row r="229" spans="1:14" s="144" customFormat="1" x14ac:dyDescent="0.25">
      <c r="A229" s="54">
        <v>3799</v>
      </c>
      <c r="B229" s="55" t="s">
        <v>531</v>
      </c>
      <c r="C229" s="56">
        <v>391</v>
      </c>
      <c r="D229" s="57">
        <v>0.4</v>
      </c>
      <c r="E229" s="57">
        <f t="shared" si="7"/>
        <v>156.4</v>
      </c>
      <c r="F229" s="57">
        <f>E229</f>
        <v>156.4</v>
      </c>
      <c r="G229" s="57">
        <f t="shared" si="6"/>
        <v>0</v>
      </c>
      <c r="H229" s="84">
        <v>12494672</v>
      </c>
      <c r="I229" s="60" t="s">
        <v>532</v>
      </c>
      <c r="J229" s="61" t="s">
        <v>17</v>
      </c>
      <c r="K229" s="61" t="s">
        <v>18</v>
      </c>
      <c r="L229" s="54">
        <v>98872720</v>
      </c>
      <c r="M229" s="61" t="s">
        <v>930</v>
      </c>
    </row>
    <row r="230" spans="1:14" x14ac:dyDescent="0.25">
      <c r="A230" s="22">
        <v>3800</v>
      </c>
      <c r="B230" s="33" t="s">
        <v>534</v>
      </c>
      <c r="C230" s="24">
        <v>243.8</v>
      </c>
      <c r="D230" s="25">
        <v>0.4</v>
      </c>
      <c r="E230" s="25">
        <f t="shared" si="7"/>
        <v>97.52000000000001</v>
      </c>
      <c r="F230" s="25"/>
      <c r="G230" s="25">
        <f t="shared" si="6"/>
        <v>97.52000000000001</v>
      </c>
      <c r="H230" s="34">
        <v>11566758</v>
      </c>
      <c r="I230" s="214" t="s">
        <v>535</v>
      </c>
      <c r="J230" s="473" t="s">
        <v>25</v>
      </c>
      <c r="K230" s="474" t="s">
        <v>26</v>
      </c>
      <c r="L230" s="22"/>
      <c r="M230" s="26"/>
    </row>
    <row r="231" spans="1:14" s="144" customFormat="1" x14ac:dyDescent="0.25">
      <c r="A231" s="54">
        <v>3801</v>
      </c>
      <c r="B231" s="55" t="s">
        <v>536</v>
      </c>
      <c r="C231" s="56">
        <v>215.6</v>
      </c>
      <c r="D231" s="57">
        <v>0.4</v>
      </c>
      <c r="E231" s="57">
        <f t="shared" si="7"/>
        <v>86.240000000000009</v>
      </c>
      <c r="F231" s="57">
        <f>E231</f>
        <v>86.240000000000009</v>
      </c>
      <c r="G231" s="57">
        <f t="shared" si="6"/>
        <v>0</v>
      </c>
      <c r="H231" s="84">
        <v>19559588</v>
      </c>
      <c r="I231" s="72" t="s">
        <v>537</v>
      </c>
      <c r="J231" s="59" t="s">
        <v>75</v>
      </c>
      <c r="K231" s="72" t="s">
        <v>76</v>
      </c>
      <c r="L231" s="54">
        <v>93200888</v>
      </c>
      <c r="M231" s="61" t="s">
        <v>936</v>
      </c>
    </row>
    <row r="232" spans="1:14" x14ac:dyDescent="0.25">
      <c r="A232" s="22">
        <v>3802</v>
      </c>
      <c r="B232" s="33" t="s">
        <v>538</v>
      </c>
      <c r="C232" s="45">
        <v>296.5</v>
      </c>
      <c r="D232" s="25">
        <v>0.4</v>
      </c>
      <c r="E232" s="25">
        <f t="shared" si="7"/>
        <v>118.60000000000001</v>
      </c>
      <c r="F232" s="25">
        <f>E232</f>
        <v>118.60000000000001</v>
      </c>
      <c r="G232" s="25">
        <f t="shared" si="6"/>
        <v>0</v>
      </c>
      <c r="H232" s="34">
        <v>1260268</v>
      </c>
      <c r="I232" s="214" t="s">
        <v>539</v>
      </c>
      <c r="J232" s="473" t="s">
        <v>25</v>
      </c>
      <c r="K232" s="474" t="s">
        <v>26</v>
      </c>
      <c r="L232" s="22">
        <v>99692231</v>
      </c>
      <c r="M232" s="61" t="s">
        <v>956</v>
      </c>
    </row>
    <row r="233" spans="1:14" x14ac:dyDescent="0.25">
      <c r="A233" s="22">
        <v>3803</v>
      </c>
      <c r="B233" s="33" t="s">
        <v>540</v>
      </c>
      <c r="C233" s="24">
        <v>295.60000000000002</v>
      </c>
      <c r="D233" s="25">
        <v>0.4</v>
      </c>
      <c r="E233" s="25">
        <f t="shared" si="7"/>
        <v>118.24000000000001</v>
      </c>
      <c r="F233" s="25"/>
      <c r="G233" s="25">
        <f t="shared" si="6"/>
        <v>118.24000000000001</v>
      </c>
      <c r="H233" s="34">
        <v>4890484</v>
      </c>
      <c r="I233" s="214" t="s">
        <v>541</v>
      </c>
      <c r="J233" s="26" t="s">
        <v>17</v>
      </c>
      <c r="K233" s="26" t="s">
        <v>18</v>
      </c>
      <c r="L233" s="22">
        <v>93231221</v>
      </c>
      <c r="M233" s="26"/>
    </row>
    <row r="234" spans="1:14" s="144" customFormat="1" x14ac:dyDescent="0.25">
      <c r="A234" s="54">
        <v>3804</v>
      </c>
      <c r="B234" s="55" t="s">
        <v>542</v>
      </c>
      <c r="C234" s="56">
        <v>261.5</v>
      </c>
      <c r="D234" s="57">
        <v>0.4</v>
      </c>
      <c r="E234" s="57">
        <f t="shared" si="7"/>
        <v>104.60000000000001</v>
      </c>
      <c r="F234" s="57">
        <f>E234</f>
        <v>104.60000000000001</v>
      </c>
      <c r="G234" s="57">
        <f t="shared" si="6"/>
        <v>0</v>
      </c>
      <c r="H234" s="84">
        <v>18102928</v>
      </c>
      <c r="I234" s="60" t="s">
        <v>543</v>
      </c>
      <c r="J234" s="61" t="s">
        <v>17</v>
      </c>
      <c r="K234" s="61" t="s">
        <v>18</v>
      </c>
      <c r="L234" s="54">
        <v>95933733</v>
      </c>
      <c r="M234" s="61" t="s">
        <v>938</v>
      </c>
    </row>
    <row r="235" spans="1:14" s="144" customFormat="1" x14ac:dyDescent="0.25">
      <c r="A235" s="54">
        <v>3805</v>
      </c>
      <c r="B235" s="55" t="s">
        <v>544</v>
      </c>
      <c r="C235" s="56">
        <v>172.6</v>
      </c>
      <c r="D235" s="57">
        <v>0.4</v>
      </c>
      <c r="E235" s="57">
        <f t="shared" si="7"/>
        <v>69.040000000000006</v>
      </c>
      <c r="F235" s="57">
        <f>66.03+3.01</f>
        <v>69.040000000000006</v>
      </c>
      <c r="G235" s="57">
        <f t="shared" si="6"/>
        <v>0</v>
      </c>
      <c r="H235" s="71">
        <v>18675553</v>
      </c>
      <c r="I235" s="72" t="s">
        <v>545</v>
      </c>
      <c r="J235" s="58" t="s">
        <v>75</v>
      </c>
      <c r="K235" s="61" t="s">
        <v>76</v>
      </c>
      <c r="L235" s="54">
        <v>77588303</v>
      </c>
      <c r="M235" s="61" t="s">
        <v>928</v>
      </c>
      <c r="N235" s="461">
        <v>45727</v>
      </c>
    </row>
    <row r="236" spans="1:14" s="144" customFormat="1" x14ac:dyDescent="0.25">
      <c r="A236" s="54">
        <v>3807</v>
      </c>
      <c r="B236" s="55" t="s">
        <v>546</v>
      </c>
      <c r="C236" s="56">
        <v>99.3</v>
      </c>
      <c r="D236" s="57">
        <v>0.4</v>
      </c>
      <c r="E236" s="57">
        <f t="shared" si="7"/>
        <v>39.72</v>
      </c>
      <c r="F236" s="57">
        <f>38.27+1.45</f>
        <v>39.720000000000006</v>
      </c>
      <c r="G236" s="57">
        <f t="shared" si="6"/>
        <v>0</v>
      </c>
      <c r="H236" s="84">
        <v>2110484</v>
      </c>
      <c r="I236" s="60" t="s">
        <v>547</v>
      </c>
      <c r="J236" s="61" t="s">
        <v>17</v>
      </c>
      <c r="K236" s="61" t="s">
        <v>18</v>
      </c>
      <c r="L236" s="54">
        <v>95918256</v>
      </c>
      <c r="M236" s="503" t="s">
        <v>927</v>
      </c>
      <c r="N236" s="61" t="s">
        <v>956</v>
      </c>
    </row>
    <row r="237" spans="1:14" s="144" customFormat="1" x14ac:dyDescent="0.25">
      <c r="A237" s="54">
        <v>3808</v>
      </c>
      <c r="B237" s="55" t="s">
        <v>548</v>
      </c>
      <c r="C237" s="56">
        <v>451</v>
      </c>
      <c r="D237" s="57">
        <v>0.4</v>
      </c>
      <c r="E237" s="57">
        <f t="shared" si="7"/>
        <v>180.4</v>
      </c>
      <c r="F237" s="57">
        <f>E237</f>
        <v>180.4</v>
      </c>
      <c r="G237" s="57">
        <f t="shared" si="6"/>
        <v>0</v>
      </c>
      <c r="H237" s="84">
        <v>1366005</v>
      </c>
      <c r="I237" s="60" t="s">
        <v>549</v>
      </c>
      <c r="J237" s="61" t="s">
        <v>17</v>
      </c>
      <c r="K237" s="61" t="s">
        <v>18</v>
      </c>
      <c r="L237" s="54">
        <v>99589981</v>
      </c>
      <c r="M237" s="461">
        <v>46002</v>
      </c>
    </row>
    <row r="238" spans="1:14" s="144" customFormat="1" x14ac:dyDescent="0.25">
      <c r="A238" s="54">
        <v>3809</v>
      </c>
      <c r="B238" s="55" t="s">
        <v>550</v>
      </c>
      <c r="C238" s="56">
        <v>471.4</v>
      </c>
      <c r="D238" s="57">
        <v>0.4</v>
      </c>
      <c r="E238" s="57">
        <f t="shared" si="7"/>
        <v>188.56</v>
      </c>
      <c r="F238" s="57">
        <f>E238</f>
        <v>188.56</v>
      </c>
      <c r="G238" s="57">
        <f t="shared" si="6"/>
        <v>0</v>
      </c>
      <c r="H238" s="84">
        <v>10913998</v>
      </c>
      <c r="I238" s="60" t="s">
        <v>551</v>
      </c>
      <c r="J238" s="59" t="s">
        <v>25</v>
      </c>
      <c r="K238" s="60" t="s">
        <v>26</v>
      </c>
      <c r="L238" s="54">
        <v>99080863</v>
      </c>
      <c r="M238" s="61" t="s">
        <v>933</v>
      </c>
    </row>
    <row r="239" spans="1:14" x14ac:dyDescent="0.25">
      <c r="A239" s="22">
        <v>3810</v>
      </c>
      <c r="B239" s="464" t="s">
        <v>553</v>
      </c>
      <c r="C239" s="24">
        <v>220.4</v>
      </c>
      <c r="D239" s="25">
        <v>0.4</v>
      </c>
      <c r="E239" s="25">
        <f t="shared" si="7"/>
        <v>88.160000000000011</v>
      </c>
      <c r="F239" s="25"/>
      <c r="G239" s="25">
        <f t="shared" si="6"/>
        <v>88.160000000000011</v>
      </c>
      <c r="H239" s="471">
        <v>9442232</v>
      </c>
      <c r="I239" s="481" t="s">
        <v>554</v>
      </c>
      <c r="J239" s="485" t="s">
        <v>25</v>
      </c>
      <c r="K239" s="486" t="s">
        <v>26</v>
      </c>
      <c r="L239" s="465">
        <v>98255338</v>
      </c>
      <c r="M239" s="26"/>
    </row>
    <row r="240" spans="1:14" x14ac:dyDescent="0.25">
      <c r="A240" s="54">
        <v>3811</v>
      </c>
      <c r="B240" s="55" t="s">
        <v>555</v>
      </c>
      <c r="C240" s="56">
        <v>246.2</v>
      </c>
      <c r="D240" s="57">
        <v>0.4</v>
      </c>
      <c r="E240" s="57">
        <f t="shared" si="7"/>
        <v>98.48</v>
      </c>
      <c r="F240" s="57">
        <f>1.47+97.01</f>
        <v>98.48</v>
      </c>
      <c r="G240" s="57">
        <f t="shared" si="6"/>
        <v>0</v>
      </c>
      <c r="H240" s="84">
        <v>6865286</v>
      </c>
      <c r="I240" s="60" t="s">
        <v>556</v>
      </c>
      <c r="J240" s="58" t="s">
        <v>75</v>
      </c>
      <c r="K240" s="61" t="s">
        <v>76</v>
      </c>
      <c r="L240" s="54">
        <v>92441715</v>
      </c>
      <c r="M240" s="461">
        <v>45941</v>
      </c>
      <c r="N240" s="503">
        <v>45728</v>
      </c>
    </row>
    <row r="241" spans="1:23" s="144" customFormat="1" x14ac:dyDescent="0.25">
      <c r="A241" s="54">
        <v>3812</v>
      </c>
      <c r="B241" s="55" t="s">
        <v>557</v>
      </c>
      <c r="C241" s="56">
        <v>247.3</v>
      </c>
      <c r="D241" s="57">
        <v>0.4</v>
      </c>
      <c r="E241" s="57">
        <f t="shared" si="7"/>
        <v>98.920000000000016</v>
      </c>
      <c r="F241" s="57">
        <f>E241</f>
        <v>98.920000000000016</v>
      </c>
      <c r="G241" s="57">
        <f t="shared" si="6"/>
        <v>0</v>
      </c>
      <c r="H241" s="84">
        <v>2441718</v>
      </c>
      <c r="I241" s="60" t="s">
        <v>558</v>
      </c>
      <c r="J241" s="59" t="s">
        <v>25</v>
      </c>
      <c r="K241" s="60" t="s">
        <v>26</v>
      </c>
      <c r="L241" s="54"/>
      <c r="M241" s="61" t="s">
        <v>938</v>
      </c>
    </row>
    <row r="242" spans="1:23" s="79" customFormat="1" x14ac:dyDescent="0.25">
      <c r="A242" s="22">
        <v>3813</v>
      </c>
      <c r="B242" s="23" t="s">
        <v>559</v>
      </c>
      <c r="C242" s="24">
        <v>214.4</v>
      </c>
      <c r="D242" s="25">
        <v>0.4</v>
      </c>
      <c r="E242" s="25">
        <f t="shared" si="7"/>
        <v>85.76</v>
      </c>
      <c r="F242" s="25"/>
      <c r="G242" s="25">
        <f t="shared" si="6"/>
        <v>85.76</v>
      </c>
      <c r="H242" s="34">
        <v>18842378</v>
      </c>
      <c r="I242" s="214" t="s">
        <v>560</v>
      </c>
      <c r="J242" s="215" t="s">
        <v>25</v>
      </c>
      <c r="K242" s="214" t="s">
        <v>26</v>
      </c>
      <c r="L242" s="22">
        <v>91102135</v>
      </c>
      <c r="M242" s="26"/>
    </row>
    <row r="243" spans="1:23" x14ac:dyDescent="0.25">
      <c r="A243" s="22">
        <v>3814</v>
      </c>
      <c r="B243" s="33" t="s">
        <v>561</v>
      </c>
      <c r="C243" s="24">
        <v>256.39999999999998</v>
      </c>
      <c r="D243" s="25">
        <v>0.4</v>
      </c>
      <c r="E243" s="25">
        <f t="shared" si="7"/>
        <v>102.56</v>
      </c>
      <c r="F243" s="25"/>
      <c r="G243" s="25">
        <f t="shared" si="6"/>
        <v>102.56</v>
      </c>
      <c r="H243" s="83">
        <v>6998672</v>
      </c>
      <c r="I243" s="214" t="s">
        <v>562</v>
      </c>
      <c r="J243" s="478" t="s">
        <v>25</v>
      </c>
      <c r="K243" s="483" t="s">
        <v>26</v>
      </c>
      <c r="L243" s="22">
        <v>94051423</v>
      </c>
      <c r="M243" s="26"/>
    </row>
    <row r="244" spans="1:23" s="144" customFormat="1" x14ac:dyDescent="0.25">
      <c r="A244" s="54">
        <v>3815</v>
      </c>
      <c r="B244" s="55" t="s">
        <v>563</v>
      </c>
      <c r="C244" s="56">
        <v>269.10000000000002</v>
      </c>
      <c r="D244" s="57">
        <v>0.4</v>
      </c>
      <c r="E244" s="57">
        <f t="shared" si="7"/>
        <v>107.64000000000001</v>
      </c>
      <c r="F244" s="57">
        <f>106.92+0.72</f>
        <v>107.64</v>
      </c>
      <c r="G244" s="57">
        <f t="shared" si="6"/>
        <v>0</v>
      </c>
      <c r="H244" s="71">
        <v>24909353</v>
      </c>
      <c r="I244" s="72" t="s">
        <v>564</v>
      </c>
      <c r="J244" s="59" t="s">
        <v>25</v>
      </c>
      <c r="K244" s="60" t="s">
        <v>26</v>
      </c>
      <c r="L244" s="54">
        <v>97797883</v>
      </c>
      <c r="M244" s="61" t="s">
        <v>928</v>
      </c>
      <c r="N244" s="61" t="s">
        <v>954</v>
      </c>
    </row>
    <row r="245" spans="1:23" x14ac:dyDescent="0.25">
      <c r="A245" s="22">
        <v>3816</v>
      </c>
      <c r="B245" s="33" t="s">
        <v>565</v>
      </c>
      <c r="C245" s="24">
        <v>271.89999999999998</v>
      </c>
      <c r="D245" s="25">
        <v>0.4</v>
      </c>
      <c r="E245" s="25">
        <f t="shared" si="7"/>
        <v>108.75999999999999</v>
      </c>
      <c r="F245" s="25"/>
      <c r="G245" s="25">
        <f t="shared" si="6"/>
        <v>108.75999999999999</v>
      </c>
      <c r="H245" s="34">
        <v>27389488</v>
      </c>
      <c r="I245" s="214" t="s">
        <v>566</v>
      </c>
      <c r="J245" s="473" t="s">
        <v>25</v>
      </c>
      <c r="K245" s="474" t="s">
        <v>26</v>
      </c>
      <c r="L245" s="22"/>
      <c r="M245" s="26"/>
    </row>
    <row r="246" spans="1:23" s="144" customFormat="1" x14ac:dyDescent="0.25">
      <c r="A246" s="54">
        <v>3817</v>
      </c>
      <c r="B246" s="55" t="s">
        <v>567</v>
      </c>
      <c r="C246" s="56">
        <v>375.2</v>
      </c>
      <c r="D246" s="57">
        <v>0.4</v>
      </c>
      <c r="E246" s="57">
        <f t="shared" si="7"/>
        <v>150.08000000000001</v>
      </c>
      <c r="F246" s="57">
        <f>148.57+1.51</f>
        <v>150.07999999999998</v>
      </c>
      <c r="G246" s="57">
        <f t="shared" si="6"/>
        <v>0</v>
      </c>
      <c r="H246" s="84">
        <v>7851322</v>
      </c>
      <c r="I246" s="60" t="s">
        <v>568</v>
      </c>
      <c r="J246" s="59" t="s">
        <v>25</v>
      </c>
      <c r="K246" s="60" t="s">
        <v>26</v>
      </c>
      <c r="L246" s="54">
        <v>96288881</v>
      </c>
      <c r="M246" s="557" t="s">
        <v>928</v>
      </c>
      <c r="N246" s="61" t="s">
        <v>938</v>
      </c>
    </row>
    <row r="247" spans="1:23" x14ac:dyDescent="0.25">
      <c r="A247" s="22">
        <v>3818</v>
      </c>
      <c r="B247" s="33" t="s">
        <v>569</v>
      </c>
      <c r="C247" s="45">
        <v>541.20000000000005</v>
      </c>
      <c r="D247" s="25">
        <v>0.4</v>
      </c>
      <c r="E247" s="25">
        <f t="shared" si="7"/>
        <v>216.48000000000002</v>
      </c>
      <c r="F247" s="25"/>
      <c r="G247" s="25">
        <f t="shared" si="6"/>
        <v>216.48000000000002</v>
      </c>
      <c r="H247" s="34">
        <v>2520858</v>
      </c>
      <c r="I247" s="214" t="s">
        <v>570</v>
      </c>
      <c r="J247" s="473" t="s">
        <v>25</v>
      </c>
      <c r="K247" s="474" t="s">
        <v>26</v>
      </c>
      <c r="L247" s="22">
        <v>99699976</v>
      </c>
      <c r="M247" s="26"/>
    </row>
    <row r="248" spans="1:23" s="144" customFormat="1" x14ac:dyDescent="0.25">
      <c r="A248" s="54">
        <v>3819</v>
      </c>
      <c r="B248" s="55" t="s">
        <v>571</v>
      </c>
      <c r="C248" s="56">
        <v>290.2</v>
      </c>
      <c r="D248" s="57">
        <v>0.4</v>
      </c>
      <c r="E248" s="57">
        <f t="shared" si="7"/>
        <v>116.08</v>
      </c>
      <c r="F248" s="57">
        <f>111.59+4.49</f>
        <v>116.08</v>
      </c>
      <c r="G248" s="57">
        <f t="shared" si="6"/>
        <v>0</v>
      </c>
      <c r="H248" s="84">
        <v>3952839</v>
      </c>
      <c r="I248" s="60" t="s">
        <v>572</v>
      </c>
      <c r="J248" s="61" t="s">
        <v>17</v>
      </c>
      <c r="K248" s="61" t="s">
        <v>18</v>
      </c>
      <c r="L248" s="54">
        <v>98856929</v>
      </c>
      <c r="M248" s="61" t="s">
        <v>928</v>
      </c>
      <c r="N248" s="61" t="s">
        <v>940</v>
      </c>
    </row>
    <row r="249" spans="1:23" s="144" customFormat="1" x14ac:dyDescent="0.25">
      <c r="A249" s="54">
        <v>3820</v>
      </c>
      <c r="B249" s="55" t="s">
        <v>573</v>
      </c>
      <c r="C249" s="56">
        <v>195.2</v>
      </c>
      <c r="D249" s="57">
        <v>0.4</v>
      </c>
      <c r="E249" s="57">
        <f t="shared" si="7"/>
        <v>78.08</v>
      </c>
      <c r="F249" s="57">
        <f>74.43+3.65</f>
        <v>78.080000000000013</v>
      </c>
      <c r="G249" s="57">
        <f t="shared" si="6"/>
        <v>0</v>
      </c>
      <c r="H249" s="84">
        <v>20898806</v>
      </c>
      <c r="I249" s="60" t="s">
        <v>574</v>
      </c>
      <c r="J249" s="59" t="s">
        <v>25</v>
      </c>
      <c r="K249" s="60" t="s">
        <v>26</v>
      </c>
      <c r="L249" s="54">
        <v>95855255</v>
      </c>
      <c r="M249" s="61" t="s">
        <v>928</v>
      </c>
      <c r="N249" s="461">
        <v>45788</v>
      </c>
    </row>
    <row r="250" spans="1:23" s="144" customFormat="1" x14ac:dyDescent="0.25">
      <c r="A250" s="54">
        <v>3821</v>
      </c>
      <c r="B250" s="55" t="s">
        <v>575</v>
      </c>
      <c r="C250" s="56">
        <v>153</v>
      </c>
      <c r="D250" s="57">
        <v>0.4</v>
      </c>
      <c r="E250" s="57">
        <f t="shared" si="7"/>
        <v>61.2</v>
      </c>
      <c r="F250" s="57">
        <v>58.2</v>
      </c>
      <c r="G250" s="57">
        <f t="shared" si="6"/>
        <v>3</v>
      </c>
      <c r="H250" s="84">
        <v>5773746</v>
      </c>
      <c r="I250" s="60" t="s">
        <v>576</v>
      </c>
      <c r="J250" s="61" t="s">
        <v>210</v>
      </c>
      <c r="K250" s="58" t="s">
        <v>211</v>
      </c>
      <c r="L250" s="54">
        <v>96780867</v>
      </c>
      <c r="M250" s="61" t="s">
        <v>933</v>
      </c>
    </row>
    <row r="251" spans="1:23" s="144" customFormat="1" x14ac:dyDescent="0.25">
      <c r="A251" s="54">
        <v>3822</v>
      </c>
      <c r="B251" s="55" t="s">
        <v>577</v>
      </c>
      <c r="C251" s="56">
        <v>725.9</v>
      </c>
      <c r="D251" s="57">
        <v>0.4</v>
      </c>
      <c r="E251" s="57">
        <f t="shared" si="7"/>
        <v>290.36</v>
      </c>
      <c r="F251" s="57">
        <f>E251</f>
        <v>290.36</v>
      </c>
      <c r="G251" s="57">
        <f t="shared" si="6"/>
        <v>0</v>
      </c>
      <c r="H251" s="84">
        <v>1522824</v>
      </c>
      <c r="I251" s="60" t="s">
        <v>578</v>
      </c>
      <c r="J251" s="61" t="s">
        <v>43</v>
      </c>
      <c r="K251" s="60" t="s">
        <v>44</v>
      </c>
      <c r="L251" s="54">
        <v>92733857</v>
      </c>
      <c r="M251" s="61" t="s">
        <v>938</v>
      </c>
    </row>
    <row r="252" spans="1:23" s="144" customFormat="1" x14ac:dyDescent="0.25">
      <c r="A252" s="54">
        <v>3823</v>
      </c>
      <c r="B252" s="55" t="s">
        <v>579</v>
      </c>
      <c r="C252" s="56">
        <v>241.3</v>
      </c>
      <c r="D252" s="57">
        <v>0.4</v>
      </c>
      <c r="E252" s="57">
        <f t="shared" si="7"/>
        <v>96.52000000000001</v>
      </c>
      <c r="F252" s="57">
        <f>E252</f>
        <v>96.52000000000001</v>
      </c>
      <c r="G252" s="57">
        <f t="shared" si="6"/>
        <v>0</v>
      </c>
      <c r="H252" s="84">
        <v>865789</v>
      </c>
      <c r="I252" s="60" t="s">
        <v>580</v>
      </c>
      <c r="J252" s="59" t="s">
        <v>25</v>
      </c>
      <c r="K252" s="60" t="s">
        <v>26</v>
      </c>
      <c r="L252" s="54">
        <v>99366841</v>
      </c>
      <c r="M252" s="461">
        <v>45941</v>
      </c>
    </row>
    <row r="253" spans="1:23" s="556" customFormat="1" x14ac:dyDescent="0.25">
      <c r="A253" s="54">
        <v>3824</v>
      </c>
      <c r="B253" s="55" t="s">
        <v>914</v>
      </c>
      <c r="C253" s="56">
        <v>407</v>
      </c>
      <c r="D253" s="57">
        <v>0.4</v>
      </c>
      <c r="E253" s="57">
        <f t="shared" si="7"/>
        <v>162.80000000000001</v>
      </c>
      <c r="F253" s="57">
        <f>E253</f>
        <v>162.80000000000001</v>
      </c>
      <c r="G253" s="57">
        <f t="shared" si="6"/>
        <v>0</v>
      </c>
      <c r="H253" s="84">
        <v>19875796</v>
      </c>
      <c r="I253" s="60" t="s">
        <v>915</v>
      </c>
      <c r="J253" s="59" t="s">
        <v>25</v>
      </c>
      <c r="K253" s="60" t="s">
        <v>26</v>
      </c>
      <c r="L253" s="54">
        <v>97778036</v>
      </c>
      <c r="M253" s="61" t="s">
        <v>932</v>
      </c>
      <c r="N253" s="553" t="s">
        <v>919</v>
      </c>
      <c r="P253" s="61" t="s">
        <v>938</v>
      </c>
    </row>
    <row r="254" spans="1:23" s="144" customFormat="1" x14ac:dyDescent="0.25">
      <c r="A254" s="54">
        <v>3827</v>
      </c>
      <c r="B254" s="55" t="s">
        <v>583</v>
      </c>
      <c r="C254" s="56">
        <v>691.7</v>
      </c>
      <c r="D254" s="57">
        <v>0.4</v>
      </c>
      <c r="E254" s="57">
        <f t="shared" si="7"/>
        <v>276.68</v>
      </c>
      <c r="F254" s="57">
        <f>E254</f>
        <v>276.68</v>
      </c>
      <c r="G254" s="57">
        <f t="shared" si="6"/>
        <v>0</v>
      </c>
      <c r="H254" s="84">
        <v>19049113</v>
      </c>
      <c r="I254" s="60" t="s">
        <v>584</v>
      </c>
      <c r="J254" s="59" t="s">
        <v>25</v>
      </c>
      <c r="K254" s="60" t="s">
        <v>26</v>
      </c>
      <c r="L254" s="54">
        <v>97778037</v>
      </c>
      <c r="M254" s="61" t="s">
        <v>938</v>
      </c>
    </row>
    <row r="255" spans="1:23" s="144" customFormat="1" x14ac:dyDescent="0.25">
      <c r="A255" s="54">
        <v>3828</v>
      </c>
      <c r="B255" s="55" t="s">
        <v>585</v>
      </c>
      <c r="C255" s="56">
        <v>170.2</v>
      </c>
      <c r="D255" s="57">
        <v>0.4</v>
      </c>
      <c r="E255" s="57">
        <f t="shared" si="7"/>
        <v>68.08</v>
      </c>
      <c r="F255" s="57">
        <f>E255</f>
        <v>68.08</v>
      </c>
      <c r="G255" s="57">
        <f t="shared" si="6"/>
        <v>0</v>
      </c>
      <c r="H255" s="84">
        <v>5520522</v>
      </c>
      <c r="I255" s="60" t="s">
        <v>586</v>
      </c>
      <c r="J255" s="58" t="s">
        <v>75</v>
      </c>
      <c r="K255" s="61" t="s">
        <v>76</v>
      </c>
      <c r="L255" s="54">
        <v>99589277</v>
      </c>
      <c r="M255" s="61" t="s">
        <v>927</v>
      </c>
      <c r="O255" s="530"/>
      <c r="U255" s="564"/>
      <c r="W255" s="565"/>
    </row>
    <row r="256" spans="1:23" x14ac:dyDescent="0.25">
      <c r="A256" s="22">
        <v>3829</v>
      </c>
      <c r="B256" s="33" t="s">
        <v>587</v>
      </c>
      <c r="C256" s="24">
        <v>207</v>
      </c>
      <c r="D256" s="25">
        <v>0.4</v>
      </c>
      <c r="E256" s="25">
        <f t="shared" si="7"/>
        <v>82.800000000000011</v>
      </c>
      <c r="F256" s="25"/>
      <c r="G256" s="25">
        <f t="shared" si="6"/>
        <v>82.800000000000011</v>
      </c>
      <c r="H256" s="34">
        <v>897384</v>
      </c>
      <c r="I256" s="214" t="s">
        <v>588</v>
      </c>
      <c r="J256" s="26" t="s">
        <v>17</v>
      </c>
      <c r="K256" s="26" t="s">
        <v>18</v>
      </c>
      <c r="L256" s="22"/>
      <c r="M256" s="26"/>
      <c r="O256" s="50"/>
      <c r="U256" s="63"/>
      <c r="W256" s="43"/>
    </row>
    <row r="257" spans="1:23" s="144" customFormat="1" x14ac:dyDescent="0.25">
      <c r="A257" s="54">
        <v>3830</v>
      </c>
      <c r="B257" s="55" t="s">
        <v>589</v>
      </c>
      <c r="C257" s="56">
        <v>221.3</v>
      </c>
      <c r="D257" s="57">
        <v>0.4</v>
      </c>
      <c r="E257" s="57">
        <f t="shared" si="7"/>
        <v>88.52000000000001</v>
      </c>
      <c r="F257" s="57">
        <f>E257</f>
        <v>88.52000000000001</v>
      </c>
      <c r="G257" s="57">
        <f t="shared" si="6"/>
        <v>0</v>
      </c>
      <c r="H257" s="84">
        <v>2153706</v>
      </c>
      <c r="I257" s="60" t="s">
        <v>590</v>
      </c>
      <c r="J257" s="59" t="s">
        <v>25</v>
      </c>
      <c r="K257" s="60" t="s">
        <v>26</v>
      </c>
      <c r="L257" s="54">
        <v>92740607</v>
      </c>
      <c r="M257" s="61" t="s">
        <v>930</v>
      </c>
    </row>
    <row r="258" spans="1:23" x14ac:dyDescent="0.25">
      <c r="A258" s="22">
        <v>3831</v>
      </c>
      <c r="B258" s="33" t="s">
        <v>591</v>
      </c>
      <c r="C258" s="24">
        <v>209.1</v>
      </c>
      <c r="D258" s="25">
        <v>0.4</v>
      </c>
      <c r="E258" s="25">
        <f t="shared" si="7"/>
        <v>83.64</v>
      </c>
      <c r="F258" s="25"/>
      <c r="G258" s="25">
        <f t="shared" si="6"/>
        <v>83.64</v>
      </c>
      <c r="H258" s="34">
        <v>873604</v>
      </c>
      <c r="I258" s="214" t="s">
        <v>592</v>
      </c>
      <c r="J258" s="26" t="s">
        <v>17</v>
      </c>
      <c r="K258" s="26" t="s">
        <v>18</v>
      </c>
      <c r="L258" s="22">
        <v>98145449</v>
      </c>
      <c r="M258" s="26"/>
      <c r="O258" s="50"/>
      <c r="U258" s="63"/>
      <c r="W258" s="43"/>
    </row>
    <row r="259" spans="1:23" s="144" customFormat="1" x14ac:dyDescent="0.25">
      <c r="A259" s="54">
        <v>3832</v>
      </c>
      <c r="B259" s="55" t="s">
        <v>792</v>
      </c>
      <c r="C259" s="56">
        <v>15.6</v>
      </c>
      <c r="D259" s="57">
        <v>0.4</v>
      </c>
      <c r="E259" s="57">
        <f t="shared" si="7"/>
        <v>6.24</v>
      </c>
      <c r="F259" s="57">
        <f>E259</f>
        <v>6.24</v>
      </c>
      <c r="G259" s="57">
        <f t="shared" si="6"/>
        <v>0</v>
      </c>
      <c r="H259" s="84">
        <v>1985192</v>
      </c>
      <c r="I259" s="512" t="s">
        <v>840</v>
      </c>
      <c r="J259" s="513" t="s">
        <v>25</v>
      </c>
      <c r="K259" s="512" t="s">
        <v>26</v>
      </c>
      <c r="L259" s="54">
        <v>99695515</v>
      </c>
      <c r="M259" s="461">
        <v>45788</v>
      </c>
      <c r="O259" s="530"/>
      <c r="U259" s="566"/>
      <c r="W259" s="585"/>
    </row>
    <row r="260" spans="1:23" s="144" customFormat="1" x14ac:dyDescent="0.25">
      <c r="A260" s="54">
        <v>3833</v>
      </c>
      <c r="B260" s="55" t="s">
        <v>593</v>
      </c>
      <c r="C260" s="56">
        <v>255.1</v>
      </c>
      <c r="D260" s="57">
        <v>0.4</v>
      </c>
      <c r="E260" s="57">
        <f t="shared" si="7"/>
        <v>102.04</v>
      </c>
      <c r="F260" s="57">
        <f>E260</f>
        <v>102.04</v>
      </c>
      <c r="G260" s="57">
        <f t="shared" ref="G260:G323" si="8">E260-F260</f>
        <v>0</v>
      </c>
      <c r="H260" s="84">
        <v>19179619</v>
      </c>
      <c r="I260" s="60" t="s">
        <v>594</v>
      </c>
      <c r="J260" s="61" t="s">
        <v>17</v>
      </c>
      <c r="K260" s="61" t="s">
        <v>18</v>
      </c>
      <c r="L260" s="54">
        <v>91133123</v>
      </c>
      <c r="M260" s="61" t="s">
        <v>938</v>
      </c>
      <c r="O260" s="530"/>
      <c r="U260" s="566"/>
    </row>
    <row r="261" spans="1:23" s="144" customFormat="1" x14ac:dyDescent="0.25">
      <c r="A261" s="54">
        <v>3834</v>
      </c>
      <c r="B261" s="55" t="s">
        <v>595</v>
      </c>
      <c r="C261" s="56">
        <v>450.5</v>
      </c>
      <c r="D261" s="57">
        <v>0.4</v>
      </c>
      <c r="E261" s="57">
        <f t="shared" si="7"/>
        <v>180.20000000000002</v>
      </c>
      <c r="F261" s="57">
        <f>E261</f>
        <v>180.20000000000002</v>
      </c>
      <c r="G261" s="57">
        <f t="shared" si="8"/>
        <v>0</v>
      </c>
      <c r="H261" s="84">
        <v>5544756</v>
      </c>
      <c r="I261" s="60" t="s">
        <v>596</v>
      </c>
      <c r="J261" s="59" t="s">
        <v>25</v>
      </c>
      <c r="K261" s="60" t="s">
        <v>26</v>
      </c>
      <c r="L261" s="54">
        <v>92444788</v>
      </c>
      <c r="M261" s="61" t="s">
        <v>938</v>
      </c>
    </row>
    <row r="262" spans="1:23" s="170" customFormat="1" x14ac:dyDescent="0.25">
      <c r="A262" s="115">
        <v>3835</v>
      </c>
      <c r="B262" s="116" t="s">
        <v>598</v>
      </c>
      <c r="C262" s="117">
        <v>153</v>
      </c>
      <c r="D262" s="118">
        <v>0.4</v>
      </c>
      <c r="E262" s="118">
        <f t="shared" si="7"/>
        <v>61.2</v>
      </c>
      <c r="F262" s="118">
        <f>E262</f>
        <v>61.2</v>
      </c>
      <c r="G262" s="118">
        <f t="shared" si="8"/>
        <v>0</v>
      </c>
      <c r="H262" s="119">
        <v>781845</v>
      </c>
      <c r="I262" s="120" t="s">
        <v>599</v>
      </c>
      <c r="J262" s="125" t="s">
        <v>17</v>
      </c>
      <c r="K262" s="125" t="s">
        <v>18</v>
      </c>
      <c r="L262" s="115">
        <v>99297720</v>
      </c>
      <c r="M262" s="125" t="s">
        <v>947</v>
      </c>
      <c r="O262" s="568"/>
    </row>
    <row r="263" spans="1:23" s="144" customFormat="1" x14ac:dyDescent="0.25">
      <c r="A263" s="54">
        <v>3836</v>
      </c>
      <c r="B263" s="55" t="s">
        <v>600</v>
      </c>
      <c r="C263" s="56">
        <v>207.6</v>
      </c>
      <c r="D263" s="57">
        <v>0.4</v>
      </c>
      <c r="E263" s="57">
        <f t="shared" si="7"/>
        <v>83.04</v>
      </c>
      <c r="F263" s="57">
        <f>80.22+2.82</f>
        <v>83.039999999999992</v>
      </c>
      <c r="G263" s="57">
        <f t="shared" si="8"/>
        <v>0</v>
      </c>
      <c r="H263" s="84">
        <v>20264434</v>
      </c>
      <c r="I263" s="60" t="s">
        <v>601</v>
      </c>
      <c r="J263" s="59" t="s">
        <v>25</v>
      </c>
      <c r="K263" s="60" t="s">
        <v>26</v>
      </c>
      <c r="L263" s="54"/>
      <c r="M263" s="557" t="s">
        <v>928</v>
      </c>
      <c r="N263" s="61" t="s">
        <v>938</v>
      </c>
    </row>
    <row r="264" spans="1:23" x14ac:dyDescent="0.25">
      <c r="A264" s="22">
        <v>3837</v>
      </c>
      <c r="B264" s="33" t="s">
        <v>602</v>
      </c>
      <c r="C264" s="24">
        <v>283.2</v>
      </c>
      <c r="D264" s="25">
        <v>0.4</v>
      </c>
      <c r="E264" s="25">
        <f t="shared" si="7"/>
        <v>113.28</v>
      </c>
      <c r="F264" s="25"/>
      <c r="G264" s="25">
        <f t="shared" si="8"/>
        <v>113.28</v>
      </c>
      <c r="H264" s="34">
        <v>1935947</v>
      </c>
      <c r="I264" s="214" t="s">
        <v>603</v>
      </c>
      <c r="J264" s="473" t="s">
        <v>25</v>
      </c>
      <c r="K264" s="474" t="s">
        <v>26</v>
      </c>
      <c r="L264" s="22">
        <v>99499566</v>
      </c>
      <c r="M264" s="26"/>
    </row>
    <row r="265" spans="1:23" s="144" customFormat="1" x14ac:dyDescent="0.25">
      <c r="A265" s="54">
        <v>3838</v>
      </c>
      <c r="B265" s="55" t="s">
        <v>604</v>
      </c>
      <c r="C265" s="56">
        <v>224.2</v>
      </c>
      <c r="D265" s="57">
        <v>0.4</v>
      </c>
      <c r="E265" s="57">
        <f t="shared" si="7"/>
        <v>89.68</v>
      </c>
      <c r="F265" s="57">
        <f>E265</f>
        <v>89.68</v>
      </c>
      <c r="G265" s="57">
        <f t="shared" si="8"/>
        <v>0</v>
      </c>
      <c r="H265" s="84">
        <v>18553115</v>
      </c>
      <c r="I265" s="60" t="s">
        <v>605</v>
      </c>
      <c r="J265" s="59" t="s">
        <v>25</v>
      </c>
      <c r="K265" s="60" t="s">
        <v>26</v>
      </c>
      <c r="L265" s="54"/>
      <c r="M265" s="61" t="s">
        <v>933</v>
      </c>
    </row>
    <row r="266" spans="1:23" s="144" customFormat="1" x14ac:dyDescent="0.25">
      <c r="A266" s="54">
        <v>3839</v>
      </c>
      <c r="B266" s="55" t="s">
        <v>606</v>
      </c>
      <c r="C266" s="56">
        <v>939.1</v>
      </c>
      <c r="D266" s="57">
        <v>0.4</v>
      </c>
      <c r="E266" s="57">
        <f t="shared" ref="E266:E313" si="9">D266*C266</f>
        <v>375.64000000000004</v>
      </c>
      <c r="F266" s="57">
        <f>371.71+3.93</f>
        <v>375.64</v>
      </c>
      <c r="G266" s="57">
        <f t="shared" si="8"/>
        <v>0</v>
      </c>
      <c r="H266" s="84">
        <v>22799311</v>
      </c>
      <c r="I266" s="60" t="s">
        <v>607</v>
      </c>
      <c r="J266" s="59" t="s">
        <v>25</v>
      </c>
      <c r="K266" s="60" t="s">
        <v>26</v>
      </c>
      <c r="L266" s="54"/>
      <c r="M266" s="61" t="s">
        <v>927</v>
      </c>
      <c r="N266" s="61" t="s">
        <v>938</v>
      </c>
    </row>
    <row r="267" spans="1:23" s="144" customFormat="1" x14ac:dyDescent="0.25">
      <c r="A267" s="54">
        <v>3840</v>
      </c>
      <c r="B267" s="55" t="s">
        <v>608</v>
      </c>
      <c r="C267" s="56">
        <v>312.39999999999998</v>
      </c>
      <c r="D267" s="57">
        <v>0.4</v>
      </c>
      <c r="E267" s="57">
        <f t="shared" si="9"/>
        <v>124.96</v>
      </c>
      <c r="F267" s="57">
        <f>124.04+0.92</f>
        <v>124.96000000000001</v>
      </c>
      <c r="G267" s="57">
        <f t="shared" si="8"/>
        <v>0</v>
      </c>
      <c r="H267" s="84">
        <v>19777334</v>
      </c>
      <c r="I267" s="60" t="s">
        <v>609</v>
      </c>
      <c r="J267" s="59" t="s">
        <v>25</v>
      </c>
      <c r="K267" s="60" t="s">
        <v>26</v>
      </c>
      <c r="L267" s="54"/>
      <c r="M267" s="61" t="s">
        <v>927</v>
      </c>
      <c r="N267" s="461">
        <v>45727</v>
      </c>
    </row>
    <row r="268" spans="1:23" x14ac:dyDescent="0.25">
      <c r="A268" s="22">
        <v>3841</v>
      </c>
      <c r="B268" s="33" t="s">
        <v>610</v>
      </c>
      <c r="C268" s="24">
        <v>451.3</v>
      </c>
      <c r="D268" s="25">
        <v>0.4</v>
      </c>
      <c r="E268" s="25">
        <f t="shared" si="9"/>
        <v>180.52</v>
      </c>
      <c r="F268" s="25"/>
      <c r="G268" s="25">
        <f t="shared" si="8"/>
        <v>180.52</v>
      </c>
      <c r="H268" s="34">
        <v>2538202</v>
      </c>
      <c r="I268" s="214" t="s">
        <v>611</v>
      </c>
      <c r="J268" s="216" t="s">
        <v>75</v>
      </c>
      <c r="K268" s="26" t="s">
        <v>76</v>
      </c>
      <c r="L268" s="22">
        <v>92735668</v>
      </c>
      <c r="M268" s="26"/>
    </row>
    <row r="269" spans="1:23" s="144" customFormat="1" x14ac:dyDescent="0.25">
      <c r="A269" s="54">
        <v>3843</v>
      </c>
      <c r="B269" s="55" t="s">
        <v>612</v>
      </c>
      <c r="C269" s="56">
        <v>637.5</v>
      </c>
      <c r="D269" s="57">
        <v>0.4</v>
      </c>
      <c r="E269" s="57">
        <f t="shared" si="9"/>
        <v>255</v>
      </c>
      <c r="F269" s="57">
        <f>E269</f>
        <v>255</v>
      </c>
      <c r="G269" s="57">
        <f t="shared" si="8"/>
        <v>0</v>
      </c>
      <c r="H269" s="84">
        <v>19564247</v>
      </c>
      <c r="I269" s="60" t="s">
        <v>613</v>
      </c>
      <c r="J269" s="59" t="s">
        <v>25</v>
      </c>
      <c r="K269" s="60" t="s">
        <v>26</v>
      </c>
      <c r="L269" s="54"/>
      <c r="M269" s="61" t="s">
        <v>954</v>
      </c>
    </row>
    <row r="270" spans="1:23" s="144" customFormat="1" x14ac:dyDescent="0.25">
      <c r="A270" s="54">
        <v>3844</v>
      </c>
      <c r="B270" s="55" t="s">
        <v>614</v>
      </c>
      <c r="C270" s="56">
        <v>1043.8</v>
      </c>
      <c r="D270" s="57">
        <v>0.4</v>
      </c>
      <c r="E270" s="57">
        <f t="shared" si="9"/>
        <v>417.52</v>
      </c>
      <c r="F270" s="57">
        <f>414.01+3.51</f>
        <v>417.52</v>
      </c>
      <c r="G270" s="57">
        <f t="shared" si="8"/>
        <v>0</v>
      </c>
      <c r="H270" s="84">
        <v>1036602</v>
      </c>
      <c r="I270" s="60" t="s">
        <v>615</v>
      </c>
      <c r="J270" s="61" t="s">
        <v>43</v>
      </c>
      <c r="K270" s="60" t="s">
        <v>44</v>
      </c>
      <c r="L270" s="54">
        <v>98112999</v>
      </c>
      <c r="M270" s="557" t="s">
        <v>928</v>
      </c>
      <c r="N270" s="61" t="s">
        <v>938</v>
      </c>
    </row>
    <row r="271" spans="1:23" s="144" customFormat="1" x14ac:dyDescent="0.25">
      <c r="A271" s="54">
        <v>3845</v>
      </c>
      <c r="B271" s="55" t="s">
        <v>616</v>
      </c>
      <c r="C271" s="56">
        <v>980.3</v>
      </c>
      <c r="D271" s="57">
        <v>0.4</v>
      </c>
      <c r="E271" s="57">
        <f t="shared" si="9"/>
        <v>392.12</v>
      </c>
      <c r="F271" s="57">
        <f>391.35+0.77</f>
        <v>392.12</v>
      </c>
      <c r="G271" s="57">
        <f t="shared" si="8"/>
        <v>0</v>
      </c>
      <c r="H271" s="84">
        <v>1432563</v>
      </c>
      <c r="I271" s="60" t="s">
        <v>617</v>
      </c>
      <c r="J271" s="61" t="s">
        <v>17</v>
      </c>
      <c r="K271" s="61" t="s">
        <v>18</v>
      </c>
      <c r="L271" s="54"/>
      <c r="M271" s="503" t="s">
        <v>927</v>
      </c>
      <c r="N271" s="61" t="s">
        <v>938</v>
      </c>
    </row>
    <row r="272" spans="1:23" x14ac:dyDescent="0.25">
      <c r="A272" s="22">
        <v>3846</v>
      </c>
      <c r="B272" s="33" t="s">
        <v>618</v>
      </c>
      <c r="C272" s="24">
        <v>248.8</v>
      </c>
      <c r="D272" s="25">
        <v>0.4</v>
      </c>
      <c r="E272" s="25">
        <f t="shared" si="9"/>
        <v>99.52000000000001</v>
      </c>
      <c r="F272" s="25">
        <f>E272</f>
        <v>99.52000000000001</v>
      </c>
      <c r="G272" s="25">
        <f t="shared" si="8"/>
        <v>0</v>
      </c>
      <c r="H272" s="34">
        <v>8115103</v>
      </c>
      <c r="I272" s="214" t="s">
        <v>619</v>
      </c>
      <c r="J272" s="216" t="s">
        <v>75</v>
      </c>
      <c r="K272" s="26" t="s">
        <v>76</v>
      </c>
      <c r="L272" s="22">
        <v>99298488</v>
      </c>
      <c r="M272" s="61" t="s">
        <v>955</v>
      </c>
    </row>
    <row r="273" spans="1:14" x14ac:dyDescent="0.25">
      <c r="A273" s="22">
        <v>3847</v>
      </c>
      <c r="B273" s="33" t="s">
        <v>620</v>
      </c>
      <c r="C273" s="24">
        <v>1027.8</v>
      </c>
      <c r="D273" s="25">
        <v>0.4</v>
      </c>
      <c r="E273" s="25">
        <f t="shared" si="9"/>
        <v>411.12</v>
      </c>
      <c r="F273" s="25"/>
      <c r="G273" s="25">
        <f t="shared" si="8"/>
        <v>411.12</v>
      </c>
      <c r="H273" s="34">
        <v>238234</v>
      </c>
      <c r="I273" s="214" t="s">
        <v>621</v>
      </c>
      <c r="J273" s="473" t="s">
        <v>25</v>
      </c>
      <c r="K273" s="474" t="s">
        <v>26</v>
      </c>
      <c r="L273" s="22">
        <v>99495154</v>
      </c>
      <c r="M273" s="26"/>
    </row>
    <row r="274" spans="1:14" s="144" customFormat="1" x14ac:dyDescent="0.25">
      <c r="A274" s="54">
        <v>3848</v>
      </c>
      <c r="B274" s="55" t="s">
        <v>622</v>
      </c>
      <c r="C274" s="56">
        <v>857.5</v>
      </c>
      <c r="D274" s="57">
        <v>0.4</v>
      </c>
      <c r="E274" s="57">
        <f t="shared" si="9"/>
        <v>343</v>
      </c>
      <c r="F274" s="57">
        <f>0.08+342.92</f>
        <v>343</v>
      </c>
      <c r="G274" s="57">
        <f t="shared" si="8"/>
        <v>0</v>
      </c>
      <c r="H274" s="84">
        <v>19231852</v>
      </c>
      <c r="I274" s="60" t="s">
        <v>623</v>
      </c>
      <c r="J274" s="61" t="s">
        <v>43</v>
      </c>
      <c r="K274" s="60" t="s">
        <v>44</v>
      </c>
      <c r="L274" s="54">
        <v>92341000</v>
      </c>
      <c r="M274" s="503">
        <v>45818</v>
      </c>
      <c r="N274" s="61" t="s">
        <v>940</v>
      </c>
    </row>
    <row r="275" spans="1:14" x14ac:dyDescent="0.25">
      <c r="A275" s="22">
        <v>3849</v>
      </c>
      <c r="B275" s="33" t="s">
        <v>624</v>
      </c>
      <c r="C275" s="24">
        <v>276.2</v>
      </c>
      <c r="D275" s="25">
        <v>0.4</v>
      </c>
      <c r="E275" s="25">
        <f t="shared" si="9"/>
        <v>110.48</v>
      </c>
      <c r="F275" s="25">
        <f>E275</f>
        <v>110.48</v>
      </c>
      <c r="G275" s="25">
        <f t="shared" si="8"/>
        <v>0</v>
      </c>
      <c r="H275" s="470">
        <v>18693727</v>
      </c>
      <c r="I275" s="487" t="s">
        <v>625</v>
      </c>
      <c r="J275" s="26" t="s">
        <v>17</v>
      </c>
      <c r="K275" s="26" t="s">
        <v>18</v>
      </c>
      <c r="L275" s="22">
        <v>93264185</v>
      </c>
      <c r="M275" s="61" t="s">
        <v>940</v>
      </c>
    </row>
    <row r="276" spans="1:14" x14ac:dyDescent="0.25">
      <c r="A276" s="22">
        <v>3850</v>
      </c>
      <c r="B276" s="33" t="s">
        <v>626</v>
      </c>
      <c r="C276" s="24">
        <v>386.1</v>
      </c>
      <c r="D276" s="25">
        <v>0.4</v>
      </c>
      <c r="E276" s="25">
        <f t="shared" si="9"/>
        <v>154.44000000000003</v>
      </c>
      <c r="F276" s="25">
        <f>E276</f>
        <v>154.44000000000003</v>
      </c>
      <c r="G276" s="25">
        <f t="shared" si="8"/>
        <v>0</v>
      </c>
      <c r="H276" s="34">
        <v>5742985</v>
      </c>
      <c r="I276" s="214" t="s">
        <v>627</v>
      </c>
      <c r="J276" s="473" t="s">
        <v>25</v>
      </c>
      <c r="K276" s="474" t="s">
        <v>26</v>
      </c>
      <c r="L276" s="22">
        <v>93693543</v>
      </c>
      <c r="M276" s="461">
        <v>45727</v>
      </c>
    </row>
    <row r="277" spans="1:14" x14ac:dyDescent="0.25">
      <c r="A277" s="22">
        <v>3851</v>
      </c>
      <c r="B277" s="33" t="s">
        <v>629</v>
      </c>
      <c r="C277" s="24">
        <v>96.7</v>
      </c>
      <c r="D277" s="25">
        <v>0.4</v>
      </c>
      <c r="E277" s="25">
        <f t="shared" si="9"/>
        <v>38.680000000000007</v>
      </c>
      <c r="F277" s="25">
        <f>E277</f>
        <v>38.680000000000007</v>
      </c>
      <c r="G277" s="25">
        <f t="shared" si="8"/>
        <v>0</v>
      </c>
      <c r="H277" s="34">
        <v>22766611</v>
      </c>
      <c r="I277" s="214" t="s">
        <v>630</v>
      </c>
      <c r="J277" s="214" t="s">
        <v>257</v>
      </c>
      <c r="K277" s="214" t="s">
        <v>258</v>
      </c>
      <c r="L277" s="22">
        <v>92688007</v>
      </c>
      <c r="M277" s="461">
        <v>45727</v>
      </c>
    </row>
    <row r="278" spans="1:14" x14ac:dyDescent="0.25">
      <c r="A278" s="22">
        <v>3852</v>
      </c>
      <c r="B278" s="33" t="s">
        <v>631</v>
      </c>
      <c r="C278" s="24">
        <v>343</v>
      </c>
      <c r="D278" s="25">
        <v>0.4</v>
      </c>
      <c r="E278" s="25">
        <f t="shared" si="9"/>
        <v>137.20000000000002</v>
      </c>
      <c r="F278" s="25"/>
      <c r="G278" s="25">
        <f t="shared" si="8"/>
        <v>137.20000000000002</v>
      </c>
      <c r="H278" s="34">
        <v>8827979</v>
      </c>
      <c r="I278" s="214" t="s">
        <v>632</v>
      </c>
      <c r="J278" s="473" t="s">
        <v>25</v>
      </c>
      <c r="K278" s="474" t="s">
        <v>26</v>
      </c>
      <c r="L278" s="22">
        <v>92698971</v>
      </c>
      <c r="M278" s="26"/>
    </row>
    <row r="279" spans="1:14" s="144" customFormat="1" x14ac:dyDescent="0.25">
      <c r="A279" s="54">
        <v>3853</v>
      </c>
      <c r="B279" s="55" t="s">
        <v>633</v>
      </c>
      <c r="C279" s="56">
        <v>226.6</v>
      </c>
      <c r="D279" s="57">
        <v>0.4</v>
      </c>
      <c r="E279" s="57">
        <f t="shared" si="9"/>
        <v>90.64</v>
      </c>
      <c r="F279" s="57">
        <f>E279</f>
        <v>90.64</v>
      </c>
      <c r="G279" s="57">
        <f t="shared" si="8"/>
        <v>0</v>
      </c>
      <c r="H279" s="84">
        <v>5857446</v>
      </c>
      <c r="I279" s="60" t="s">
        <v>634</v>
      </c>
      <c r="J279" s="59" t="s">
        <v>25</v>
      </c>
      <c r="K279" s="60" t="s">
        <v>26</v>
      </c>
      <c r="L279" s="54">
        <v>97799611</v>
      </c>
      <c r="M279" s="61" t="s">
        <v>933</v>
      </c>
    </row>
    <row r="280" spans="1:14" s="144" customFormat="1" x14ac:dyDescent="0.25">
      <c r="A280" s="54">
        <v>3854</v>
      </c>
      <c r="B280" s="55" t="s">
        <v>635</v>
      </c>
      <c r="C280" s="56">
        <v>205.8</v>
      </c>
      <c r="D280" s="57">
        <v>0.4</v>
      </c>
      <c r="E280" s="57">
        <f t="shared" si="9"/>
        <v>82.320000000000007</v>
      </c>
      <c r="F280" s="57">
        <f>E280</f>
        <v>82.320000000000007</v>
      </c>
      <c r="G280" s="57">
        <f t="shared" si="8"/>
        <v>0</v>
      </c>
      <c r="H280" s="84">
        <v>1085838</v>
      </c>
      <c r="I280" s="60" t="s">
        <v>636</v>
      </c>
      <c r="J280" s="60" t="s">
        <v>166</v>
      </c>
      <c r="K280" s="61" t="s">
        <v>129</v>
      </c>
      <c r="L280" s="54">
        <v>92928848</v>
      </c>
      <c r="M280" s="61" t="s">
        <v>938</v>
      </c>
    </row>
    <row r="281" spans="1:14" s="144" customFormat="1" x14ac:dyDescent="0.25">
      <c r="A281" s="54">
        <v>3855</v>
      </c>
      <c r="B281" s="55" t="s">
        <v>637</v>
      </c>
      <c r="C281" s="56">
        <v>278.39999999999998</v>
      </c>
      <c r="D281" s="57">
        <v>0.4</v>
      </c>
      <c r="E281" s="57">
        <f t="shared" si="9"/>
        <v>111.36</v>
      </c>
      <c r="F281" s="57">
        <f>E281</f>
        <v>111.36</v>
      </c>
      <c r="G281" s="57">
        <f t="shared" si="8"/>
        <v>0</v>
      </c>
      <c r="H281" s="84">
        <v>4948259</v>
      </c>
      <c r="I281" s="60" t="s">
        <v>638</v>
      </c>
      <c r="J281" s="59" t="s">
        <v>25</v>
      </c>
      <c r="K281" s="60" t="s">
        <v>26</v>
      </c>
      <c r="L281" s="54">
        <v>98252880</v>
      </c>
      <c r="M281" s="61" t="s">
        <v>930</v>
      </c>
    </row>
    <row r="282" spans="1:14" x14ac:dyDescent="0.25">
      <c r="A282" s="22">
        <v>3856</v>
      </c>
      <c r="B282" s="33" t="s">
        <v>639</v>
      </c>
      <c r="C282" s="24">
        <v>131.1</v>
      </c>
      <c r="D282" s="25">
        <v>0.4</v>
      </c>
      <c r="E282" s="25">
        <f t="shared" si="9"/>
        <v>52.44</v>
      </c>
      <c r="F282" s="25"/>
      <c r="G282" s="25">
        <f t="shared" si="8"/>
        <v>52.44</v>
      </c>
      <c r="H282" s="34">
        <v>15097631</v>
      </c>
      <c r="I282" s="214" t="s">
        <v>640</v>
      </c>
      <c r="J282" s="473" t="s">
        <v>25</v>
      </c>
      <c r="K282" s="474" t="s">
        <v>26</v>
      </c>
      <c r="L282" s="22">
        <v>93262015</v>
      </c>
      <c r="M282" s="26"/>
    </row>
    <row r="283" spans="1:14" s="144" customFormat="1" x14ac:dyDescent="0.25">
      <c r="A283" s="54">
        <v>3857</v>
      </c>
      <c r="B283" s="55" t="s">
        <v>36</v>
      </c>
      <c r="C283" s="56">
        <v>533.70000000000005</v>
      </c>
      <c r="D283" s="57">
        <v>0.4</v>
      </c>
      <c r="E283" s="57">
        <f t="shared" si="9"/>
        <v>213.48000000000002</v>
      </c>
      <c r="F283" s="57">
        <f>212.85+0.63</f>
        <v>213.48</v>
      </c>
      <c r="G283" s="57">
        <f t="shared" si="8"/>
        <v>0</v>
      </c>
      <c r="H283" s="84">
        <v>28903474</v>
      </c>
      <c r="I283" s="60" t="s">
        <v>37</v>
      </c>
      <c r="J283" s="61" t="s">
        <v>17</v>
      </c>
      <c r="K283" s="61" t="s">
        <v>18</v>
      </c>
      <c r="L283" s="54">
        <v>77588901</v>
      </c>
      <c r="M283" s="61" t="s">
        <v>928</v>
      </c>
      <c r="N283" s="461">
        <v>45727</v>
      </c>
    </row>
    <row r="284" spans="1:14" s="144" customFormat="1" x14ac:dyDescent="0.25">
      <c r="A284" s="54">
        <v>3858</v>
      </c>
      <c r="B284" s="55" t="s">
        <v>641</v>
      </c>
      <c r="C284" s="56">
        <v>238.9</v>
      </c>
      <c r="D284" s="57">
        <v>0.4</v>
      </c>
      <c r="E284" s="57">
        <f t="shared" si="9"/>
        <v>95.56</v>
      </c>
      <c r="F284" s="57">
        <f>92.96+2.6</f>
        <v>95.559999999999988</v>
      </c>
      <c r="G284" s="57">
        <f t="shared" si="8"/>
        <v>0</v>
      </c>
      <c r="H284" s="84">
        <v>18451569</v>
      </c>
      <c r="I284" s="60" t="s">
        <v>642</v>
      </c>
      <c r="J284" s="59" t="s">
        <v>25</v>
      </c>
      <c r="K284" s="60" t="s">
        <v>26</v>
      </c>
      <c r="L284" s="54">
        <v>99298699</v>
      </c>
      <c r="M284" s="61" t="s">
        <v>925</v>
      </c>
      <c r="N284" s="461">
        <v>45727</v>
      </c>
    </row>
    <row r="285" spans="1:14" x14ac:dyDescent="0.25">
      <c r="A285" s="22">
        <v>3859</v>
      </c>
      <c r="B285" s="33" t="s">
        <v>442</v>
      </c>
      <c r="C285" s="24">
        <v>408.2</v>
      </c>
      <c r="D285" s="25">
        <v>0.4</v>
      </c>
      <c r="E285" s="25">
        <f t="shared" si="9"/>
        <v>163.28</v>
      </c>
      <c r="F285" s="25"/>
      <c r="G285" s="25">
        <f t="shared" si="8"/>
        <v>163.28</v>
      </c>
      <c r="H285" s="34">
        <v>6038764</v>
      </c>
      <c r="I285" s="214" t="s">
        <v>643</v>
      </c>
      <c r="J285" s="26" t="s">
        <v>17</v>
      </c>
      <c r="K285" s="26" t="s">
        <v>18</v>
      </c>
      <c r="L285" s="22">
        <v>98525646</v>
      </c>
      <c r="M285" s="26"/>
    </row>
    <row r="286" spans="1:14" x14ac:dyDescent="0.25">
      <c r="A286" s="22">
        <v>3860</v>
      </c>
      <c r="B286" s="33" t="s">
        <v>644</v>
      </c>
      <c r="C286" s="24">
        <v>177.3</v>
      </c>
      <c r="D286" s="25">
        <v>0.4</v>
      </c>
      <c r="E286" s="25">
        <f t="shared" si="9"/>
        <v>70.92</v>
      </c>
      <c r="F286" s="25">
        <f>E286</f>
        <v>70.92</v>
      </c>
      <c r="G286" s="25">
        <f t="shared" si="8"/>
        <v>0</v>
      </c>
      <c r="H286" s="34">
        <v>6132261</v>
      </c>
      <c r="I286" s="214" t="s">
        <v>916</v>
      </c>
      <c r="J286" s="473" t="s">
        <v>25</v>
      </c>
      <c r="K286" s="474" t="s">
        <v>26</v>
      </c>
      <c r="L286" s="22">
        <v>92527857</v>
      </c>
      <c r="M286" s="461">
        <v>45788</v>
      </c>
    </row>
    <row r="287" spans="1:14" s="144" customFormat="1" x14ac:dyDescent="0.25">
      <c r="A287" s="54">
        <v>3861</v>
      </c>
      <c r="B287" s="55" t="s">
        <v>646</v>
      </c>
      <c r="C287" s="56">
        <v>281.3</v>
      </c>
      <c r="D287" s="57">
        <v>0.4</v>
      </c>
      <c r="E287" s="57">
        <f t="shared" si="9"/>
        <v>112.52000000000001</v>
      </c>
      <c r="F287" s="57">
        <f>107.92+4.6</f>
        <v>112.52</v>
      </c>
      <c r="G287" s="57">
        <f t="shared" si="8"/>
        <v>0</v>
      </c>
      <c r="H287" s="84">
        <v>14330506</v>
      </c>
      <c r="I287" s="60" t="s">
        <v>647</v>
      </c>
      <c r="J287" s="61" t="s">
        <v>17</v>
      </c>
      <c r="K287" s="61" t="s">
        <v>18</v>
      </c>
      <c r="L287" s="54">
        <v>98187484</v>
      </c>
      <c r="M287" s="61" t="s">
        <v>928</v>
      </c>
      <c r="N287" s="461">
        <v>45727</v>
      </c>
    </row>
    <row r="288" spans="1:14" s="144" customFormat="1" x14ac:dyDescent="0.25">
      <c r="A288" s="54">
        <v>3862</v>
      </c>
      <c r="B288" s="55" t="s">
        <v>648</v>
      </c>
      <c r="C288" s="56">
        <v>315.2</v>
      </c>
      <c r="D288" s="57">
        <v>0.4</v>
      </c>
      <c r="E288" s="57">
        <f t="shared" si="9"/>
        <v>126.08</v>
      </c>
      <c r="F288" s="57">
        <f>125.49+0.59</f>
        <v>126.08</v>
      </c>
      <c r="G288" s="57">
        <f t="shared" si="8"/>
        <v>0</v>
      </c>
      <c r="H288" s="84">
        <v>5892019</v>
      </c>
      <c r="I288" s="60" t="s">
        <v>649</v>
      </c>
      <c r="J288" s="59" t="s">
        <v>25</v>
      </c>
      <c r="K288" s="60" t="s">
        <v>26</v>
      </c>
      <c r="L288" s="54"/>
      <c r="M288" s="61" t="s">
        <v>928</v>
      </c>
      <c r="N288" s="61" t="s">
        <v>938</v>
      </c>
    </row>
    <row r="289" spans="1:14" x14ac:dyDescent="0.25">
      <c r="A289" s="22">
        <v>3863</v>
      </c>
      <c r="B289" s="33" t="s">
        <v>650</v>
      </c>
      <c r="C289" s="24">
        <v>134.69999999999999</v>
      </c>
      <c r="D289" s="25">
        <v>0.4</v>
      </c>
      <c r="E289" s="25">
        <f t="shared" si="9"/>
        <v>53.879999999999995</v>
      </c>
      <c r="F289" s="25"/>
      <c r="G289" s="25">
        <f t="shared" si="8"/>
        <v>53.879999999999995</v>
      </c>
      <c r="H289" s="34">
        <v>10772417</v>
      </c>
      <c r="I289" s="214" t="s">
        <v>651</v>
      </c>
      <c r="J289" s="473" t="s">
        <v>25</v>
      </c>
      <c r="K289" s="474" t="s">
        <v>26</v>
      </c>
      <c r="L289" s="22"/>
      <c r="M289" s="26"/>
    </row>
    <row r="290" spans="1:14" x14ac:dyDescent="0.25">
      <c r="A290" s="22">
        <v>3864</v>
      </c>
      <c r="B290" s="33" t="s">
        <v>652</v>
      </c>
      <c r="C290" s="24">
        <v>265.8</v>
      </c>
      <c r="D290" s="25">
        <v>0.4</v>
      </c>
      <c r="E290" s="25">
        <f t="shared" si="9"/>
        <v>106.32000000000001</v>
      </c>
      <c r="F290" s="25">
        <f>E290</f>
        <v>106.32000000000001</v>
      </c>
      <c r="G290" s="25">
        <f t="shared" si="8"/>
        <v>0</v>
      </c>
      <c r="H290" s="34">
        <v>6493803</v>
      </c>
      <c r="I290" s="214" t="s">
        <v>653</v>
      </c>
      <c r="J290" s="26" t="s">
        <v>17</v>
      </c>
      <c r="K290" s="26" t="s">
        <v>18</v>
      </c>
      <c r="L290" s="22">
        <v>99810408</v>
      </c>
      <c r="M290" s="61" t="s">
        <v>956</v>
      </c>
    </row>
    <row r="291" spans="1:14" s="144" customFormat="1" x14ac:dyDescent="0.25">
      <c r="A291" s="54">
        <v>3865</v>
      </c>
      <c r="B291" s="55" t="s">
        <v>654</v>
      </c>
      <c r="C291" s="56">
        <v>484.3</v>
      </c>
      <c r="D291" s="57">
        <v>0.4</v>
      </c>
      <c r="E291" s="57">
        <f t="shared" si="9"/>
        <v>193.72000000000003</v>
      </c>
      <c r="F291" s="57">
        <f>192.48+1.24</f>
        <v>193.72</v>
      </c>
      <c r="G291" s="57">
        <f t="shared" si="8"/>
        <v>0</v>
      </c>
      <c r="H291" s="84">
        <v>15219317</v>
      </c>
      <c r="I291" s="60" t="s">
        <v>655</v>
      </c>
      <c r="J291" s="59" t="s">
        <v>25</v>
      </c>
      <c r="K291" s="60" t="s">
        <v>26</v>
      </c>
      <c r="L291" s="54"/>
      <c r="M291" s="557" t="s">
        <v>928</v>
      </c>
      <c r="N291" s="461">
        <v>46002</v>
      </c>
    </row>
    <row r="292" spans="1:14" x14ac:dyDescent="0.25">
      <c r="A292" s="22">
        <v>3866</v>
      </c>
      <c r="B292" s="33" t="s">
        <v>656</v>
      </c>
      <c r="C292" s="24">
        <v>335.8</v>
      </c>
      <c r="D292" s="25">
        <v>0.4</v>
      </c>
      <c r="E292" s="25">
        <f t="shared" si="9"/>
        <v>134.32000000000002</v>
      </c>
      <c r="F292" s="25">
        <f>E292</f>
        <v>134.32000000000002</v>
      </c>
      <c r="G292" s="25">
        <f t="shared" si="8"/>
        <v>0</v>
      </c>
      <c r="H292" s="34">
        <v>11772662</v>
      </c>
      <c r="I292" s="214" t="s">
        <v>657</v>
      </c>
      <c r="J292" s="473" t="s">
        <v>25</v>
      </c>
      <c r="K292" s="474" t="s">
        <v>26</v>
      </c>
      <c r="L292" s="22"/>
      <c r="M292" s="61" t="s">
        <v>933</v>
      </c>
    </row>
    <row r="293" spans="1:14" x14ac:dyDescent="0.25">
      <c r="A293" s="22">
        <v>3867</v>
      </c>
      <c r="B293" s="33" t="s">
        <v>658</v>
      </c>
      <c r="C293" s="24">
        <v>261.2</v>
      </c>
      <c r="D293" s="25">
        <v>0.4</v>
      </c>
      <c r="E293" s="25">
        <f t="shared" si="9"/>
        <v>104.48</v>
      </c>
      <c r="F293" s="25"/>
      <c r="G293" s="25">
        <f t="shared" si="8"/>
        <v>104.48</v>
      </c>
      <c r="H293" s="34">
        <v>18189491</v>
      </c>
      <c r="I293" s="214" t="s">
        <v>659</v>
      </c>
      <c r="J293" s="473" t="s">
        <v>25</v>
      </c>
      <c r="K293" s="474" t="s">
        <v>26</v>
      </c>
      <c r="L293" s="22">
        <v>92236482</v>
      </c>
      <c r="M293" s="26"/>
    </row>
    <row r="294" spans="1:14" s="144" customFormat="1" x14ac:dyDescent="0.25">
      <c r="A294" s="22">
        <v>3868</v>
      </c>
      <c r="B294" s="23" t="s">
        <v>660</v>
      </c>
      <c r="C294" s="24">
        <v>82.8</v>
      </c>
      <c r="D294" s="25">
        <v>0.4</v>
      </c>
      <c r="E294" s="25">
        <f t="shared" si="9"/>
        <v>33.119999999999997</v>
      </c>
      <c r="F294" s="25">
        <f>E294</f>
        <v>33.119999999999997</v>
      </c>
      <c r="G294" s="25">
        <f t="shared" si="8"/>
        <v>0</v>
      </c>
      <c r="H294" s="34">
        <v>23619706</v>
      </c>
      <c r="I294" s="214" t="s">
        <v>661</v>
      </c>
      <c r="J294" s="215" t="s">
        <v>25</v>
      </c>
      <c r="K294" s="214" t="s">
        <v>26</v>
      </c>
      <c r="L294" s="22">
        <v>93392527</v>
      </c>
      <c r="M294" s="461">
        <v>45788</v>
      </c>
    </row>
    <row r="295" spans="1:14" x14ac:dyDescent="0.25">
      <c r="A295" s="22">
        <v>3869</v>
      </c>
      <c r="B295" s="33" t="s">
        <v>662</v>
      </c>
      <c r="C295" s="24">
        <v>94.2</v>
      </c>
      <c r="D295" s="25">
        <v>0.4</v>
      </c>
      <c r="E295" s="25">
        <f t="shared" si="9"/>
        <v>37.68</v>
      </c>
      <c r="F295" s="25">
        <f>E295</f>
        <v>37.68</v>
      </c>
      <c r="G295" s="25">
        <f t="shared" si="8"/>
        <v>0</v>
      </c>
      <c r="H295" s="34">
        <v>1265569</v>
      </c>
      <c r="I295" s="214" t="s">
        <v>663</v>
      </c>
      <c r="J295" s="473" t="s">
        <v>25</v>
      </c>
      <c r="K295" s="474" t="s">
        <v>26</v>
      </c>
      <c r="L295" s="22">
        <v>93392527</v>
      </c>
      <c r="M295" s="461">
        <v>45788</v>
      </c>
    </row>
    <row r="296" spans="1:14" s="144" customFormat="1" x14ac:dyDescent="0.25">
      <c r="A296" s="54">
        <v>3870</v>
      </c>
      <c r="B296" s="55" t="s">
        <v>664</v>
      </c>
      <c r="C296" s="56">
        <v>747.4</v>
      </c>
      <c r="D296" s="57">
        <v>0.4</v>
      </c>
      <c r="E296" s="57">
        <f t="shared" si="9"/>
        <v>298.95999999999998</v>
      </c>
      <c r="F296" s="57">
        <f>E296</f>
        <v>298.95999999999998</v>
      </c>
      <c r="G296" s="57">
        <f t="shared" si="8"/>
        <v>0</v>
      </c>
      <c r="H296" s="84">
        <v>7138058</v>
      </c>
      <c r="I296" s="60" t="s">
        <v>665</v>
      </c>
      <c r="J296" s="61" t="s">
        <v>17</v>
      </c>
      <c r="K296" s="61" t="s">
        <v>18</v>
      </c>
      <c r="L296" s="54">
        <v>98187475</v>
      </c>
      <c r="M296" s="61" t="s">
        <v>933</v>
      </c>
    </row>
    <row r="297" spans="1:14" s="144" customFormat="1" x14ac:dyDescent="0.25">
      <c r="A297" s="54">
        <v>3871</v>
      </c>
      <c r="B297" s="55" t="s">
        <v>38</v>
      </c>
      <c r="C297" s="56">
        <v>361.9</v>
      </c>
      <c r="D297" s="57">
        <v>0.4</v>
      </c>
      <c r="E297" s="57">
        <f t="shared" si="9"/>
        <v>144.76</v>
      </c>
      <c r="F297" s="57">
        <f>E297</f>
        <v>144.76</v>
      </c>
      <c r="G297" s="57">
        <f t="shared" si="8"/>
        <v>0</v>
      </c>
      <c r="H297" s="84">
        <v>6920684</v>
      </c>
      <c r="I297" s="60" t="s">
        <v>39</v>
      </c>
      <c r="J297" s="61" t="s">
        <v>17</v>
      </c>
      <c r="K297" s="61" t="s">
        <v>18</v>
      </c>
      <c r="L297" s="54"/>
      <c r="M297" s="61" t="s">
        <v>928</v>
      </c>
    </row>
    <row r="298" spans="1:14" s="144" customFormat="1" x14ac:dyDescent="0.25">
      <c r="A298" s="54">
        <v>3872</v>
      </c>
      <c r="B298" s="55" t="s">
        <v>666</v>
      </c>
      <c r="C298" s="56">
        <v>428.2</v>
      </c>
      <c r="D298" s="57">
        <v>0.4</v>
      </c>
      <c r="E298" s="57">
        <f t="shared" si="9"/>
        <v>171.28</v>
      </c>
      <c r="F298" s="57">
        <f>167.63+3.65</f>
        <v>171.28</v>
      </c>
      <c r="G298" s="57">
        <f t="shared" si="8"/>
        <v>0</v>
      </c>
      <c r="H298" s="84">
        <v>5546892</v>
      </c>
      <c r="I298" s="60" t="s">
        <v>667</v>
      </c>
      <c r="J298" s="61" t="s">
        <v>17</v>
      </c>
      <c r="K298" s="61" t="s">
        <v>18</v>
      </c>
      <c r="L298" s="54">
        <v>93117757</v>
      </c>
      <c r="M298" s="557" t="s">
        <v>928</v>
      </c>
      <c r="N298" s="461">
        <v>45727</v>
      </c>
    </row>
    <row r="299" spans="1:14" x14ac:dyDescent="0.25">
      <c r="A299" s="54">
        <v>3873</v>
      </c>
      <c r="B299" s="55" t="s">
        <v>668</v>
      </c>
      <c r="C299" s="56">
        <v>525.1</v>
      </c>
      <c r="D299" s="57">
        <v>0.4</v>
      </c>
      <c r="E299" s="57">
        <f t="shared" si="9"/>
        <v>210.04000000000002</v>
      </c>
      <c r="F299" s="57">
        <f>1.54000000000003+208.5</f>
        <v>210.04000000000002</v>
      </c>
      <c r="G299" s="57">
        <f t="shared" si="8"/>
        <v>0</v>
      </c>
      <c r="H299" s="84">
        <v>6560744</v>
      </c>
      <c r="I299" s="60" t="s">
        <v>669</v>
      </c>
      <c r="J299" s="59" t="s">
        <v>25</v>
      </c>
      <c r="K299" s="60" t="s">
        <v>26</v>
      </c>
      <c r="L299" s="54">
        <v>99291997</v>
      </c>
      <c r="M299" s="61" t="s">
        <v>938</v>
      </c>
      <c r="N299" s="461">
        <v>45700</v>
      </c>
    </row>
    <row r="300" spans="1:14" x14ac:dyDescent="0.25">
      <c r="A300" s="22">
        <v>3874</v>
      </c>
      <c r="B300" s="33" t="s">
        <v>670</v>
      </c>
      <c r="C300" s="24">
        <v>192.3</v>
      </c>
      <c r="D300" s="25">
        <v>0.4</v>
      </c>
      <c r="E300" s="25">
        <f t="shared" si="9"/>
        <v>76.920000000000016</v>
      </c>
      <c r="F300" s="25"/>
      <c r="G300" s="25">
        <f t="shared" si="8"/>
        <v>76.920000000000016</v>
      </c>
      <c r="H300" s="34">
        <v>8105354</v>
      </c>
      <c r="I300" s="214" t="s">
        <v>671</v>
      </c>
      <c r="J300" s="473" t="s">
        <v>25</v>
      </c>
      <c r="K300" s="474" t="s">
        <v>26</v>
      </c>
      <c r="L300" s="22">
        <v>96249000</v>
      </c>
      <c r="M300" s="26"/>
    </row>
    <row r="301" spans="1:14" x14ac:dyDescent="0.25">
      <c r="A301" s="22">
        <v>3875</v>
      </c>
      <c r="B301" s="33" t="s">
        <v>672</v>
      </c>
      <c r="C301" s="24">
        <v>360.6</v>
      </c>
      <c r="D301" s="25">
        <v>0.4</v>
      </c>
      <c r="E301" s="25">
        <f t="shared" si="9"/>
        <v>144.24</v>
      </c>
      <c r="F301" s="25"/>
      <c r="G301" s="25">
        <f t="shared" si="8"/>
        <v>144.24</v>
      </c>
      <c r="H301" s="34">
        <v>1345289</v>
      </c>
      <c r="I301" s="214" t="s">
        <v>673</v>
      </c>
      <c r="J301" s="473" t="s">
        <v>25</v>
      </c>
      <c r="K301" s="474" t="s">
        <v>26</v>
      </c>
      <c r="L301" s="22">
        <v>99495936</v>
      </c>
      <c r="M301" s="26"/>
    </row>
    <row r="302" spans="1:14" s="144" customFormat="1" x14ac:dyDescent="0.25">
      <c r="A302" s="54">
        <v>3876</v>
      </c>
      <c r="B302" s="55" t="s">
        <v>674</v>
      </c>
      <c r="C302" s="56">
        <v>315.3</v>
      </c>
      <c r="D302" s="57">
        <v>0.4</v>
      </c>
      <c r="E302" s="57">
        <f t="shared" si="9"/>
        <v>126.12</v>
      </c>
      <c r="F302" s="57">
        <f>125.17+0.95</f>
        <v>126.12</v>
      </c>
      <c r="G302" s="57">
        <f t="shared" si="8"/>
        <v>0</v>
      </c>
      <c r="H302" s="84">
        <v>4767948</v>
      </c>
      <c r="I302" s="60" t="s">
        <v>675</v>
      </c>
      <c r="J302" s="61" t="s">
        <v>17</v>
      </c>
      <c r="K302" s="61" t="s">
        <v>18</v>
      </c>
      <c r="L302" s="54"/>
      <c r="M302" s="557" t="s">
        <v>928</v>
      </c>
      <c r="N302" s="61" t="s">
        <v>938</v>
      </c>
    </row>
    <row r="303" spans="1:14" s="144" customFormat="1" x14ac:dyDescent="0.25">
      <c r="A303" s="54">
        <v>3877</v>
      </c>
      <c r="B303" s="55" t="s">
        <v>41</v>
      </c>
      <c r="C303" s="56">
        <v>258.2</v>
      </c>
      <c r="D303" s="57">
        <v>0.4</v>
      </c>
      <c r="E303" s="57">
        <f t="shared" si="9"/>
        <v>103.28</v>
      </c>
      <c r="F303" s="57">
        <f>3.19+100.09</f>
        <v>103.28</v>
      </c>
      <c r="G303" s="57">
        <f t="shared" si="8"/>
        <v>0</v>
      </c>
      <c r="H303" s="84">
        <v>14897254</v>
      </c>
      <c r="I303" s="60" t="s">
        <v>42</v>
      </c>
      <c r="J303" s="61" t="s">
        <v>43</v>
      </c>
      <c r="K303" s="60" t="s">
        <v>44</v>
      </c>
      <c r="L303" s="54">
        <v>92226297</v>
      </c>
      <c r="M303" s="61" t="s">
        <v>938</v>
      </c>
      <c r="N303" s="461">
        <v>45971</v>
      </c>
    </row>
    <row r="304" spans="1:14" s="144" customFormat="1" x14ac:dyDescent="0.25">
      <c r="A304" s="54">
        <v>3878</v>
      </c>
      <c r="B304" s="55" t="s">
        <v>676</v>
      </c>
      <c r="C304" s="56">
        <v>262.10000000000002</v>
      </c>
      <c r="D304" s="57">
        <v>0.4</v>
      </c>
      <c r="E304" s="57">
        <f t="shared" si="9"/>
        <v>104.84000000000002</v>
      </c>
      <c r="F304" s="57">
        <f>102.55</f>
        <v>102.55</v>
      </c>
      <c r="G304" s="57">
        <f t="shared" si="8"/>
        <v>2.2900000000000205</v>
      </c>
      <c r="H304" s="84">
        <v>22687078</v>
      </c>
      <c r="I304" s="60" t="s">
        <v>677</v>
      </c>
      <c r="J304" s="58" t="s">
        <v>75</v>
      </c>
      <c r="K304" s="61" t="s">
        <v>76</v>
      </c>
      <c r="L304" s="54">
        <v>92338070</v>
      </c>
      <c r="M304" s="461">
        <v>45848</v>
      </c>
    </row>
    <row r="305" spans="1:14" s="144" customFormat="1" x14ac:dyDescent="0.25">
      <c r="A305" s="54">
        <v>3879</v>
      </c>
      <c r="B305" s="55" t="s">
        <v>678</v>
      </c>
      <c r="C305" s="56">
        <v>79.900000000000006</v>
      </c>
      <c r="D305" s="57">
        <v>0.4</v>
      </c>
      <c r="E305" s="57">
        <f t="shared" si="9"/>
        <v>31.960000000000004</v>
      </c>
      <c r="F305" s="57">
        <f>29.5803+2.38</f>
        <v>31.9603</v>
      </c>
      <c r="G305" s="57">
        <f t="shared" si="8"/>
        <v>-2.9999999999574811E-4</v>
      </c>
      <c r="H305" s="84">
        <v>23178497</v>
      </c>
      <c r="I305" s="60" t="s">
        <v>679</v>
      </c>
      <c r="J305" s="59" t="s">
        <v>25</v>
      </c>
      <c r="K305" s="60" t="s">
        <v>26</v>
      </c>
      <c r="L305" s="54"/>
      <c r="M305" s="61" t="s">
        <v>920</v>
      </c>
      <c r="N305" s="61" t="s">
        <v>928</v>
      </c>
    </row>
    <row r="306" spans="1:14" x14ac:dyDescent="0.25">
      <c r="A306" s="22">
        <v>3880</v>
      </c>
      <c r="B306" s="33" t="s">
        <v>680</v>
      </c>
      <c r="C306" s="24">
        <v>621.5</v>
      </c>
      <c r="D306" s="25">
        <v>0.4</v>
      </c>
      <c r="E306" s="25">
        <f t="shared" si="9"/>
        <v>248.60000000000002</v>
      </c>
      <c r="F306" s="25">
        <f>E306</f>
        <v>248.60000000000002</v>
      </c>
      <c r="G306" s="25">
        <f t="shared" si="8"/>
        <v>0</v>
      </c>
      <c r="H306" s="34">
        <v>6370697</v>
      </c>
      <c r="I306" s="214" t="s">
        <v>681</v>
      </c>
      <c r="J306" s="473" t="s">
        <v>25</v>
      </c>
      <c r="K306" s="474" t="s">
        <v>26</v>
      </c>
      <c r="L306" s="22">
        <v>99239896</v>
      </c>
      <c r="M306" s="461">
        <v>45788</v>
      </c>
    </row>
    <row r="307" spans="1:14" s="144" customFormat="1" x14ac:dyDescent="0.25">
      <c r="A307" s="54">
        <v>3882</v>
      </c>
      <c r="B307" s="55" t="s">
        <v>684</v>
      </c>
      <c r="C307" s="56">
        <v>260.7</v>
      </c>
      <c r="D307" s="57">
        <v>0.4</v>
      </c>
      <c r="E307" s="57">
        <f t="shared" si="9"/>
        <v>104.28</v>
      </c>
      <c r="F307" s="57">
        <f>103.48+0.8</f>
        <v>104.28</v>
      </c>
      <c r="G307" s="57">
        <f t="shared" si="8"/>
        <v>0</v>
      </c>
      <c r="H307" s="84">
        <v>26752992</v>
      </c>
      <c r="I307" s="60" t="s">
        <v>685</v>
      </c>
      <c r="J307" s="59" t="s">
        <v>210</v>
      </c>
      <c r="K307" s="60" t="s">
        <v>211</v>
      </c>
      <c r="L307" s="54"/>
      <c r="M307" s="61" t="s">
        <v>928</v>
      </c>
      <c r="N307" s="144" t="s">
        <v>959</v>
      </c>
    </row>
    <row r="308" spans="1:14" x14ac:dyDescent="0.25">
      <c r="A308" s="22">
        <v>3884</v>
      </c>
      <c r="B308" s="33" t="s">
        <v>688</v>
      </c>
      <c r="C308" s="24">
        <v>146.69999999999999</v>
      </c>
      <c r="D308" s="25">
        <v>0.4</v>
      </c>
      <c r="E308" s="25">
        <f t="shared" si="9"/>
        <v>58.68</v>
      </c>
      <c r="F308" s="25"/>
      <c r="G308" s="25">
        <f t="shared" si="8"/>
        <v>58.68</v>
      </c>
      <c r="H308" s="34">
        <v>22716378</v>
      </c>
      <c r="I308" s="214" t="s">
        <v>689</v>
      </c>
      <c r="J308" s="473" t="s">
        <v>25</v>
      </c>
      <c r="K308" s="474" t="s">
        <v>26</v>
      </c>
      <c r="L308" s="22"/>
      <c r="M308" s="26"/>
    </row>
    <row r="309" spans="1:14" x14ac:dyDescent="0.25">
      <c r="A309" s="22">
        <v>3885</v>
      </c>
      <c r="B309" s="33" t="s">
        <v>690</v>
      </c>
      <c r="C309" s="24">
        <v>213.3</v>
      </c>
      <c r="D309" s="25">
        <v>0.4</v>
      </c>
      <c r="E309" s="25">
        <f t="shared" si="9"/>
        <v>85.320000000000007</v>
      </c>
      <c r="F309" s="25"/>
      <c r="G309" s="25">
        <f t="shared" si="8"/>
        <v>85.320000000000007</v>
      </c>
      <c r="H309" s="34">
        <v>9920479</v>
      </c>
      <c r="I309" s="214" t="s">
        <v>691</v>
      </c>
      <c r="J309" s="473" t="s">
        <v>326</v>
      </c>
      <c r="K309" s="474" t="s">
        <v>327</v>
      </c>
      <c r="L309" s="22"/>
      <c r="M309" s="26"/>
    </row>
    <row r="310" spans="1:14" x14ac:dyDescent="0.25">
      <c r="A310" s="22">
        <v>3886</v>
      </c>
      <c r="B310" s="33" t="s">
        <v>692</v>
      </c>
      <c r="C310" s="24">
        <v>251.8</v>
      </c>
      <c r="D310" s="25">
        <v>0.4</v>
      </c>
      <c r="E310" s="25">
        <f t="shared" si="9"/>
        <v>100.72000000000001</v>
      </c>
      <c r="F310" s="25"/>
      <c r="G310" s="25">
        <f t="shared" si="8"/>
        <v>100.72000000000001</v>
      </c>
      <c r="H310" s="34">
        <v>21941594</v>
      </c>
      <c r="I310" s="214" t="s">
        <v>693</v>
      </c>
      <c r="J310" s="473" t="s">
        <v>25</v>
      </c>
      <c r="K310" s="474" t="s">
        <v>26</v>
      </c>
      <c r="L310" s="22">
        <v>92094818</v>
      </c>
      <c r="M310" s="26"/>
    </row>
    <row r="311" spans="1:14" s="79" customFormat="1" x14ac:dyDescent="0.25">
      <c r="A311" s="22">
        <v>3887</v>
      </c>
      <c r="B311" s="23" t="s">
        <v>694</v>
      </c>
      <c r="C311" s="29"/>
      <c r="D311" s="25">
        <v>0.4</v>
      </c>
      <c r="E311" s="25">
        <f t="shared" si="9"/>
        <v>0</v>
      </c>
      <c r="F311" s="25"/>
      <c r="G311" s="25">
        <f t="shared" si="8"/>
        <v>0</v>
      </c>
      <c r="H311" s="34">
        <v>13204809</v>
      </c>
      <c r="I311" s="214" t="s">
        <v>695</v>
      </c>
      <c r="J311" s="215" t="s">
        <v>25</v>
      </c>
      <c r="K311" s="214" t="s">
        <v>26</v>
      </c>
      <c r="L311" s="22">
        <v>93332329</v>
      </c>
      <c r="M311" s="26"/>
    </row>
    <row r="312" spans="1:14" x14ac:dyDescent="0.25">
      <c r="A312" s="22">
        <v>3888</v>
      </c>
      <c r="B312" s="33" t="s">
        <v>696</v>
      </c>
      <c r="C312" s="24">
        <v>305.89999999999998</v>
      </c>
      <c r="D312" s="25">
        <v>0.4</v>
      </c>
      <c r="E312" s="25">
        <f t="shared" si="9"/>
        <v>122.36</v>
      </c>
      <c r="F312" s="25"/>
      <c r="G312" s="25">
        <f t="shared" si="8"/>
        <v>122.36</v>
      </c>
      <c r="H312" s="34">
        <v>1808869</v>
      </c>
      <c r="I312" s="214" t="s">
        <v>697</v>
      </c>
      <c r="J312" s="26" t="s">
        <v>17</v>
      </c>
      <c r="K312" s="26" t="s">
        <v>18</v>
      </c>
      <c r="L312" s="22">
        <v>98003381</v>
      </c>
      <c r="M312" s="26"/>
    </row>
    <row r="313" spans="1:14" x14ac:dyDescent="0.25">
      <c r="A313" s="22">
        <v>3889</v>
      </c>
      <c r="B313" s="33" t="s">
        <v>698</v>
      </c>
      <c r="C313" s="24">
        <v>313.89999999999998</v>
      </c>
      <c r="D313" s="25">
        <v>0.4</v>
      </c>
      <c r="E313" s="25">
        <f t="shared" si="9"/>
        <v>125.56</v>
      </c>
      <c r="F313" s="25">
        <f>E313</f>
        <v>125.56</v>
      </c>
      <c r="G313" s="25">
        <f t="shared" si="8"/>
        <v>0</v>
      </c>
      <c r="H313" s="34">
        <v>6499103</v>
      </c>
      <c r="I313" s="214" t="s">
        <v>699</v>
      </c>
      <c r="J313" s="473" t="s">
        <v>25</v>
      </c>
      <c r="K313" s="474" t="s">
        <v>26</v>
      </c>
      <c r="L313" s="22">
        <v>98200299</v>
      </c>
      <c r="M313" s="61" t="s">
        <v>930</v>
      </c>
    </row>
    <row r="314" spans="1:14" x14ac:dyDescent="0.25">
      <c r="A314" s="38"/>
      <c r="B314" s="39" t="s">
        <v>45</v>
      </c>
      <c r="C314" s="42">
        <f>SUM(C4:C313)</f>
        <v>102967.7</v>
      </c>
      <c r="D314" s="41"/>
      <c r="E314" s="42">
        <f>SUM(E4:E313)</f>
        <v>41187.079999999994</v>
      </c>
      <c r="F314" s="42">
        <f t="shared" ref="F314:G314" si="10">SUM(F4:F313)</f>
        <v>30634.460299999999</v>
      </c>
      <c r="G314" s="42">
        <f t="shared" si="10"/>
        <v>10552.619700000005</v>
      </c>
      <c r="H314" s="37"/>
      <c r="I314" s="43"/>
      <c r="J314" s="43"/>
      <c r="K314" s="43"/>
      <c r="L314" s="44"/>
      <c r="M314" s="44"/>
    </row>
    <row r="315" spans="1:14" x14ac:dyDescent="0.25">
      <c r="C315" s="472"/>
    </row>
    <row r="316" spans="1:14" x14ac:dyDescent="0.25">
      <c r="C316" s="150"/>
    </row>
  </sheetData>
  <autoFilter ref="A3:H3" xr:uid="{823A38CB-14EE-4E97-987F-EF5C2FC4E0BE}"/>
  <conditionalFormatting sqref="I24">
    <cfRule type="duplicateValues" dxfId="91" priority="17"/>
  </conditionalFormatting>
  <conditionalFormatting sqref="I31">
    <cfRule type="duplicateValues" dxfId="90" priority="18"/>
  </conditionalFormatting>
  <conditionalFormatting sqref="I37">
    <cfRule type="duplicateValues" dxfId="89" priority="19"/>
  </conditionalFormatting>
  <conditionalFormatting sqref="I47">
    <cfRule type="duplicateValues" dxfId="88" priority="10"/>
  </conditionalFormatting>
  <conditionalFormatting sqref="I48">
    <cfRule type="duplicateValues" dxfId="87" priority="11"/>
  </conditionalFormatting>
  <conditionalFormatting sqref="I49">
    <cfRule type="duplicateValues" dxfId="86" priority="12"/>
  </conditionalFormatting>
  <conditionalFormatting sqref="I56">
    <cfRule type="duplicateValues" dxfId="85" priority="13"/>
  </conditionalFormatting>
  <conditionalFormatting sqref="I59">
    <cfRule type="duplicateValues" dxfId="84" priority="14"/>
  </conditionalFormatting>
  <conditionalFormatting sqref="I69">
    <cfRule type="duplicateValues" dxfId="83" priority="15"/>
  </conditionalFormatting>
  <conditionalFormatting sqref="I95">
    <cfRule type="duplicateValues" dxfId="82" priority="16"/>
  </conditionalFormatting>
  <conditionalFormatting sqref="I105">
    <cfRule type="duplicateValues" dxfId="81" priority="1"/>
  </conditionalFormatting>
  <conditionalFormatting sqref="I106">
    <cfRule type="duplicateValues" dxfId="80" priority="2"/>
  </conditionalFormatting>
  <conditionalFormatting sqref="I112">
    <cfRule type="duplicateValues" dxfId="79" priority="3"/>
  </conditionalFormatting>
  <conditionalFormatting sqref="I131">
    <cfRule type="duplicateValues" dxfId="78" priority="4"/>
  </conditionalFormatting>
  <conditionalFormatting sqref="I132">
    <cfRule type="duplicateValues" dxfId="77" priority="5"/>
  </conditionalFormatting>
  <conditionalFormatting sqref="J60">
    <cfRule type="duplicateValues" dxfId="76" priority="6"/>
  </conditionalFormatting>
  <conditionalFormatting sqref="J96">
    <cfRule type="duplicateValues" dxfId="75" priority="8"/>
  </conditionalFormatting>
  <conditionalFormatting sqref="L60">
    <cfRule type="duplicateValues" dxfId="74" priority="7"/>
  </conditionalFormatting>
  <pageMargins left="0.7" right="0.7" top="0.75" bottom="0.75" header="0.3" footer="0.3"/>
  <pageSetup paperSize="9" scale="45" orientation="portrait" r:id="rId1"/>
  <rowBreaks count="1" manualBreakCount="1">
    <brk id="20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B59B-E34F-4312-A54C-5947E680FD26}">
  <dimension ref="A1:T315"/>
  <sheetViews>
    <sheetView view="pageBreakPreview" zoomScaleNormal="100" zoomScaleSheetLayoutView="100" workbookViewId="0">
      <pane xSplit="1" topLeftCell="B1" activePane="topRight" state="frozen"/>
      <selection pane="topRight" activeCell="G3" sqref="G3"/>
    </sheetView>
  </sheetViews>
  <sheetFormatPr defaultRowHeight="15" x14ac:dyDescent="0.25"/>
  <cols>
    <col min="1" max="1" width="60.42578125" bestFit="1" customWidth="1"/>
    <col min="2" max="2" width="38.42578125" bestFit="1" customWidth="1"/>
    <col min="3" max="3" width="12.140625" customWidth="1"/>
    <col min="4" max="4" width="9.28515625" bestFit="1" customWidth="1"/>
    <col min="5" max="6" width="13.5703125" customWidth="1"/>
    <col min="7" max="7" width="17" bestFit="1" customWidth="1"/>
    <col min="8" max="8" width="10.85546875" bestFit="1" customWidth="1"/>
    <col min="9" max="9" width="15.42578125" bestFit="1" customWidth="1"/>
    <col min="10" max="10" width="16.5703125" bestFit="1" customWidth="1"/>
    <col min="11" max="11" width="12.28515625" bestFit="1" customWidth="1"/>
    <col min="12" max="12" width="11.7109375" bestFit="1" customWidth="1"/>
    <col min="13" max="13" width="11.28515625" customWidth="1"/>
    <col min="14" max="14" width="12.7109375" customWidth="1"/>
    <col min="15" max="15" width="9.42578125" bestFit="1" customWidth="1"/>
  </cols>
  <sheetData>
    <row r="1" spans="1:15" x14ac:dyDescent="0.25">
      <c r="A1" s="142" t="s">
        <v>924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5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5" ht="27" x14ac:dyDescent="0.25">
      <c r="A3" s="14" t="s">
        <v>2</v>
      </c>
      <c r="B3" s="15" t="s">
        <v>3</v>
      </c>
      <c r="C3" s="16" t="s">
        <v>4</v>
      </c>
      <c r="D3" s="14" t="s">
        <v>5</v>
      </c>
      <c r="E3" s="14" t="s">
        <v>6</v>
      </c>
      <c r="F3" s="14" t="s">
        <v>6</v>
      </c>
      <c r="G3" s="14" t="s">
        <v>704</v>
      </c>
      <c r="H3" s="17" t="s">
        <v>9</v>
      </c>
      <c r="I3" s="18" t="s">
        <v>10</v>
      </c>
      <c r="J3" s="18" t="s">
        <v>11</v>
      </c>
      <c r="K3" s="19" t="s">
        <v>12</v>
      </c>
      <c r="L3" s="20" t="s">
        <v>13</v>
      </c>
      <c r="M3" s="21" t="s">
        <v>14</v>
      </c>
    </row>
    <row r="4" spans="1:15" x14ac:dyDescent="0.25">
      <c r="A4" s="457">
        <v>1108</v>
      </c>
      <c r="B4" s="33" t="s">
        <v>49</v>
      </c>
      <c r="C4" s="45">
        <v>677.1</v>
      </c>
      <c r="D4" s="25">
        <v>0.3</v>
      </c>
      <c r="E4" s="25">
        <f t="shared" ref="E4:E67" si="0">D4*C4</f>
        <v>203.13</v>
      </c>
      <c r="F4" s="25"/>
      <c r="G4" s="25">
        <f>E4-F4</f>
        <v>203.13</v>
      </c>
      <c r="H4" s="458">
        <v>15218386</v>
      </c>
      <c r="I4" s="473" t="s">
        <v>50</v>
      </c>
      <c r="J4" s="473" t="s">
        <v>25</v>
      </c>
      <c r="K4" s="214" t="s">
        <v>26</v>
      </c>
      <c r="L4" s="458">
        <v>92776884</v>
      </c>
      <c r="M4" s="26"/>
    </row>
    <row r="5" spans="1:15" s="144" customFormat="1" x14ac:dyDescent="0.25">
      <c r="A5" s="54">
        <v>1390</v>
      </c>
      <c r="B5" s="55" t="s">
        <v>51</v>
      </c>
      <c r="C5" s="56">
        <v>264.5</v>
      </c>
      <c r="D5" s="57">
        <v>0.3</v>
      </c>
      <c r="E5" s="57">
        <f t="shared" si="0"/>
        <v>79.349999999999994</v>
      </c>
      <c r="F5" s="57">
        <f>E5</f>
        <v>79.349999999999994</v>
      </c>
      <c r="G5" s="57">
        <f t="shared" ref="G5:G14" si="1">E5-F5</f>
        <v>0</v>
      </c>
      <c r="H5" s="54">
        <v>12181822</v>
      </c>
      <c r="I5" s="59" t="s">
        <v>52</v>
      </c>
      <c r="J5" s="59" t="s">
        <v>25</v>
      </c>
      <c r="K5" s="60" t="s">
        <v>26</v>
      </c>
      <c r="L5" s="54">
        <v>92442060</v>
      </c>
      <c r="M5" s="144" t="s">
        <v>959</v>
      </c>
    </row>
    <row r="6" spans="1:15" s="144" customFormat="1" x14ac:dyDescent="0.25">
      <c r="A6" s="54">
        <v>1399</v>
      </c>
      <c r="B6" s="55" t="s">
        <v>53</v>
      </c>
      <c r="C6" s="56">
        <v>184.6</v>
      </c>
      <c r="D6" s="57">
        <v>0.3</v>
      </c>
      <c r="E6" s="57">
        <f t="shared" si="0"/>
        <v>55.379999999999995</v>
      </c>
      <c r="F6" s="57">
        <f>51.41+3.97</f>
        <v>55.379999999999995</v>
      </c>
      <c r="G6" s="57">
        <f t="shared" si="1"/>
        <v>0</v>
      </c>
      <c r="H6" s="84">
        <v>10065546</v>
      </c>
      <c r="I6" s="60" t="s">
        <v>54</v>
      </c>
      <c r="J6" s="59" t="s">
        <v>43</v>
      </c>
      <c r="K6" s="60" t="s">
        <v>44</v>
      </c>
      <c r="L6" s="54"/>
      <c r="M6" s="461">
        <v>45727</v>
      </c>
      <c r="N6" s="461">
        <v>46008</v>
      </c>
    </row>
    <row r="7" spans="1:15" s="144" customFormat="1" x14ac:dyDescent="0.25">
      <c r="A7" s="54">
        <v>1422</v>
      </c>
      <c r="B7" s="55" t="s">
        <v>56</v>
      </c>
      <c r="C7" s="56">
        <v>150.6</v>
      </c>
      <c r="D7" s="57">
        <v>0.3</v>
      </c>
      <c r="E7" s="57">
        <f t="shared" si="0"/>
        <v>45.18</v>
      </c>
      <c r="F7" s="57">
        <f>41.98+3.2</f>
        <v>45.18</v>
      </c>
      <c r="G7" s="57">
        <f t="shared" si="1"/>
        <v>0</v>
      </c>
      <c r="H7" s="520">
        <v>3280016</v>
      </c>
      <c r="I7" s="59" t="s">
        <v>57</v>
      </c>
      <c r="J7" s="59" t="s">
        <v>25</v>
      </c>
      <c r="K7" s="60" t="s">
        <v>26</v>
      </c>
      <c r="L7" s="520"/>
      <c r="M7" s="61" t="s">
        <v>936</v>
      </c>
      <c r="N7" s="144" t="s">
        <v>968</v>
      </c>
    </row>
    <row r="8" spans="1:15" s="79" customFormat="1" x14ac:dyDescent="0.25">
      <c r="A8" s="22">
        <v>1424</v>
      </c>
      <c r="B8" s="23" t="s">
        <v>58</v>
      </c>
      <c r="C8" s="508"/>
      <c r="D8" s="25">
        <v>0.3</v>
      </c>
      <c r="E8" s="25">
        <f t="shared" si="0"/>
        <v>0</v>
      </c>
      <c r="F8" s="25"/>
      <c r="G8" s="25">
        <f t="shared" si="1"/>
        <v>0</v>
      </c>
      <c r="H8" s="46">
        <v>748395</v>
      </c>
      <c r="I8" s="216" t="s">
        <v>59</v>
      </c>
      <c r="J8" s="26" t="s">
        <v>17</v>
      </c>
      <c r="K8" s="26" t="s">
        <v>18</v>
      </c>
      <c r="L8" s="46">
        <v>93011211</v>
      </c>
      <c r="M8" s="26"/>
    </row>
    <row r="9" spans="1:15" x14ac:dyDescent="0.25">
      <c r="A9" s="22">
        <v>1429</v>
      </c>
      <c r="B9" s="33" t="s">
        <v>60</v>
      </c>
      <c r="C9" s="24">
        <v>357.1</v>
      </c>
      <c r="D9" s="25">
        <v>0.3</v>
      </c>
      <c r="E9" s="25">
        <f t="shared" si="0"/>
        <v>107.13000000000001</v>
      </c>
      <c r="F9" s="25"/>
      <c r="G9" s="25">
        <f t="shared" si="1"/>
        <v>107.13000000000001</v>
      </c>
      <c r="H9" s="34">
        <v>339725</v>
      </c>
      <c r="I9" s="214" t="s">
        <v>61</v>
      </c>
      <c r="J9" s="473" t="s">
        <v>25</v>
      </c>
      <c r="K9" s="474" t="s">
        <v>26</v>
      </c>
      <c r="L9" s="22"/>
      <c r="M9" s="26"/>
    </row>
    <row r="10" spans="1:15" x14ac:dyDescent="0.25">
      <c r="A10" s="22">
        <v>1431</v>
      </c>
      <c r="B10" s="33" t="s">
        <v>62</v>
      </c>
      <c r="C10" s="45">
        <v>234.6</v>
      </c>
      <c r="D10" s="25">
        <v>0.3</v>
      </c>
      <c r="E10" s="25">
        <f t="shared" si="0"/>
        <v>70.38</v>
      </c>
      <c r="F10" s="25"/>
      <c r="G10" s="25">
        <f t="shared" si="1"/>
        <v>70.38</v>
      </c>
      <c r="H10" s="46">
        <v>721445</v>
      </c>
      <c r="I10" s="215" t="s">
        <v>63</v>
      </c>
      <c r="J10" s="26" t="s">
        <v>17</v>
      </c>
      <c r="K10" s="26" t="s">
        <v>18</v>
      </c>
      <c r="L10" s="46">
        <v>99291700</v>
      </c>
      <c r="M10" s="26"/>
    </row>
    <row r="11" spans="1:15" s="144" customFormat="1" x14ac:dyDescent="0.25">
      <c r="A11" s="54">
        <v>1443</v>
      </c>
      <c r="B11" s="55" t="s">
        <v>65</v>
      </c>
      <c r="C11" s="56">
        <v>750.9</v>
      </c>
      <c r="D11" s="57">
        <v>0.3</v>
      </c>
      <c r="E11" s="57">
        <f t="shared" si="0"/>
        <v>225.26999999999998</v>
      </c>
      <c r="F11" s="57">
        <f>E11</f>
        <v>225.26999999999998</v>
      </c>
      <c r="G11" s="57">
        <f t="shared" si="1"/>
        <v>0</v>
      </c>
      <c r="H11" s="520">
        <v>6026992</v>
      </c>
      <c r="I11" s="59" t="s">
        <v>66</v>
      </c>
      <c r="J11" s="59" t="s">
        <v>25</v>
      </c>
      <c r="K11" s="60" t="s">
        <v>26</v>
      </c>
      <c r="L11" s="520">
        <v>95863774</v>
      </c>
      <c r="M11" s="558">
        <v>45728</v>
      </c>
    </row>
    <row r="12" spans="1:15" s="144" customFormat="1" x14ac:dyDescent="0.25">
      <c r="A12" s="54">
        <v>1452</v>
      </c>
      <c r="B12" s="55" t="s">
        <v>67</v>
      </c>
      <c r="C12" s="56">
        <v>209.1</v>
      </c>
      <c r="D12" s="57">
        <v>0.3</v>
      </c>
      <c r="E12" s="57">
        <f t="shared" si="0"/>
        <v>62.73</v>
      </c>
      <c r="F12" s="57">
        <f>3.82000000000003+57+1.91</f>
        <v>62.730000000000025</v>
      </c>
      <c r="G12" s="57">
        <f t="shared" si="1"/>
        <v>0</v>
      </c>
      <c r="H12" s="515">
        <v>20917176</v>
      </c>
      <c r="I12" s="516" t="s">
        <v>68</v>
      </c>
      <c r="J12" s="73" t="s">
        <v>25</v>
      </c>
      <c r="K12" s="516" t="s">
        <v>26</v>
      </c>
      <c r="L12" s="515">
        <v>95863774</v>
      </c>
      <c r="M12" s="61" t="s">
        <v>931</v>
      </c>
      <c r="N12" s="61" t="s">
        <v>940</v>
      </c>
      <c r="O12" s="61" t="s">
        <v>966</v>
      </c>
    </row>
    <row r="13" spans="1:15" x14ac:dyDescent="0.25">
      <c r="A13" s="22">
        <v>1458</v>
      </c>
      <c r="B13" s="33" t="s">
        <v>69</v>
      </c>
      <c r="C13" s="45">
        <v>252</v>
      </c>
      <c r="D13" s="25">
        <v>0.3</v>
      </c>
      <c r="E13" s="25">
        <f t="shared" si="0"/>
        <v>75.599999999999994</v>
      </c>
      <c r="F13" s="25"/>
      <c r="G13" s="25">
        <f t="shared" si="1"/>
        <v>75.599999999999994</v>
      </c>
      <c r="H13" s="46">
        <v>77628</v>
      </c>
      <c r="I13" s="215" t="s">
        <v>70</v>
      </c>
      <c r="J13" s="26" t="s">
        <v>17</v>
      </c>
      <c r="K13" s="26" t="s">
        <v>18</v>
      </c>
      <c r="L13" s="46">
        <v>99275608</v>
      </c>
      <c r="M13" s="26"/>
    </row>
    <row r="14" spans="1:15" x14ac:dyDescent="0.25">
      <c r="A14" s="22">
        <v>1461</v>
      </c>
      <c r="B14" s="33" t="s">
        <v>71</v>
      </c>
      <c r="C14" s="45">
        <v>245.7</v>
      </c>
      <c r="D14" s="25">
        <v>0.3</v>
      </c>
      <c r="E14" s="25">
        <f t="shared" si="0"/>
        <v>73.709999999999994</v>
      </c>
      <c r="F14" s="25"/>
      <c r="G14" s="25">
        <f t="shared" si="1"/>
        <v>73.709999999999994</v>
      </c>
      <c r="H14" s="46">
        <v>6828806</v>
      </c>
      <c r="I14" s="215" t="s">
        <v>72</v>
      </c>
      <c r="J14" s="473" t="s">
        <v>25</v>
      </c>
      <c r="K14" s="214" t="s">
        <v>26</v>
      </c>
      <c r="L14" s="46">
        <v>92330321</v>
      </c>
      <c r="M14" s="26"/>
    </row>
    <row r="15" spans="1:15" s="144" customFormat="1" x14ac:dyDescent="0.25">
      <c r="A15" s="54">
        <v>1465</v>
      </c>
      <c r="B15" s="55" t="s">
        <v>73</v>
      </c>
      <c r="C15" s="56">
        <v>206</v>
      </c>
      <c r="D15" s="25">
        <v>0.3</v>
      </c>
      <c r="E15" s="57">
        <f t="shared" si="0"/>
        <v>61.8</v>
      </c>
      <c r="F15" s="57">
        <f>0.470000000000009+61.33</f>
        <v>61.800000000000004</v>
      </c>
      <c r="G15" s="57">
        <f>E15-F15</f>
        <v>0</v>
      </c>
      <c r="H15" s="54">
        <v>757601</v>
      </c>
      <c r="I15" s="60" t="s">
        <v>74</v>
      </c>
      <c r="J15" s="58" t="s">
        <v>75</v>
      </c>
      <c r="K15" s="61" t="s">
        <v>76</v>
      </c>
      <c r="L15" s="54">
        <v>99892131</v>
      </c>
      <c r="M15" s="61" t="s">
        <v>926</v>
      </c>
      <c r="N15" s="461">
        <v>45941</v>
      </c>
    </row>
    <row r="16" spans="1:15" s="144" customFormat="1" x14ac:dyDescent="0.25">
      <c r="A16" s="54">
        <v>1474</v>
      </c>
      <c r="B16" s="55" t="s">
        <v>15</v>
      </c>
      <c r="C16" s="56">
        <v>525.20000000000005</v>
      </c>
      <c r="D16" s="57">
        <v>0.3</v>
      </c>
      <c r="E16" s="57">
        <f t="shared" si="0"/>
        <v>157.56</v>
      </c>
      <c r="F16" s="57">
        <f>0.33+157.23</f>
        <v>157.56</v>
      </c>
      <c r="G16" s="57">
        <f>E16-F16</f>
        <v>0</v>
      </c>
      <c r="H16" s="54">
        <v>4603773</v>
      </c>
      <c r="I16" s="61" t="s">
        <v>16</v>
      </c>
      <c r="J16" s="61" t="s">
        <v>17</v>
      </c>
      <c r="K16" s="61" t="s">
        <v>18</v>
      </c>
      <c r="L16" s="54">
        <v>98820843</v>
      </c>
      <c r="M16" s="61" t="s">
        <v>931</v>
      </c>
      <c r="N16" s="461">
        <v>45941</v>
      </c>
    </row>
    <row r="17" spans="1:15" s="144" customFormat="1" x14ac:dyDescent="0.25">
      <c r="A17" s="54">
        <v>1479</v>
      </c>
      <c r="B17" s="499" t="s">
        <v>77</v>
      </c>
      <c r="C17" s="56">
        <v>286.7</v>
      </c>
      <c r="D17" s="57">
        <v>0.3</v>
      </c>
      <c r="E17" s="57">
        <f t="shared" si="0"/>
        <v>86.009999999999991</v>
      </c>
      <c r="F17" s="57">
        <f>E17</f>
        <v>86.009999999999991</v>
      </c>
      <c r="G17" s="57">
        <f t="shared" ref="G17:G80" si="2">E17-F17</f>
        <v>0</v>
      </c>
      <c r="H17" s="500">
        <v>5217726</v>
      </c>
      <c r="I17" s="501" t="s">
        <v>78</v>
      </c>
      <c r="J17" s="502" t="s">
        <v>25</v>
      </c>
      <c r="K17" s="502" t="s">
        <v>26</v>
      </c>
      <c r="L17" s="500">
        <v>92610234</v>
      </c>
      <c r="M17" s="144" t="s">
        <v>968</v>
      </c>
    </row>
    <row r="18" spans="1:15" s="144" customFormat="1" x14ac:dyDescent="0.25">
      <c r="A18" s="54">
        <v>1483</v>
      </c>
      <c r="B18" s="55" t="s">
        <v>79</v>
      </c>
      <c r="C18" s="56">
        <v>590.5</v>
      </c>
      <c r="D18" s="57">
        <v>0.3</v>
      </c>
      <c r="E18" s="57">
        <f t="shared" si="0"/>
        <v>177.15</v>
      </c>
      <c r="F18" s="57">
        <f>E18</f>
        <v>177.15</v>
      </c>
      <c r="G18" s="57">
        <f t="shared" si="2"/>
        <v>0</v>
      </c>
      <c r="H18" s="54">
        <v>1567826</v>
      </c>
      <c r="I18" s="58" t="s">
        <v>80</v>
      </c>
      <c r="J18" s="61" t="s">
        <v>75</v>
      </c>
      <c r="K18" s="60" t="s">
        <v>76</v>
      </c>
      <c r="L18" s="54">
        <v>98532884</v>
      </c>
      <c r="M18" s="61" t="s">
        <v>966</v>
      </c>
    </row>
    <row r="19" spans="1:15" s="144" customFormat="1" x14ac:dyDescent="0.25">
      <c r="A19" s="54">
        <v>1486</v>
      </c>
      <c r="B19" s="55" t="s">
        <v>714</v>
      </c>
      <c r="C19" s="56">
        <v>236.2</v>
      </c>
      <c r="D19" s="57">
        <v>0.3</v>
      </c>
      <c r="E19" s="57">
        <f t="shared" si="0"/>
        <v>70.86</v>
      </c>
      <c r="F19" s="57">
        <f>E19</f>
        <v>70.86</v>
      </c>
      <c r="G19" s="57">
        <f t="shared" si="2"/>
        <v>0</v>
      </c>
      <c r="H19" s="54">
        <v>22792564</v>
      </c>
      <c r="I19" s="58" t="s">
        <v>715</v>
      </c>
      <c r="J19" s="502" t="s">
        <v>25</v>
      </c>
      <c r="K19" s="502" t="s">
        <v>26</v>
      </c>
      <c r="L19" s="54"/>
      <c r="M19" s="461">
        <v>45700</v>
      </c>
    </row>
    <row r="20" spans="1:15" s="144" customFormat="1" x14ac:dyDescent="0.25">
      <c r="A20" s="54">
        <v>1762</v>
      </c>
      <c r="B20" s="55" t="s">
        <v>82</v>
      </c>
      <c r="C20" s="56">
        <v>509.7</v>
      </c>
      <c r="D20" s="25">
        <v>0.3</v>
      </c>
      <c r="E20" s="57">
        <f t="shared" si="0"/>
        <v>152.91</v>
      </c>
      <c r="F20" s="57">
        <f>E20</f>
        <v>152.91</v>
      </c>
      <c r="G20" s="57">
        <f t="shared" si="2"/>
        <v>0</v>
      </c>
      <c r="H20" s="84">
        <v>1409527</v>
      </c>
      <c r="I20" s="60" t="s">
        <v>83</v>
      </c>
      <c r="J20" s="59" t="s">
        <v>84</v>
      </c>
      <c r="K20" s="60" t="s">
        <v>26</v>
      </c>
      <c r="L20" s="54"/>
      <c r="M20" s="61" t="s">
        <v>928</v>
      </c>
      <c r="N20" s="163" t="s">
        <v>942</v>
      </c>
    </row>
    <row r="21" spans="1:15" x14ac:dyDescent="0.25">
      <c r="A21" s="22">
        <v>1792</v>
      </c>
      <c r="B21" s="33" t="s">
        <v>85</v>
      </c>
      <c r="C21" s="24">
        <v>171.1</v>
      </c>
      <c r="D21" s="25">
        <v>0.3</v>
      </c>
      <c r="E21" s="25">
        <f t="shared" si="0"/>
        <v>51.33</v>
      </c>
      <c r="F21" s="25">
        <v>50.690000000000019</v>
      </c>
      <c r="G21" s="25">
        <f t="shared" si="2"/>
        <v>0.63999999999997925</v>
      </c>
      <c r="H21" s="462">
        <v>9545556</v>
      </c>
      <c r="I21" s="476" t="s">
        <v>86</v>
      </c>
      <c r="J21" s="26" t="s">
        <v>17</v>
      </c>
      <c r="K21" s="476" t="s">
        <v>18</v>
      </c>
      <c r="L21" s="22"/>
      <c r="M21" s="461">
        <v>45727</v>
      </c>
    </row>
    <row r="22" spans="1:15" x14ac:dyDescent="0.25">
      <c r="A22" s="22">
        <v>3009</v>
      </c>
      <c r="B22" s="33" t="s">
        <v>87</v>
      </c>
      <c r="C22" s="45">
        <v>258</v>
      </c>
      <c r="D22" s="25">
        <v>0.3</v>
      </c>
      <c r="E22" s="25">
        <f t="shared" si="0"/>
        <v>77.399999999999991</v>
      </c>
      <c r="F22" s="25"/>
      <c r="G22" s="25">
        <f t="shared" si="2"/>
        <v>77.399999999999991</v>
      </c>
      <c r="H22" s="22">
        <v>1448391</v>
      </c>
      <c r="I22" s="477" t="s">
        <v>88</v>
      </c>
      <c r="J22" s="26" t="s">
        <v>43</v>
      </c>
      <c r="K22" s="26" t="s">
        <v>44</v>
      </c>
      <c r="L22" s="22">
        <v>99100144</v>
      </c>
      <c r="M22" s="26"/>
    </row>
    <row r="23" spans="1:15" s="144" customFormat="1" x14ac:dyDescent="0.25">
      <c r="A23" s="54">
        <v>3012</v>
      </c>
      <c r="B23" s="55" t="s">
        <v>90</v>
      </c>
      <c r="C23" s="56">
        <v>246.5</v>
      </c>
      <c r="D23" s="57">
        <v>0.3</v>
      </c>
      <c r="E23" s="57">
        <f t="shared" si="0"/>
        <v>73.95</v>
      </c>
      <c r="F23" s="57">
        <f>E23</f>
        <v>73.95</v>
      </c>
      <c r="G23" s="57">
        <f t="shared" si="2"/>
        <v>0</v>
      </c>
      <c r="H23" s="54">
        <v>5634422</v>
      </c>
      <c r="I23" s="58" t="s">
        <v>91</v>
      </c>
      <c r="J23" s="59" t="s">
        <v>25</v>
      </c>
      <c r="K23" s="60" t="s">
        <v>26</v>
      </c>
      <c r="L23" s="54">
        <v>96922118</v>
      </c>
      <c r="M23" s="461">
        <v>45881</v>
      </c>
    </row>
    <row r="24" spans="1:15" s="144" customFormat="1" x14ac:dyDescent="0.25">
      <c r="A24" s="54">
        <v>3014</v>
      </c>
      <c r="B24" s="55" t="s">
        <v>92</v>
      </c>
      <c r="C24" s="56">
        <v>230</v>
      </c>
      <c r="D24" s="57">
        <v>0.3</v>
      </c>
      <c r="E24" s="57">
        <f t="shared" si="0"/>
        <v>69</v>
      </c>
      <c r="F24" s="57">
        <f>0.69+66.5+1.81</f>
        <v>69</v>
      </c>
      <c r="G24" s="57">
        <f t="shared" si="2"/>
        <v>0</v>
      </c>
      <c r="H24" s="54">
        <v>648421</v>
      </c>
      <c r="I24" s="58" t="s">
        <v>93</v>
      </c>
      <c r="J24" s="61" t="s">
        <v>43</v>
      </c>
      <c r="K24" s="61" t="s">
        <v>44</v>
      </c>
      <c r="L24" s="54">
        <v>98815665</v>
      </c>
      <c r="M24" s="61"/>
      <c r="N24" s="61" t="s">
        <v>934</v>
      </c>
      <c r="O24" s="503">
        <v>45819</v>
      </c>
    </row>
    <row r="25" spans="1:15" x14ac:dyDescent="0.25">
      <c r="A25" s="22">
        <v>3015</v>
      </c>
      <c r="B25" s="33" t="s">
        <v>94</v>
      </c>
      <c r="C25" s="45">
        <v>268.7</v>
      </c>
      <c r="D25" s="25">
        <v>0.3</v>
      </c>
      <c r="E25" s="25">
        <f t="shared" si="0"/>
        <v>80.61</v>
      </c>
      <c r="F25" s="25"/>
      <c r="G25" s="25">
        <f t="shared" si="2"/>
        <v>80.61</v>
      </c>
      <c r="H25" s="22">
        <v>5753033</v>
      </c>
      <c r="I25" s="216" t="s">
        <v>95</v>
      </c>
      <c r="J25" s="473" t="s">
        <v>25</v>
      </c>
      <c r="K25" s="214" t="s">
        <v>26</v>
      </c>
      <c r="L25" s="22">
        <v>92838405</v>
      </c>
      <c r="M25" s="26"/>
    </row>
    <row r="26" spans="1:15" x14ac:dyDescent="0.25">
      <c r="A26" s="22">
        <v>3018</v>
      </c>
      <c r="B26" s="33" t="s">
        <v>96</v>
      </c>
      <c r="C26" s="24">
        <v>142.69999999999999</v>
      </c>
      <c r="D26" s="25">
        <v>0.3</v>
      </c>
      <c r="E26" s="25">
        <f t="shared" si="0"/>
        <v>42.809999999999995</v>
      </c>
      <c r="F26" s="25">
        <v>40.249999999999993</v>
      </c>
      <c r="G26" s="25">
        <f t="shared" si="2"/>
        <v>2.5600000000000023</v>
      </c>
      <c r="H26" s="34">
        <v>1528087</v>
      </c>
      <c r="I26" s="476" t="s">
        <v>97</v>
      </c>
      <c r="J26" s="473" t="s">
        <v>25</v>
      </c>
      <c r="K26" s="474" t="s">
        <v>26</v>
      </c>
      <c r="L26" s="22"/>
      <c r="M26" s="61" t="s">
        <v>940</v>
      </c>
    </row>
    <row r="27" spans="1:15" x14ac:dyDescent="0.25">
      <c r="A27" s="54">
        <v>3020</v>
      </c>
      <c r="B27" s="55" t="s">
        <v>98</v>
      </c>
      <c r="C27" s="56">
        <v>357.9</v>
      </c>
      <c r="D27" s="57">
        <v>0.3</v>
      </c>
      <c r="E27" s="57">
        <f t="shared" si="0"/>
        <v>107.36999999999999</v>
      </c>
      <c r="F27" s="57">
        <f>105.68+1.69</f>
        <v>107.37</v>
      </c>
      <c r="G27" s="57">
        <f t="shared" si="2"/>
        <v>0</v>
      </c>
      <c r="H27" s="54">
        <v>5418422</v>
      </c>
      <c r="I27" s="58" t="s">
        <v>99</v>
      </c>
      <c r="J27" s="59" t="s">
        <v>25</v>
      </c>
      <c r="K27" s="60" t="s">
        <v>26</v>
      </c>
      <c r="L27" s="54">
        <v>99495434</v>
      </c>
      <c r="M27" s="61" t="s">
        <v>938</v>
      </c>
      <c r="N27" s="61" t="s">
        <v>954</v>
      </c>
    </row>
    <row r="28" spans="1:15" s="144" customFormat="1" x14ac:dyDescent="0.25">
      <c r="A28" s="54">
        <v>3022</v>
      </c>
      <c r="B28" s="55" t="s">
        <v>100</v>
      </c>
      <c r="C28" s="56">
        <v>557.5</v>
      </c>
      <c r="D28" s="57">
        <v>0.3</v>
      </c>
      <c r="E28" s="57">
        <f t="shared" si="0"/>
        <v>167.25</v>
      </c>
      <c r="F28" s="57">
        <f>4.06000000000002+163.19</f>
        <v>167.25000000000003</v>
      </c>
      <c r="G28" s="57">
        <f t="shared" si="2"/>
        <v>0</v>
      </c>
      <c r="H28" s="54">
        <v>5360253</v>
      </c>
      <c r="I28" s="58" t="s">
        <v>101</v>
      </c>
      <c r="J28" s="61" t="s">
        <v>75</v>
      </c>
      <c r="K28" s="60" t="s">
        <v>76</v>
      </c>
      <c r="L28" s="54">
        <v>99257989</v>
      </c>
      <c r="M28" s="61" t="s">
        <v>931</v>
      </c>
      <c r="N28" s="61" t="s">
        <v>972</v>
      </c>
    </row>
    <row r="29" spans="1:15" x14ac:dyDescent="0.25">
      <c r="A29" s="22">
        <v>3025</v>
      </c>
      <c r="B29" s="33" t="s">
        <v>102</v>
      </c>
      <c r="C29" s="45">
        <v>462.2</v>
      </c>
      <c r="D29" s="25">
        <v>0.3</v>
      </c>
      <c r="E29" s="25">
        <f t="shared" si="0"/>
        <v>138.66</v>
      </c>
      <c r="F29" s="25"/>
      <c r="G29" s="25">
        <f t="shared" si="2"/>
        <v>138.66</v>
      </c>
      <c r="H29" s="22">
        <v>7542172</v>
      </c>
      <c r="I29" s="216" t="s">
        <v>103</v>
      </c>
      <c r="J29" s="473" t="s">
        <v>25</v>
      </c>
      <c r="K29" s="214" t="s">
        <v>26</v>
      </c>
      <c r="L29" s="22"/>
      <c r="M29" s="26"/>
    </row>
    <row r="30" spans="1:15" x14ac:dyDescent="0.25">
      <c r="A30" s="22">
        <v>3026</v>
      </c>
      <c r="B30" s="33" t="s">
        <v>105</v>
      </c>
      <c r="C30" s="45">
        <v>235.7</v>
      </c>
      <c r="D30" s="25">
        <v>0.3</v>
      </c>
      <c r="E30" s="25">
        <f t="shared" si="0"/>
        <v>70.709999999999994</v>
      </c>
      <c r="F30" s="25"/>
      <c r="G30" s="25">
        <f t="shared" si="2"/>
        <v>70.709999999999994</v>
      </c>
      <c r="H30" s="22">
        <v>7033819</v>
      </c>
      <c r="I30" s="216" t="s">
        <v>106</v>
      </c>
      <c r="J30" s="473" t="s">
        <v>25</v>
      </c>
      <c r="K30" s="214" t="s">
        <v>26</v>
      </c>
      <c r="L30" s="22">
        <v>92256918</v>
      </c>
      <c r="M30" s="26"/>
    </row>
    <row r="31" spans="1:15" s="144" customFormat="1" x14ac:dyDescent="0.25">
      <c r="A31" s="54">
        <v>3027</v>
      </c>
      <c r="B31" s="55" t="s">
        <v>107</v>
      </c>
      <c r="C31" s="56">
        <v>493</v>
      </c>
      <c r="D31" s="57">
        <v>0.3</v>
      </c>
      <c r="E31" s="57">
        <f t="shared" si="0"/>
        <v>147.9</v>
      </c>
      <c r="F31" s="57">
        <f>0.0500000000000014+143.55+4.3</f>
        <v>147.90000000000003</v>
      </c>
      <c r="G31" s="57">
        <f t="shared" si="2"/>
        <v>0</v>
      </c>
      <c r="H31" s="54">
        <v>6420643</v>
      </c>
      <c r="I31" s="58" t="s">
        <v>108</v>
      </c>
      <c r="J31" s="59" t="s">
        <v>17</v>
      </c>
      <c r="K31" s="60" t="s">
        <v>18</v>
      </c>
      <c r="L31" s="54">
        <v>92288434</v>
      </c>
      <c r="M31" s="61" t="s">
        <v>933</v>
      </c>
      <c r="N31" s="503">
        <v>45788</v>
      </c>
      <c r="O31" s="144" t="s">
        <v>968</v>
      </c>
    </row>
    <row r="32" spans="1:15" s="144" customFormat="1" x14ac:dyDescent="0.25">
      <c r="A32" s="54">
        <v>3030</v>
      </c>
      <c r="B32" s="55" t="s">
        <v>109</v>
      </c>
      <c r="C32" s="56">
        <v>242.3</v>
      </c>
      <c r="D32" s="57">
        <v>0.3</v>
      </c>
      <c r="E32" s="57">
        <f t="shared" si="0"/>
        <v>72.69</v>
      </c>
      <c r="F32" s="57">
        <f>69.71+2.98</f>
        <v>72.69</v>
      </c>
      <c r="G32" s="57">
        <f t="shared" si="2"/>
        <v>0</v>
      </c>
      <c r="H32" s="54">
        <v>6021175</v>
      </c>
      <c r="I32" s="58" t="s">
        <v>110</v>
      </c>
      <c r="J32" s="59" t="s">
        <v>25</v>
      </c>
      <c r="K32" s="60" t="s">
        <v>26</v>
      </c>
      <c r="L32" s="54">
        <v>91716888</v>
      </c>
      <c r="M32" s="461">
        <v>45727</v>
      </c>
      <c r="N32" s="144" t="s">
        <v>965</v>
      </c>
    </row>
    <row r="33" spans="1:14" s="144" customFormat="1" x14ac:dyDescent="0.25">
      <c r="A33" s="54">
        <v>3038</v>
      </c>
      <c r="B33" s="55" t="s">
        <v>111</v>
      </c>
      <c r="C33" s="56">
        <v>494</v>
      </c>
      <c r="D33" s="57">
        <v>0.3</v>
      </c>
      <c r="E33" s="57">
        <f t="shared" si="0"/>
        <v>148.19999999999999</v>
      </c>
      <c r="F33" s="57">
        <f>1.93+146.27</f>
        <v>148.20000000000002</v>
      </c>
      <c r="G33" s="57">
        <f t="shared" si="2"/>
        <v>0</v>
      </c>
      <c r="H33" s="54">
        <v>7976</v>
      </c>
      <c r="I33" s="58" t="s">
        <v>112</v>
      </c>
      <c r="J33" s="61" t="s">
        <v>43</v>
      </c>
      <c r="K33" s="61" t="s">
        <v>44</v>
      </c>
      <c r="L33" s="54">
        <v>98920007</v>
      </c>
      <c r="M33" s="61" t="s">
        <v>936</v>
      </c>
      <c r="N33" s="61" t="s">
        <v>956</v>
      </c>
    </row>
    <row r="34" spans="1:14" s="144" customFormat="1" x14ac:dyDescent="0.25">
      <c r="A34" s="54">
        <v>3043</v>
      </c>
      <c r="B34" s="55" t="s">
        <v>113</v>
      </c>
      <c r="C34" s="56">
        <v>226.3</v>
      </c>
      <c r="D34" s="57">
        <v>0.3</v>
      </c>
      <c r="E34" s="57">
        <f t="shared" si="0"/>
        <v>67.89</v>
      </c>
      <c r="F34" s="57">
        <f>67.74+0.15</f>
        <v>67.89</v>
      </c>
      <c r="G34" s="57">
        <f t="shared" si="2"/>
        <v>0</v>
      </c>
      <c r="H34" s="54">
        <v>396336</v>
      </c>
      <c r="I34" s="58" t="s">
        <v>114</v>
      </c>
      <c r="J34" s="59" t="s">
        <v>25</v>
      </c>
      <c r="K34" s="60" t="s">
        <v>26</v>
      </c>
      <c r="L34" s="54">
        <v>99498844</v>
      </c>
      <c r="M34" s="61" t="s">
        <v>938</v>
      </c>
      <c r="N34" s="61" t="s">
        <v>970</v>
      </c>
    </row>
    <row r="35" spans="1:14" x14ac:dyDescent="0.25">
      <c r="A35" s="22">
        <v>3058</v>
      </c>
      <c r="B35" s="33" t="s">
        <v>115</v>
      </c>
      <c r="C35" s="45">
        <v>899.3</v>
      </c>
      <c r="D35" s="25">
        <v>0.3</v>
      </c>
      <c r="E35" s="25">
        <f t="shared" si="0"/>
        <v>269.78999999999996</v>
      </c>
      <c r="F35" s="25"/>
      <c r="G35" s="25">
        <f t="shared" si="2"/>
        <v>269.78999999999996</v>
      </c>
      <c r="H35" s="22">
        <v>965148</v>
      </c>
      <c r="I35" s="216" t="s">
        <v>116</v>
      </c>
      <c r="J35" s="26" t="s">
        <v>43</v>
      </c>
      <c r="K35" s="26" t="s">
        <v>44</v>
      </c>
      <c r="L35" s="22">
        <v>90980121</v>
      </c>
      <c r="M35" s="26"/>
    </row>
    <row r="36" spans="1:14" s="144" customFormat="1" x14ac:dyDescent="0.25">
      <c r="A36" s="54">
        <v>3070</v>
      </c>
      <c r="B36" s="55" t="s">
        <v>117</v>
      </c>
      <c r="C36" s="56">
        <v>789.4</v>
      </c>
      <c r="D36" s="57">
        <v>0.3</v>
      </c>
      <c r="E36" s="57">
        <f t="shared" si="0"/>
        <v>236.82</v>
      </c>
      <c r="F36" s="57">
        <v>234.94000000000003</v>
      </c>
      <c r="G36" s="57">
        <f t="shared" si="2"/>
        <v>1.879999999999967</v>
      </c>
      <c r="H36" s="520">
        <v>1918001</v>
      </c>
      <c r="I36" s="58" t="s">
        <v>118</v>
      </c>
      <c r="J36" s="59" t="s">
        <v>25</v>
      </c>
      <c r="K36" s="60" t="s">
        <v>26</v>
      </c>
      <c r="L36" s="520">
        <v>92863640</v>
      </c>
      <c r="M36" s="461">
        <v>45700</v>
      </c>
    </row>
    <row r="37" spans="1:14" s="144" customFormat="1" x14ac:dyDescent="0.25">
      <c r="A37" s="54">
        <v>3072</v>
      </c>
      <c r="B37" s="55" t="s">
        <v>119</v>
      </c>
      <c r="C37" s="56">
        <v>238</v>
      </c>
      <c r="D37" s="57">
        <v>0.3</v>
      </c>
      <c r="E37" s="57">
        <f t="shared" si="0"/>
        <v>71.399999999999991</v>
      </c>
      <c r="F37" s="57">
        <v>70.830000000000013</v>
      </c>
      <c r="G37" s="57">
        <f t="shared" si="2"/>
        <v>0.56999999999997897</v>
      </c>
      <c r="H37" s="54">
        <v>993077</v>
      </c>
      <c r="I37" s="58" t="s">
        <v>120</v>
      </c>
      <c r="J37" s="61" t="s">
        <v>121</v>
      </c>
      <c r="K37" s="61" t="s">
        <v>122</v>
      </c>
      <c r="L37" s="54">
        <v>92252981</v>
      </c>
      <c r="M37" s="61" t="s">
        <v>937</v>
      </c>
    </row>
    <row r="38" spans="1:14" x14ac:dyDescent="0.25">
      <c r="A38" s="22">
        <v>3077</v>
      </c>
      <c r="B38" s="33" t="s">
        <v>123</v>
      </c>
      <c r="C38" s="45">
        <v>503.5</v>
      </c>
      <c r="D38" s="25">
        <v>0.3</v>
      </c>
      <c r="E38" s="25">
        <f t="shared" si="0"/>
        <v>151.04999999999998</v>
      </c>
      <c r="F38" s="25">
        <f>123.97+27.08</f>
        <v>151.05000000000001</v>
      </c>
      <c r="G38" s="25">
        <f t="shared" si="2"/>
        <v>0</v>
      </c>
      <c r="H38" s="22">
        <v>21978752</v>
      </c>
      <c r="I38" s="216" t="s">
        <v>124</v>
      </c>
      <c r="J38" s="473" t="s">
        <v>25</v>
      </c>
      <c r="K38" s="214" t="s">
        <v>26</v>
      </c>
      <c r="L38" s="22">
        <v>90833336</v>
      </c>
      <c r="M38" s="144" t="s">
        <v>968</v>
      </c>
      <c r="N38" s="61" t="s">
        <v>970</v>
      </c>
    </row>
    <row r="39" spans="1:14" s="144" customFormat="1" x14ac:dyDescent="0.25">
      <c r="A39" s="54">
        <v>3081</v>
      </c>
      <c r="B39" s="55" t="s">
        <v>126</v>
      </c>
      <c r="C39" s="56">
        <v>318</v>
      </c>
      <c r="D39" s="57">
        <v>0.3</v>
      </c>
      <c r="E39" s="57">
        <f t="shared" si="0"/>
        <v>95.399999999999991</v>
      </c>
      <c r="F39" s="57">
        <f>0.279999999999979+95.12</f>
        <v>95.399999999999977</v>
      </c>
      <c r="G39" s="57">
        <f t="shared" si="2"/>
        <v>0</v>
      </c>
      <c r="H39" s="54">
        <v>21219868</v>
      </c>
      <c r="I39" s="488" t="s">
        <v>127</v>
      </c>
      <c r="J39" s="61" t="s">
        <v>128</v>
      </c>
      <c r="K39" s="69" t="s">
        <v>129</v>
      </c>
      <c r="L39" s="54">
        <v>93288777</v>
      </c>
      <c r="M39" s="61" t="s">
        <v>931</v>
      </c>
      <c r="N39" s="461">
        <v>46002</v>
      </c>
    </row>
    <row r="40" spans="1:14" s="170" customFormat="1" x14ac:dyDescent="0.25">
      <c r="A40" s="115">
        <v>3089</v>
      </c>
      <c r="B40" s="116" t="s">
        <v>130</v>
      </c>
      <c r="C40" s="117">
        <v>221.8</v>
      </c>
      <c r="D40" s="118">
        <v>0.3</v>
      </c>
      <c r="E40" s="118">
        <f t="shared" si="0"/>
        <v>66.540000000000006</v>
      </c>
      <c r="F40" s="118">
        <f>E40</f>
        <v>66.540000000000006</v>
      </c>
      <c r="G40" s="118">
        <f t="shared" si="2"/>
        <v>0</v>
      </c>
      <c r="H40" s="115">
        <v>18790484</v>
      </c>
      <c r="I40" s="168" t="s">
        <v>131</v>
      </c>
      <c r="J40" s="121" t="s">
        <v>25</v>
      </c>
      <c r="K40" s="120" t="s">
        <v>26</v>
      </c>
      <c r="L40" s="115"/>
      <c r="M40" s="125" t="s">
        <v>946</v>
      </c>
    </row>
    <row r="41" spans="1:14" x14ac:dyDescent="0.25">
      <c r="A41" s="22">
        <v>3093</v>
      </c>
      <c r="B41" s="33" t="s">
        <v>132</v>
      </c>
      <c r="C41" s="45">
        <v>405.4</v>
      </c>
      <c r="D41" s="25">
        <v>0.3</v>
      </c>
      <c r="E41" s="25">
        <f t="shared" si="0"/>
        <v>121.61999999999999</v>
      </c>
      <c r="F41" s="25"/>
      <c r="G41" s="25">
        <f t="shared" si="2"/>
        <v>121.61999999999999</v>
      </c>
      <c r="H41" s="22">
        <v>6361035</v>
      </c>
      <c r="I41" s="216" t="s">
        <v>133</v>
      </c>
      <c r="J41" s="26" t="s">
        <v>134</v>
      </c>
      <c r="K41" s="214" t="s">
        <v>135</v>
      </c>
      <c r="L41" s="22">
        <v>99497919</v>
      </c>
      <c r="M41" s="26"/>
    </row>
    <row r="42" spans="1:14" x14ac:dyDescent="0.25">
      <c r="A42" s="22">
        <v>3094</v>
      </c>
      <c r="B42" s="33" t="s">
        <v>136</v>
      </c>
      <c r="C42" s="45">
        <v>564.4</v>
      </c>
      <c r="D42" s="25">
        <v>0.3</v>
      </c>
      <c r="E42" s="25">
        <f t="shared" si="0"/>
        <v>169.32</v>
      </c>
      <c r="F42" s="25"/>
      <c r="G42" s="25">
        <f t="shared" si="2"/>
        <v>169.32</v>
      </c>
      <c r="H42" s="22">
        <v>26343985</v>
      </c>
      <c r="I42" s="216" t="s">
        <v>137</v>
      </c>
      <c r="J42" s="473" t="s">
        <v>25</v>
      </c>
      <c r="K42" s="214" t="s">
        <v>26</v>
      </c>
      <c r="L42" s="22">
        <v>93327740</v>
      </c>
      <c r="M42" s="26"/>
    </row>
    <row r="43" spans="1:14" x14ac:dyDescent="0.25">
      <c r="A43" s="22">
        <v>3100</v>
      </c>
      <c r="B43" s="33" t="s">
        <v>138</v>
      </c>
      <c r="C43" s="45">
        <v>1067</v>
      </c>
      <c r="D43" s="25">
        <v>0.3</v>
      </c>
      <c r="E43" s="25">
        <f t="shared" si="0"/>
        <v>320.09999999999997</v>
      </c>
      <c r="F43" s="25">
        <f>E43</f>
        <v>320.09999999999997</v>
      </c>
      <c r="G43" s="25">
        <f t="shared" si="2"/>
        <v>0</v>
      </c>
      <c r="H43" s="22">
        <v>1278615</v>
      </c>
      <c r="I43" s="216" t="s">
        <v>139</v>
      </c>
      <c r="J43" s="26" t="s">
        <v>75</v>
      </c>
      <c r="K43" s="214" t="s">
        <v>26</v>
      </c>
      <c r="L43" s="22">
        <v>99806386</v>
      </c>
      <c r="M43" s="61" t="s">
        <v>972</v>
      </c>
    </row>
    <row r="44" spans="1:14" x14ac:dyDescent="0.25">
      <c r="A44" s="22">
        <v>3101</v>
      </c>
      <c r="B44" s="33" t="s">
        <v>140</v>
      </c>
      <c r="C44" s="45">
        <v>270</v>
      </c>
      <c r="D44" s="25">
        <v>0.3</v>
      </c>
      <c r="E44" s="25">
        <f t="shared" si="0"/>
        <v>81</v>
      </c>
      <c r="F44" s="25"/>
      <c r="G44" s="25">
        <f t="shared" si="2"/>
        <v>81</v>
      </c>
      <c r="H44" s="22">
        <v>6767598</v>
      </c>
      <c r="I44" s="216" t="s">
        <v>141</v>
      </c>
      <c r="J44" s="473" t="s">
        <v>25</v>
      </c>
      <c r="K44" s="214" t="s">
        <v>26</v>
      </c>
      <c r="L44" s="22">
        <v>99100344</v>
      </c>
      <c r="M44" s="26"/>
    </row>
    <row r="45" spans="1:14" s="144" customFormat="1" x14ac:dyDescent="0.25">
      <c r="A45" s="54">
        <v>3102</v>
      </c>
      <c r="B45" s="55" t="s">
        <v>142</v>
      </c>
      <c r="C45" s="56">
        <v>371.6</v>
      </c>
      <c r="D45" s="57">
        <v>0.3</v>
      </c>
      <c r="E45" s="57">
        <f t="shared" si="0"/>
        <v>111.48</v>
      </c>
      <c r="F45" s="57">
        <f>0.880000000000006+110.6</f>
        <v>111.48</v>
      </c>
      <c r="G45" s="57">
        <f t="shared" si="2"/>
        <v>0</v>
      </c>
      <c r="H45" s="54">
        <v>5916838</v>
      </c>
      <c r="I45" s="60" t="s">
        <v>143</v>
      </c>
      <c r="J45" s="59" t="s">
        <v>25</v>
      </c>
      <c r="K45" s="60" t="s">
        <v>26</v>
      </c>
      <c r="L45" s="54">
        <v>91917520</v>
      </c>
      <c r="M45" s="61" t="s">
        <v>954</v>
      </c>
      <c r="N45" s="61" t="s">
        <v>966</v>
      </c>
    </row>
    <row r="46" spans="1:14" s="170" customFormat="1" x14ac:dyDescent="0.25">
      <c r="A46" s="115">
        <v>3119</v>
      </c>
      <c r="B46" s="116" t="s">
        <v>144</v>
      </c>
      <c r="C46" s="117">
        <v>353.1</v>
      </c>
      <c r="D46" s="118">
        <v>0.3</v>
      </c>
      <c r="E46" s="118">
        <f t="shared" si="0"/>
        <v>105.93</v>
      </c>
      <c r="F46" s="118">
        <f>E46</f>
        <v>105.93</v>
      </c>
      <c r="G46" s="118">
        <f t="shared" si="2"/>
        <v>0</v>
      </c>
      <c r="H46" s="115">
        <v>5903061</v>
      </c>
      <c r="I46" s="168" t="s">
        <v>145</v>
      </c>
      <c r="J46" s="121" t="s">
        <v>25</v>
      </c>
      <c r="K46" s="120" t="s">
        <v>26</v>
      </c>
      <c r="L46" s="115">
        <v>91904279</v>
      </c>
      <c r="M46" s="170" t="s">
        <v>963</v>
      </c>
    </row>
    <row r="47" spans="1:14" s="144" customFormat="1" x14ac:dyDescent="0.25">
      <c r="A47" s="54">
        <v>3122</v>
      </c>
      <c r="B47" s="55" t="s">
        <v>146</v>
      </c>
      <c r="C47" s="56">
        <v>264</v>
      </c>
      <c r="D47" s="57">
        <v>0.3</v>
      </c>
      <c r="E47" s="57">
        <f t="shared" si="0"/>
        <v>79.2</v>
      </c>
      <c r="F47" s="57">
        <f>72.45+6.75</f>
        <v>79.2</v>
      </c>
      <c r="G47" s="57">
        <f t="shared" si="2"/>
        <v>0</v>
      </c>
      <c r="H47" s="54">
        <v>12415718</v>
      </c>
      <c r="I47" s="58" t="s">
        <v>110</v>
      </c>
      <c r="J47" s="59" t="s">
        <v>25</v>
      </c>
      <c r="K47" s="60" t="s">
        <v>26</v>
      </c>
      <c r="L47" s="54">
        <v>99481799</v>
      </c>
      <c r="M47" s="461">
        <v>45727</v>
      </c>
      <c r="N47" s="144" t="s">
        <v>965</v>
      </c>
    </row>
    <row r="48" spans="1:14" s="144" customFormat="1" x14ac:dyDescent="0.25">
      <c r="A48" s="54">
        <v>3136</v>
      </c>
      <c r="B48" s="55" t="s">
        <v>20</v>
      </c>
      <c r="C48" s="56">
        <v>488.6</v>
      </c>
      <c r="D48" s="57">
        <v>0.3</v>
      </c>
      <c r="E48" s="57">
        <f t="shared" si="0"/>
        <v>146.58000000000001</v>
      </c>
      <c r="F48" s="57">
        <v>145.09</v>
      </c>
      <c r="G48" s="57">
        <f t="shared" si="2"/>
        <v>1.4900000000000091</v>
      </c>
      <c r="H48" s="54">
        <v>183498</v>
      </c>
      <c r="I48" s="58" t="s">
        <v>21</v>
      </c>
      <c r="J48" s="59" t="s">
        <v>17</v>
      </c>
      <c r="K48" s="60" t="s">
        <v>18</v>
      </c>
      <c r="L48" s="54">
        <v>99481314</v>
      </c>
      <c r="M48" s="61" t="s">
        <v>931</v>
      </c>
    </row>
    <row r="49" spans="1:15" x14ac:dyDescent="0.25">
      <c r="A49" s="22">
        <v>3178</v>
      </c>
      <c r="B49" s="33" t="s">
        <v>147</v>
      </c>
      <c r="C49" s="45">
        <v>1603.5</v>
      </c>
      <c r="D49" s="25">
        <v>0.3</v>
      </c>
      <c r="E49" s="25">
        <f t="shared" si="0"/>
        <v>481.04999999999995</v>
      </c>
      <c r="F49" s="25"/>
      <c r="G49" s="25">
        <f t="shared" si="2"/>
        <v>481.04999999999995</v>
      </c>
      <c r="H49" s="22">
        <v>1511754</v>
      </c>
      <c r="I49" s="216" t="s">
        <v>148</v>
      </c>
      <c r="J49" s="26" t="s">
        <v>43</v>
      </c>
      <c r="K49" s="26" t="s">
        <v>44</v>
      </c>
      <c r="L49" s="22">
        <v>99495933</v>
      </c>
      <c r="M49" s="26"/>
    </row>
    <row r="50" spans="1:15" x14ac:dyDescent="0.25">
      <c r="A50" s="22">
        <v>3199</v>
      </c>
      <c r="B50" s="33" t="s">
        <v>149</v>
      </c>
      <c r="C50" s="45">
        <v>189.4</v>
      </c>
      <c r="D50" s="25">
        <v>0.3</v>
      </c>
      <c r="E50" s="25">
        <f t="shared" si="0"/>
        <v>56.82</v>
      </c>
      <c r="F50" s="25">
        <v>54.820000000000007</v>
      </c>
      <c r="G50" s="25">
        <f t="shared" si="2"/>
        <v>1.9999999999999929</v>
      </c>
      <c r="H50" s="22">
        <v>5168327</v>
      </c>
      <c r="I50" s="216" t="s">
        <v>150</v>
      </c>
      <c r="J50" s="473" t="s">
        <v>25</v>
      </c>
      <c r="K50" s="214" t="s">
        <v>26</v>
      </c>
      <c r="L50" s="22">
        <v>98066833</v>
      </c>
      <c r="M50" s="61" t="s">
        <v>938</v>
      </c>
    </row>
    <row r="51" spans="1:15" s="144" customFormat="1" x14ac:dyDescent="0.25">
      <c r="A51" s="54">
        <v>3200</v>
      </c>
      <c r="B51" s="55" t="s">
        <v>151</v>
      </c>
      <c r="C51" s="56">
        <v>225</v>
      </c>
      <c r="D51" s="57">
        <v>0.3</v>
      </c>
      <c r="E51" s="57">
        <f t="shared" si="0"/>
        <v>67.5</v>
      </c>
      <c r="F51" s="57">
        <f>3.42999999999999+64.07</f>
        <v>67.499999999999986</v>
      </c>
      <c r="G51" s="57">
        <f t="shared" si="2"/>
        <v>0</v>
      </c>
      <c r="H51" s="84">
        <v>21947578</v>
      </c>
      <c r="I51" s="60" t="s">
        <v>152</v>
      </c>
      <c r="J51" s="59" t="s">
        <v>25</v>
      </c>
      <c r="K51" s="60" t="s">
        <v>26</v>
      </c>
      <c r="L51" s="54"/>
      <c r="M51" s="61" t="s">
        <v>931</v>
      </c>
      <c r="N51" s="461">
        <v>46002</v>
      </c>
    </row>
    <row r="52" spans="1:15" x14ac:dyDescent="0.25">
      <c r="A52" s="22">
        <v>3201</v>
      </c>
      <c r="B52" s="33" t="s">
        <v>153</v>
      </c>
      <c r="C52" s="45">
        <v>221</v>
      </c>
      <c r="D52" s="25">
        <v>0.3</v>
      </c>
      <c r="E52" s="25">
        <f t="shared" si="0"/>
        <v>66.3</v>
      </c>
      <c r="F52" s="25"/>
      <c r="G52" s="25">
        <f t="shared" si="2"/>
        <v>66.3</v>
      </c>
      <c r="H52" s="22">
        <v>7048401</v>
      </c>
      <c r="I52" s="216" t="s">
        <v>154</v>
      </c>
      <c r="J52" s="26" t="s">
        <v>17</v>
      </c>
      <c r="K52" s="26" t="s">
        <v>18</v>
      </c>
      <c r="L52" s="22"/>
      <c r="M52" s="26"/>
    </row>
    <row r="53" spans="1:15" x14ac:dyDescent="0.25">
      <c r="A53" s="22">
        <v>3202</v>
      </c>
      <c r="B53" s="33" t="s">
        <v>155</v>
      </c>
      <c r="C53" s="45">
        <v>229.3</v>
      </c>
      <c r="D53" s="25">
        <v>0.3</v>
      </c>
      <c r="E53" s="25">
        <f t="shared" si="0"/>
        <v>68.790000000000006</v>
      </c>
      <c r="F53" s="25">
        <f>E53</f>
        <v>68.790000000000006</v>
      </c>
      <c r="G53" s="25">
        <f t="shared" si="2"/>
        <v>0</v>
      </c>
      <c r="H53" s="22">
        <v>5197371</v>
      </c>
      <c r="I53" s="216" t="s">
        <v>156</v>
      </c>
      <c r="J53" s="473" t="s">
        <v>25</v>
      </c>
      <c r="K53" s="214" t="s">
        <v>26</v>
      </c>
      <c r="L53" s="22">
        <v>93889732</v>
      </c>
      <c r="M53" s="61" t="s">
        <v>966</v>
      </c>
    </row>
    <row r="54" spans="1:15" s="144" customFormat="1" x14ac:dyDescent="0.25">
      <c r="A54" s="54">
        <v>3203</v>
      </c>
      <c r="B54" s="55" t="s">
        <v>157</v>
      </c>
      <c r="C54" s="56">
        <v>308.5</v>
      </c>
      <c r="D54" s="57">
        <v>0.3</v>
      </c>
      <c r="E54" s="57">
        <f t="shared" si="0"/>
        <v>92.55</v>
      </c>
      <c r="F54" s="57">
        <f>1.81+90.25+0.49</f>
        <v>92.55</v>
      </c>
      <c r="G54" s="57">
        <f t="shared" si="2"/>
        <v>0</v>
      </c>
      <c r="H54" s="54">
        <v>23215097</v>
      </c>
      <c r="I54" s="58" t="s">
        <v>158</v>
      </c>
      <c r="J54" s="59" t="s">
        <v>25</v>
      </c>
      <c r="K54" s="60" t="s">
        <v>26</v>
      </c>
      <c r="L54" s="54"/>
      <c r="M54" s="461">
        <v>45700</v>
      </c>
      <c r="N54" s="503">
        <v>45881</v>
      </c>
      <c r="O54" s="61" t="s">
        <v>970</v>
      </c>
    </row>
    <row r="55" spans="1:15" x14ac:dyDescent="0.25">
      <c r="A55" s="22">
        <v>3204</v>
      </c>
      <c r="B55" s="33" t="s">
        <v>159</v>
      </c>
      <c r="C55" s="45">
        <v>395</v>
      </c>
      <c r="D55" s="25">
        <v>0.3</v>
      </c>
      <c r="E55" s="25">
        <f t="shared" si="0"/>
        <v>118.5</v>
      </c>
      <c r="F55" s="25">
        <f>115.86+2.64</f>
        <v>118.5</v>
      </c>
      <c r="G55" s="25">
        <f t="shared" si="2"/>
        <v>0</v>
      </c>
      <c r="H55" s="22">
        <v>24958926</v>
      </c>
      <c r="I55" s="216" t="s">
        <v>160</v>
      </c>
      <c r="J55" s="473" t="s">
        <v>25</v>
      </c>
      <c r="K55" s="214" t="s">
        <v>26</v>
      </c>
      <c r="L55" s="22">
        <v>99312225</v>
      </c>
      <c r="M55" s="461">
        <v>45727</v>
      </c>
      <c r="N55" s="144" t="s">
        <v>968</v>
      </c>
    </row>
    <row r="56" spans="1:15" x14ac:dyDescent="0.25">
      <c r="A56" s="22">
        <v>3207</v>
      </c>
      <c r="B56" s="33" t="s">
        <v>162</v>
      </c>
      <c r="C56" s="45">
        <v>594</v>
      </c>
      <c r="D56" s="25">
        <v>0.3</v>
      </c>
      <c r="E56" s="25">
        <f t="shared" si="0"/>
        <v>178.2</v>
      </c>
      <c r="F56" s="25"/>
      <c r="G56" s="25">
        <f t="shared" si="2"/>
        <v>178.2</v>
      </c>
      <c r="H56" s="22">
        <v>11940175</v>
      </c>
      <c r="I56" s="216" t="s">
        <v>163</v>
      </c>
      <c r="J56" s="473" t="s">
        <v>25</v>
      </c>
      <c r="K56" s="214" t="s">
        <v>26</v>
      </c>
      <c r="L56" s="22">
        <v>98138748</v>
      </c>
      <c r="M56" s="26"/>
    </row>
    <row r="57" spans="1:15" x14ac:dyDescent="0.25">
      <c r="A57" s="22">
        <v>3208</v>
      </c>
      <c r="B57" s="33" t="s">
        <v>164</v>
      </c>
      <c r="C57" s="45">
        <v>485.9</v>
      </c>
      <c r="D57" s="25">
        <v>0.3</v>
      </c>
      <c r="E57" s="25">
        <f t="shared" si="0"/>
        <v>145.76999999999998</v>
      </c>
      <c r="F57" s="25"/>
      <c r="G57" s="25">
        <f t="shared" si="2"/>
        <v>145.76999999999998</v>
      </c>
      <c r="H57" s="22">
        <v>1742664</v>
      </c>
      <c r="I57" s="216" t="s">
        <v>165</v>
      </c>
      <c r="J57" s="26" t="s">
        <v>166</v>
      </c>
      <c r="K57" s="26" t="s">
        <v>129</v>
      </c>
      <c r="L57" s="22">
        <v>99482598</v>
      </c>
      <c r="M57" s="26"/>
    </row>
    <row r="58" spans="1:15" x14ac:dyDescent="0.25">
      <c r="A58" s="22">
        <v>3209</v>
      </c>
      <c r="B58" s="33" t="s">
        <v>169</v>
      </c>
      <c r="C58" s="45">
        <v>267.8</v>
      </c>
      <c r="D58" s="25">
        <v>0.3</v>
      </c>
      <c r="E58" s="25">
        <f t="shared" si="0"/>
        <v>80.34</v>
      </c>
      <c r="F58" s="25">
        <f>E58</f>
        <v>80.34</v>
      </c>
      <c r="G58" s="25">
        <f t="shared" si="2"/>
        <v>0</v>
      </c>
      <c r="H58" s="22">
        <v>5634328</v>
      </c>
      <c r="I58" s="216" t="s">
        <v>170</v>
      </c>
      <c r="J58" s="473" t="s">
        <v>25</v>
      </c>
      <c r="K58" s="214" t="s">
        <v>26</v>
      </c>
      <c r="L58" s="22">
        <v>92283227</v>
      </c>
      <c r="M58" s="461">
        <v>45881</v>
      </c>
    </row>
    <row r="59" spans="1:15" s="144" customFormat="1" x14ac:dyDescent="0.25">
      <c r="A59" s="54">
        <v>3210</v>
      </c>
      <c r="B59" s="55" t="s">
        <v>171</v>
      </c>
      <c r="C59" s="56">
        <v>439.8</v>
      </c>
      <c r="D59" s="57">
        <v>0.3</v>
      </c>
      <c r="E59" s="57">
        <f t="shared" si="0"/>
        <v>131.94</v>
      </c>
      <c r="F59" s="57">
        <f>124.839+7.101</f>
        <v>131.94</v>
      </c>
      <c r="G59" s="57">
        <f t="shared" si="2"/>
        <v>0</v>
      </c>
      <c r="H59" s="54">
        <v>45419</v>
      </c>
      <c r="I59" s="58" t="s">
        <v>172</v>
      </c>
      <c r="J59" s="59" t="s">
        <v>25</v>
      </c>
      <c r="K59" s="60" t="s">
        <v>26</v>
      </c>
      <c r="L59" s="54">
        <v>90101070</v>
      </c>
      <c r="M59" s="61" t="s">
        <v>933</v>
      </c>
      <c r="N59" s="144" t="s">
        <v>954</v>
      </c>
    </row>
    <row r="60" spans="1:15" s="79" customFormat="1" x14ac:dyDescent="0.25">
      <c r="A60" s="22">
        <v>3211</v>
      </c>
      <c r="B60" s="23" t="s">
        <v>173</v>
      </c>
      <c r="C60" s="24"/>
      <c r="D60" s="25">
        <v>0.3</v>
      </c>
      <c r="E60" s="25">
        <f t="shared" si="0"/>
        <v>0</v>
      </c>
      <c r="F60" s="25"/>
      <c r="G60" s="25">
        <f t="shared" si="2"/>
        <v>0</v>
      </c>
      <c r="H60" s="463">
        <v>9927207</v>
      </c>
      <c r="I60" s="460" t="s">
        <v>174</v>
      </c>
      <c r="J60" s="460" t="s">
        <v>17</v>
      </c>
      <c r="K60" s="460" t="s">
        <v>18</v>
      </c>
      <c r="L60" s="463"/>
      <c r="M60" s="62">
        <v>44986</v>
      </c>
    </row>
    <row r="61" spans="1:15" x14ac:dyDescent="0.25">
      <c r="A61" s="22">
        <v>3212</v>
      </c>
      <c r="B61" s="33" t="s">
        <v>175</v>
      </c>
      <c r="C61" s="45">
        <v>702.5</v>
      </c>
      <c r="D61" s="25">
        <v>0.3</v>
      </c>
      <c r="E61" s="25">
        <f t="shared" si="0"/>
        <v>210.75</v>
      </c>
      <c r="F61" s="25"/>
      <c r="G61" s="25">
        <f t="shared" si="2"/>
        <v>210.75</v>
      </c>
      <c r="H61" s="22">
        <v>804443</v>
      </c>
      <c r="I61" s="216" t="s">
        <v>176</v>
      </c>
      <c r="J61" s="26" t="s">
        <v>121</v>
      </c>
      <c r="K61" s="26" t="s">
        <v>122</v>
      </c>
      <c r="L61" s="22">
        <v>99483202</v>
      </c>
      <c r="M61" s="26"/>
    </row>
    <row r="62" spans="1:15" x14ac:dyDescent="0.25">
      <c r="A62" s="22">
        <v>3213</v>
      </c>
      <c r="B62" s="33" t="s">
        <v>177</v>
      </c>
      <c r="C62" s="45">
        <v>452.5</v>
      </c>
      <c r="D62" s="25">
        <v>0.3</v>
      </c>
      <c r="E62" s="25">
        <f t="shared" si="0"/>
        <v>135.75</v>
      </c>
      <c r="F62" s="25">
        <f>E62</f>
        <v>135.75</v>
      </c>
      <c r="G62" s="25">
        <f t="shared" si="2"/>
        <v>0</v>
      </c>
      <c r="H62" s="22">
        <v>2594336</v>
      </c>
      <c r="I62" s="216" t="s">
        <v>178</v>
      </c>
      <c r="J62" s="473" t="s">
        <v>25</v>
      </c>
      <c r="K62" s="474" t="s">
        <v>26</v>
      </c>
      <c r="L62" s="22">
        <v>71773005</v>
      </c>
      <c r="M62" s="461">
        <v>45700</v>
      </c>
    </row>
    <row r="63" spans="1:15" s="144" customFormat="1" x14ac:dyDescent="0.25">
      <c r="A63" s="54">
        <v>3214</v>
      </c>
      <c r="B63" s="55" t="s">
        <v>179</v>
      </c>
      <c r="C63" s="56">
        <v>643</v>
      </c>
      <c r="D63" s="57">
        <v>0.3</v>
      </c>
      <c r="E63" s="57">
        <f t="shared" si="0"/>
        <v>192.9</v>
      </c>
      <c r="F63" s="57">
        <f>0.270000000000036+189.8+2.83</f>
        <v>192.90000000000006</v>
      </c>
      <c r="G63" s="57">
        <f t="shared" si="2"/>
        <v>0</v>
      </c>
      <c r="H63" s="54">
        <v>5168262</v>
      </c>
      <c r="I63" s="58" t="s">
        <v>180</v>
      </c>
      <c r="J63" s="61" t="s">
        <v>17</v>
      </c>
      <c r="K63" s="61" t="s">
        <v>18</v>
      </c>
      <c r="L63" s="54">
        <v>99895383</v>
      </c>
      <c r="M63" s="61" t="s">
        <v>933</v>
      </c>
      <c r="N63" s="61" t="s">
        <v>938</v>
      </c>
      <c r="O63" s="61" t="s">
        <v>967</v>
      </c>
    </row>
    <row r="64" spans="1:15" s="144" customFormat="1" x14ac:dyDescent="0.25">
      <c r="A64" s="54">
        <v>3215</v>
      </c>
      <c r="B64" s="55" t="s">
        <v>181</v>
      </c>
      <c r="C64" s="56">
        <v>527.70000000000005</v>
      </c>
      <c r="D64" s="57">
        <v>0.3</v>
      </c>
      <c r="E64" s="57">
        <f t="shared" si="0"/>
        <v>158.31</v>
      </c>
      <c r="F64" s="57">
        <f>3.00000000000002+153.45+1.86</f>
        <v>158.31000000000003</v>
      </c>
      <c r="G64" s="57">
        <f t="shared" si="2"/>
        <v>0</v>
      </c>
      <c r="H64" s="84">
        <v>11684091</v>
      </c>
      <c r="I64" s="60" t="s">
        <v>182</v>
      </c>
      <c r="J64" s="61" t="s">
        <v>17</v>
      </c>
      <c r="K64" s="61" t="s">
        <v>18</v>
      </c>
      <c r="L64" s="54"/>
      <c r="M64" s="541" t="s">
        <v>930</v>
      </c>
      <c r="N64" s="461">
        <v>45941</v>
      </c>
      <c r="O64" s="144" t="s">
        <v>966</v>
      </c>
    </row>
    <row r="65" spans="1:15" x14ac:dyDescent="0.25">
      <c r="A65" s="22">
        <v>3216</v>
      </c>
      <c r="B65" s="33" t="s">
        <v>23</v>
      </c>
      <c r="C65" s="24">
        <v>758</v>
      </c>
      <c r="D65" s="25">
        <v>0.3</v>
      </c>
      <c r="E65" s="25">
        <f t="shared" si="0"/>
        <v>227.4</v>
      </c>
      <c r="F65" s="25">
        <f>E65</f>
        <v>227.4</v>
      </c>
      <c r="G65" s="25">
        <f t="shared" si="2"/>
        <v>0</v>
      </c>
      <c r="H65" s="462">
        <v>18715567</v>
      </c>
      <c r="I65" s="476" t="s">
        <v>24</v>
      </c>
      <c r="J65" s="478" t="s">
        <v>25</v>
      </c>
      <c r="K65" s="476" t="s">
        <v>26</v>
      </c>
      <c r="L65" s="22">
        <v>77279900</v>
      </c>
      <c r="M65" s="144" t="s">
        <v>968</v>
      </c>
    </row>
    <row r="66" spans="1:15" x14ac:dyDescent="0.25">
      <c r="A66" s="22">
        <v>3217</v>
      </c>
      <c r="B66" s="33" t="s">
        <v>183</v>
      </c>
      <c r="C66" s="45">
        <v>18.899999999999999</v>
      </c>
      <c r="D66" s="25">
        <v>0.3</v>
      </c>
      <c r="E66" s="25">
        <f t="shared" si="0"/>
        <v>5.669999999999999</v>
      </c>
      <c r="F66" s="25"/>
      <c r="G66" s="25">
        <f t="shared" si="2"/>
        <v>5.669999999999999</v>
      </c>
      <c r="H66" s="22">
        <v>1568196</v>
      </c>
      <c r="I66" s="216" t="s">
        <v>184</v>
      </c>
      <c r="J66" s="26" t="s">
        <v>134</v>
      </c>
      <c r="K66" s="214" t="s">
        <v>135</v>
      </c>
      <c r="L66" s="22">
        <v>99494635</v>
      </c>
      <c r="M66" s="26"/>
    </row>
    <row r="67" spans="1:15" s="144" customFormat="1" x14ac:dyDescent="0.25">
      <c r="A67" s="54">
        <v>3219</v>
      </c>
      <c r="B67" s="55" t="s">
        <v>185</v>
      </c>
      <c r="C67" s="56">
        <v>821.7</v>
      </c>
      <c r="D67" s="57">
        <v>0.3</v>
      </c>
      <c r="E67" s="57">
        <f t="shared" si="0"/>
        <v>246.51</v>
      </c>
      <c r="F67" s="57">
        <f>243.57+2.94</f>
        <v>246.51</v>
      </c>
      <c r="G67" s="57">
        <f t="shared" si="2"/>
        <v>0</v>
      </c>
      <c r="H67" s="71">
        <v>12398617</v>
      </c>
      <c r="I67" s="72" t="s">
        <v>186</v>
      </c>
      <c r="J67" s="73" t="s">
        <v>25</v>
      </c>
      <c r="K67" s="72" t="s">
        <v>26</v>
      </c>
      <c r="L67" s="54"/>
      <c r="M67" s="461">
        <v>45788</v>
      </c>
      <c r="N67" s="61" t="s">
        <v>966</v>
      </c>
    </row>
    <row r="68" spans="1:15" x14ac:dyDescent="0.25">
      <c r="A68" s="22">
        <v>3220</v>
      </c>
      <c r="B68" s="33" t="s">
        <v>187</v>
      </c>
      <c r="C68" s="45">
        <v>510.6</v>
      </c>
      <c r="D68" s="25">
        <v>0.3</v>
      </c>
      <c r="E68" s="25">
        <f t="shared" ref="E68:E131" si="3">D68*C68</f>
        <v>153.18</v>
      </c>
      <c r="F68" s="25"/>
      <c r="G68" s="25">
        <f t="shared" si="2"/>
        <v>153.18</v>
      </c>
      <c r="H68" s="22">
        <v>5348311</v>
      </c>
      <c r="I68" s="216" t="s">
        <v>188</v>
      </c>
      <c r="J68" s="26" t="s">
        <v>17</v>
      </c>
      <c r="K68" s="26" t="s">
        <v>18</v>
      </c>
      <c r="L68" s="22">
        <v>96313636</v>
      </c>
      <c r="M68" s="26"/>
    </row>
    <row r="69" spans="1:15" s="144" customFormat="1" x14ac:dyDescent="0.25">
      <c r="A69" s="54">
        <v>3221</v>
      </c>
      <c r="B69" s="55" t="s">
        <v>189</v>
      </c>
      <c r="C69" s="56">
        <v>196</v>
      </c>
      <c r="D69" s="57">
        <v>0.3</v>
      </c>
      <c r="E69" s="57">
        <f t="shared" si="3"/>
        <v>58.8</v>
      </c>
      <c r="F69" s="57">
        <v>57.320000000000007</v>
      </c>
      <c r="G69" s="57">
        <f t="shared" si="2"/>
        <v>1.4799999999999898</v>
      </c>
      <c r="H69" s="54">
        <v>13362673</v>
      </c>
      <c r="I69" s="58" t="s">
        <v>190</v>
      </c>
      <c r="J69" s="59" t="s">
        <v>25</v>
      </c>
      <c r="K69" s="60" t="s">
        <v>26</v>
      </c>
      <c r="L69" s="54">
        <v>92665337</v>
      </c>
      <c r="M69" s="61" t="s">
        <v>936</v>
      </c>
    </row>
    <row r="70" spans="1:15" s="144" customFormat="1" x14ac:dyDescent="0.25">
      <c r="A70" s="54">
        <v>3222</v>
      </c>
      <c r="B70" s="55" t="s">
        <v>191</v>
      </c>
      <c r="C70" s="56">
        <v>311.5</v>
      </c>
      <c r="D70" s="57">
        <v>0.3</v>
      </c>
      <c r="E70" s="57">
        <f t="shared" si="3"/>
        <v>93.45</v>
      </c>
      <c r="F70" s="57">
        <f>3.23999999999997+90.21</f>
        <v>93.44999999999996</v>
      </c>
      <c r="G70" s="57">
        <f t="shared" si="2"/>
        <v>0</v>
      </c>
      <c r="H70" s="54">
        <v>18091329</v>
      </c>
      <c r="I70" s="58" t="s">
        <v>192</v>
      </c>
      <c r="J70" s="61" t="s">
        <v>17</v>
      </c>
      <c r="K70" s="61" t="s">
        <v>18</v>
      </c>
      <c r="L70" s="54">
        <v>92197820</v>
      </c>
      <c r="M70" s="61" t="s">
        <v>935</v>
      </c>
      <c r="N70" s="461">
        <v>45788</v>
      </c>
    </row>
    <row r="71" spans="1:15" x14ac:dyDescent="0.25">
      <c r="A71" s="22">
        <v>3223</v>
      </c>
      <c r="B71" s="33" t="s">
        <v>193</v>
      </c>
      <c r="C71" s="45">
        <v>252</v>
      </c>
      <c r="D71" s="25">
        <v>0.3</v>
      </c>
      <c r="E71" s="25">
        <f t="shared" si="3"/>
        <v>75.599999999999994</v>
      </c>
      <c r="F71" s="25"/>
      <c r="G71" s="25">
        <f t="shared" si="2"/>
        <v>75.599999999999994</v>
      </c>
      <c r="H71" s="22">
        <v>5334914</v>
      </c>
      <c r="I71" s="216" t="s">
        <v>194</v>
      </c>
      <c r="J71" s="26" t="s">
        <v>134</v>
      </c>
      <c r="K71" s="214" t="s">
        <v>135</v>
      </c>
      <c r="L71" s="22">
        <v>98800996</v>
      </c>
      <c r="M71" s="26"/>
    </row>
    <row r="72" spans="1:15" s="144" customFormat="1" x14ac:dyDescent="0.25">
      <c r="A72" s="54">
        <v>3224</v>
      </c>
      <c r="B72" s="55" t="s">
        <v>195</v>
      </c>
      <c r="C72" s="56">
        <v>207.4</v>
      </c>
      <c r="D72" s="57">
        <v>0.3</v>
      </c>
      <c r="E72" s="57">
        <f t="shared" si="3"/>
        <v>62.22</v>
      </c>
      <c r="F72" s="57">
        <f>E72</f>
        <v>62.22</v>
      </c>
      <c r="G72" s="57">
        <f t="shared" si="2"/>
        <v>0</v>
      </c>
      <c r="H72" s="54">
        <v>2066756</v>
      </c>
      <c r="I72" s="488" t="s">
        <v>196</v>
      </c>
      <c r="J72" s="61" t="s">
        <v>25</v>
      </c>
      <c r="K72" s="60" t="s">
        <v>26</v>
      </c>
      <c r="L72" s="54">
        <v>95316025</v>
      </c>
      <c r="M72" s="122" t="s">
        <v>929</v>
      </c>
      <c r="N72" s="530"/>
      <c r="O72" s="530"/>
    </row>
    <row r="73" spans="1:15" x14ac:dyDescent="0.25">
      <c r="A73" s="22">
        <v>3225</v>
      </c>
      <c r="B73" s="33" t="s">
        <v>197</v>
      </c>
      <c r="C73" s="45">
        <v>210</v>
      </c>
      <c r="D73" s="25">
        <v>0.3</v>
      </c>
      <c r="E73" s="25">
        <f t="shared" si="3"/>
        <v>63</v>
      </c>
      <c r="F73" s="25">
        <f>E73</f>
        <v>63</v>
      </c>
      <c r="G73" s="25">
        <f t="shared" si="2"/>
        <v>0</v>
      </c>
      <c r="H73" s="462">
        <v>798637</v>
      </c>
      <c r="I73" s="476" t="s">
        <v>198</v>
      </c>
      <c r="J73" s="478" t="s">
        <v>25</v>
      </c>
      <c r="K73" s="476" t="s">
        <v>26</v>
      </c>
      <c r="L73" s="22"/>
      <c r="M73" s="461">
        <v>45881</v>
      </c>
    </row>
    <row r="74" spans="1:15" s="144" customFormat="1" x14ac:dyDescent="0.25">
      <c r="A74" s="54">
        <v>3227</v>
      </c>
      <c r="B74" s="55" t="s">
        <v>790</v>
      </c>
      <c r="C74" s="56">
        <v>135.30000000000001</v>
      </c>
      <c r="D74" s="57">
        <v>0.3</v>
      </c>
      <c r="E74" s="57">
        <f t="shared" si="3"/>
        <v>40.590000000000003</v>
      </c>
      <c r="F74" s="57">
        <f>38.5+2.09</f>
        <v>40.590000000000003</v>
      </c>
      <c r="G74" s="57">
        <f t="shared" si="2"/>
        <v>0</v>
      </c>
      <c r="H74" s="71">
        <v>15214649</v>
      </c>
      <c r="I74" s="514" t="s">
        <v>199</v>
      </c>
      <c r="J74" s="73" t="s">
        <v>25</v>
      </c>
      <c r="K74" s="72" t="s">
        <v>26</v>
      </c>
      <c r="L74" s="54">
        <v>92171914</v>
      </c>
      <c r="M74" s="503">
        <v>45941</v>
      </c>
      <c r="N74" s="61" t="s">
        <v>966</v>
      </c>
    </row>
    <row r="75" spans="1:15" x14ac:dyDescent="0.25">
      <c r="A75" s="22">
        <v>3228</v>
      </c>
      <c r="B75" s="33" t="s">
        <v>200</v>
      </c>
      <c r="C75" s="45">
        <v>491</v>
      </c>
      <c r="D75" s="25">
        <v>0.3</v>
      </c>
      <c r="E75" s="25">
        <f t="shared" si="3"/>
        <v>147.29999999999998</v>
      </c>
      <c r="F75" s="25"/>
      <c r="G75" s="25">
        <f t="shared" si="2"/>
        <v>147.29999999999998</v>
      </c>
      <c r="H75" s="22">
        <v>1307775</v>
      </c>
      <c r="I75" s="216" t="s">
        <v>201</v>
      </c>
      <c r="J75" s="26" t="s">
        <v>17</v>
      </c>
      <c r="K75" s="26" t="s">
        <v>18</v>
      </c>
      <c r="L75" s="22">
        <v>99484101</v>
      </c>
      <c r="M75" s="26"/>
    </row>
    <row r="76" spans="1:15" x14ac:dyDescent="0.25">
      <c r="A76" s="22">
        <v>3229</v>
      </c>
      <c r="B76" s="33" t="s">
        <v>202</v>
      </c>
      <c r="C76" s="45">
        <v>372.5</v>
      </c>
      <c r="D76" s="25">
        <v>0.3</v>
      </c>
      <c r="E76" s="25">
        <f t="shared" si="3"/>
        <v>111.75</v>
      </c>
      <c r="F76" s="25"/>
      <c r="G76" s="25">
        <f t="shared" si="2"/>
        <v>111.75</v>
      </c>
      <c r="H76" s="22">
        <v>6370978</v>
      </c>
      <c r="I76" s="216" t="s">
        <v>203</v>
      </c>
      <c r="J76" s="473" t="s">
        <v>25</v>
      </c>
      <c r="K76" s="214" t="s">
        <v>26</v>
      </c>
      <c r="L76" s="22">
        <v>99485611</v>
      </c>
      <c r="M76" s="26"/>
    </row>
    <row r="77" spans="1:15" x14ac:dyDescent="0.25">
      <c r="A77" s="22">
        <v>3230</v>
      </c>
      <c r="B77" s="33" t="s">
        <v>204</v>
      </c>
      <c r="C77" s="45">
        <v>378</v>
      </c>
      <c r="D77" s="25">
        <v>0.3</v>
      </c>
      <c r="E77" s="25">
        <f t="shared" si="3"/>
        <v>113.39999999999999</v>
      </c>
      <c r="F77" s="25"/>
      <c r="G77" s="25">
        <f t="shared" si="2"/>
        <v>113.39999999999999</v>
      </c>
      <c r="H77" s="22">
        <v>1968755</v>
      </c>
      <c r="I77" s="214" t="s">
        <v>205</v>
      </c>
      <c r="J77" s="473" t="s">
        <v>25</v>
      </c>
      <c r="K77" s="214" t="s">
        <v>26</v>
      </c>
      <c r="L77" s="22"/>
      <c r="M77" s="26"/>
    </row>
    <row r="78" spans="1:15" s="144" customFormat="1" x14ac:dyDescent="0.25">
      <c r="A78" s="54">
        <v>3231</v>
      </c>
      <c r="B78" s="55" t="s">
        <v>206</v>
      </c>
      <c r="C78" s="56">
        <v>328.2</v>
      </c>
      <c r="D78" s="57">
        <v>0.3</v>
      </c>
      <c r="E78" s="57">
        <f t="shared" si="3"/>
        <v>98.46</v>
      </c>
      <c r="F78" s="57">
        <f>94.4+4.06</f>
        <v>98.460000000000008</v>
      </c>
      <c r="G78" s="57">
        <f t="shared" si="2"/>
        <v>0</v>
      </c>
      <c r="H78" s="54">
        <v>6203903</v>
      </c>
      <c r="I78" s="58" t="s">
        <v>207</v>
      </c>
      <c r="J78" s="61" t="s">
        <v>17</v>
      </c>
      <c r="K78" s="61" t="s">
        <v>18</v>
      </c>
      <c r="L78" s="54">
        <v>92535588</v>
      </c>
      <c r="M78" s="61"/>
      <c r="N78" s="461">
        <v>45727</v>
      </c>
      <c r="O78" s="461">
        <v>46008</v>
      </c>
    </row>
    <row r="79" spans="1:15" s="144" customFormat="1" x14ac:dyDescent="0.25">
      <c r="A79" s="54">
        <v>3232</v>
      </c>
      <c r="B79" s="55" t="s">
        <v>208</v>
      </c>
      <c r="C79" s="56">
        <v>193.4</v>
      </c>
      <c r="D79" s="57">
        <v>0.3</v>
      </c>
      <c r="E79" s="57">
        <f t="shared" si="3"/>
        <v>58.019999999999996</v>
      </c>
      <c r="F79" s="57">
        <f>E79</f>
        <v>58.019999999999996</v>
      </c>
      <c r="G79" s="57">
        <f t="shared" si="2"/>
        <v>0</v>
      </c>
      <c r="H79" s="54">
        <v>6387264</v>
      </c>
      <c r="I79" s="72" t="s">
        <v>209</v>
      </c>
      <c r="J79" s="59" t="s">
        <v>210</v>
      </c>
      <c r="K79" s="72" t="s">
        <v>211</v>
      </c>
      <c r="L79" s="54">
        <v>96661076</v>
      </c>
      <c r="M79" s="461">
        <v>45881</v>
      </c>
    </row>
    <row r="80" spans="1:15" x14ac:dyDescent="0.25">
      <c r="A80" s="22">
        <v>3234</v>
      </c>
      <c r="B80" s="33" t="s">
        <v>212</v>
      </c>
      <c r="C80" s="45">
        <v>522</v>
      </c>
      <c r="D80" s="25">
        <v>0.3</v>
      </c>
      <c r="E80" s="25">
        <f t="shared" si="3"/>
        <v>156.6</v>
      </c>
      <c r="F80" s="25"/>
      <c r="G80" s="25">
        <f t="shared" si="2"/>
        <v>156.6</v>
      </c>
      <c r="H80" s="22">
        <v>21834239</v>
      </c>
      <c r="I80" s="216" t="s">
        <v>213</v>
      </c>
      <c r="J80" s="473" t="s">
        <v>25</v>
      </c>
      <c r="K80" s="214" t="s">
        <v>26</v>
      </c>
      <c r="L80" s="22">
        <v>98135444</v>
      </c>
      <c r="M80" s="26"/>
    </row>
    <row r="81" spans="1:15" x14ac:dyDescent="0.25">
      <c r="A81" s="22">
        <v>3235</v>
      </c>
      <c r="B81" s="33" t="s">
        <v>214</v>
      </c>
      <c r="C81" s="45">
        <v>493</v>
      </c>
      <c r="D81" s="25">
        <v>0.3</v>
      </c>
      <c r="E81" s="25">
        <f t="shared" si="3"/>
        <v>147.9</v>
      </c>
      <c r="F81" s="25">
        <f>145.6+2.3</f>
        <v>147.9</v>
      </c>
      <c r="G81" s="25">
        <f t="shared" ref="G81:G144" si="4">E81-F81</f>
        <v>0</v>
      </c>
      <c r="H81" s="22">
        <v>1234245</v>
      </c>
      <c r="I81" s="216" t="s">
        <v>215</v>
      </c>
      <c r="J81" s="26" t="s">
        <v>75</v>
      </c>
      <c r="K81" s="214" t="s">
        <v>76</v>
      </c>
      <c r="L81" s="22">
        <v>99487759</v>
      </c>
      <c r="M81" s="61" t="s">
        <v>956</v>
      </c>
      <c r="N81" s="144" t="s">
        <v>968</v>
      </c>
    </row>
    <row r="82" spans="1:15" s="144" customFormat="1" x14ac:dyDescent="0.25">
      <c r="A82" s="54">
        <v>3236</v>
      </c>
      <c r="B82" s="55" t="s">
        <v>216</v>
      </c>
      <c r="C82" s="56">
        <v>163.4</v>
      </c>
      <c r="D82" s="57">
        <v>0.3</v>
      </c>
      <c r="E82" s="57">
        <f t="shared" si="3"/>
        <v>49.02</v>
      </c>
      <c r="F82" s="57">
        <f>4.06000000000001+42.75+2.21</f>
        <v>49.02000000000001</v>
      </c>
      <c r="G82" s="57">
        <f t="shared" si="4"/>
        <v>0</v>
      </c>
      <c r="H82" s="71">
        <v>6733333</v>
      </c>
      <c r="I82" s="72" t="s">
        <v>217</v>
      </c>
      <c r="J82" s="59" t="s">
        <v>25</v>
      </c>
      <c r="K82" s="72" t="s">
        <v>26</v>
      </c>
      <c r="L82" s="54"/>
      <c r="M82" s="541" t="s">
        <v>930</v>
      </c>
      <c r="N82" s="61" t="s">
        <v>940</v>
      </c>
      <c r="O82" s="61" t="s">
        <v>966</v>
      </c>
    </row>
    <row r="83" spans="1:15" x14ac:dyDescent="0.25">
      <c r="A83" s="22">
        <v>3237</v>
      </c>
      <c r="B83" s="33" t="s">
        <v>218</v>
      </c>
      <c r="C83" s="45">
        <v>561.29999999999995</v>
      </c>
      <c r="D83" s="25">
        <v>0.3</v>
      </c>
      <c r="E83" s="25">
        <f t="shared" si="3"/>
        <v>168.39</v>
      </c>
      <c r="F83" s="25">
        <f>E83</f>
        <v>168.39</v>
      </c>
      <c r="G83" s="25">
        <f t="shared" si="4"/>
        <v>0</v>
      </c>
      <c r="H83" s="22">
        <v>873637</v>
      </c>
      <c r="I83" s="214" t="s">
        <v>219</v>
      </c>
      <c r="J83" s="26" t="s">
        <v>43</v>
      </c>
      <c r="K83" s="214" t="s">
        <v>44</v>
      </c>
      <c r="L83" s="22">
        <v>97659667</v>
      </c>
      <c r="M83" s="61" t="s">
        <v>956</v>
      </c>
    </row>
    <row r="84" spans="1:15" s="79" customFormat="1" x14ac:dyDescent="0.25">
      <c r="A84" s="22">
        <v>3238</v>
      </c>
      <c r="B84" s="23" t="s">
        <v>220</v>
      </c>
      <c r="C84" s="24">
        <v>232.3</v>
      </c>
      <c r="D84" s="25">
        <v>0.3</v>
      </c>
      <c r="E84" s="25">
        <f t="shared" si="3"/>
        <v>69.69</v>
      </c>
      <c r="F84" s="25"/>
      <c r="G84" s="25">
        <f t="shared" si="4"/>
        <v>69.69</v>
      </c>
      <c r="H84" s="141">
        <v>5361082</v>
      </c>
      <c r="I84" s="479" t="s">
        <v>221</v>
      </c>
      <c r="J84" s="460" t="s">
        <v>25</v>
      </c>
      <c r="K84" s="480" t="s">
        <v>26</v>
      </c>
      <c r="L84" s="22"/>
      <c r="M84" s="62">
        <v>44621</v>
      </c>
    </row>
    <row r="85" spans="1:15" x14ac:dyDescent="0.25">
      <c r="A85" s="22">
        <v>3239</v>
      </c>
      <c r="B85" s="33" t="s">
        <v>222</v>
      </c>
      <c r="C85" s="45">
        <v>319.39999999999998</v>
      </c>
      <c r="D85" s="25">
        <v>0.3</v>
      </c>
      <c r="E85" s="25">
        <f t="shared" si="3"/>
        <v>95.82</v>
      </c>
      <c r="F85" s="25">
        <v>94.52000000000001</v>
      </c>
      <c r="G85" s="25">
        <f t="shared" si="4"/>
        <v>1.2999999999999829</v>
      </c>
      <c r="H85" s="22">
        <v>14379226</v>
      </c>
      <c r="I85" s="216" t="s">
        <v>223</v>
      </c>
      <c r="J85" s="473" t="s">
        <v>25</v>
      </c>
      <c r="K85" s="214" t="s">
        <v>26</v>
      </c>
      <c r="L85" s="22">
        <v>92385524</v>
      </c>
      <c r="M85" s="61" t="s">
        <v>938</v>
      </c>
    </row>
    <row r="86" spans="1:15" x14ac:dyDescent="0.25">
      <c r="A86" s="54">
        <v>3240</v>
      </c>
      <c r="B86" s="55" t="s">
        <v>224</v>
      </c>
      <c r="C86" s="56">
        <v>433.7</v>
      </c>
      <c r="D86" s="57">
        <v>0.3</v>
      </c>
      <c r="E86" s="57">
        <f t="shared" si="3"/>
        <v>130.10999999999999</v>
      </c>
      <c r="F86" s="57">
        <f>125.746+4.364</f>
        <v>130.10999999999999</v>
      </c>
      <c r="G86" s="57">
        <f t="shared" si="4"/>
        <v>0</v>
      </c>
      <c r="H86" s="54">
        <v>5622856</v>
      </c>
      <c r="I86" s="58" t="s">
        <v>225</v>
      </c>
      <c r="J86" s="61" t="s">
        <v>134</v>
      </c>
      <c r="K86" s="60" t="s">
        <v>135</v>
      </c>
      <c r="L86" s="54">
        <v>92400553</v>
      </c>
      <c r="M86" s="61" t="s">
        <v>938</v>
      </c>
      <c r="N86" s="61" t="s">
        <v>966</v>
      </c>
    </row>
    <row r="87" spans="1:15" x14ac:dyDescent="0.25">
      <c r="A87" s="22">
        <v>3241</v>
      </c>
      <c r="B87" s="33" t="s">
        <v>227</v>
      </c>
      <c r="C87" s="45">
        <v>248.9</v>
      </c>
      <c r="D87" s="25">
        <v>0.3</v>
      </c>
      <c r="E87" s="25">
        <f t="shared" si="3"/>
        <v>74.67</v>
      </c>
      <c r="F87" s="25"/>
      <c r="G87" s="25">
        <f t="shared" si="4"/>
        <v>74.67</v>
      </c>
      <c r="H87" s="22">
        <v>21125518</v>
      </c>
      <c r="I87" s="216" t="s">
        <v>228</v>
      </c>
      <c r="J87" s="473" t="s">
        <v>25</v>
      </c>
      <c r="K87" s="214" t="s">
        <v>26</v>
      </c>
      <c r="L87" s="22">
        <v>99508853</v>
      </c>
      <c r="M87" s="26"/>
    </row>
    <row r="88" spans="1:15" s="144" customFormat="1" x14ac:dyDescent="0.25">
      <c r="A88" s="54">
        <v>3243</v>
      </c>
      <c r="B88" s="55" t="s">
        <v>229</v>
      </c>
      <c r="C88" s="56">
        <v>251.6</v>
      </c>
      <c r="D88" s="57">
        <v>0.3</v>
      </c>
      <c r="E88" s="57">
        <f t="shared" si="3"/>
        <v>75.47999999999999</v>
      </c>
      <c r="F88" s="57">
        <f>72.708+2.772</f>
        <v>75.48</v>
      </c>
      <c r="G88" s="57">
        <f t="shared" si="4"/>
        <v>0</v>
      </c>
      <c r="H88" s="54">
        <v>25887256</v>
      </c>
      <c r="I88" s="58" t="s">
        <v>230</v>
      </c>
      <c r="J88" s="59" t="s">
        <v>25</v>
      </c>
      <c r="K88" s="60" t="s">
        <v>26</v>
      </c>
      <c r="L88" s="54">
        <v>93271871</v>
      </c>
      <c r="M88" s="61" t="s">
        <v>940</v>
      </c>
      <c r="N88" s="61" t="s">
        <v>965</v>
      </c>
    </row>
    <row r="89" spans="1:15" x14ac:dyDescent="0.25">
      <c r="A89" s="22">
        <v>3244</v>
      </c>
      <c r="B89" s="33" t="s">
        <v>232</v>
      </c>
      <c r="C89" s="45">
        <v>234.1</v>
      </c>
      <c r="D89" s="25">
        <v>0.3</v>
      </c>
      <c r="E89" s="25">
        <f t="shared" si="3"/>
        <v>70.22999999999999</v>
      </c>
      <c r="F89" s="25"/>
      <c r="G89" s="25">
        <f t="shared" si="4"/>
        <v>70.22999999999999</v>
      </c>
      <c r="H89" s="22">
        <v>19340943</v>
      </c>
      <c r="I89" s="216" t="s">
        <v>233</v>
      </c>
      <c r="J89" s="473" t="s">
        <v>25</v>
      </c>
      <c r="K89" s="214" t="s">
        <v>26</v>
      </c>
      <c r="L89" s="22">
        <v>92594446</v>
      </c>
      <c r="M89" s="26"/>
    </row>
    <row r="90" spans="1:15" s="144" customFormat="1" x14ac:dyDescent="0.25">
      <c r="A90" s="54">
        <v>3245</v>
      </c>
      <c r="B90" s="55" t="s">
        <v>234</v>
      </c>
      <c r="C90" s="56">
        <v>209.1</v>
      </c>
      <c r="D90" s="57">
        <v>0.3</v>
      </c>
      <c r="E90" s="57">
        <f t="shared" si="3"/>
        <v>62.73</v>
      </c>
      <c r="F90" s="57">
        <f>61.68+1.05</f>
        <v>62.73</v>
      </c>
      <c r="G90" s="57">
        <f t="shared" si="4"/>
        <v>0</v>
      </c>
      <c r="H90" s="124" t="s">
        <v>235</v>
      </c>
      <c r="I90" s="60" t="s">
        <v>236</v>
      </c>
      <c r="J90" s="61" t="s">
        <v>43</v>
      </c>
      <c r="K90" s="60" t="s">
        <v>44</v>
      </c>
      <c r="L90" s="54">
        <v>99699068</v>
      </c>
      <c r="M90" s="61" t="s">
        <v>956</v>
      </c>
      <c r="N90" s="61" t="s">
        <v>966</v>
      </c>
    </row>
    <row r="91" spans="1:15" s="144" customFormat="1" x14ac:dyDescent="0.25">
      <c r="A91" s="54">
        <v>3246</v>
      </c>
      <c r="B91" s="55" t="s">
        <v>237</v>
      </c>
      <c r="C91" s="56">
        <v>212</v>
      </c>
      <c r="D91" s="57">
        <v>0.3</v>
      </c>
      <c r="E91" s="57">
        <f t="shared" si="3"/>
        <v>63.599999999999994</v>
      </c>
      <c r="F91" s="57">
        <f>3.29999999999999+60.3</f>
        <v>63.599999999999987</v>
      </c>
      <c r="G91" s="57">
        <f t="shared" si="4"/>
        <v>0</v>
      </c>
      <c r="H91" s="54">
        <v>662648</v>
      </c>
      <c r="I91" s="58" t="s">
        <v>238</v>
      </c>
      <c r="J91" s="59" t="s">
        <v>25</v>
      </c>
      <c r="K91" s="60" t="s">
        <v>26</v>
      </c>
      <c r="L91" s="54">
        <v>99498382</v>
      </c>
      <c r="M91" s="461">
        <v>45788</v>
      </c>
      <c r="N91" s="461">
        <v>46008</v>
      </c>
    </row>
    <row r="92" spans="1:15" s="144" customFormat="1" x14ac:dyDescent="0.25">
      <c r="A92" s="54">
        <v>3247</v>
      </c>
      <c r="B92" s="55" t="s">
        <v>239</v>
      </c>
      <c r="C92" s="56">
        <v>228.9</v>
      </c>
      <c r="D92" s="57">
        <v>0.3</v>
      </c>
      <c r="E92" s="57">
        <f t="shared" si="3"/>
        <v>68.67</v>
      </c>
      <c r="F92" s="57">
        <f>E92</f>
        <v>68.67</v>
      </c>
      <c r="G92" s="57">
        <f t="shared" si="4"/>
        <v>0</v>
      </c>
      <c r="H92" s="54">
        <v>6457783</v>
      </c>
      <c r="I92" s="60" t="s">
        <v>240</v>
      </c>
      <c r="J92" s="59" t="s">
        <v>25</v>
      </c>
      <c r="K92" s="60" t="s">
        <v>26</v>
      </c>
      <c r="L92" s="54">
        <v>92594442</v>
      </c>
      <c r="M92" s="61"/>
      <c r="N92" s="461">
        <v>46008</v>
      </c>
    </row>
    <row r="93" spans="1:15" s="144" customFormat="1" x14ac:dyDescent="0.25">
      <c r="A93" s="54">
        <v>3248</v>
      </c>
      <c r="B93" s="55" t="s">
        <v>241</v>
      </c>
      <c r="C93" s="56">
        <v>214.5</v>
      </c>
      <c r="D93" s="57">
        <v>0.3</v>
      </c>
      <c r="E93" s="57">
        <f t="shared" si="3"/>
        <v>64.349999999999994</v>
      </c>
      <c r="F93" s="57">
        <f>1.5+62.85</f>
        <v>64.349999999999994</v>
      </c>
      <c r="G93" s="57">
        <f t="shared" si="4"/>
        <v>0</v>
      </c>
      <c r="H93" s="54">
        <v>18811851</v>
      </c>
      <c r="I93" s="58" t="s">
        <v>242</v>
      </c>
      <c r="J93" s="59" t="s">
        <v>25</v>
      </c>
      <c r="K93" s="60" t="s">
        <v>26</v>
      </c>
      <c r="L93" s="54">
        <v>92597556</v>
      </c>
      <c r="M93" s="461">
        <v>45788</v>
      </c>
      <c r="N93" s="461">
        <v>46008</v>
      </c>
    </row>
    <row r="94" spans="1:15" s="144" customFormat="1" x14ac:dyDescent="0.25">
      <c r="A94" s="54">
        <v>3249</v>
      </c>
      <c r="B94" s="55" t="s">
        <v>243</v>
      </c>
      <c r="C94" s="56">
        <v>442</v>
      </c>
      <c r="D94" s="57">
        <v>0.3</v>
      </c>
      <c r="E94" s="57">
        <f t="shared" si="3"/>
        <v>132.6</v>
      </c>
      <c r="F94" s="57">
        <f>129.7+2.9</f>
        <v>132.6</v>
      </c>
      <c r="G94" s="57">
        <f t="shared" si="4"/>
        <v>0</v>
      </c>
      <c r="H94" s="54">
        <v>24540784</v>
      </c>
      <c r="I94" s="69" t="s">
        <v>244</v>
      </c>
      <c r="J94" s="61" t="s">
        <v>25</v>
      </c>
      <c r="K94" s="60" t="s">
        <v>26</v>
      </c>
      <c r="L94" s="54">
        <v>99693301</v>
      </c>
      <c r="M94" s="61" t="s">
        <v>938</v>
      </c>
      <c r="N94" s="144" t="s">
        <v>965</v>
      </c>
    </row>
    <row r="95" spans="1:15" s="144" customFormat="1" x14ac:dyDescent="0.25">
      <c r="A95" s="54">
        <v>3251</v>
      </c>
      <c r="B95" s="55" t="s">
        <v>245</v>
      </c>
      <c r="C95" s="56">
        <v>255</v>
      </c>
      <c r="D95" s="57">
        <v>0.3</v>
      </c>
      <c r="E95" s="57">
        <f t="shared" si="3"/>
        <v>76.5</v>
      </c>
      <c r="F95" s="57">
        <f>E95</f>
        <v>76.5</v>
      </c>
      <c r="G95" s="57">
        <f t="shared" si="4"/>
        <v>0</v>
      </c>
      <c r="H95" s="54">
        <v>6420681</v>
      </c>
      <c r="I95" s="58" t="s">
        <v>246</v>
      </c>
      <c r="J95" s="59" t="s">
        <v>25</v>
      </c>
      <c r="K95" s="60" t="s">
        <v>26</v>
      </c>
      <c r="L95" s="54">
        <v>99588744</v>
      </c>
      <c r="M95" s="461">
        <v>46002</v>
      </c>
    </row>
    <row r="96" spans="1:15" s="549" customFormat="1" x14ac:dyDescent="0.25">
      <c r="A96" s="542">
        <v>3252</v>
      </c>
      <c r="B96" s="543" t="s">
        <v>247</v>
      </c>
      <c r="C96" s="544">
        <v>93.1</v>
      </c>
      <c r="D96" s="545">
        <v>0.3</v>
      </c>
      <c r="E96" s="545">
        <f t="shared" si="3"/>
        <v>27.929999999999996</v>
      </c>
      <c r="F96" s="545">
        <f>E96</f>
        <v>27.929999999999996</v>
      </c>
      <c r="G96" s="545">
        <f t="shared" si="4"/>
        <v>0</v>
      </c>
      <c r="H96" s="542">
        <v>460074</v>
      </c>
      <c r="I96" s="582" t="s">
        <v>248</v>
      </c>
      <c r="J96" s="582" t="s">
        <v>25</v>
      </c>
      <c r="K96" s="547" t="s">
        <v>26</v>
      </c>
      <c r="L96" s="542">
        <v>99292354</v>
      </c>
      <c r="M96" s="579" t="s">
        <v>953</v>
      </c>
    </row>
    <row r="97" spans="1:15" s="144" customFormat="1" x14ac:dyDescent="0.25">
      <c r="A97" s="54">
        <v>3253</v>
      </c>
      <c r="B97" s="55" t="s">
        <v>249</v>
      </c>
      <c r="C97" s="56">
        <v>473.3</v>
      </c>
      <c r="D97" s="57">
        <v>0.3</v>
      </c>
      <c r="E97" s="57">
        <f t="shared" si="3"/>
        <v>141.99</v>
      </c>
      <c r="F97" s="57">
        <f>141.65+0.34</f>
        <v>141.99</v>
      </c>
      <c r="G97" s="57">
        <f t="shared" si="4"/>
        <v>0</v>
      </c>
      <c r="H97" s="54">
        <v>25887589</v>
      </c>
      <c r="I97" s="58" t="s">
        <v>250</v>
      </c>
      <c r="J97" s="59" t="s">
        <v>25</v>
      </c>
      <c r="K97" s="60" t="s">
        <v>26</v>
      </c>
      <c r="L97" s="54">
        <v>93995997</v>
      </c>
      <c r="M97" s="61" t="s">
        <v>940</v>
      </c>
      <c r="N97" s="61" t="s">
        <v>965</v>
      </c>
    </row>
    <row r="98" spans="1:15" s="144" customFormat="1" x14ac:dyDescent="0.25">
      <c r="A98" s="54">
        <v>3254</v>
      </c>
      <c r="B98" s="55" t="s">
        <v>251</v>
      </c>
      <c r="C98" s="56">
        <v>430.6</v>
      </c>
      <c r="D98" s="57">
        <v>0.3</v>
      </c>
      <c r="E98" s="57">
        <f t="shared" si="3"/>
        <v>129.18</v>
      </c>
      <c r="F98" s="57">
        <v>125.66</v>
      </c>
      <c r="G98" s="57">
        <f t="shared" si="4"/>
        <v>3.5200000000000102</v>
      </c>
      <c r="H98" s="54">
        <v>6668983</v>
      </c>
      <c r="I98" s="58" t="s">
        <v>252</v>
      </c>
      <c r="J98" s="59" t="s">
        <v>25</v>
      </c>
      <c r="K98" s="60" t="s">
        <v>26</v>
      </c>
      <c r="L98" s="54">
        <v>92321002</v>
      </c>
      <c r="M98" s="461">
        <v>45788</v>
      </c>
    </row>
    <row r="99" spans="1:15" s="144" customFormat="1" x14ac:dyDescent="0.25">
      <c r="A99" s="54">
        <v>3255</v>
      </c>
      <c r="B99" s="55" t="s">
        <v>253</v>
      </c>
      <c r="C99" s="56">
        <v>311.2</v>
      </c>
      <c r="D99" s="57">
        <v>0.3</v>
      </c>
      <c r="E99" s="57">
        <f t="shared" si="3"/>
        <v>93.36</v>
      </c>
      <c r="F99" s="57">
        <v>89.38</v>
      </c>
      <c r="G99" s="57">
        <f t="shared" si="4"/>
        <v>3.980000000000004</v>
      </c>
      <c r="H99" s="54">
        <v>5851949</v>
      </c>
      <c r="I99" s="60" t="s">
        <v>254</v>
      </c>
      <c r="J99" s="59" t="s">
        <v>75</v>
      </c>
      <c r="K99" s="60" t="s">
        <v>76</v>
      </c>
      <c r="L99" s="54"/>
      <c r="M99" s="61" t="s">
        <v>938</v>
      </c>
    </row>
    <row r="100" spans="1:15" s="144" customFormat="1" x14ac:dyDescent="0.25">
      <c r="A100" s="54">
        <v>3256</v>
      </c>
      <c r="B100" s="55" t="s">
        <v>255</v>
      </c>
      <c r="C100" s="56">
        <v>1547.8</v>
      </c>
      <c r="D100" s="25">
        <v>0.3</v>
      </c>
      <c r="E100" s="57">
        <f t="shared" si="3"/>
        <v>464.34</v>
      </c>
      <c r="F100" s="57">
        <f>0.379999999999992+463.96</f>
        <v>464.34</v>
      </c>
      <c r="G100" s="25">
        <f t="shared" si="4"/>
        <v>0</v>
      </c>
      <c r="H100" s="54">
        <v>6147152</v>
      </c>
      <c r="I100" s="58" t="s">
        <v>256</v>
      </c>
      <c r="J100" s="61" t="s">
        <v>257</v>
      </c>
      <c r="K100" s="60" t="s">
        <v>258</v>
      </c>
      <c r="L100" s="54">
        <v>99889778</v>
      </c>
      <c r="M100" s="61" t="s">
        <v>926</v>
      </c>
      <c r="N100" s="461">
        <v>45941</v>
      </c>
    </row>
    <row r="101" spans="1:15" s="144" customFormat="1" x14ac:dyDescent="0.25">
      <c r="A101" s="54">
        <v>3258</v>
      </c>
      <c r="B101" s="55" t="s">
        <v>259</v>
      </c>
      <c r="C101" s="56">
        <v>713.9</v>
      </c>
      <c r="D101" s="57">
        <v>0.3</v>
      </c>
      <c r="E101" s="57">
        <f t="shared" si="3"/>
        <v>214.17</v>
      </c>
      <c r="F101" s="57">
        <f>0.829999999999956+178.85+34.49</f>
        <v>214.16999999999996</v>
      </c>
      <c r="G101" s="57">
        <f t="shared" si="4"/>
        <v>0</v>
      </c>
      <c r="H101" s="54">
        <v>15335306</v>
      </c>
      <c r="I101" s="58" t="s">
        <v>260</v>
      </c>
      <c r="J101" s="61" t="s">
        <v>75</v>
      </c>
      <c r="K101" s="60" t="s">
        <v>76</v>
      </c>
      <c r="L101" s="54">
        <v>99772646</v>
      </c>
      <c r="M101" s="61" t="s">
        <v>931</v>
      </c>
      <c r="N101" s="61" t="s">
        <v>970</v>
      </c>
      <c r="O101" s="61" t="s">
        <v>972</v>
      </c>
    </row>
    <row r="102" spans="1:15" s="144" customFormat="1" x14ac:dyDescent="0.25">
      <c r="A102" s="54">
        <v>3260</v>
      </c>
      <c r="B102" s="55" t="s">
        <v>261</v>
      </c>
      <c r="C102" s="56">
        <v>258.10000000000002</v>
      </c>
      <c r="D102" s="57">
        <v>0.3</v>
      </c>
      <c r="E102" s="57">
        <f t="shared" si="3"/>
        <v>77.430000000000007</v>
      </c>
      <c r="F102" s="57">
        <f>3.34+74.09</f>
        <v>77.430000000000007</v>
      </c>
      <c r="G102" s="57">
        <f t="shared" si="4"/>
        <v>0</v>
      </c>
      <c r="H102" s="54">
        <v>19361936</v>
      </c>
      <c r="I102" s="72" t="s">
        <v>262</v>
      </c>
      <c r="J102" s="61" t="s">
        <v>25</v>
      </c>
      <c r="K102" s="72" t="s">
        <v>26</v>
      </c>
      <c r="L102" s="54">
        <v>99550633</v>
      </c>
      <c r="M102" s="461">
        <v>46002</v>
      </c>
      <c r="N102" s="144" t="s">
        <v>970</v>
      </c>
    </row>
    <row r="103" spans="1:15" x14ac:dyDescent="0.25">
      <c r="A103" s="22">
        <v>3261</v>
      </c>
      <c r="B103" s="33" t="s">
        <v>263</v>
      </c>
      <c r="C103" s="45">
        <v>202.7</v>
      </c>
      <c r="D103" s="25">
        <v>0.3</v>
      </c>
      <c r="E103" s="25">
        <f t="shared" si="3"/>
        <v>60.809999999999995</v>
      </c>
      <c r="F103" s="25"/>
      <c r="G103" s="25">
        <f t="shared" si="4"/>
        <v>60.809999999999995</v>
      </c>
      <c r="H103" s="22">
        <v>8124516</v>
      </c>
      <c r="I103" s="216" t="s">
        <v>264</v>
      </c>
      <c r="J103" s="473" t="s">
        <v>25</v>
      </c>
      <c r="K103" s="214" t="s">
        <v>26</v>
      </c>
      <c r="L103" s="22">
        <v>92661167</v>
      </c>
      <c r="M103" s="26"/>
    </row>
    <row r="104" spans="1:15" s="529" customFormat="1" x14ac:dyDescent="0.25">
      <c r="A104" s="515">
        <v>3262</v>
      </c>
      <c r="B104" s="526" t="s">
        <v>265</v>
      </c>
      <c r="C104" s="527">
        <v>413.3</v>
      </c>
      <c r="D104" s="57">
        <v>0.3</v>
      </c>
      <c r="E104" s="528">
        <f t="shared" si="3"/>
        <v>123.99</v>
      </c>
      <c r="F104" s="528">
        <f>0.91000000000001+118.8+4.28</f>
        <v>123.99000000000001</v>
      </c>
      <c r="G104" s="57">
        <f t="shared" si="4"/>
        <v>0</v>
      </c>
      <c r="H104" s="515">
        <v>1483142</v>
      </c>
      <c r="I104" s="488" t="s">
        <v>266</v>
      </c>
      <c r="J104" s="516" t="s">
        <v>43</v>
      </c>
      <c r="K104" s="69" t="s">
        <v>44</v>
      </c>
      <c r="L104" s="515">
        <v>99499613</v>
      </c>
      <c r="M104" s="61" t="s">
        <v>938</v>
      </c>
      <c r="N104" s="461">
        <v>45727</v>
      </c>
      <c r="O104" s="144" t="s">
        <v>968</v>
      </c>
    </row>
    <row r="105" spans="1:15" s="170" customFormat="1" x14ac:dyDescent="0.25">
      <c r="A105" s="115">
        <v>3263</v>
      </c>
      <c r="B105" s="116" t="s">
        <v>267</v>
      </c>
      <c r="C105" s="117">
        <v>347</v>
      </c>
      <c r="D105" s="118">
        <v>0.3</v>
      </c>
      <c r="E105" s="118">
        <f t="shared" si="3"/>
        <v>104.1</v>
      </c>
      <c r="F105" s="118">
        <f>E105</f>
        <v>104.1</v>
      </c>
      <c r="G105" s="118">
        <f t="shared" si="4"/>
        <v>0</v>
      </c>
      <c r="H105" s="115">
        <v>986981</v>
      </c>
      <c r="I105" s="120" t="s">
        <v>268</v>
      </c>
      <c r="J105" s="125" t="s">
        <v>75</v>
      </c>
      <c r="K105" s="120" t="s">
        <v>76</v>
      </c>
      <c r="L105" s="115">
        <v>99667979</v>
      </c>
      <c r="M105" s="125" t="s">
        <v>946</v>
      </c>
    </row>
    <row r="106" spans="1:15" s="144" customFormat="1" x14ac:dyDescent="0.25">
      <c r="A106" s="54">
        <v>3266</v>
      </c>
      <c r="B106" s="55" t="s">
        <v>269</v>
      </c>
      <c r="C106" s="56">
        <v>493</v>
      </c>
      <c r="D106" s="57">
        <v>0.3</v>
      </c>
      <c r="E106" s="57">
        <f t="shared" si="3"/>
        <v>147.9</v>
      </c>
      <c r="F106" s="57">
        <f>1.04999999999999+143.55+3.3</f>
        <v>147.9</v>
      </c>
      <c r="G106" s="57">
        <f t="shared" si="4"/>
        <v>0</v>
      </c>
      <c r="H106" s="54">
        <v>25891616</v>
      </c>
      <c r="I106" s="58" t="s">
        <v>270</v>
      </c>
      <c r="J106" s="59" t="s">
        <v>25</v>
      </c>
      <c r="K106" s="60" t="s">
        <v>26</v>
      </c>
      <c r="L106" s="54">
        <v>99157779</v>
      </c>
      <c r="M106" s="61" t="s">
        <v>933</v>
      </c>
      <c r="N106" s="461">
        <v>45788</v>
      </c>
      <c r="O106" s="144" t="s">
        <v>968</v>
      </c>
    </row>
    <row r="107" spans="1:15" s="144" customFormat="1" x14ac:dyDescent="0.25">
      <c r="A107" s="54">
        <v>3268</v>
      </c>
      <c r="B107" s="55" t="s">
        <v>271</v>
      </c>
      <c r="C107" s="56">
        <v>717.5</v>
      </c>
      <c r="D107" s="57">
        <v>0.3</v>
      </c>
      <c r="E107" s="57">
        <f t="shared" si="3"/>
        <v>215.25</v>
      </c>
      <c r="F107" s="57">
        <f>0.32+213.75+1.18</f>
        <v>215.25</v>
      </c>
      <c r="G107" s="57">
        <f t="shared" si="4"/>
        <v>0</v>
      </c>
      <c r="H107" s="71">
        <v>22373123</v>
      </c>
      <c r="I107" s="72" t="s">
        <v>272</v>
      </c>
      <c r="J107" s="73" t="s">
        <v>25</v>
      </c>
      <c r="K107" s="72" t="s">
        <v>26</v>
      </c>
      <c r="L107" s="54"/>
      <c r="M107" s="61" t="s">
        <v>954</v>
      </c>
      <c r="N107" s="503">
        <v>45942</v>
      </c>
      <c r="O107" s="144" t="s">
        <v>970</v>
      </c>
    </row>
    <row r="108" spans="1:15" s="144" customFormat="1" x14ac:dyDescent="0.25">
      <c r="A108" s="54">
        <v>3269</v>
      </c>
      <c r="B108" s="55" t="s">
        <v>273</v>
      </c>
      <c r="C108" s="56">
        <v>160.4</v>
      </c>
      <c r="D108" s="57">
        <v>0.3</v>
      </c>
      <c r="E108" s="57">
        <f t="shared" si="3"/>
        <v>48.12</v>
      </c>
      <c r="F108" s="57">
        <f>45.18+2.94</f>
        <v>48.12</v>
      </c>
      <c r="G108" s="57">
        <f t="shared" si="4"/>
        <v>0</v>
      </c>
      <c r="H108" s="71">
        <v>14052947</v>
      </c>
      <c r="I108" s="72" t="s">
        <v>274</v>
      </c>
      <c r="J108" s="59" t="s">
        <v>210</v>
      </c>
      <c r="K108" s="72" t="s">
        <v>211</v>
      </c>
      <c r="L108" s="54">
        <v>92203300</v>
      </c>
      <c r="M108" s="144" t="s">
        <v>959</v>
      </c>
      <c r="N108" s="61" t="s">
        <v>970</v>
      </c>
    </row>
    <row r="109" spans="1:15" s="144" customFormat="1" x14ac:dyDescent="0.25">
      <c r="A109" s="54">
        <v>3270</v>
      </c>
      <c r="B109" s="55" t="s">
        <v>275</v>
      </c>
      <c r="C109" s="56">
        <v>480.8</v>
      </c>
      <c r="D109" s="57">
        <v>0.3</v>
      </c>
      <c r="E109" s="57">
        <f t="shared" si="3"/>
        <v>144.24</v>
      </c>
      <c r="F109" s="57">
        <f>143.16+1.08</f>
        <v>144.24</v>
      </c>
      <c r="G109" s="57">
        <f t="shared" si="4"/>
        <v>0</v>
      </c>
      <c r="H109" s="54">
        <v>11242698</v>
      </c>
      <c r="I109" s="58" t="s">
        <v>276</v>
      </c>
      <c r="J109" s="61" t="s">
        <v>17</v>
      </c>
      <c r="K109" s="61" t="s">
        <v>18</v>
      </c>
      <c r="L109" s="54">
        <v>93839955</v>
      </c>
      <c r="M109" s="461">
        <v>45788</v>
      </c>
      <c r="N109" s="61" t="s">
        <v>965</v>
      </c>
    </row>
    <row r="110" spans="1:15" s="144" customFormat="1" x14ac:dyDescent="0.25">
      <c r="A110" s="54">
        <v>3271</v>
      </c>
      <c r="B110" s="521" t="s">
        <v>277</v>
      </c>
      <c r="C110" s="56">
        <v>379.9</v>
      </c>
      <c r="D110" s="57">
        <v>0.3</v>
      </c>
      <c r="E110" s="57">
        <f t="shared" si="3"/>
        <v>113.96999999999998</v>
      </c>
      <c r="F110" s="57">
        <f>112.97+1</f>
        <v>113.97</v>
      </c>
      <c r="G110" s="57">
        <f t="shared" si="4"/>
        <v>0</v>
      </c>
      <c r="H110" s="522">
        <v>24503986</v>
      </c>
      <c r="I110" s="525" t="s">
        <v>278</v>
      </c>
      <c r="J110" s="521" t="s">
        <v>17</v>
      </c>
      <c r="K110" s="523" t="s">
        <v>18</v>
      </c>
      <c r="L110" s="522">
        <v>92235243</v>
      </c>
      <c r="M110" s="563" t="s">
        <v>940</v>
      </c>
      <c r="N110" s="61" t="s">
        <v>966</v>
      </c>
    </row>
    <row r="111" spans="1:15" s="144" customFormat="1" x14ac:dyDescent="0.25">
      <c r="A111" s="54">
        <v>3272</v>
      </c>
      <c r="B111" s="521" t="s">
        <v>279</v>
      </c>
      <c r="C111" s="56">
        <v>172.7</v>
      </c>
      <c r="D111" s="57">
        <v>0.3</v>
      </c>
      <c r="E111" s="57">
        <f t="shared" si="3"/>
        <v>51.809999999999995</v>
      </c>
      <c r="F111" s="57">
        <v>50.449999999999967</v>
      </c>
      <c r="G111" s="57">
        <f t="shared" si="4"/>
        <v>1.3600000000000279</v>
      </c>
      <c r="H111" s="522">
        <v>22977225</v>
      </c>
      <c r="I111" s="501" t="s">
        <v>280</v>
      </c>
      <c r="J111" s="521" t="s">
        <v>25</v>
      </c>
      <c r="K111" s="523" t="s">
        <v>26</v>
      </c>
      <c r="L111" s="524"/>
      <c r="M111" s="563" t="s">
        <v>940</v>
      </c>
    </row>
    <row r="112" spans="1:15" x14ac:dyDescent="0.25">
      <c r="A112" s="22">
        <v>3273</v>
      </c>
      <c r="B112" s="33" t="s">
        <v>281</v>
      </c>
      <c r="C112" s="45">
        <v>498.4</v>
      </c>
      <c r="D112" s="25">
        <v>0.3</v>
      </c>
      <c r="E112" s="25">
        <f t="shared" si="3"/>
        <v>149.51999999999998</v>
      </c>
      <c r="F112" s="25">
        <v>120.35</v>
      </c>
      <c r="G112" s="25">
        <f t="shared" si="4"/>
        <v>29.169999999999987</v>
      </c>
      <c r="H112" s="22">
        <v>7047221</v>
      </c>
      <c r="I112" s="216" t="s">
        <v>282</v>
      </c>
      <c r="J112" s="26" t="s">
        <v>17</v>
      </c>
      <c r="K112" s="26" t="s">
        <v>18</v>
      </c>
      <c r="L112" s="22">
        <v>92152241</v>
      </c>
      <c r="M112" s="26"/>
    </row>
    <row r="113" spans="1:14" s="144" customFormat="1" x14ac:dyDescent="0.25">
      <c r="A113" s="54">
        <v>3277</v>
      </c>
      <c r="B113" s="55" t="s">
        <v>283</v>
      </c>
      <c r="C113" s="56">
        <v>404.2</v>
      </c>
      <c r="D113" s="57">
        <v>0.3</v>
      </c>
      <c r="E113" s="57">
        <f t="shared" si="3"/>
        <v>121.25999999999999</v>
      </c>
      <c r="F113" s="57">
        <f>120.35+0.91</f>
        <v>121.25999999999999</v>
      </c>
      <c r="G113" s="57">
        <f t="shared" si="4"/>
        <v>0</v>
      </c>
      <c r="H113" s="54">
        <v>14277741</v>
      </c>
      <c r="I113" s="58" t="s">
        <v>284</v>
      </c>
      <c r="J113" s="59" t="s">
        <v>25</v>
      </c>
      <c r="K113" s="60" t="s">
        <v>26</v>
      </c>
      <c r="L113" s="54">
        <v>92160872</v>
      </c>
      <c r="M113" s="461">
        <v>45788</v>
      </c>
      <c r="N113" s="461">
        <v>46008</v>
      </c>
    </row>
    <row r="114" spans="1:14" x14ac:dyDescent="0.25">
      <c r="A114" s="22">
        <v>3278</v>
      </c>
      <c r="B114" s="33" t="s">
        <v>285</v>
      </c>
      <c r="C114" s="45">
        <v>264.8</v>
      </c>
      <c r="D114" s="25">
        <v>0.3</v>
      </c>
      <c r="E114" s="25">
        <f t="shared" si="3"/>
        <v>79.44</v>
      </c>
      <c r="F114" s="25"/>
      <c r="G114" s="25">
        <f t="shared" si="4"/>
        <v>79.44</v>
      </c>
      <c r="H114" s="22">
        <v>27713998</v>
      </c>
      <c r="I114" s="216" t="s">
        <v>286</v>
      </c>
      <c r="J114" s="26" t="s">
        <v>75</v>
      </c>
      <c r="K114" s="214" t="s">
        <v>76</v>
      </c>
      <c r="L114" s="22">
        <v>99257989</v>
      </c>
      <c r="M114" s="26"/>
    </row>
    <row r="115" spans="1:14" s="144" customFormat="1" x14ac:dyDescent="0.25">
      <c r="A115" s="54">
        <v>3279</v>
      </c>
      <c r="B115" s="55" t="s">
        <v>287</v>
      </c>
      <c r="C115" s="56">
        <v>1110.3</v>
      </c>
      <c r="D115" s="57">
        <v>0.3</v>
      </c>
      <c r="E115" s="57">
        <f t="shared" si="3"/>
        <v>333.09</v>
      </c>
      <c r="F115" s="57">
        <f>330.47+2.62</f>
        <v>333.09000000000003</v>
      </c>
      <c r="G115" s="57">
        <f t="shared" si="4"/>
        <v>0</v>
      </c>
      <c r="H115" s="78">
        <v>20468811</v>
      </c>
      <c r="I115" s="60" t="s">
        <v>244</v>
      </c>
      <c r="J115" s="59" t="s">
        <v>25</v>
      </c>
      <c r="K115" s="60" t="s">
        <v>26</v>
      </c>
      <c r="L115" s="54"/>
      <c r="M115" s="61" t="s">
        <v>938</v>
      </c>
      <c r="N115" s="61" t="s">
        <v>965</v>
      </c>
    </row>
    <row r="116" spans="1:14" s="144" customFormat="1" x14ac:dyDescent="0.25">
      <c r="A116" s="54">
        <v>3280</v>
      </c>
      <c r="B116" s="55" t="s">
        <v>288</v>
      </c>
      <c r="C116" s="56">
        <v>454.2</v>
      </c>
      <c r="D116" s="57">
        <v>0.3</v>
      </c>
      <c r="E116" s="57">
        <f t="shared" si="3"/>
        <v>136.26</v>
      </c>
      <c r="F116" s="57">
        <f>136.01+0.25</f>
        <v>136.26</v>
      </c>
      <c r="G116" s="57">
        <f t="shared" si="4"/>
        <v>0</v>
      </c>
      <c r="H116" s="54">
        <v>25887523</v>
      </c>
      <c r="I116" s="58" t="s">
        <v>289</v>
      </c>
      <c r="J116" s="61" t="s">
        <v>290</v>
      </c>
      <c r="K116" s="60" t="s">
        <v>291</v>
      </c>
      <c r="L116" s="54">
        <v>91774010</v>
      </c>
      <c r="M116" s="563" t="s">
        <v>940</v>
      </c>
      <c r="N116" s="61" t="s">
        <v>965</v>
      </c>
    </row>
    <row r="117" spans="1:14" x14ac:dyDescent="0.25">
      <c r="A117" s="22">
        <v>3281</v>
      </c>
      <c r="B117" s="33" t="s">
        <v>292</v>
      </c>
      <c r="C117" s="45">
        <v>463.2</v>
      </c>
      <c r="D117" s="25">
        <v>0.3</v>
      </c>
      <c r="E117" s="25">
        <f t="shared" si="3"/>
        <v>138.95999999999998</v>
      </c>
      <c r="F117" s="25"/>
      <c r="G117" s="25">
        <f t="shared" si="4"/>
        <v>138.95999999999998</v>
      </c>
      <c r="H117" s="22">
        <v>1045575</v>
      </c>
      <c r="I117" s="216" t="s">
        <v>293</v>
      </c>
      <c r="J117" s="26" t="s">
        <v>134</v>
      </c>
      <c r="K117" s="214" t="s">
        <v>135</v>
      </c>
      <c r="L117" s="22">
        <v>99841917</v>
      </c>
      <c r="M117" s="26"/>
    </row>
    <row r="118" spans="1:14" s="144" customFormat="1" x14ac:dyDescent="0.25">
      <c r="A118" s="54">
        <v>3286</v>
      </c>
      <c r="B118" s="55" t="s">
        <v>295</v>
      </c>
      <c r="C118" s="56">
        <v>304</v>
      </c>
      <c r="D118" s="57">
        <v>0.3</v>
      </c>
      <c r="E118" s="57">
        <f t="shared" si="3"/>
        <v>91.2</v>
      </c>
      <c r="F118" s="57">
        <f>87.02+4.18</f>
        <v>91.199999999999989</v>
      </c>
      <c r="G118" s="57">
        <f t="shared" si="4"/>
        <v>0</v>
      </c>
      <c r="H118" s="54">
        <v>23232841</v>
      </c>
      <c r="I118" s="58" t="s">
        <v>296</v>
      </c>
      <c r="J118" s="59" t="s">
        <v>25</v>
      </c>
      <c r="K118" s="60" t="s">
        <v>26</v>
      </c>
      <c r="L118" s="54"/>
      <c r="M118" s="144" t="s">
        <v>959</v>
      </c>
      <c r="N118" s="61" t="s">
        <v>966</v>
      </c>
    </row>
    <row r="119" spans="1:14" s="144" customFormat="1" x14ac:dyDescent="0.25">
      <c r="A119" s="54">
        <v>3287</v>
      </c>
      <c r="B119" s="55" t="s">
        <v>297</v>
      </c>
      <c r="C119" s="56">
        <v>302.5</v>
      </c>
      <c r="D119" s="57">
        <v>0.3</v>
      </c>
      <c r="E119" s="57">
        <f t="shared" si="3"/>
        <v>90.75</v>
      </c>
      <c r="F119" s="57">
        <v>89.84</v>
      </c>
      <c r="G119" s="57">
        <f t="shared" si="4"/>
        <v>0.90999999999999659</v>
      </c>
      <c r="H119" s="54">
        <v>6504554</v>
      </c>
      <c r="I119" s="58" t="s">
        <v>298</v>
      </c>
      <c r="J119" s="59" t="s">
        <v>25</v>
      </c>
      <c r="K119" s="60" t="s">
        <v>26</v>
      </c>
      <c r="L119" s="54">
        <v>95606029</v>
      </c>
      <c r="M119" s="61" t="s">
        <v>938</v>
      </c>
    </row>
    <row r="120" spans="1:14" s="144" customFormat="1" x14ac:dyDescent="0.25">
      <c r="A120" s="54">
        <v>3288</v>
      </c>
      <c r="B120" s="55" t="s">
        <v>300</v>
      </c>
      <c r="C120" s="56">
        <v>230.3</v>
      </c>
      <c r="D120" s="57">
        <v>0.3</v>
      </c>
      <c r="E120" s="57">
        <f t="shared" si="3"/>
        <v>69.09</v>
      </c>
      <c r="F120" s="57">
        <f>65.12+3.97</f>
        <v>69.09</v>
      </c>
      <c r="G120" s="57">
        <f t="shared" si="4"/>
        <v>0</v>
      </c>
      <c r="H120" s="84">
        <v>1460824</v>
      </c>
      <c r="I120" s="60" t="s">
        <v>301</v>
      </c>
      <c r="J120" s="59" t="s">
        <v>302</v>
      </c>
      <c r="K120" s="60" t="s">
        <v>18</v>
      </c>
      <c r="L120" s="54"/>
      <c r="M120" s="61" t="s">
        <v>938</v>
      </c>
      <c r="N120" s="61" t="s">
        <v>966</v>
      </c>
    </row>
    <row r="121" spans="1:14" x14ac:dyDescent="0.25">
      <c r="A121" s="22">
        <v>3291</v>
      </c>
      <c r="B121" s="33" t="s">
        <v>303</v>
      </c>
      <c r="C121" s="24">
        <v>703.9</v>
      </c>
      <c r="D121" s="25">
        <v>0.3</v>
      </c>
      <c r="E121" s="25">
        <f t="shared" si="3"/>
        <v>211.17</v>
      </c>
      <c r="F121" s="25"/>
      <c r="G121" s="25">
        <f t="shared" si="4"/>
        <v>211.17</v>
      </c>
      <c r="H121" s="22">
        <v>1974735</v>
      </c>
      <c r="I121" s="216" t="s">
        <v>304</v>
      </c>
      <c r="J121" s="214" t="s">
        <v>75</v>
      </c>
      <c r="K121" s="216" t="s">
        <v>76</v>
      </c>
      <c r="L121" s="22">
        <v>99085848</v>
      </c>
      <c r="M121" s="26"/>
    </row>
    <row r="122" spans="1:14" s="144" customFormat="1" x14ac:dyDescent="0.25">
      <c r="A122" s="54">
        <v>3292</v>
      </c>
      <c r="B122" s="55" t="s">
        <v>305</v>
      </c>
      <c r="C122" s="56">
        <v>479.3</v>
      </c>
      <c r="D122" s="57">
        <v>0.3</v>
      </c>
      <c r="E122" s="57">
        <f t="shared" si="3"/>
        <v>143.79</v>
      </c>
      <c r="F122" s="57">
        <f>2.43</f>
        <v>2.4300000000000002</v>
      </c>
      <c r="G122" s="57">
        <f t="shared" si="4"/>
        <v>141.35999999999999</v>
      </c>
      <c r="H122" s="71">
        <v>13282353</v>
      </c>
      <c r="I122" s="72" t="s">
        <v>306</v>
      </c>
      <c r="J122" s="61" t="s">
        <v>17</v>
      </c>
      <c r="K122" s="72" t="s">
        <v>18</v>
      </c>
      <c r="L122" s="54"/>
      <c r="M122" s="61" t="s">
        <v>933</v>
      </c>
    </row>
    <row r="123" spans="1:14" s="79" customFormat="1" x14ac:dyDescent="0.25">
      <c r="A123" s="22">
        <v>3293</v>
      </c>
      <c r="B123" s="23" t="s">
        <v>307</v>
      </c>
      <c r="C123" s="24"/>
      <c r="D123" s="25">
        <v>0.3</v>
      </c>
      <c r="E123" s="25">
        <f t="shared" si="3"/>
        <v>0</v>
      </c>
      <c r="F123" s="25"/>
      <c r="G123" s="25">
        <f t="shared" si="4"/>
        <v>0</v>
      </c>
      <c r="H123" s="22">
        <v>4048259</v>
      </c>
      <c r="I123" s="214" t="s">
        <v>308</v>
      </c>
      <c r="J123" s="26" t="s">
        <v>75</v>
      </c>
      <c r="K123" s="214" t="s">
        <v>76</v>
      </c>
      <c r="L123" s="22">
        <v>92970078</v>
      </c>
      <c r="M123" s="26"/>
    </row>
    <row r="124" spans="1:14" s="144" customFormat="1" x14ac:dyDescent="0.25">
      <c r="A124" s="54">
        <v>3294</v>
      </c>
      <c r="B124" s="55" t="s">
        <v>309</v>
      </c>
      <c r="C124" s="56">
        <v>458</v>
      </c>
      <c r="D124" s="57">
        <v>0.3</v>
      </c>
      <c r="E124" s="57">
        <f t="shared" si="3"/>
        <v>137.4</v>
      </c>
      <c r="F124" s="57">
        <f>E124</f>
        <v>137.4</v>
      </c>
      <c r="G124" s="57">
        <f t="shared" si="4"/>
        <v>0</v>
      </c>
      <c r="H124" s="54">
        <v>19263029</v>
      </c>
      <c r="I124" s="58" t="s">
        <v>310</v>
      </c>
      <c r="J124" s="59" t="s">
        <v>25</v>
      </c>
      <c r="K124" s="60" t="s">
        <v>26</v>
      </c>
      <c r="L124" s="54">
        <v>92387034</v>
      </c>
      <c r="M124" s="61" t="s">
        <v>971</v>
      </c>
    </row>
    <row r="125" spans="1:14" x14ac:dyDescent="0.25">
      <c r="A125" s="22">
        <v>3295</v>
      </c>
      <c r="B125" s="33" t="s">
        <v>311</v>
      </c>
      <c r="C125" s="45">
        <v>242</v>
      </c>
      <c r="D125" s="25">
        <v>0.3</v>
      </c>
      <c r="E125" s="25">
        <f t="shared" si="3"/>
        <v>72.599999999999994</v>
      </c>
      <c r="F125" s="25">
        <f>2.79+69.81</f>
        <v>72.600000000000009</v>
      </c>
      <c r="G125" s="25">
        <f t="shared" si="4"/>
        <v>0</v>
      </c>
      <c r="H125" s="22">
        <v>20378353</v>
      </c>
      <c r="I125" s="216" t="s">
        <v>312</v>
      </c>
      <c r="J125" s="26" t="s">
        <v>17</v>
      </c>
      <c r="K125" s="26" t="s">
        <v>18</v>
      </c>
      <c r="L125" s="22">
        <v>99489171</v>
      </c>
      <c r="M125" s="61" t="s">
        <v>931</v>
      </c>
      <c r="N125" s="461">
        <v>46002</v>
      </c>
    </row>
    <row r="126" spans="1:14" s="170" customFormat="1" x14ac:dyDescent="0.25">
      <c r="A126" s="115">
        <v>3297</v>
      </c>
      <c r="B126" s="116" t="s">
        <v>313</v>
      </c>
      <c r="C126" s="117">
        <v>163.19999999999999</v>
      </c>
      <c r="D126" s="118">
        <v>0.3</v>
      </c>
      <c r="E126" s="118">
        <f t="shared" si="3"/>
        <v>48.959999999999994</v>
      </c>
      <c r="F126" s="118">
        <f>E126</f>
        <v>48.959999999999994</v>
      </c>
      <c r="G126" s="118">
        <f t="shared" si="4"/>
        <v>0</v>
      </c>
      <c r="H126" s="115">
        <v>5359682</v>
      </c>
      <c r="I126" s="120" t="s">
        <v>314</v>
      </c>
      <c r="J126" s="125" t="s">
        <v>25</v>
      </c>
      <c r="K126" s="125" t="s">
        <v>26</v>
      </c>
      <c r="L126" s="115">
        <v>93240442</v>
      </c>
      <c r="M126" s="170" t="s">
        <v>949</v>
      </c>
    </row>
    <row r="127" spans="1:14" x14ac:dyDescent="0.25">
      <c r="A127" s="22">
        <v>3298</v>
      </c>
      <c r="B127" s="33" t="s">
        <v>315</v>
      </c>
      <c r="C127" s="24">
        <v>202.9</v>
      </c>
      <c r="D127" s="25">
        <v>0.3</v>
      </c>
      <c r="E127" s="25">
        <f t="shared" si="3"/>
        <v>60.87</v>
      </c>
      <c r="F127" s="25">
        <f>E127</f>
        <v>60.87</v>
      </c>
      <c r="G127" s="25">
        <f t="shared" si="4"/>
        <v>0</v>
      </c>
      <c r="H127" s="34">
        <v>6160236</v>
      </c>
      <c r="I127" s="476" t="s">
        <v>316</v>
      </c>
      <c r="J127" s="215" t="s">
        <v>25</v>
      </c>
      <c r="K127" s="476" t="s">
        <v>26</v>
      </c>
      <c r="L127" s="22"/>
      <c r="M127" s="461">
        <v>45700</v>
      </c>
    </row>
    <row r="128" spans="1:14" x14ac:dyDescent="0.25">
      <c r="A128" s="22">
        <v>3302</v>
      </c>
      <c r="B128" s="33" t="s">
        <v>317</v>
      </c>
      <c r="C128" s="45">
        <v>408.9</v>
      </c>
      <c r="D128" s="25">
        <v>0.3</v>
      </c>
      <c r="E128" s="25">
        <f t="shared" si="3"/>
        <v>122.66999999999999</v>
      </c>
      <c r="F128" s="25">
        <f>118.68+3.99</f>
        <v>122.67</v>
      </c>
      <c r="G128" s="25">
        <f t="shared" si="4"/>
        <v>0</v>
      </c>
      <c r="H128" s="22">
        <v>71004483</v>
      </c>
      <c r="I128" s="510" t="s">
        <v>318</v>
      </c>
      <c r="J128" s="473" t="s">
        <v>25</v>
      </c>
      <c r="K128" s="214" t="s">
        <v>26</v>
      </c>
      <c r="L128" s="22">
        <v>92557761</v>
      </c>
      <c r="M128" s="144" t="s">
        <v>959</v>
      </c>
      <c r="N128" s="61" t="s">
        <v>972</v>
      </c>
    </row>
    <row r="129" spans="1:14" x14ac:dyDescent="0.25">
      <c r="A129" s="22">
        <v>3303</v>
      </c>
      <c r="B129" s="33" t="s">
        <v>319</v>
      </c>
      <c r="C129" s="24">
        <v>242.2</v>
      </c>
      <c r="D129" s="25">
        <v>0.3</v>
      </c>
      <c r="E129" s="25">
        <f t="shared" si="3"/>
        <v>72.66</v>
      </c>
      <c r="F129" s="25"/>
      <c r="G129" s="25">
        <f t="shared" si="4"/>
        <v>72.66</v>
      </c>
      <c r="H129" s="34">
        <v>3172781</v>
      </c>
      <c r="I129" s="214" t="s">
        <v>320</v>
      </c>
      <c r="J129" s="473" t="s">
        <v>17</v>
      </c>
      <c r="K129" s="474" t="s">
        <v>18</v>
      </c>
      <c r="L129" s="22">
        <v>99282770</v>
      </c>
      <c r="M129" s="26"/>
    </row>
    <row r="130" spans="1:14" s="549" customFormat="1" x14ac:dyDescent="0.25">
      <c r="A130" s="542">
        <v>3309</v>
      </c>
      <c r="B130" s="543" t="s">
        <v>321</v>
      </c>
      <c r="C130" s="544">
        <v>112.4</v>
      </c>
      <c r="D130" s="545">
        <v>0.3</v>
      </c>
      <c r="E130" s="545">
        <f t="shared" si="3"/>
        <v>33.72</v>
      </c>
      <c r="F130" s="545">
        <f>E130</f>
        <v>33.72</v>
      </c>
      <c r="G130" s="545">
        <f t="shared" si="4"/>
        <v>0</v>
      </c>
      <c r="H130" s="546">
        <v>21453611</v>
      </c>
      <c r="I130" s="583" t="s">
        <v>322</v>
      </c>
      <c r="J130" s="548" t="s">
        <v>25</v>
      </c>
      <c r="K130" s="547" t="s">
        <v>26</v>
      </c>
      <c r="L130" s="542">
        <v>93389969</v>
      </c>
      <c r="M130" s="579" t="s">
        <v>953</v>
      </c>
    </row>
    <row r="131" spans="1:14" x14ac:dyDescent="0.25">
      <c r="A131" s="22">
        <v>3311</v>
      </c>
      <c r="B131" s="33" t="s">
        <v>323</v>
      </c>
      <c r="C131" s="45">
        <v>372.7</v>
      </c>
      <c r="D131" s="25">
        <v>0.3</v>
      </c>
      <c r="E131" s="25">
        <f t="shared" si="3"/>
        <v>111.80999999999999</v>
      </c>
      <c r="F131" s="25"/>
      <c r="G131" s="25">
        <f t="shared" si="4"/>
        <v>111.80999999999999</v>
      </c>
      <c r="H131" s="22" t="s">
        <v>324</v>
      </c>
      <c r="I131" s="216" t="s">
        <v>325</v>
      </c>
      <c r="J131" s="215" t="s">
        <v>326</v>
      </c>
      <c r="K131" s="216" t="s">
        <v>327</v>
      </c>
      <c r="L131" s="22">
        <v>92817378</v>
      </c>
      <c r="M131" s="26"/>
    </row>
    <row r="132" spans="1:14" s="144" customFormat="1" x14ac:dyDescent="0.25">
      <c r="A132" s="54">
        <v>3312</v>
      </c>
      <c r="B132" s="55" t="s">
        <v>328</v>
      </c>
      <c r="C132" s="56">
        <v>458.3</v>
      </c>
      <c r="D132" s="57">
        <v>0.3</v>
      </c>
      <c r="E132" s="57">
        <f t="shared" ref="E132:E195" si="5">D132*C132</f>
        <v>137.49</v>
      </c>
      <c r="F132" s="57">
        <f>135.05+2.44</f>
        <v>137.49</v>
      </c>
      <c r="G132" s="57">
        <f t="shared" si="4"/>
        <v>0</v>
      </c>
      <c r="H132" s="54">
        <v>881326</v>
      </c>
      <c r="I132" s="58" t="s">
        <v>329</v>
      </c>
      <c r="J132" s="61" t="s">
        <v>121</v>
      </c>
      <c r="K132" s="61" t="s">
        <v>122</v>
      </c>
      <c r="L132" s="54">
        <v>99481799</v>
      </c>
      <c r="M132" s="461">
        <v>45727</v>
      </c>
      <c r="N132" s="61" t="s">
        <v>965</v>
      </c>
    </row>
    <row r="133" spans="1:14" s="144" customFormat="1" x14ac:dyDescent="0.25">
      <c r="A133" s="54">
        <v>3314</v>
      </c>
      <c r="B133" s="55" t="s">
        <v>330</v>
      </c>
      <c r="C133" s="56">
        <v>418.5</v>
      </c>
      <c r="D133" s="57">
        <v>0.3</v>
      </c>
      <c r="E133" s="57">
        <f t="shared" si="5"/>
        <v>125.55</v>
      </c>
      <c r="F133" s="57">
        <f>4.42999999999995+121.12</f>
        <v>125.54999999999995</v>
      </c>
      <c r="G133" s="57">
        <f t="shared" si="4"/>
        <v>0</v>
      </c>
      <c r="H133" s="54">
        <v>766893</v>
      </c>
      <c r="I133" s="58" t="s">
        <v>331</v>
      </c>
      <c r="J133" s="59" t="s">
        <v>25</v>
      </c>
      <c r="K133" s="60" t="s">
        <v>26</v>
      </c>
      <c r="L133" s="54">
        <v>99257989</v>
      </c>
      <c r="M133" s="61" t="s">
        <v>931</v>
      </c>
      <c r="N133" s="61" t="s">
        <v>972</v>
      </c>
    </row>
    <row r="134" spans="1:14" s="549" customFormat="1" ht="24" customHeight="1" x14ac:dyDescent="0.25">
      <c r="A134" s="542">
        <v>3315</v>
      </c>
      <c r="B134" s="543" t="s">
        <v>333</v>
      </c>
      <c r="C134" s="544">
        <v>114.1</v>
      </c>
      <c r="D134" s="545">
        <v>0.3</v>
      </c>
      <c r="E134" s="545">
        <f t="shared" si="5"/>
        <v>34.229999999999997</v>
      </c>
      <c r="F134" s="545">
        <f>E134</f>
        <v>34.229999999999997</v>
      </c>
      <c r="G134" s="545">
        <f t="shared" si="4"/>
        <v>0</v>
      </c>
      <c r="H134" s="542">
        <v>23957422</v>
      </c>
      <c r="I134" s="580" t="s">
        <v>334</v>
      </c>
      <c r="J134" s="581" t="s">
        <v>25</v>
      </c>
      <c r="K134" s="582" t="s">
        <v>26</v>
      </c>
      <c r="L134" s="542">
        <v>99601665</v>
      </c>
      <c r="M134" s="579" t="s">
        <v>953</v>
      </c>
    </row>
    <row r="135" spans="1:14" s="549" customFormat="1" x14ac:dyDescent="0.25">
      <c r="A135" s="542">
        <v>3316</v>
      </c>
      <c r="B135" s="543" t="s">
        <v>335</v>
      </c>
      <c r="C135" s="544">
        <v>107.8</v>
      </c>
      <c r="D135" s="545">
        <v>0.3</v>
      </c>
      <c r="E135" s="545">
        <f t="shared" si="5"/>
        <v>32.339999999999996</v>
      </c>
      <c r="F135" s="545">
        <f>E135</f>
        <v>32.339999999999996</v>
      </c>
      <c r="G135" s="545">
        <f t="shared" si="4"/>
        <v>0</v>
      </c>
      <c r="H135" s="542">
        <v>26159748</v>
      </c>
      <c r="I135" s="547" t="s">
        <v>336</v>
      </c>
      <c r="J135" s="581" t="s">
        <v>25</v>
      </c>
      <c r="K135" s="582" t="s">
        <v>26</v>
      </c>
      <c r="L135" s="542">
        <v>99601665</v>
      </c>
      <c r="M135" s="579" t="s">
        <v>953</v>
      </c>
    </row>
    <row r="136" spans="1:14" x14ac:dyDescent="0.25">
      <c r="A136" s="22">
        <v>3320</v>
      </c>
      <c r="B136" s="33" t="s">
        <v>337</v>
      </c>
      <c r="C136" s="45">
        <v>211.3</v>
      </c>
      <c r="D136" s="25">
        <v>0.3</v>
      </c>
      <c r="E136" s="25">
        <f t="shared" si="5"/>
        <v>63.39</v>
      </c>
      <c r="F136" s="25"/>
      <c r="G136" s="25">
        <f t="shared" si="4"/>
        <v>63.39</v>
      </c>
      <c r="H136" s="22">
        <v>2096234</v>
      </c>
      <c r="I136" s="216" t="s">
        <v>338</v>
      </c>
      <c r="J136" s="473" t="s">
        <v>25</v>
      </c>
      <c r="K136" s="214" t="s">
        <v>26</v>
      </c>
      <c r="L136" s="22">
        <v>99495933</v>
      </c>
      <c r="M136" s="26"/>
    </row>
    <row r="137" spans="1:14" x14ac:dyDescent="0.25">
      <c r="A137" s="22">
        <v>3321</v>
      </c>
      <c r="B137" s="33" t="s">
        <v>339</v>
      </c>
      <c r="C137" s="45">
        <v>150</v>
      </c>
      <c r="D137" s="25">
        <v>0.3</v>
      </c>
      <c r="E137" s="25">
        <f t="shared" si="5"/>
        <v>45</v>
      </c>
      <c r="F137" s="25"/>
      <c r="G137" s="25">
        <f t="shared" si="4"/>
        <v>45</v>
      </c>
      <c r="H137" s="22">
        <v>10721505</v>
      </c>
      <c r="I137" s="216" t="s">
        <v>340</v>
      </c>
      <c r="J137" s="473" t="s">
        <v>25</v>
      </c>
      <c r="K137" s="214" t="s">
        <v>26</v>
      </c>
      <c r="L137" s="22">
        <v>93955800</v>
      </c>
      <c r="M137" s="26"/>
    </row>
    <row r="138" spans="1:14" x14ac:dyDescent="0.25">
      <c r="A138" s="22">
        <v>3322</v>
      </c>
      <c r="B138" s="33" t="s">
        <v>341</v>
      </c>
      <c r="C138" s="45">
        <v>374.4</v>
      </c>
      <c r="D138" s="25">
        <v>0.3</v>
      </c>
      <c r="E138" s="25">
        <f t="shared" si="5"/>
        <v>112.32</v>
      </c>
      <c r="F138" s="25"/>
      <c r="G138" s="25">
        <f t="shared" si="4"/>
        <v>112.32</v>
      </c>
      <c r="H138" s="22">
        <v>6047858</v>
      </c>
      <c r="I138" s="216" t="s">
        <v>342</v>
      </c>
      <c r="J138" s="26" t="s">
        <v>43</v>
      </c>
      <c r="K138" s="214" t="s">
        <v>44</v>
      </c>
      <c r="L138" s="22"/>
      <c r="M138" s="26"/>
    </row>
    <row r="139" spans="1:14" s="144" customFormat="1" x14ac:dyDescent="0.25">
      <c r="A139" s="54">
        <v>3325</v>
      </c>
      <c r="B139" s="55" t="s">
        <v>153</v>
      </c>
      <c r="C139" s="56">
        <v>164.4</v>
      </c>
      <c r="D139" s="57">
        <v>0.3</v>
      </c>
      <c r="E139" s="57">
        <f t="shared" si="5"/>
        <v>49.32</v>
      </c>
      <c r="F139" s="57">
        <f>45.11+4.21</f>
        <v>49.32</v>
      </c>
      <c r="G139" s="57">
        <f t="shared" si="4"/>
        <v>0</v>
      </c>
      <c r="H139" s="54">
        <v>21849398</v>
      </c>
      <c r="I139" s="58" t="s">
        <v>343</v>
      </c>
      <c r="J139" s="59" t="s">
        <v>25</v>
      </c>
      <c r="K139" s="60" t="s">
        <v>26</v>
      </c>
      <c r="L139" s="54">
        <v>93233323</v>
      </c>
      <c r="M139" s="61" t="s">
        <v>938</v>
      </c>
      <c r="N139" s="61" t="s">
        <v>956</v>
      </c>
    </row>
    <row r="140" spans="1:14" s="144" customFormat="1" x14ac:dyDescent="0.25">
      <c r="A140" s="54">
        <v>3326</v>
      </c>
      <c r="B140" s="55" t="s">
        <v>344</v>
      </c>
      <c r="C140" s="56">
        <v>567</v>
      </c>
      <c r="D140" s="57">
        <v>0.3</v>
      </c>
      <c r="E140" s="57">
        <f t="shared" si="5"/>
        <v>170.1</v>
      </c>
      <c r="F140" s="57">
        <f>169.54+0.56</f>
        <v>170.1</v>
      </c>
      <c r="G140" s="57">
        <f t="shared" si="4"/>
        <v>0</v>
      </c>
      <c r="H140" s="54">
        <v>1466865</v>
      </c>
      <c r="I140" s="58" t="s">
        <v>345</v>
      </c>
      <c r="J140" s="61" t="s">
        <v>17</v>
      </c>
      <c r="K140" s="61" t="s">
        <v>18</v>
      </c>
      <c r="L140" s="54"/>
      <c r="M140" s="61" t="s">
        <v>936</v>
      </c>
      <c r="N140" s="461">
        <v>46008</v>
      </c>
    </row>
    <row r="141" spans="1:14" x14ac:dyDescent="0.25">
      <c r="A141" s="22">
        <v>3328</v>
      </c>
      <c r="B141" s="33" t="s">
        <v>346</v>
      </c>
      <c r="C141" s="45">
        <v>479.7</v>
      </c>
      <c r="D141" s="25">
        <v>0.3</v>
      </c>
      <c r="E141" s="25">
        <f t="shared" si="5"/>
        <v>143.91</v>
      </c>
      <c r="F141" s="25">
        <f>139.26+4.65</f>
        <v>143.91</v>
      </c>
      <c r="G141" s="25">
        <f t="shared" si="4"/>
        <v>0</v>
      </c>
      <c r="H141" s="22">
        <v>1934204</v>
      </c>
      <c r="I141" s="214" t="s">
        <v>347</v>
      </c>
      <c r="J141" s="473" t="s">
        <v>25</v>
      </c>
      <c r="K141" s="214" t="s">
        <v>26</v>
      </c>
      <c r="L141" s="22"/>
      <c r="M141" s="461">
        <v>45788</v>
      </c>
      <c r="N141" s="61" t="s">
        <v>966</v>
      </c>
    </row>
    <row r="142" spans="1:14" x14ac:dyDescent="0.25">
      <c r="A142" s="22">
        <v>3329</v>
      </c>
      <c r="B142" s="33" t="s">
        <v>348</v>
      </c>
      <c r="C142" s="45">
        <v>269.3</v>
      </c>
      <c r="D142" s="25">
        <v>0.3</v>
      </c>
      <c r="E142" s="25">
        <f t="shared" si="5"/>
        <v>80.790000000000006</v>
      </c>
      <c r="F142" s="25">
        <f>77.35+3.44</f>
        <v>80.789999999999992</v>
      </c>
      <c r="G142" s="25">
        <f t="shared" si="4"/>
        <v>0</v>
      </c>
      <c r="H142" s="22">
        <v>9086292</v>
      </c>
      <c r="I142" s="214" t="s">
        <v>349</v>
      </c>
      <c r="J142" s="26" t="s">
        <v>75</v>
      </c>
      <c r="K142" s="214" t="s">
        <v>76</v>
      </c>
      <c r="L142" s="22">
        <v>95976260</v>
      </c>
      <c r="M142" s="461">
        <v>45941</v>
      </c>
      <c r="N142" s="144" t="s">
        <v>974</v>
      </c>
    </row>
    <row r="143" spans="1:14" s="144" customFormat="1" x14ac:dyDescent="0.25">
      <c r="A143" s="54">
        <v>3331</v>
      </c>
      <c r="B143" s="55" t="s">
        <v>350</v>
      </c>
      <c r="C143" s="56">
        <v>460.1</v>
      </c>
      <c r="D143" s="57">
        <v>0.3</v>
      </c>
      <c r="E143" s="57">
        <f t="shared" si="5"/>
        <v>138.03</v>
      </c>
      <c r="F143" s="57">
        <f>2.66000000000001+135.37</f>
        <v>138.03</v>
      </c>
      <c r="G143" s="57">
        <f t="shared" si="4"/>
        <v>0</v>
      </c>
      <c r="H143" s="54">
        <v>18048861</v>
      </c>
      <c r="I143" s="58" t="s">
        <v>351</v>
      </c>
      <c r="J143" s="61" t="s">
        <v>352</v>
      </c>
      <c r="K143" s="60" t="s">
        <v>129</v>
      </c>
      <c r="L143" s="54"/>
      <c r="M143" s="461">
        <v>45788</v>
      </c>
      <c r="N143" s="461">
        <v>45941</v>
      </c>
    </row>
    <row r="144" spans="1:14" x14ac:dyDescent="0.25">
      <c r="A144" s="22">
        <v>3332</v>
      </c>
      <c r="B144" s="33" t="s">
        <v>721</v>
      </c>
      <c r="C144" s="45">
        <v>166.2</v>
      </c>
      <c r="D144" s="25">
        <v>0.3</v>
      </c>
      <c r="E144" s="25">
        <f t="shared" si="5"/>
        <v>49.859999999999992</v>
      </c>
      <c r="F144" s="25">
        <f>E144</f>
        <v>49.859999999999992</v>
      </c>
      <c r="G144" s="25">
        <f t="shared" si="4"/>
        <v>0</v>
      </c>
      <c r="H144" s="22">
        <v>1320775</v>
      </c>
      <c r="I144" s="216"/>
      <c r="J144" s="26"/>
      <c r="K144" s="214"/>
      <c r="L144" s="22">
        <v>99490105</v>
      </c>
      <c r="M144" s="461">
        <v>45941</v>
      </c>
    </row>
    <row r="145" spans="1:14" x14ac:dyDescent="0.25">
      <c r="A145" s="22">
        <v>3334</v>
      </c>
      <c r="B145" s="33" t="s">
        <v>353</v>
      </c>
      <c r="C145" s="45">
        <v>360</v>
      </c>
      <c r="D145" s="25">
        <v>0.3</v>
      </c>
      <c r="E145" s="25">
        <f t="shared" si="5"/>
        <v>108</v>
      </c>
      <c r="F145" s="25"/>
      <c r="G145" s="25">
        <f t="shared" ref="G145:G208" si="6">E145-F145</f>
        <v>108</v>
      </c>
      <c r="H145" s="22">
        <v>1176211</v>
      </c>
      <c r="I145" s="216" t="s">
        <v>354</v>
      </c>
      <c r="J145" s="26" t="s">
        <v>17</v>
      </c>
      <c r="K145" s="26" t="s">
        <v>18</v>
      </c>
      <c r="L145" s="22">
        <v>99480111</v>
      </c>
      <c r="M145" s="26"/>
    </row>
    <row r="146" spans="1:14" s="144" customFormat="1" x14ac:dyDescent="0.25">
      <c r="A146" s="54">
        <v>3335</v>
      </c>
      <c r="B146" s="55" t="s">
        <v>355</v>
      </c>
      <c r="C146" s="56">
        <v>164.7</v>
      </c>
      <c r="D146" s="57">
        <v>0.3</v>
      </c>
      <c r="E146" s="57">
        <f t="shared" si="5"/>
        <v>49.41</v>
      </c>
      <c r="F146" s="57">
        <v>47.569999999999993</v>
      </c>
      <c r="G146" s="57">
        <f t="shared" si="6"/>
        <v>1.8400000000000034</v>
      </c>
      <c r="H146" s="54">
        <v>2022545</v>
      </c>
      <c r="I146" s="58" t="s">
        <v>356</v>
      </c>
      <c r="J146" s="59" t="s">
        <v>25</v>
      </c>
      <c r="K146" s="60" t="s">
        <v>26</v>
      </c>
      <c r="L146" s="54">
        <v>99489989</v>
      </c>
      <c r="M146" s="461">
        <v>45727</v>
      </c>
    </row>
    <row r="147" spans="1:14" s="144" customFormat="1" x14ac:dyDescent="0.25">
      <c r="A147" s="54">
        <v>3336</v>
      </c>
      <c r="B147" s="55" t="s">
        <v>357</v>
      </c>
      <c r="C147" s="56">
        <v>235.6</v>
      </c>
      <c r="D147" s="57">
        <v>0.3</v>
      </c>
      <c r="E147" s="57">
        <f t="shared" si="5"/>
        <v>70.679999999999993</v>
      </c>
      <c r="F147" s="57">
        <f>2.21000000000001+68.47</f>
        <v>70.680000000000007</v>
      </c>
      <c r="G147" s="57">
        <f t="shared" si="6"/>
        <v>0</v>
      </c>
      <c r="H147" s="54">
        <v>905756</v>
      </c>
      <c r="I147" s="58" t="s">
        <v>358</v>
      </c>
      <c r="J147" s="59" t="s">
        <v>25</v>
      </c>
      <c r="K147" s="60" t="s">
        <v>26</v>
      </c>
      <c r="L147" s="54">
        <v>92321799</v>
      </c>
      <c r="M147" s="61" t="s">
        <v>941</v>
      </c>
      <c r="N147" s="461">
        <v>45941</v>
      </c>
    </row>
    <row r="148" spans="1:14" x14ac:dyDescent="0.25">
      <c r="A148" s="22">
        <v>3337</v>
      </c>
      <c r="B148" s="33" t="s">
        <v>359</v>
      </c>
      <c r="C148" s="561">
        <v>191.6</v>
      </c>
      <c r="D148" s="25">
        <v>0.3</v>
      </c>
      <c r="E148" s="25">
        <f t="shared" si="5"/>
        <v>57.48</v>
      </c>
      <c r="F148" s="25"/>
      <c r="G148" s="25">
        <f t="shared" si="6"/>
        <v>57.48</v>
      </c>
      <c r="H148" s="22">
        <v>19344361</v>
      </c>
      <c r="I148" s="216" t="s">
        <v>360</v>
      </c>
      <c r="J148" s="473" t="s">
        <v>25</v>
      </c>
      <c r="K148" s="214" t="s">
        <v>26</v>
      </c>
      <c r="L148" s="22"/>
      <c r="M148" s="26"/>
    </row>
    <row r="149" spans="1:14" x14ac:dyDescent="0.25">
      <c r="A149" s="22">
        <v>3338</v>
      </c>
      <c r="B149" s="33" t="s">
        <v>361</v>
      </c>
      <c r="C149" s="24">
        <v>311.8</v>
      </c>
      <c r="D149" s="25">
        <v>0.3</v>
      </c>
      <c r="E149" s="25">
        <f t="shared" si="5"/>
        <v>93.54</v>
      </c>
      <c r="F149" s="25"/>
      <c r="G149" s="25">
        <f t="shared" si="6"/>
        <v>93.54</v>
      </c>
      <c r="H149" s="22">
        <v>1078791</v>
      </c>
      <c r="I149" s="216" t="s">
        <v>362</v>
      </c>
      <c r="J149" s="26" t="s">
        <v>17</v>
      </c>
      <c r="K149" s="26" t="s">
        <v>18</v>
      </c>
      <c r="L149" s="22"/>
      <c r="M149" s="26"/>
    </row>
    <row r="150" spans="1:14" s="144" customFormat="1" x14ac:dyDescent="0.25">
      <c r="A150" s="54">
        <v>3340</v>
      </c>
      <c r="B150" s="55" t="s">
        <v>363</v>
      </c>
      <c r="C150" s="56">
        <v>185.9</v>
      </c>
      <c r="D150" s="57">
        <v>0.3</v>
      </c>
      <c r="E150" s="57">
        <f t="shared" si="5"/>
        <v>55.77</v>
      </c>
      <c r="F150" s="57">
        <f>E150</f>
        <v>55.77</v>
      </c>
      <c r="G150" s="57">
        <f t="shared" si="6"/>
        <v>0</v>
      </c>
      <c r="H150" s="54">
        <v>906355</v>
      </c>
      <c r="I150" s="58" t="s">
        <v>364</v>
      </c>
      <c r="J150" s="59" t="s">
        <v>25</v>
      </c>
      <c r="K150" s="60" t="s">
        <v>26</v>
      </c>
      <c r="L150" s="54">
        <v>95333933</v>
      </c>
      <c r="M150" s="144" t="s">
        <v>974</v>
      </c>
    </row>
    <row r="151" spans="1:14" x14ac:dyDescent="0.25">
      <c r="A151" s="54">
        <v>3342</v>
      </c>
      <c r="B151" s="55" t="s">
        <v>366</v>
      </c>
      <c r="C151" s="56">
        <v>136.4</v>
      </c>
      <c r="D151" s="57">
        <v>0.3</v>
      </c>
      <c r="E151" s="57">
        <f t="shared" si="5"/>
        <v>40.92</v>
      </c>
      <c r="F151" s="57">
        <f>2.62+38.3</f>
        <v>40.919999999999995</v>
      </c>
      <c r="G151" s="57">
        <f t="shared" si="6"/>
        <v>0</v>
      </c>
      <c r="H151" s="54">
        <v>1779485</v>
      </c>
      <c r="I151" s="58" t="s">
        <v>367</v>
      </c>
      <c r="J151" s="61" t="s">
        <v>17</v>
      </c>
      <c r="K151" s="61" t="s">
        <v>18</v>
      </c>
      <c r="L151" s="54"/>
      <c r="M151" s="61" t="s">
        <v>938</v>
      </c>
      <c r="N151" s="144" t="s">
        <v>966</v>
      </c>
    </row>
    <row r="152" spans="1:14" s="144" customFormat="1" x14ac:dyDescent="0.25">
      <c r="A152" s="54">
        <v>3346</v>
      </c>
      <c r="B152" s="55" t="s">
        <v>368</v>
      </c>
      <c r="C152" s="56">
        <v>462.6</v>
      </c>
      <c r="D152" s="57">
        <v>0.3</v>
      </c>
      <c r="E152" s="57">
        <f t="shared" si="5"/>
        <v>138.78</v>
      </c>
      <c r="F152" s="57">
        <f>66.04+72.74</f>
        <v>138.78</v>
      </c>
      <c r="G152" s="57">
        <f t="shared" si="6"/>
        <v>0</v>
      </c>
      <c r="H152" s="54">
        <v>1586848</v>
      </c>
      <c r="I152" s="58" t="s">
        <v>369</v>
      </c>
      <c r="J152" s="61" t="s">
        <v>166</v>
      </c>
      <c r="K152" s="61" t="s">
        <v>129</v>
      </c>
      <c r="L152" s="54">
        <v>92930610</v>
      </c>
      <c r="M152" s="61" t="s">
        <v>934</v>
      </c>
      <c r="N152" s="461">
        <v>45942</v>
      </c>
    </row>
    <row r="153" spans="1:14" x14ac:dyDescent="0.25">
      <c r="A153" s="22">
        <v>3700</v>
      </c>
      <c r="B153" s="33" t="s">
        <v>27</v>
      </c>
      <c r="C153" s="24">
        <v>684</v>
      </c>
      <c r="D153" s="25">
        <v>0.3</v>
      </c>
      <c r="E153" s="25">
        <f t="shared" si="5"/>
        <v>205.2</v>
      </c>
      <c r="F153" s="25">
        <f>40.59+164.61</f>
        <v>205.20000000000002</v>
      </c>
      <c r="G153" s="25">
        <f t="shared" si="6"/>
        <v>0</v>
      </c>
      <c r="H153" s="22">
        <v>19729836</v>
      </c>
      <c r="I153" s="214" t="s">
        <v>28</v>
      </c>
      <c r="J153" s="473" t="s">
        <v>25</v>
      </c>
      <c r="K153" s="26" t="s">
        <v>26</v>
      </c>
      <c r="L153" s="22">
        <v>99633838</v>
      </c>
      <c r="M153" s="61" t="s">
        <v>938</v>
      </c>
      <c r="N153" s="61" t="s">
        <v>972</v>
      </c>
    </row>
    <row r="154" spans="1:14" s="144" customFormat="1" x14ac:dyDescent="0.25">
      <c r="A154" s="54">
        <v>3702</v>
      </c>
      <c r="B154" s="55" t="s">
        <v>370</v>
      </c>
      <c r="C154" s="56">
        <v>268.2</v>
      </c>
      <c r="D154" s="57">
        <v>0.3</v>
      </c>
      <c r="E154" s="57">
        <f t="shared" si="5"/>
        <v>80.459999999999994</v>
      </c>
      <c r="F154" s="57">
        <f>E154</f>
        <v>80.459999999999994</v>
      </c>
      <c r="G154" s="57">
        <f t="shared" si="6"/>
        <v>0</v>
      </c>
      <c r="H154" s="124" t="s">
        <v>371</v>
      </c>
      <c r="I154" s="60" t="s">
        <v>372</v>
      </c>
      <c r="J154" s="61" t="s">
        <v>17</v>
      </c>
      <c r="K154" s="61" t="s">
        <v>18</v>
      </c>
      <c r="L154" s="54">
        <v>90939111</v>
      </c>
      <c r="M154" s="461">
        <v>45700</v>
      </c>
    </row>
    <row r="155" spans="1:14" s="144" customFormat="1" x14ac:dyDescent="0.25">
      <c r="A155" s="54">
        <v>3703</v>
      </c>
      <c r="B155" s="55" t="s">
        <v>373</v>
      </c>
      <c r="C155" s="56">
        <v>683.9</v>
      </c>
      <c r="D155" s="57">
        <v>0.3</v>
      </c>
      <c r="E155" s="57">
        <f t="shared" si="5"/>
        <v>205.17</v>
      </c>
      <c r="F155" s="57">
        <f>203.34+1.83</f>
        <v>205.17000000000002</v>
      </c>
      <c r="G155" s="57">
        <f t="shared" si="6"/>
        <v>0</v>
      </c>
      <c r="H155" s="54">
        <v>6332137</v>
      </c>
      <c r="I155" s="60" t="s">
        <v>374</v>
      </c>
      <c r="J155" s="61" t="s">
        <v>121</v>
      </c>
      <c r="K155" s="61" t="s">
        <v>122</v>
      </c>
      <c r="L155" s="54">
        <v>98239666</v>
      </c>
      <c r="M155" s="461">
        <v>45699</v>
      </c>
      <c r="N155" s="61" t="s">
        <v>966</v>
      </c>
    </row>
    <row r="156" spans="1:14" x14ac:dyDescent="0.25">
      <c r="A156" s="22">
        <v>3704</v>
      </c>
      <c r="B156" s="33" t="s">
        <v>375</v>
      </c>
      <c r="C156" s="24">
        <v>384.5</v>
      </c>
      <c r="D156" s="25">
        <v>0.3</v>
      </c>
      <c r="E156" s="25">
        <f t="shared" si="5"/>
        <v>115.35</v>
      </c>
      <c r="F156" s="25"/>
      <c r="G156" s="25">
        <f t="shared" si="6"/>
        <v>115.35</v>
      </c>
      <c r="H156" s="22">
        <v>730722</v>
      </c>
      <c r="I156" s="216" t="s">
        <v>376</v>
      </c>
      <c r="J156" s="26" t="s">
        <v>25</v>
      </c>
      <c r="K156" s="214" t="s">
        <v>26</v>
      </c>
      <c r="L156" s="22">
        <v>92499000</v>
      </c>
      <c r="M156" s="26"/>
    </row>
    <row r="157" spans="1:14" s="144" customFormat="1" x14ac:dyDescent="0.25">
      <c r="A157" s="54">
        <v>3705</v>
      </c>
      <c r="B157" s="55" t="s">
        <v>377</v>
      </c>
      <c r="C157" s="56">
        <v>245.2</v>
      </c>
      <c r="D157" s="57">
        <v>0.3</v>
      </c>
      <c r="E157" s="57">
        <f t="shared" si="5"/>
        <v>73.559999999999988</v>
      </c>
      <c r="F157" s="57">
        <f>3.93000000000001+69.63</f>
        <v>73.56</v>
      </c>
      <c r="G157" s="57">
        <f t="shared" si="6"/>
        <v>0</v>
      </c>
      <c r="H157" s="54">
        <v>738486</v>
      </c>
      <c r="I157" s="58" t="s">
        <v>378</v>
      </c>
      <c r="J157" s="61" t="s">
        <v>25</v>
      </c>
      <c r="K157" s="60" t="s">
        <v>26</v>
      </c>
      <c r="L157" s="54">
        <v>99486030</v>
      </c>
      <c r="M157" s="61" t="s">
        <v>931</v>
      </c>
      <c r="N157" s="61" t="s">
        <v>956</v>
      </c>
    </row>
    <row r="158" spans="1:14" s="144" customFormat="1" x14ac:dyDescent="0.25">
      <c r="A158" s="54">
        <v>3706</v>
      </c>
      <c r="B158" s="55" t="s">
        <v>379</v>
      </c>
      <c r="C158" s="56">
        <v>215.7</v>
      </c>
      <c r="D158" s="57">
        <v>0.3</v>
      </c>
      <c r="E158" s="57">
        <f t="shared" si="5"/>
        <v>64.709999999999994</v>
      </c>
      <c r="F158" s="57">
        <f>0.589999999999997+64.12</f>
        <v>64.710000000000008</v>
      </c>
      <c r="G158" s="57">
        <f t="shared" si="6"/>
        <v>0</v>
      </c>
      <c r="H158" s="54">
        <v>8098795</v>
      </c>
      <c r="I158" s="58" t="s">
        <v>380</v>
      </c>
      <c r="J158" s="61" t="s">
        <v>25</v>
      </c>
      <c r="K158" s="60" t="s">
        <v>26</v>
      </c>
      <c r="L158" s="54">
        <v>93567000</v>
      </c>
      <c r="M158" s="61" t="s">
        <v>931</v>
      </c>
      <c r="N158" s="61" t="s">
        <v>956</v>
      </c>
    </row>
    <row r="159" spans="1:14" s="549" customFormat="1" x14ac:dyDescent="0.25">
      <c r="A159" s="542">
        <v>3708</v>
      </c>
      <c r="B159" s="543" t="s">
        <v>381</v>
      </c>
      <c r="C159" s="544">
        <v>471.1</v>
      </c>
      <c r="D159" s="545">
        <v>0.3</v>
      </c>
      <c r="E159" s="545">
        <f t="shared" si="5"/>
        <v>141.33000000000001</v>
      </c>
      <c r="F159" s="545">
        <f>E159</f>
        <v>141.33000000000001</v>
      </c>
      <c r="G159" s="545">
        <f t="shared" si="6"/>
        <v>0</v>
      </c>
      <c r="H159" s="545">
        <v>5304255</v>
      </c>
      <c r="I159" s="547" t="s">
        <v>383</v>
      </c>
      <c r="J159" s="548" t="s">
        <v>25</v>
      </c>
      <c r="K159" s="547" t="s">
        <v>26</v>
      </c>
      <c r="L159" s="542">
        <v>98822655</v>
      </c>
      <c r="M159" s="579" t="s">
        <v>953</v>
      </c>
    </row>
    <row r="160" spans="1:14" s="144" customFormat="1" x14ac:dyDescent="0.25">
      <c r="A160" s="54">
        <v>3709</v>
      </c>
      <c r="B160" s="55" t="s">
        <v>912</v>
      </c>
      <c r="C160" s="56">
        <v>410.3</v>
      </c>
      <c r="D160" s="57">
        <v>0.3</v>
      </c>
      <c r="E160" s="57">
        <f t="shared" si="5"/>
        <v>123.09</v>
      </c>
      <c r="F160" s="57">
        <v>120.47999999999999</v>
      </c>
      <c r="G160" s="57">
        <f t="shared" si="6"/>
        <v>2.6100000000000136</v>
      </c>
      <c r="H160" s="124" t="s">
        <v>913</v>
      </c>
      <c r="I160" s="60" t="s">
        <v>911</v>
      </c>
      <c r="J160" s="59" t="s">
        <v>25</v>
      </c>
      <c r="K160" s="60" t="s">
        <v>26</v>
      </c>
      <c r="L160" s="54">
        <v>99693314</v>
      </c>
      <c r="M160" s="61" t="s">
        <v>954</v>
      </c>
    </row>
    <row r="161" spans="1:15" s="144" customFormat="1" x14ac:dyDescent="0.25">
      <c r="A161" s="54">
        <v>3711</v>
      </c>
      <c r="B161" s="55" t="s">
        <v>387</v>
      </c>
      <c r="C161" s="56">
        <v>179.4</v>
      </c>
      <c r="D161" s="57">
        <v>0.3</v>
      </c>
      <c r="E161" s="57">
        <f t="shared" si="5"/>
        <v>53.82</v>
      </c>
      <c r="F161" s="57">
        <f>51.23+2.59</f>
        <v>53.819999999999993</v>
      </c>
      <c r="G161" s="57">
        <f t="shared" si="6"/>
        <v>0</v>
      </c>
      <c r="H161" s="124" t="s">
        <v>388</v>
      </c>
      <c r="I161" s="60" t="s">
        <v>389</v>
      </c>
      <c r="J161" s="61" t="s">
        <v>17</v>
      </c>
      <c r="K161" s="61" t="s">
        <v>18</v>
      </c>
      <c r="L161" s="54">
        <v>99590400</v>
      </c>
      <c r="M161" s="61" t="s">
        <v>934</v>
      </c>
      <c r="N161" s="61" t="s">
        <v>956</v>
      </c>
    </row>
    <row r="162" spans="1:15" s="170" customFormat="1" x14ac:dyDescent="0.25">
      <c r="A162" s="115">
        <v>3712</v>
      </c>
      <c r="B162" s="116" t="s">
        <v>390</v>
      </c>
      <c r="C162" s="117">
        <v>212.6</v>
      </c>
      <c r="D162" s="118">
        <v>0.3</v>
      </c>
      <c r="E162" s="118">
        <f t="shared" si="5"/>
        <v>63.779999999999994</v>
      </c>
      <c r="F162" s="118">
        <f>E162</f>
        <v>63.779999999999994</v>
      </c>
      <c r="G162" s="118">
        <f t="shared" si="6"/>
        <v>0</v>
      </c>
      <c r="H162" s="569" t="s">
        <v>391</v>
      </c>
      <c r="I162" s="120" t="s">
        <v>392</v>
      </c>
      <c r="J162" s="121" t="s">
        <v>25</v>
      </c>
      <c r="K162" s="120" t="s">
        <v>26</v>
      </c>
      <c r="L162" s="115">
        <v>99586643</v>
      </c>
      <c r="M162" s="125" t="s">
        <v>964</v>
      </c>
    </row>
    <row r="163" spans="1:15" x14ac:dyDescent="0.25">
      <c r="A163" s="22">
        <v>3713</v>
      </c>
      <c r="B163" s="33" t="s">
        <v>393</v>
      </c>
      <c r="C163" s="24">
        <v>29.7</v>
      </c>
      <c r="D163" s="25">
        <v>0.3</v>
      </c>
      <c r="E163" s="25">
        <f t="shared" si="5"/>
        <v>8.91</v>
      </c>
      <c r="F163" s="25"/>
      <c r="G163" s="25">
        <f t="shared" si="6"/>
        <v>8.91</v>
      </c>
      <c r="H163" s="80" t="s">
        <v>394</v>
      </c>
      <c r="I163" s="26" t="s">
        <v>395</v>
      </c>
      <c r="J163" s="26" t="s">
        <v>121</v>
      </c>
      <c r="K163" s="26" t="s">
        <v>122</v>
      </c>
      <c r="L163" s="22">
        <v>99490438</v>
      </c>
      <c r="M163" s="26"/>
    </row>
    <row r="164" spans="1:15" s="144" customFormat="1" x14ac:dyDescent="0.25">
      <c r="A164" s="54">
        <v>3716</v>
      </c>
      <c r="B164" s="55" t="s">
        <v>396</v>
      </c>
      <c r="C164" s="56">
        <v>430.8</v>
      </c>
      <c r="D164" s="57">
        <v>0.3</v>
      </c>
      <c r="E164" s="57">
        <f t="shared" si="5"/>
        <v>129.24</v>
      </c>
      <c r="F164" s="57">
        <v>127.10999999999999</v>
      </c>
      <c r="G164" s="57">
        <f t="shared" si="6"/>
        <v>2.1300000000000239</v>
      </c>
      <c r="H164" s="84" t="s">
        <v>397</v>
      </c>
      <c r="I164" s="60" t="s">
        <v>398</v>
      </c>
      <c r="J164" s="59" t="s">
        <v>25</v>
      </c>
      <c r="K164" s="60" t="s">
        <v>26</v>
      </c>
      <c r="L164" s="54"/>
      <c r="M164" s="461">
        <v>45727</v>
      </c>
    </row>
    <row r="165" spans="1:15" x14ac:dyDescent="0.25">
      <c r="A165" s="22">
        <v>3717</v>
      </c>
      <c r="B165" s="33" t="s">
        <v>399</v>
      </c>
      <c r="C165" s="24">
        <v>438.2</v>
      </c>
      <c r="D165" s="25">
        <v>0.3</v>
      </c>
      <c r="E165" s="25">
        <f t="shared" si="5"/>
        <v>131.45999999999998</v>
      </c>
      <c r="F165" s="25">
        <f>E165</f>
        <v>131.45999999999998</v>
      </c>
      <c r="G165" s="25">
        <f t="shared" si="6"/>
        <v>0</v>
      </c>
      <c r="H165" s="34" t="s">
        <v>400</v>
      </c>
      <c r="I165" s="214" t="s">
        <v>401</v>
      </c>
      <c r="J165" s="473" t="s">
        <v>25</v>
      </c>
      <c r="K165" s="474" t="s">
        <v>26</v>
      </c>
      <c r="L165" s="22"/>
      <c r="M165" s="461">
        <v>46002</v>
      </c>
    </row>
    <row r="166" spans="1:15" x14ac:dyDescent="0.25">
      <c r="A166" s="22">
        <v>3718</v>
      </c>
      <c r="B166" s="33" t="s">
        <v>403</v>
      </c>
      <c r="C166" s="24">
        <v>179.5</v>
      </c>
      <c r="D166" s="25">
        <v>0.3</v>
      </c>
      <c r="E166" s="25">
        <f t="shared" si="5"/>
        <v>53.85</v>
      </c>
      <c r="F166" s="25"/>
      <c r="G166" s="25">
        <f t="shared" si="6"/>
        <v>53.85</v>
      </c>
      <c r="H166" s="80" t="s">
        <v>404</v>
      </c>
      <c r="I166" s="214" t="s">
        <v>405</v>
      </c>
      <c r="J166" s="26" t="s">
        <v>43</v>
      </c>
      <c r="K166" s="214" t="s">
        <v>44</v>
      </c>
      <c r="L166" s="22">
        <v>92955331</v>
      </c>
      <c r="M166" s="26"/>
    </row>
    <row r="167" spans="1:15" x14ac:dyDescent="0.25">
      <c r="A167" s="22">
        <v>3719</v>
      </c>
      <c r="B167" s="33" t="s">
        <v>406</v>
      </c>
      <c r="C167" s="24">
        <v>270</v>
      </c>
      <c r="D167" s="25">
        <v>0.3</v>
      </c>
      <c r="E167" s="25">
        <f t="shared" si="5"/>
        <v>81</v>
      </c>
      <c r="F167" s="25"/>
      <c r="G167" s="25">
        <f t="shared" si="6"/>
        <v>81</v>
      </c>
      <c r="H167" s="80" t="s">
        <v>407</v>
      </c>
      <c r="I167" s="214" t="s">
        <v>408</v>
      </c>
      <c r="J167" s="216" t="s">
        <v>75</v>
      </c>
      <c r="K167" s="26" t="s">
        <v>76</v>
      </c>
      <c r="L167" s="22">
        <v>99083559</v>
      </c>
      <c r="M167" s="26"/>
    </row>
    <row r="168" spans="1:15" s="144" customFormat="1" x14ac:dyDescent="0.25">
      <c r="A168" s="54">
        <v>3720</v>
      </c>
      <c r="B168" s="55" t="s">
        <v>409</v>
      </c>
      <c r="C168" s="56">
        <v>274.8</v>
      </c>
      <c r="D168" s="57">
        <v>0.3</v>
      </c>
      <c r="E168" s="57">
        <f t="shared" si="5"/>
        <v>82.44</v>
      </c>
      <c r="F168" s="57">
        <v>79.8</v>
      </c>
      <c r="G168" s="57">
        <f t="shared" si="6"/>
        <v>2.6400000000000006</v>
      </c>
      <c r="H168" s="124" t="s">
        <v>410</v>
      </c>
      <c r="I168" s="60" t="s">
        <v>411</v>
      </c>
      <c r="J168" s="61" t="s">
        <v>17</v>
      </c>
      <c r="K168" s="61" t="s">
        <v>18</v>
      </c>
      <c r="L168" s="54">
        <v>91731345</v>
      </c>
      <c r="M168" s="61" t="s">
        <v>931</v>
      </c>
    </row>
    <row r="169" spans="1:15" s="79" customFormat="1" x14ac:dyDescent="0.25">
      <c r="A169" s="22">
        <v>3722</v>
      </c>
      <c r="B169" s="23" t="s">
        <v>412</v>
      </c>
      <c r="C169" s="24">
        <v>249.8</v>
      </c>
      <c r="D169" s="25">
        <v>0.3</v>
      </c>
      <c r="E169" s="25">
        <f t="shared" si="5"/>
        <v>74.94</v>
      </c>
      <c r="F169" s="25">
        <f>E169</f>
        <v>74.94</v>
      </c>
      <c r="G169" s="25">
        <f t="shared" si="6"/>
        <v>0</v>
      </c>
      <c r="H169" s="467" t="s">
        <v>413</v>
      </c>
      <c r="I169" s="214" t="s">
        <v>414</v>
      </c>
      <c r="J169" s="477" t="s">
        <v>75</v>
      </c>
      <c r="K169" s="26" t="s">
        <v>76</v>
      </c>
      <c r="L169" s="22">
        <v>96912200</v>
      </c>
      <c r="M169" s="558">
        <v>45700</v>
      </c>
    </row>
    <row r="170" spans="1:15" x14ac:dyDescent="0.25">
      <c r="A170" s="22">
        <v>3723</v>
      </c>
      <c r="B170" s="33" t="s">
        <v>415</v>
      </c>
      <c r="C170" s="45">
        <v>187</v>
      </c>
      <c r="D170" s="25">
        <v>0.3</v>
      </c>
      <c r="E170" s="25">
        <f t="shared" si="5"/>
        <v>56.1</v>
      </c>
      <c r="F170" s="25">
        <f>E170</f>
        <v>56.1</v>
      </c>
      <c r="G170" s="25">
        <f t="shared" si="6"/>
        <v>0</v>
      </c>
      <c r="H170" s="457">
        <v>993752</v>
      </c>
      <c r="I170" s="483" t="s">
        <v>416</v>
      </c>
      <c r="J170" s="478" t="s">
        <v>25</v>
      </c>
      <c r="K170" s="483" t="s">
        <v>26</v>
      </c>
      <c r="L170" s="457">
        <v>99100344</v>
      </c>
      <c r="M170" s="61" t="s">
        <v>965</v>
      </c>
    </row>
    <row r="171" spans="1:15" x14ac:dyDescent="0.25">
      <c r="A171" s="22">
        <v>3725</v>
      </c>
      <c r="B171" s="33" t="s">
        <v>297</v>
      </c>
      <c r="C171" s="45">
        <v>413.1</v>
      </c>
      <c r="D171" s="25">
        <v>0.3</v>
      </c>
      <c r="E171" s="25">
        <f t="shared" si="5"/>
        <v>123.93</v>
      </c>
      <c r="F171" s="25">
        <f>123.34+0.59</f>
        <v>123.93</v>
      </c>
      <c r="G171" s="25">
        <f t="shared" si="6"/>
        <v>0</v>
      </c>
      <c r="H171" s="462">
        <v>1648248</v>
      </c>
      <c r="I171" s="509" t="s">
        <v>417</v>
      </c>
      <c r="J171" s="478" t="s">
        <v>25</v>
      </c>
      <c r="K171" s="507" t="s">
        <v>26</v>
      </c>
      <c r="L171" s="22">
        <v>99497550</v>
      </c>
      <c r="M171" s="503">
        <v>45788</v>
      </c>
      <c r="N171" s="61" t="s">
        <v>970</v>
      </c>
    </row>
    <row r="172" spans="1:15" x14ac:dyDescent="0.25">
      <c r="A172" s="22">
        <v>3727</v>
      </c>
      <c r="B172" s="33" t="s">
        <v>419</v>
      </c>
      <c r="C172" s="24">
        <v>154.4</v>
      </c>
      <c r="D172" s="25">
        <v>0.3</v>
      </c>
      <c r="E172" s="25">
        <f t="shared" si="5"/>
        <v>46.32</v>
      </c>
      <c r="F172" s="25"/>
      <c r="G172" s="25">
        <f t="shared" si="6"/>
        <v>46.32</v>
      </c>
      <c r="H172" s="80" t="s">
        <v>420</v>
      </c>
      <c r="I172" s="214" t="s">
        <v>421</v>
      </c>
      <c r="J172" s="473" t="s">
        <v>25</v>
      </c>
      <c r="K172" s="214" t="s">
        <v>26</v>
      </c>
      <c r="L172" s="22">
        <v>99679943</v>
      </c>
      <c r="M172" s="26"/>
    </row>
    <row r="173" spans="1:15" x14ac:dyDescent="0.25">
      <c r="A173" s="54">
        <v>3728</v>
      </c>
      <c r="B173" s="55" t="s">
        <v>422</v>
      </c>
      <c r="C173" s="56">
        <v>202.4</v>
      </c>
      <c r="D173" s="57">
        <v>0.3</v>
      </c>
      <c r="E173" s="57">
        <f t="shared" si="5"/>
        <v>60.72</v>
      </c>
      <c r="F173" s="57">
        <f>1.75699999999999+57+1.963</f>
        <v>60.719999999999992</v>
      </c>
      <c r="G173" s="57">
        <f t="shared" si="6"/>
        <v>0</v>
      </c>
      <c r="H173" s="71">
        <v>25886784</v>
      </c>
      <c r="I173" s="514" t="s">
        <v>423</v>
      </c>
      <c r="J173" s="73" t="s">
        <v>25</v>
      </c>
      <c r="K173" s="69" t="s">
        <v>26</v>
      </c>
      <c r="L173" s="54">
        <v>99564153</v>
      </c>
      <c r="M173" s="461">
        <v>46002</v>
      </c>
      <c r="N173" s="461">
        <v>45700</v>
      </c>
      <c r="O173" s="144" t="s">
        <v>968</v>
      </c>
    </row>
    <row r="174" spans="1:15" s="144" customFormat="1" x14ac:dyDescent="0.25">
      <c r="A174" s="54">
        <v>3729</v>
      </c>
      <c r="B174" s="55" t="s">
        <v>424</v>
      </c>
      <c r="C174" s="527">
        <v>205.3</v>
      </c>
      <c r="D174" s="57">
        <v>0.3</v>
      </c>
      <c r="E174" s="57">
        <f t="shared" si="5"/>
        <v>61.59</v>
      </c>
      <c r="F174" s="57">
        <f>1.69+59.9</f>
        <v>61.589999999999996</v>
      </c>
      <c r="G174" s="57">
        <f t="shared" si="6"/>
        <v>0</v>
      </c>
      <c r="H174" s="506" t="s">
        <v>425</v>
      </c>
      <c r="I174" s="60" t="s">
        <v>426</v>
      </c>
      <c r="J174" s="73" t="s">
        <v>25</v>
      </c>
      <c r="K174" s="69" t="s">
        <v>26</v>
      </c>
      <c r="L174" s="54">
        <v>91288200</v>
      </c>
      <c r="M174" s="61" t="s">
        <v>931</v>
      </c>
      <c r="N174" s="461">
        <v>45941</v>
      </c>
    </row>
    <row r="175" spans="1:15" s="144" customFormat="1" x14ac:dyDescent="0.25">
      <c r="A175" s="54">
        <v>3730</v>
      </c>
      <c r="B175" s="55" t="s">
        <v>427</v>
      </c>
      <c r="C175" s="56">
        <v>273.60000000000002</v>
      </c>
      <c r="D175" s="57">
        <v>0.3</v>
      </c>
      <c r="E175" s="57">
        <f t="shared" si="5"/>
        <v>82.08</v>
      </c>
      <c r="F175" s="57">
        <f>0.149999999999987+79.2</f>
        <v>79.349999999999994</v>
      </c>
      <c r="G175" s="57">
        <f t="shared" si="6"/>
        <v>2.730000000000004</v>
      </c>
      <c r="H175" s="124" t="s">
        <v>428</v>
      </c>
      <c r="I175" s="60" t="s">
        <v>429</v>
      </c>
      <c r="J175" s="59" t="s">
        <v>25</v>
      </c>
      <c r="K175" s="60" t="s">
        <v>26</v>
      </c>
      <c r="L175" s="54">
        <v>93504408</v>
      </c>
      <c r="M175" s="61" t="s">
        <v>935</v>
      </c>
      <c r="N175" s="144" t="s">
        <v>958</v>
      </c>
    </row>
    <row r="176" spans="1:15" s="144" customFormat="1" x14ac:dyDescent="0.25">
      <c r="A176" s="54">
        <v>3731</v>
      </c>
      <c r="B176" s="55" t="s">
        <v>430</v>
      </c>
      <c r="C176" s="56">
        <v>507</v>
      </c>
      <c r="D176" s="57">
        <v>0.3</v>
      </c>
      <c r="E176" s="57">
        <f t="shared" si="5"/>
        <v>152.1</v>
      </c>
      <c r="F176" s="57">
        <f>148.77+3.33</f>
        <v>152.10000000000002</v>
      </c>
      <c r="G176" s="57">
        <f t="shared" si="6"/>
        <v>0</v>
      </c>
      <c r="H176" s="468">
        <v>4640285</v>
      </c>
      <c r="I176" s="60" t="s">
        <v>431</v>
      </c>
      <c r="J176" s="59" t="s">
        <v>25</v>
      </c>
      <c r="K176" s="60" t="s">
        <v>26</v>
      </c>
      <c r="L176" s="54">
        <v>99493301</v>
      </c>
      <c r="M176" s="61" t="s">
        <v>938</v>
      </c>
      <c r="N176" s="61" t="s">
        <v>966</v>
      </c>
    </row>
    <row r="177" spans="1:16" s="79" customFormat="1" x14ac:dyDescent="0.25">
      <c r="A177" s="22">
        <v>3732</v>
      </c>
      <c r="B177" s="464" t="s">
        <v>791</v>
      </c>
      <c r="C177" s="24"/>
      <c r="D177" s="25">
        <v>0.3</v>
      </c>
      <c r="E177" s="25">
        <f t="shared" si="5"/>
        <v>0</v>
      </c>
      <c r="F177" s="25"/>
      <c r="G177" s="25">
        <f t="shared" si="6"/>
        <v>0</v>
      </c>
      <c r="H177" s="469">
        <v>194498</v>
      </c>
      <c r="I177" s="481" t="s">
        <v>841</v>
      </c>
      <c r="J177" s="562" t="s">
        <v>17</v>
      </c>
      <c r="K177" s="481" t="s">
        <v>18</v>
      </c>
      <c r="L177" s="22"/>
      <c r="M177" s="26"/>
    </row>
    <row r="178" spans="1:16" s="144" customFormat="1" x14ac:dyDescent="0.25">
      <c r="A178" s="54">
        <v>3733</v>
      </c>
      <c r="B178" s="55" t="s">
        <v>432</v>
      </c>
      <c r="C178" s="56">
        <v>237.3</v>
      </c>
      <c r="D178" s="57">
        <v>0.3</v>
      </c>
      <c r="E178" s="57">
        <f t="shared" si="5"/>
        <v>71.19</v>
      </c>
      <c r="F178" s="57">
        <f>66.51</f>
        <v>66.510000000000005</v>
      </c>
      <c r="G178" s="57">
        <f t="shared" si="6"/>
        <v>4.6799999999999926</v>
      </c>
      <c r="H178" s="539">
        <v>23270163</v>
      </c>
      <c r="I178" s="60" t="s">
        <v>433</v>
      </c>
      <c r="J178" s="73" t="s">
        <v>25</v>
      </c>
      <c r="K178" s="69" t="s">
        <v>26</v>
      </c>
      <c r="L178" s="54">
        <v>92212553</v>
      </c>
      <c r="M178" s="541">
        <v>45558</v>
      </c>
      <c r="N178" s="461">
        <v>45700</v>
      </c>
    </row>
    <row r="179" spans="1:16" s="489" customFormat="1" x14ac:dyDescent="0.25">
      <c r="A179" s="490">
        <v>3734</v>
      </c>
      <c r="B179" s="495" t="s">
        <v>434</v>
      </c>
      <c r="C179" s="494">
        <v>295.3</v>
      </c>
      <c r="D179" s="493">
        <v>0.3</v>
      </c>
      <c r="E179" s="493">
        <f t="shared" si="5"/>
        <v>88.59</v>
      </c>
      <c r="F179" s="493">
        <f>E179</f>
        <v>88.59</v>
      </c>
      <c r="G179" s="493">
        <f t="shared" si="6"/>
        <v>0</v>
      </c>
      <c r="H179" s="492">
        <v>6680216</v>
      </c>
      <c r="I179" s="491" t="s">
        <v>435</v>
      </c>
      <c r="J179" s="504" t="s">
        <v>17</v>
      </c>
      <c r="K179" s="504" t="s">
        <v>18</v>
      </c>
      <c r="L179" s="490">
        <v>92333311</v>
      </c>
      <c r="M179" s="504" t="s">
        <v>962</v>
      </c>
    </row>
    <row r="180" spans="1:16" s="144" customFormat="1" x14ac:dyDescent="0.25">
      <c r="A180" s="54">
        <v>3735</v>
      </c>
      <c r="B180" s="55" t="s">
        <v>436</v>
      </c>
      <c r="C180" s="56">
        <v>220.5</v>
      </c>
      <c r="D180" s="57">
        <v>0.3</v>
      </c>
      <c r="E180" s="57">
        <f t="shared" si="5"/>
        <v>66.149999999999991</v>
      </c>
      <c r="F180" s="57">
        <v>64.48</v>
      </c>
      <c r="G180" s="57">
        <f t="shared" si="6"/>
        <v>1.6699999999999875</v>
      </c>
      <c r="H180" s="84">
        <v>19952467</v>
      </c>
      <c r="I180" s="60" t="s">
        <v>437</v>
      </c>
      <c r="J180" s="59" t="s">
        <v>25</v>
      </c>
      <c r="K180" s="60" t="s">
        <v>26</v>
      </c>
      <c r="L180" s="54">
        <v>91222276</v>
      </c>
      <c r="M180" s="61" t="s">
        <v>934</v>
      </c>
    </row>
    <row r="181" spans="1:16" x14ac:dyDescent="0.25">
      <c r="A181" s="22">
        <v>3739</v>
      </c>
      <c r="B181" s="44" t="s">
        <v>438</v>
      </c>
      <c r="C181" s="24">
        <v>162.9</v>
      </c>
      <c r="D181" s="25">
        <v>0.3</v>
      </c>
      <c r="E181" s="25">
        <f t="shared" si="5"/>
        <v>48.87</v>
      </c>
      <c r="F181" s="25"/>
      <c r="G181" s="25">
        <f t="shared" si="6"/>
        <v>48.87</v>
      </c>
      <c r="H181" s="469">
        <v>22187694</v>
      </c>
      <c r="I181" s="481" t="s">
        <v>439</v>
      </c>
      <c r="J181" s="484" t="s">
        <v>25</v>
      </c>
      <c r="K181" s="481" t="s">
        <v>26</v>
      </c>
      <c r="L181" s="465">
        <v>93000079</v>
      </c>
      <c r="M181" s="26"/>
    </row>
    <row r="182" spans="1:16" x14ac:dyDescent="0.25">
      <c r="A182" s="22">
        <v>3740</v>
      </c>
      <c r="B182" s="33" t="s">
        <v>440</v>
      </c>
      <c r="C182" s="24">
        <v>414</v>
      </c>
      <c r="D182" s="25">
        <v>0.3</v>
      </c>
      <c r="E182" s="25">
        <f t="shared" si="5"/>
        <v>124.19999999999999</v>
      </c>
      <c r="F182" s="25">
        <f>123.61+0.59</f>
        <v>124.2</v>
      </c>
      <c r="G182" s="25">
        <f t="shared" si="6"/>
        <v>0</v>
      </c>
      <c r="H182" s="34">
        <v>25472616</v>
      </c>
      <c r="I182" s="214" t="s">
        <v>441</v>
      </c>
      <c r="J182" s="26" t="s">
        <v>17</v>
      </c>
      <c r="K182" s="26" t="s">
        <v>18</v>
      </c>
      <c r="L182" s="22">
        <v>93318821</v>
      </c>
      <c r="M182" s="61" t="s">
        <v>938</v>
      </c>
      <c r="N182" s="61" t="s">
        <v>966</v>
      </c>
    </row>
    <row r="183" spans="1:16" s="144" customFormat="1" x14ac:dyDescent="0.25">
      <c r="A183" s="54">
        <v>3742</v>
      </c>
      <c r="B183" s="55" t="s">
        <v>442</v>
      </c>
      <c r="C183" s="56">
        <v>139.19999999999999</v>
      </c>
      <c r="D183" s="57">
        <v>0.3</v>
      </c>
      <c r="E183" s="57">
        <f t="shared" si="5"/>
        <v>41.76</v>
      </c>
      <c r="F183" s="57">
        <v>41.409999999999989</v>
      </c>
      <c r="G183" s="57">
        <f t="shared" si="6"/>
        <v>0.35000000000000853</v>
      </c>
      <c r="H183" s="539">
        <v>1930281</v>
      </c>
      <c r="I183" s="60" t="s">
        <v>443</v>
      </c>
      <c r="J183" s="60" t="s">
        <v>418</v>
      </c>
      <c r="K183" s="72" t="s">
        <v>258</v>
      </c>
      <c r="L183" s="54">
        <v>99330095</v>
      </c>
      <c r="M183" s="61" t="s">
        <v>934</v>
      </c>
    </row>
    <row r="184" spans="1:16" x14ac:dyDescent="0.25">
      <c r="A184" s="22">
        <v>3743</v>
      </c>
      <c r="B184" s="33" t="s">
        <v>444</v>
      </c>
      <c r="C184" s="24">
        <v>31.3</v>
      </c>
      <c r="D184" s="25">
        <v>0.3</v>
      </c>
      <c r="E184" s="25">
        <f t="shared" si="5"/>
        <v>9.39</v>
      </c>
      <c r="F184" s="25"/>
      <c r="G184" s="25">
        <f t="shared" si="6"/>
        <v>9.39</v>
      </c>
      <c r="H184" s="34">
        <v>599336</v>
      </c>
      <c r="I184" s="214" t="s">
        <v>445</v>
      </c>
      <c r="J184" s="473" t="s">
        <v>25</v>
      </c>
      <c r="K184" s="214" t="s">
        <v>26</v>
      </c>
      <c r="L184" s="22">
        <v>99497544</v>
      </c>
      <c r="M184" s="26"/>
    </row>
    <row r="185" spans="1:16" s="144" customFormat="1" x14ac:dyDescent="0.25">
      <c r="A185" s="54">
        <v>3745</v>
      </c>
      <c r="B185" s="55" t="s">
        <v>446</v>
      </c>
      <c r="C185" s="56">
        <v>216.5</v>
      </c>
      <c r="D185" s="57">
        <v>0.3</v>
      </c>
      <c r="E185" s="57">
        <f t="shared" si="5"/>
        <v>64.95</v>
      </c>
      <c r="F185" s="57">
        <f>0.499999999999999+64.35+0.1</f>
        <v>64.949999999999989</v>
      </c>
      <c r="G185" s="57">
        <f t="shared" si="6"/>
        <v>0</v>
      </c>
      <c r="H185" s="84">
        <v>2199772</v>
      </c>
      <c r="I185" s="60" t="s">
        <v>447</v>
      </c>
      <c r="J185" s="59" t="s">
        <v>25</v>
      </c>
      <c r="K185" s="60" t="s">
        <v>26</v>
      </c>
      <c r="L185" s="54">
        <v>72556787</v>
      </c>
      <c r="M185" s="61" t="s">
        <v>930</v>
      </c>
      <c r="N185" s="503">
        <v>45788</v>
      </c>
      <c r="O185" s="461">
        <v>46008</v>
      </c>
    </row>
    <row r="186" spans="1:16" s="144" customFormat="1" x14ac:dyDescent="0.25">
      <c r="A186" s="54">
        <v>3746</v>
      </c>
      <c r="B186" s="55" t="s">
        <v>448</v>
      </c>
      <c r="C186" s="56">
        <v>299.3</v>
      </c>
      <c r="D186" s="57">
        <v>0.3</v>
      </c>
      <c r="E186" s="57">
        <f t="shared" si="5"/>
        <v>89.79</v>
      </c>
      <c r="F186" s="57">
        <v>2.160000000000005</v>
      </c>
      <c r="G186" s="57">
        <f t="shared" si="6"/>
        <v>87.63</v>
      </c>
      <c r="H186" s="84">
        <v>21973713</v>
      </c>
      <c r="I186" s="60" t="s">
        <v>449</v>
      </c>
      <c r="J186" s="59" t="s">
        <v>25</v>
      </c>
      <c r="K186" s="60" t="s">
        <v>26</v>
      </c>
      <c r="L186" s="54">
        <v>95710331</v>
      </c>
      <c r="M186" s="461">
        <v>45881</v>
      </c>
    </row>
    <row r="187" spans="1:16" s="144" customFormat="1" x14ac:dyDescent="0.25">
      <c r="A187" s="54">
        <v>3748</v>
      </c>
      <c r="B187" s="55" t="s">
        <v>450</v>
      </c>
      <c r="C187" s="56">
        <v>158</v>
      </c>
      <c r="D187" s="57">
        <v>0.3</v>
      </c>
      <c r="E187" s="57">
        <f t="shared" si="5"/>
        <v>47.4</v>
      </c>
      <c r="F187" s="57">
        <v>45.769999999999996</v>
      </c>
      <c r="G187" s="57">
        <f t="shared" si="6"/>
        <v>1.6300000000000026</v>
      </c>
      <c r="H187" s="84">
        <v>18620918</v>
      </c>
      <c r="I187" s="60" t="s">
        <v>451</v>
      </c>
      <c r="J187" s="59" t="s">
        <v>25</v>
      </c>
      <c r="K187" s="60" t="s">
        <v>26</v>
      </c>
      <c r="L187" s="54">
        <v>91222276</v>
      </c>
      <c r="M187" s="61" t="s">
        <v>936</v>
      </c>
    </row>
    <row r="188" spans="1:16" x14ac:dyDescent="0.25">
      <c r="A188" s="22">
        <v>3750</v>
      </c>
      <c r="B188" s="33" t="s">
        <v>452</v>
      </c>
      <c r="C188" s="24">
        <v>372.3</v>
      </c>
      <c r="D188" s="25">
        <v>0.3</v>
      </c>
      <c r="E188" s="25">
        <f t="shared" si="5"/>
        <v>111.69</v>
      </c>
      <c r="F188" s="25">
        <f>108.2+3.49</f>
        <v>111.69</v>
      </c>
      <c r="G188" s="25">
        <f t="shared" si="6"/>
        <v>0</v>
      </c>
      <c r="H188" s="34">
        <v>939641</v>
      </c>
      <c r="I188" s="214" t="s">
        <v>453</v>
      </c>
      <c r="J188" s="473" t="s">
        <v>25</v>
      </c>
      <c r="K188" s="214" t="s">
        <v>26</v>
      </c>
      <c r="L188" s="22">
        <v>99588609</v>
      </c>
      <c r="M188" s="61" t="s">
        <v>940</v>
      </c>
      <c r="N188" s="461">
        <v>45973</v>
      </c>
    </row>
    <row r="189" spans="1:16" x14ac:dyDescent="0.25">
      <c r="A189" s="22">
        <v>3751</v>
      </c>
      <c r="B189" s="33" t="s">
        <v>454</v>
      </c>
      <c r="C189" s="24">
        <v>802.8</v>
      </c>
      <c r="D189" s="25">
        <v>0.3</v>
      </c>
      <c r="E189" s="25">
        <f t="shared" si="5"/>
        <v>240.83999999999997</v>
      </c>
      <c r="F189" s="25">
        <v>0</v>
      </c>
      <c r="G189" s="25">
        <f t="shared" si="6"/>
        <v>240.83999999999997</v>
      </c>
      <c r="H189" s="457">
        <v>2116627</v>
      </c>
      <c r="I189" s="474" t="s">
        <v>455</v>
      </c>
      <c r="J189" s="473" t="s">
        <v>25</v>
      </c>
      <c r="K189" s="474" t="s">
        <v>26</v>
      </c>
      <c r="L189" s="457">
        <v>99493880</v>
      </c>
      <c r="M189" s="26"/>
    </row>
    <row r="190" spans="1:16" s="144" customFormat="1" x14ac:dyDescent="0.25">
      <c r="A190" s="54">
        <v>3752</v>
      </c>
      <c r="B190" s="55" t="s">
        <v>456</v>
      </c>
      <c r="C190" s="56">
        <v>270</v>
      </c>
      <c r="D190" s="25">
        <v>0.3</v>
      </c>
      <c r="E190" s="57">
        <f t="shared" si="5"/>
        <v>81</v>
      </c>
      <c r="F190" s="57">
        <f>E190</f>
        <v>81</v>
      </c>
      <c r="G190" s="57">
        <f>E190-F190</f>
        <v>0</v>
      </c>
      <c r="H190" s="84">
        <v>2789493</v>
      </c>
      <c r="I190" s="60" t="s">
        <v>457</v>
      </c>
      <c r="J190" s="59" t="s">
        <v>25</v>
      </c>
      <c r="K190" s="60" t="s">
        <v>26</v>
      </c>
      <c r="L190" s="54">
        <v>97884330</v>
      </c>
      <c r="M190" s="61" t="s">
        <v>923</v>
      </c>
      <c r="N190" s="530" t="s">
        <v>943</v>
      </c>
      <c r="O190" s="530"/>
      <c r="P190" s="530"/>
    </row>
    <row r="191" spans="1:16" x14ac:dyDescent="0.25">
      <c r="A191" s="22">
        <v>3753</v>
      </c>
      <c r="B191" s="33" t="s">
        <v>458</v>
      </c>
      <c r="C191" s="24">
        <v>245.2</v>
      </c>
      <c r="D191" s="25">
        <v>0.3</v>
      </c>
      <c r="E191" s="25">
        <f t="shared" si="5"/>
        <v>73.559999999999988</v>
      </c>
      <c r="F191" s="25">
        <f>70.17</f>
        <v>70.17</v>
      </c>
      <c r="G191" s="25">
        <f t="shared" si="6"/>
        <v>3.3899999999999864</v>
      </c>
      <c r="H191" s="34">
        <v>13938302</v>
      </c>
      <c r="I191" s="214" t="s">
        <v>459</v>
      </c>
      <c r="J191" s="26" t="s">
        <v>17</v>
      </c>
      <c r="K191" s="26" t="s">
        <v>18</v>
      </c>
      <c r="L191" s="22">
        <v>99054621</v>
      </c>
      <c r="M191" s="61" t="s">
        <v>954</v>
      </c>
    </row>
    <row r="192" spans="1:16" x14ac:dyDescent="0.25">
      <c r="A192" s="22">
        <v>3754</v>
      </c>
      <c r="B192" s="33" t="s">
        <v>460</v>
      </c>
      <c r="C192" s="24">
        <v>615.20000000000005</v>
      </c>
      <c r="D192" s="25">
        <v>0.3</v>
      </c>
      <c r="E192" s="25">
        <f t="shared" si="5"/>
        <v>184.56</v>
      </c>
      <c r="F192" s="25"/>
      <c r="G192" s="25">
        <f t="shared" si="6"/>
        <v>184.56</v>
      </c>
      <c r="H192" s="34">
        <v>443075</v>
      </c>
      <c r="I192" s="214" t="s">
        <v>461</v>
      </c>
      <c r="J192" s="26" t="s">
        <v>210</v>
      </c>
      <c r="K192" s="216" t="s">
        <v>211</v>
      </c>
      <c r="L192" s="22">
        <v>90937047</v>
      </c>
      <c r="M192" s="26"/>
    </row>
    <row r="193" spans="1:15" s="144" customFormat="1" x14ac:dyDescent="0.25">
      <c r="A193" s="54">
        <v>3755</v>
      </c>
      <c r="B193" s="55" t="s">
        <v>462</v>
      </c>
      <c r="C193" s="56">
        <v>504</v>
      </c>
      <c r="D193" s="57">
        <v>0.3</v>
      </c>
      <c r="E193" s="57">
        <f t="shared" si="5"/>
        <v>151.19999999999999</v>
      </c>
      <c r="F193" s="57">
        <f>150.02+1.18</f>
        <v>151.20000000000002</v>
      </c>
      <c r="G193" s="57">
        <f t="shared" si="6"/>
        <v>0</v>
      </c>
      <c r="H193" s="84">
        <v>15536654</v>
      </c>
      <c r="I193" s="60" t="s">
        <v>463</v>
      </c>
      <c r="J193" s="59" t="s">
        <v>25</v>
      </c>
      <c r="K193" s="60" t="s">
        <v>26</v>
      </c>
      <c r="L193" s="54">
        <v>92826690</v>
      </c>
      <c r="M193" s="61" t="s">
        <v>940</v>
      </c>
      <c r="N193" s="61" t="s">
        <v>966</v>
      </c>
    </row>
    <row r="194" spans="1:15" s="144" customFormat="1" x14ac:dyDescent="0.25">
      <c r="A194" s="54">
        <v>3756</v>
      </c>
      <c r="B194" s="55" t="s">
        <v>464</v>
      </c>
      <c r="C194" s="56">
        <v>243</v>
      </c>
      <c r="D194" s="57">
        <v>0.3</v>
      </c>
      <c r="E194" s="57">
        <f t="shared" si="5"/>
        <v>72.899999999999991</v>
      </c>
      <c r="F194" s="57">
        <v>71.14</v>
      </c>
      <c r="G194" s="57">
        <f t="shared" si="6"/>
        <v>1.7599999999999909</v>
      </c>
      <c r="H194" s="84">
        <v>630458</v>
      </c>
      <c r="I194" s="60" t="s">
        <v>465</v>
      </c>
      <c r="J194" s="59" t="s">
        <v>25</v>
      </c>
      <c r="K194" s="60" t="s">
        <v>26</v>
      </c>
      <c r="L194" s="54"/>
      <c r="M194" s="61" t="s">
        <v>938</v>
      </c>
    </row>
    <row r="195" spans="1:15" s="144" customFormat="1" x14ac:dyDescent="0.25">
      <c r="A195" s="54">
        <v>3757</v>
      </c>
      <c r="B195" s="55" t="s">
        <v>466</v>
      </c>
      <c r="C195" s="56">
        <v>270</v>
      </c>
      <c r="D195" s="57">
        <v>0.3</v>
      </c>
      <c r="E195" s="57">
        <f t="shared" si="5"/>
        <v>81</v>
      </c>
      <c r="F195" s="57">
        <f>E195</f>
        <v>81</v>
      </c>
      <c r="G195" s="57">
        <f t="shared" si="6"/>
        <v>0</v>
      </c>
      <c r="H195" s="84">
        <v>729973</v>
      </c>
      <c r="I195" s="60" t="s">
        <v>467</v>
      </c>
      <c r="J195" s="60" t="s">
        <v>121</v>
      </c>
      <c r="K195" s="61" t="s">
        <v>122</v>
      </c>
      <c r="L195" s="54">
        <v>92283227</v>
      </c>
      <c r="M195" s="461">
        <v>45881</v>
      </c>
    </row>
    <row r="196" spans="1:15" s="144" customFormat="1" x14ac:dyDescent="0.25">
      <c r="A196" s="54">
        <v>3758</v>
      </c>
      <c r="B196" s="55" t="s">
        <v>468</v>
      </c>
      <c r="C196" s="56">
        <v>265.8</v>
      </c>
      <c r="D196" s="57">
        <v>0.3</v>
      </c>
      <c r="E196" s="57">
        <f t="shared" ref="E196:E259" si="7">D196*C196</f>
        <v>79.739999999999995</v>
      </c>
      <c r="F196" s="57">
        <f>79.58+0.16</f>
        <v>79.739999999999995</v>
      </c>
      <c r="G196" s="57">
        <f t="shared" si="6"/>
        <v>0</v>
      </c>
      <c r="H196" s="84">
        <v>18899068</v>
      </c>
      <c r="I196" s="60" t="s">
        <v>469</v>
      </c>
      <c r="J196" s="59" t="s">
        <v>25</v>
      </c>
      <c r="K196" s="60" t="s">
        <v>26</v>
      </c>
      <c r="L196" s="54">
        <v>92672061</v>
      </c>
      <c r="M196" s="461">
        <v>45881</v>
      </c>
      <c r="N196" s="61" t="s">
        <v>972</v>
      </c>
    </row>
    <row r="197" spans="1:15" s="144" customFormat="1" x14ac:dyDescent="0.25">
      <c r="A197" s="54">
        <v>3759</v>
      </c>
      <c r="B197" s="55" t="s">
        <v>774</v>
      </c>
      <c r="C197" s="56">
        <v>269.5</v>
      </c>
      <c r="D197" s="57">
        <v>0.3</v>
      </c>
      <c r="E197" s="57">
        <f t="shared" si="7"/>
        <v>80.849999999999994</v>
      </c>
      <c r="F197" s="57">
        <f>E197</f>
        <v>80.849999999999994</v>
      </c>
      <c r="G197" s="57">
        <f t="shared" si="6"/>
        <v>0</v>
      </c>
      <c r="H197" s="84">
        <v>5634282</v>
      </c>
      <c r="I197" s="60" t="s">
        <v>30</v>
      </c>
      <c r="J197" s="59" t="s">
        <v>25</v>
      </c>
      <c r="K197" s="60" t="s">
        <v>26</v>
      </c>
      <c r="L197" s="54">
        <v>99293745</v>
      </c>
      <c r="M197" s="461">
        <v>45881</v>
      </c>
    </row>
    <row r="198" spans="1:15" s="144" customFormat="1" x14ac:dyDescent="0.25">
      <c r="A198" s="54">
        <v>3760</v>
      </c>
      <c r="B198" s="55" t="s">
        <v>470</v>
      </c>
      <c r="C198" s="56">
        <v>250.9</v>
      </c>
      <c r="D198" s="57">
        <v>0.3</v>
      </c>
      <c r="E198" s="57">
        <f t="shared" si="7"/>
        <v>75.27</v>
      </c>
      <c r="F198" s="57">
        <f>72.52+2.75</f>
        <v>75.27</v>
      </c>
      <c r="G198" s="57">
        <f t="shared" si="6"/>
        <v>0</v>
      </c>
      <c r="H198" s="84">
        <v>19531566</v>
      </c>
      <c r="I198" s="60" t="s">
        <v>471</v>
      </c>
      <c r="J198" s="61" t="s">
        <v>17</v>
      </c>
      <c r="K198" s="61" t="s">
        <v>18</v>
      </c>
      <c r="L198" s="54">
        <v>90988855</v>
      </c>
      <c r="M198" s="61" t="s">
        <v>938</v>
      </c>
      <c r="N198" s="61" t="s">
        <v>970</v>
      </c>
    </row>
    <row r="199" spans="1:15" s="144" customFormat="1" x14ac:dyDescent="0.25">
      <c r="A199" s="54">
        <v>3762</v>
      </c>
      <c r="B199" s="55" t="s">
        <v>472</v>
      </c>
      <c r="C199" s="56">
        <v>178</v>
      </c>
      <c r="D199" s="57">
        <v>0.3</v>
      </c>
      <c r="E199" s="57">
        <f t="shared" si="7"/>
        <v>53.4</v>
      </c>
      <c r="F199" s="57">
        <f>E199</f>
        <v>53.4</v>
      </c>
      <c r="G199" s="57">
        <f t="shared" si="6"/>
        <v>0</v>
      </c>
      <c r="H199" s="84">
        <v>15664101</v>
      </c>
      <c r="I199" s="60" t="s">
        <v>473</v>
      </c>
      <c r="J199" s="59" t="s">
        <v>25</v>
      </c>
      <c r="K199" s="60" t="s">
        <v>26</v>
      </c>
      <c r="L199" s="54"/>
      <c r="M199" s="61" t="s">
        <v>954</v>
      </c>
    </row>
    <row r="200" spans="1:15" x14ac:dyDescent="0.25">
      <c r="A200" s="22">
        <v>3764</v>
      </c>
      <c r="B200" s="33" t="s">
        <v>474</v>
      </c>
      <c r="C200" s="24">
        <v>659</v>
      </c>
      <c r="D200" s="25">
        <v>0.3</v>
      </c>
      <c r="E200" s="25">
        <f t="shared" si="7"/>
        <v>197.7</v>
      </c>
      <c r="F200" s="25"/>
      <c r="G200" s="25">
        <f t="shared" si="6"/>
        <v>197.7</v>
      </c>
      <c r="H200" s="34">
        <v>1996843</v>
      </c>
      <c r="I200" s="214" t="s">
        <v>475</v>
      </c>
      <c r="J200" s="473" t="s">
        <v>25</v>
      </c>
      <c r="K200" s="214" t="s">
        <v>26</v>
      </c>
      <c r="L200" s="22">
        <v>91918493</v>
      </c>
      <c r="M200" s="26"/>
    </row>
    <row r="201" spans="1:15" x14ac:dyDescent="0.25">
      <c r="A201" s="22">
        <v>3765</v>
      </c>
      <c r="B201" s="33" t="s">
        <v>31</v>
      </c>
      <c r="C201" s="24">
        <v>664.7</v>
      </c>
      <c r="D201" s="25">
        <v>0.3</v>
      </c>
      <c r="E201" s="25">
        <f t="shared" si="7"/>
        <v>199.41</v>
      </c>
      <c r="F201" s="25"/>
      <c r="G201" s="25">
        <f t="shared" si="6"/>
        <v>199.41</v>
      </c>
      <c r="H201" s="34">
        <v>19752023</v>
      </c>
      <c r="I201" s="214" t="s">
        <v>32</v>
      </c>
      <c r="J201" s="473" t="s">
        <v>25</v>
      </c>
      <c r="K201" s="214" t="s">
        <v>26</v>
      </c>
      <c r="L201" s="22">
        <v>99499894</v>
      </c>
      <c r="M201" s="26"/>
    </row>
    <row r="202" spans="1:15" s="144" customFormat="1" x14ac:dyDescent="0.25">
      <c r="A202" s="54">
        <v>3766</v>
      </c>
      <c r="B202" s="55" t="s">
        <v>476</v>
      </c>
      <c r="C202" s="56">
        <v>185.5</v>
      </c>
      <c r="D202" s="57">
        <v>0.3</v>
      </c>
      <c r="E202" s="57">
        <f t="shared" si="7"/>
        <v>55.65</v>
      </c>
      <c r="F202" s="57">
        <f>54.77+0.88</f>
        <v>55.650000000000006</v>
      </c>
      <c r="G202" s="57">
        <f t="shared" si="6"/>
        <v>0</v>
      </c>
      <c r="H202" s="84">
        <v>5729117</v>
      </c>
      <c r="I202" s="60" t="s">
        <v>477</v>
      </c>
      <c r="J202" s="61" t="s">
        <v>17</v>
      </c>
      <c r="K202" s="61" t="s">
        <v>18</v>
      </c>
      <c r="L202" s="54">
        <v>97297211</v>
      </c>
      <c r="M202" s="461">
        <v>45788</v>
      </c>
      <c r="N202" s="61" t="s">
        <v>970</v>
      </c>
    </row>
    <row r="203" spans="1:15" x14ac:dyDescent="0.25">
      <c r="A203" s="22">
        <v>3767</v>
      </c>
      <c r="B203" s="33" t="s">
        <v>478</v>
      </c>
      <c r="C203" s="24">
        <v>969.4</v>
      </c>
      <c r="D203" s="25">
        <v>0.3</v>
      </c>
      <c r="E203" s="25">
        <f t="shared" si="7"/>
        <v>290.82</v>
      </c>
      <c r="F203" s="25"/>
      <c r="G203" s="25">
        <f t="shared" si="6"/>
        <v>290.82</v>
      </c>
      <c r="H203" s="34">
        <v>971428</v>
      </c>
      <c r="I203" s="214" t="s">
        <v>479</v>
      </c>
      <c r="J203" s="473" t="s">
        <v>25</v>
      </c>
      <c r="K203" s="214" t="s">
        <v>26</v>
      </c>
      <c r="L203" s="22">
        <v>92214819</v>
      </c>
      <c r="M203" s="26"/>
    </row>
    <row r="204" spans="1:15" s="144" customFormat="1" x14ac:dyDescent="0.25">
      <c r="A204" s="54">
        <v>3768</v>
      </c>
      <c r="B204" s="55" t="s">
        <v>480</v>
      </c>
      <c r="C204" s="56">
        <v>216.7</v>
      </c>
      <c r="D204" s="57">
        <v>0.3</v>
      </c>
      <c r="E204" s="57">
        <f t="shared" si="7"/>
        <v>65.009999999999991</v>
      </c>
      <c r="F204" s="57">
        <f>1.1+63.91</f>
        <v>65.009999999999991</v>
      </c>
      <c r="G204" s="57">
        <f t="shared" si="6"/>
        <v>0</v>
      </c>
      <c r="H204" s="84">
        <v>21349024</v>
      </c>
      <c r="I204" s="60" t="s">
        <v>481</v>
      </c>
      <c r="J204" s="59" t="s">
        <v>25</v>
      </c>
      <c r="K204" s="60" t="s">
        <v>26</v>
      </c>
      <c r="L204" s="54">
        <v>71536935</v>
      </c>
      <c r="M204" s="61" t="s">
        <v>930</v>
      </c>
      <c r="N204" s="461">
        <v>45941</v>
      </c>
    </row>
    <row r="205" spans="1:15" s="144" customFormat="1" x14ac:dyDescent="0.25">
      <c r="A205" s="54">
        <v>3769</v>
      </c>
      <c r="B205" s="55" t="s">
        <v>482</v>
      </c>
      <c r="C205" s="56">
        <v>278.8</v>
      </c>
      <c r="D205" s="57">
        <v>0.3</v>
      </c>
      <c r="E205" s="57">
        <f t="shared" si="7"/>
        <v>83.64</v>
      </c>
      <c r="F205" s="57">
        <f>81.56+2.08</f>
        <v>83.64</v>
      </c>
      <c r="G205" s="57">
        <f t="shared" si="6"/>
        <v>0</v>
      </c>
      <c r="H205" s="84">
        <v>24915633</v>
      </c>
      <c r="I205" s="60" t="s">
        <v>483</v>
      </c>
      <c r="J205" s="61" t="s">
        <v>43</v>
      </c>
      <c r="K205" s="60" t="s">
        <v>44</v>
      </c>
      <c r="L205" s="54">
        <v>99605319</v>
      </c>
      <c r="M205" s="61" t="s">
        <v>938</v>
      </c>
      <c r="N205" s="61" t="s">
        <v>966</v>
      </c>
    </row>
    <row r="206" spans="1:15" s="144" customFormat="1" x14ac:dyDescent="0.25">
      <c r="A206" s="54">
        <v>3770</v>
      </c>
      <c r="B206" s="55" t="s">
        <v>33</v>
      </c>
      <c r="C206" s="56">
        <v>187</v>
      </c>
      <c r="D206" s="57">
        <v>0.3</v>
      </c>
      <c r="E206" s="57">
        <f t="shared" si="7"/>
        <v>56.1</v>
      </c>
      <c r="F206" s="57">
        <f>2.76999999999999+52.25+1.08</f>
        <v>56.099999999999987</v>
      </c>
      <c r="G206" s="57">
        <f t="shared" si="6"/>
        <v>0</v>
      </c>
      <c r="H206" s="84">
        <v>7198036</v>
      </c>
      <c r="I206" s="60" t="s">
        <v>34</v>
      </c>
      <c r="J206" s="59" t="s">
        <v>25</v>
      </c>
      <c r="K206" s="60" t="s">
        <v>26</v>
      </c>
      <c r="L206" s="54">
        <v>92321799</v>
      </c>
      <c r="M206" s="61" t="s">
        <v>940</v>
      </c>
      <c r="N206" s="461">
        <v>45941</v>
      </c>
      <c r="O206" s="461">
        <v>46008</v>
      </c>
    </row>
    <row r="207" spans="1:15" s="144" customFormat="1" x14ac:dyDescent="0.25">
      <c r="A207" s="54">
        <v>3771</v>
      </c>
      <c r="B207" s="55" t="s">
        <v>484</v>
      </c>
      <c r="C207" s="56">
        <v>504</v>
      </c>
      <c r="D207" s="57">
        <v>0.3</v>
      </c>
      <c r="E207" s="57">
        <f t="shared" si="7"/>
        <v>151.19999999999999</v>
      </c>
      <c r="F207" s="57">
        <f>148.31+2.89</f>
        <v>151.19999999999999</v>
      </c>
      <c r="G207" s="57">
        <f t="shared" si="6"/>
        <v>0</v>
      </c>
      <c r="H207" s="84">
        <v>1977962</v>
      </c>
      <c r="I207" s="60" t="s">
        <v>485</v>
      </c>
      <c r="J207" s="59" t="s">
        <v>25</v>
      </c>
      <c r="K207" s="60" t="s">
        <v>26</v>
      </c>
      <c r="L207" s="54">
        <v>99488815</v>
      </c>
      <c r="M207" s="61" t="s">
        <v>938</v>
      </c>
      <c r="N207" s="144" t="s">
        <v>968</v>
      </c>
    </row>
    <row r="208" spans="1:15" x14ac:dyDescent="0.25">
      <c r="A208" s="22">
        <v>3772</v>
      </c>
      <c r="B208" s="33" t="s">
        <v>486</v>
      </c>
      <c r="C208" s="24">
        <v>18.899999999999999</v>
      </c>
      <c r="D208" s="25">
        <v>0.3</v>
      </c>
      <c r="E208" s="25">
        <f t="shared" si="7"/>
        <v>5.669999999999999</v>
      </c>
      <c r="F208" s="25"/>
      <c r="G208" s="25">
        <f t="shared" si="6"/>
        <v>5.669999999999999</v>
      </c>
      <c r="H208" s="34">
        <v>6419804</v>
      </c>
      <c r="I208" s="214" t="s">
        <v>487</v>
      </c>
      <c r="J208" s="473" t="s">
        <v>25</v>
      </c>
      <c r="K208" s="474" t="s">
        <v>26</v>
      </c>
      <c r="L208" s="22"/>
      <c r="M208" s="26"/>
    </row>
    <row r="209" spans="1:16" x14ac:dyDescent="0.25">
      <c r="A209" s="22">
        <v>3773</v>
      </c>
      <c r="B209" s="33" t="s">
        <v>488</v>
      </c>
      <c r="C209" s="24">
        <v>223</v>
      </c>
      <c r="D209" s="25">
        <v>0.3</v>
      </c>
      <c r="E209" s="25">
        <f t="shared" si="7"/>
        <v>66.899999999999991</v>
      </c>
      <c r="F209" s="25"/>
      <c r="G209" s="25">
        <f t="shared" ref="G209:G272" si="8">E209-F209</f>
        <v>66.899999999999991</v>
      </c>
      <c r="H209" s="34">
        <v>2023936</v>
      </c>
      <c r="I209" s="214" t="s">
        <v>489</v>
      </c>
      <c r="J209" s="473" t="s">
        <v>210</v>
      </c>
      <c r="K209" s="474" t="s">
        <v>211</v>
      </c>
      <c r="L209" s="22"/>
      <c r="M209" s="26"/>
    </row>
    <row r="210" spans="1:16" s="79" customFormat="1" x14ac:dyDescent="0.25">
      <c r="A210" s="22">
        <v>3774</v>
      </c>
      <c r="B210" s="23" t="s">
        <v>490</v>
      </c>
      <c r="C210" s="24"/>
      <c r="D210" s="25">
        <v>0.3</v>
      </c>
      <c r="E210" s="25">
        <f t="shared" si="7"/>
        <v>0</v>
      </c>
      <c r="F210" s="25"/>
      <c r="G210" s="25">
        <f t="shared" si="8"/>
        <v>0</v>
      </c>
      <c r="H210" s="34">
        <v>889849</v>
      </c>
      <c r="I210" s="214" t="s">
        <v>491</v>
      </c>
      <c r="J210" s="26" t="s">
        <v>17</v>
      </c>
      <c r="K210" s="26" t="s">
        <v>18</v>
      </c>
      <c r="L210" s="22">
        <v>93011211</v>
      </c>
      <c r="M210" s="26"/>
    </row>
    <row r="211" spans="1:16" x14ac:dyDescent="0.25">
      <c r="A211" s="22">
        <v>3775</v>
      </c>
      <c r="B211" s="33" t="s">
        <v>492</v>
      </c>
      <c r="C211" s="24">
        <v>170</v>
      </c>
      <c r="D211" s="25">
        <v>0.3</v>
      </c>
      <c r="E211" s="25">
        <f t="shared" si="7"/>
        <v>51</v>
      </c>
      <c r="F211" s="25">
        <f>3.47+47.5+0.03</f>
        <v>51</v>
      </c>
      <c r="G211" s="25">
        <f t="shared" si="8"/>
        <v>0</v>
      </c>
      <c r="H211" s="34">
        <v>7198074</v>
      </c>
      <c r="I211" s="214" t="s">
        <v>493</v>
      </c>
      <c r="J211" s="26" t="s">
        <v>210</v>
      </c>
      <c r="K211" s="216" t="s">
        <v>211</v>
      </c>
      <c r="L211" s="22">
        <v>98182322</v>
      </c>
      <c r="M211" s="61" t="s">
        <v>940</v>
      </c>
      <c r="N211" s="461">
        <v>45941</v>
      </c>
      <c r="O211" s="461">
        <v>46008</v>
      </c>
    </row>
    <row r="212" spans="1:16" x14ac:dyDescent="0.25">
      <c r="A212" s="22">
        <v>3776</v>
      </c>
      <c r="B212" s="33" t="s">
        <v>494</v>
      </c>
      <c r="C212" s="24">
        <v>212.8</v>
      </c>
      <c r="D212" s="25">
        <v>0.3</v>
      </c>
      <c r="E212" s="25">
        <f t="shared" si="7"/>
        <v>63.84</v>
      </c>
      <c r="F212" s="25"/>
      <c r="G212" s="25">
        <f t="shared" si="8"/>
        <v>63.84</v>
      </c>
      <c r="H212" s="34">
        <v>5530783</v>
      </c>
      <c r="I212" s="214" t="s">
        <v>495</v>
      </c>
      <c r="J212" s="473" t="s">
        <v>25</v>
      </c>
      <c r="K212" s="214" t="s">
        <v>26</v>
      </c>
      <c r="L212" s="22">
        <v>97170030</v>
      </c>
      <c r="M212" s="26"/>
    </row>
    <row r="213" spans="1:16" x14ac:dyDescent="0.25">
      <c r="A213" s="22">
        <v>3777</v>
      </c>
      <c r="B213" s="33" t="s">
        <v>496</v>
      </c>
      <c r="C213" s="24">
        <v>609</v>
      </c>
      <c r="D213" s="25">
        <v>0.3</v>
      </c>
      <c r="E213" s="25">
        <f t="shared" si="7"/>
        <v>182.7</v>
      </c>
      <c r="F213" s="25"/>
      <c r="G213" s="25">
        <f t="shared" si="8"/>
        <v>182.7</v>
      </c>
      <c r="H213" s="34">
        <v>6538875</v>
      </c>
      <c r="I213" s="214" t="s">
        <v>497</v>
      </c>
      <c r="J213" s="473" t="s">
        <v>25</v>
      </c>
      <c r="K213" s="214" t="s">
        <v>26</v>
      </c>
      <c r="L213" s="22">
        <v>91750033</v>
      </c>
      <c r="M213" s="26"/>
    </row>
    <row r="214" spans="1:16" s="144" customFormat="1" x14ac:dyDescent="0.25">
      <c r="A214" s="54">
        <v>3778</v>
      </c>
      <c r="B214" s="55" t="s">
        <v>498</v>
      </c>
      <c r="C214" s="56">
        <v>359.6</v>
      </c>
      <c r="D214" s="57">
        <v>0.3</v>
      </c>
      <c r="E214" s="57">
        <f t="shared" si="7"/>
        <v>107.88000000000001</v>
      </c>
      <c r="F214" s="57">
        <f>106.02+1.86</f>
        <v>107.88</v>
      </c>
      <c r="G214" s="57">
        <f t="shared" si="8"/>
        <v>0</v>
      </c>
      <c r="H214" s="84">
        <v>1481822</v>
      </c>
      <c r="I214" s="60" t="s">
        <v>499</v>
      </c>
      <c r="J214" s="61" t="s">
        <v>17</v>
      </c>
      <c r="K214" s="61" t="s">
        <v>18</v>
      </c>
      <c r="L214" s="54">
        <v>92951944</v>
      </c>
      <c r="M214" s="61" t="s">
        <v>933</v>
      </c>
      <c r="N214" s="61" t="s">
        <v>966</v>
      </c>
    </row>
    <row r="215" spans="1:16" x14ac:dyDescent="0.25">
      <c r="A215" s="22">
        <v>3782</v>
      </c>
      <c r="B215" s="33" t="s">
        <v>505</v>
      </c>
      <c r="C215" s="24">
        <v>447.3</v>
      </c>
      <c r="D215" s="25">
        <v>0.3</v>
      </c>
      <c r="E215" s="25">
        <f t="shared" si="7"/>
        <v>134.19</v>
      </c>
      <c r="F215" s="25">
        <f>130.12+4.07</f>
        <v>134.19</v>
      </c>
      <c r="G215" s="25">
        <f t="shared" si="8"/>
        <v>0</v>
      </c>
      <c r="H215" s="34">
        <v>8467003</v>
      </c>
      <c r="I215" s="214" t="s">
        <v>506</v>
      </c>
      <c r="J215" s="473" t="s">
        <v>17</v>
      </c>
      <c r="K215" s="214" t="s">
        <v>18</v>
      </c>
      <c r="L215" s="22">
        <v>96138831</v>
      </c>
      <c r="M215" s="461">
        <v>45788</v>
      </c>
      <c r="N215" s="61" t="s">
        <v>966</v>
      </c>
    </row>
    <row r="216" spans="1:16" x14ac:dyDescent="0.25">
      <c r="A216" s="22">
        <v>3783</v>
      </c>
      <c r="B216" s="33" t="s">
        <v>507</v>
      </c>
      <c r="C216" s="24">
        <v>233.7</v>
      </c>
      <c r="D216" s="25">
        <v>0.3</v>
      </c>
      <c r="E216" s="25">
        <f t="shared" si="7"/>
        <v>70.11</v>
      </c>
      <c r="F216" s="25"/>
      <c r="G216" s="25">
        <f t="shared" si="8"/>
        <v>70.11</v>
      </c>
      <c r="H216" s="34">
        <v>25019867</v>
      </c>
      <c r="I216" s="214" t="s">
        <v>508</v>
      </c>
      <c r="J216" s="26" t="s">
        <v>17</v>
      </c>
      <c r="K216" s="26" t="s">
        <v>18</v>
      </c>
      <c r="L216" s="22">
        <v>97264292</v>
      </c>
      <c r="M216" s="26"/>
    </row>
    <row r="217" spans="1:16" x14ac:dyDescent="0.25">
      <c r="A217" s="54">
        <v>3784</v>
      </c>
      <c r="B217" s="55" t="s">
        <v>509</v>
      </c>
      <c r="C217" s="56">
        <v>468.2</v>
      </c>
      <c r="D217" s="57">
        <v>0.3</v>
      </c>
      <c r="E217" s="57">
        <f t="shared" si="7"/>
        <v>140.45999999999998</v>
      </c>
      <c r="F217" s="57">
        <f>139.25+1.21</f>
        <v>140.46</v>
      </c>
      <c r="G217" s="57">
        <f t="shared" si="8"/>
        <v>0</v>
      </c>
      <c r="H217" s="84">
        <v>19870884</v>
      </c>
      <c r="I217" s="60" t="s">
        <v>510</v>
      </c>
      <c r="J217" s="59" t="s">
        <v>25</v>
      </c>
      <c r="K217" s="60" t="s">
        <v>26</v>
      </c>
      <c r="L217" s="54">
        <v>94847877</v>
      </c>
      <c r="M217" s="461">
        <v>45727</v>
      </c>
      <c r="N217" s="61" t="s">
        <v>973</v>
      </c>
    </row>
    <row r="218" spans="1:16" s="144" customFormat="1" x14ac:dyDescent="0.25">
      <c r="A218" s="54">
        <v>3786</v>
      </c>
      <c r="B218" s="55" t="s">
        <v>511</v>
      </c>
      <c r="C218" s="56">
        <v>276.39999999999998</v>
      </c>
      <c r="D218" s="57">
        <v>0.3</v>
      </c>
      <c r="E218" s="57">
        <f t="shared" si="7"/>
        <v>82.919999999999987</v>
      </c>
      <c r="F218" s="57">
        <f>E218</f>
        <v>82.919999999999987</v>
      </c>
      <c r="G218" s="57">
        <f t="shared" si="8"/>
        <v>0</v>
      </c>
      <c r="H218" s="84">
        <v>941209</v>
      </c>
      <c r="I218" s="60" t="s">
        <v>512</v>
      </c>
      <c r="J218" s="61" t="s">
        <v>290</v>
      </c>
      <c r="K218" s="60" t="s">
        <v>291</v>
      </c>
      <c r="L218" s="54">
        <v>92975256</v>
      </c>
      <c r="M218" s="61" t="s">
        <v>928</v>
      </c>
      <c r="N218" s="144" t="s">
        <v>944</v>
      </c>
    </row>
    <row r="219" spans="1:16" x14ac:dyDescent="0.25">
      <c r="A219" s="22">
        <v>3787</v>
      </c>
      <c r="B219" s="33" t="s">
        <v>513</v>
      </c>
      <c r="C219" s="24">
        <v>432</v>
      </c>
      <c r="D219" s="25">
        <v>0.3</v>
      </c>
      <c r="E219" s="25">
        <f t="shared" si="7"/>
        <v>129.6</v>
      </c>
      <c r="F219" s="25">
        <f>E219</f>
        <v>129.6</v>
      </c>
      <c r="G219" s="25">
        <f t="shared" si="8"/>
        <v>0</v>
      </c>
      <c r="H219" s="34">
        <v>813786</v>
      </c>
      <c r="I219" s="214" t="s">
        <v>514</v>
      </c>
      <c r="J219" s="473" t="s">
        <v>25</v>
      </c>
      <c r="K219" s="214" t="s">
        <v>26</v>
      </c>
      <c r="L219" s="22">
        <v>99293129</v>
      </c>
      <c r="M219" s="461">
        <v>46002</v>
      </c>
      <c r="P219" s="81">
        <f>F218+22.78</f>
        <v>105.69999999999999</v>
      </c>
    </row>
    <row r="220" spans="1:16" s="144" customFormat="1" x14ac:dyDescent="0.25">
      <c r="A220" s="54">
        <v>3789</v>
      </c>
      <c r="B220" s="55" t="s">
        <v>515</v>
      </c>
      <c r="C220" s="56">
        <v>210.9</v>
      </c>
      <c r="D220" s="57">
        <v>0.3</v>
      </c>
      <c r="E220" s="57">
        <f t="shared" si="7"/>
        <v>63.269999999999996</v>
      </c>
      <c r="F220" s="57">
        <v>60.01</v>
      </c>
      <c r="G220" s="57">
        <f t="shared" si="8"/>
        <v>3.259999999999998</v>
      </c>
      <c r="H220" s="84">
        <v>22338686</v>
      </c>
      <c r="I220" s="60" t="s">
        <v>516</v>
      </c>
      <c r="J220" s="59" t="s">
        <v>25</v>
      </c>
      <c r="K220" s="60" t="s">
        <v>26</v>
      </c>
      <c r="L220" s="54">
        <v>92552232</v>
      </c>
      <c r="M220" s="61" t="s">
        <v>938</v>
      </c>
    </row>
    <row r="221" spans="1:16" s="144" customFormat="1" x14ac:dyDescent="0.25">
      <c r="A221" s="54">
        <v>3791</v>
      </c>
      <c r="B221" s="55" t="s">
        <v>517</v>
      </c>
      <c r="C221" s="56">
        <v>234.8</v>
      </c>
      <c r="D221" s="57">
        <v>0.3</v>
      </c>
      <c r="E221" s="57">
        <f t="shared" si="7"/>
        <v>70.44</v>
      </c>
      <c r="F221" s="57">
        <f>69.22+1.22</f>
        <v>70.44</v>
      </c>
      <c r="G221" s="57">
        <f t="shared" si="8"/>
        <v>0</v>
      </c>
      <c r="H221" s="84">
        <v>20365611</v>
      </c>
      <c r="I221" s="60" t="s">
        <v>518</v>
      </c>
      <c r="J221" s="59" t="s">
        <v>25</v>
      </c>
      <c r="K221" s="60" t="s">
        <v>26</v>
      </c>
      <c r="L221" s="54">
        <v>9257761</v>
      </c>
      <c r="M221" s="144" t="s">
        <v>959</v>
      </c>
      <c r="N221" s="61" t="s">
        <v>972</v>
      </c>
    </row>
    <row r="222" spans="1:16" s="144" customFormat="1" x14ac:dyDescent="0.25">
      <c r="A222" s="54">
        <v>3792</v>
      </c>
      <c r="B222" s="521" t="s">
        <v>519</v>
      </c>
      <c r="C222" s="56">
        <v>225.5</v>
      </c>
      <c r="D222" s="57">
        <v>0.3</v>
      </c>
      <c r="E222" s="57">
        <f t="shared" si="7"/>
        <v>67.649999999999991</v>
      </c>
      <c r="F222" s="57">
        <f>67.03+0.62</f>
        <v>67.650000000000006</v>
      </c>
      <c r="G222" s="57">
        <f t="shared" si="8"/>
        <v>0</v>
      </c>
      <c r="H222" s="531">
        <v>23169608</v>
      </c>
      <c r="I222" s="523" t="s">
        <v>520</v>
      </c>
      <c r="J222" s="521" t="s">
        <v>290</v>
      </c>
      <c r="K222" s="523" t="s">
        <v>291</v>
      </c>
      <c r="L222" s="522">
        <v>93380506</v>
      </c>
      <c r="M222" s="461">
        <v>45941</v>
      </c>
      <c r="N222" s="61" t="s">
        <v>972</v>
      </c>
    </row>
    <row r="223" spans="1:16" s="79" customFormat="1" x14ac:dyDescent="0.25">
      <c r="A223" s="22">
        <v>3793</v>
      </c>
      <c r="B223" s="23" t="s">
        <v>521</v>
      </c>
      <c r="C223" s="24">
        <v>658.3</v>
      </c>
      <c r="D223" s="25">
        <v>0.3</v>
      </c>
      <c r="E223" s="25">
        <f t="shared" si="7"/>
        <v>197.48999999999998</v>
      </c>
      <c r="F223" s="25"/>
      <c r="G223" s="25">
        <f t="shared" si="8"/>
        <v>197.48999999999998</v>
      </c>
      <c r="H223" s="34">
        <v>1283875</v>
      </c>
      <c r="I223" s="214" t="s">
        <v>522</v>
      </c>
      <c r="J223" s="26" t="s">
        <v>43</v>
      </c>
      <c r="K223" s="214" t="s">
        <v>44</v>
      </c>
      <c r="L223" s="22">
        <v>92348115</v>
      </c>
      <c r="M223" s="26"/>
    </row>
    <row r="224" spans="1:16" x14ac:dyDescent="0.25">
      <c r="A224" s="22">
        <v>3794</v>
      </c>
      <c r="B224" s="33" t="s">
        <v>523</v>
      </c>
      <c r="C224" s="24">
        <v>563</v>
      </c>
      <c r="D224" s="25">
        <v>0.3</v>
      </c>
      <c r="E224" s="25">
        <f t="shared" si="7"/>
        <v>168.9</v>
      </c>
      <c r="F224" s="25">
        <f>E224</f>
        <v>168.9</v>
      </c>
      <c r="G224" s="25">
        <f t="shared" si="8"/>
        <v>0</v>
      </c>
      <c r="H224" s="34">
        <v>8222931</v>
      </c>
      <c r="I224" s="214" t="s">
        <v>524</v>
      </c>
      <c r="J224" s="473" t="s">
        <v>25</v>
      </c>
      <c r="K224" s="474" t="s">
        <v>26</v>
      </c>
      <c r="L224" s="22">
        <v>93377666</v>
      </c>
      <c r="M224" s="461">
        <v>45941</v>
      </c>
    </row>
    <row r="225" spans="1:15" x14ac:dyDescent="0.25">
      <c r="A225" s="22">
        <v>3795</v>
      </c>
      <c r="B225" s="33" t="s">
        <v>525</v>
      </c>
      <c r="C225" s="24">
        <v>240</v>
      </c>
      <c r="D225" s="25">
        <v>0.3</v>
      </c>
      <c r="E225" s="25">
        <f t="shared" si="7"/>
        <v>72</v>
      </c>
      <c r="F225" s="25"/>
      <c r="G225" s="25">
        <f t="shared" si="8"/>
        <v>72</v>
      </c>
      <c r="H225" s="34">
        <v>2331658</v>
      </c>
      <c r="I225" s="214" t="s">
        <v>526</v>
      </c>
      <c r="J225" s="26" t="s">
        <v>17</v>
      </c>
      <c r="K225" s="26" t="s">
        <v>18</v>
      </c>
      <c r="L225" s="22">
        <v>91790440</v>
      </c>
      <c r="M225" s="26"/>
    </row>
    <row r="226" spans="1:15" s="144" customFormat="1" x14ac:dyDescent="0.25">
      <c r="A226" s="54">
        <v>3796</v>
      </c>
      <c r="B226" s="55" t="s">
        <v>527</v>
      </c>
      <c r="C226" s="56">
        <v>269.60000000000002</v>
      </c>
      <c r="D226" s="57">
        <v>0.3</v>
      </c>
      <c r="E226" s="57">
        <f t="shared" si="7"/>
        <v>80.88000000000001</v>
      </c>
      <c r="F226" s="57">
        <f>79.79</f>
        <v>79.790000000000006</v>
      </c>
      <c r="G226" s="57">
        <f t="shared" si="8"/>
        <v>1.0900000000000034</v>
      </c>
      <c r="H226" s="84">
        <v>6455206</v>
      </c>
      <c r="I226" s="60" t="s">
        <v>528</v>
      </c>
      <c r="J226" s="59" t="s">
        <v>25</v>
      </c>
      <c r="K226" s="60" t="s">
        <v>26</v>
      </c>
      <c r="L226" s="54">
        <v>97312444</v>
      </c>
      <c r="M226" s="61" t="s">
        <v>954</v>
      </c>
    </row>
    <row r="227" spans="1:15" x14ac:dyDescent="0.25">
      <c r="A227" s="54">
        <v>3798</v>
      </c>
      <c r="B227" s="55" t="s">
        <v>529</v>
      </c>
      <c r="C227" s="56">
        <v>208.3</v>
      </c>
      <c r="D227" s="57">
        <v>0.3</v>
      </c>
      <c r="E227" s="57">
        <f t="shared" si="7"/>
        <v>62.49</v>
      </c>
      <c r="F227" s="57">
        <v>61.730000000000004</v>
      </c>
      <c r="G227" s="57">
        <f t="shared" si="8"/>
        <v>0.75999999999999801</v>
      </c>
      <c r="H227" s="84">
        <v>6048954</v>
      </c>
      <c r="I227" s="60" t="s">
        <v>530</v>
      </c>
      <c r="J227" s="59" t="s">
        <v>25</v>
      </c>
      <c r="K227" s="60" t="s">
        <v>26</v>
      </c>
      <c r="L227" s="54">
        <v>92833445</v>
      </c>
      <c r="M227" s="61" t="s">
        <v>940</v>
      </c>
    </row>
    <row r="228" spans="1:15" s="144" customFormat="1" x14ac:dyDescent="0.25">
      <c r="A228" s="54">
        <v>3799</v>
      </c>
      <c r="B228" s="55" t="s">
        <v>531</v>
      </c>
      <c r="C228" s="56">
        <v>486.8</v>
      </c>
      <c r="D228" s="57">
        <v>0.3</v>
      </c>
      <c r="E228" s="57">
        <f t="shared" si="7"/>
        <v>146.04</v>
      </c>
      <c r="F228" s="57">
        <f>1.55999999999997+143.55+0.93</f>
        <v>146.04</v>
      </c>
      <c r="G228" s="57">
        <f t="shared" si="8"/>
        <v>0</v>
      </c>
      <c r="H228" s="84">
        <v>12494672</v>
      </c>
      <c r="I228" s="60" t="s">
        <v>532</v>
      </c>
      <c r="J228" s="61" t="s">
        <v>17</v>
      </c>
      <c r="K228" s="61" t="s">
        <v>18</v>
      </c>
      <c r="L228" s="54">
        <v>98872720</v>
      </c>
      <c r="M228" s="61" t="s">
        <v>930</v>
      </c>
      <c r="N228" s="461">
        <v>45941</v>
      </c>
      <c r="O228" s="61" t="s">
        <v>966</v>
      </c>
    </row>
    <row r="229" spans="1:15" x14ac:dyDescent="0.25">
      <c r="A229" s="22">
        <v>3800</v>
      </c>
      <c r="B229" s="33" t="s">
        <v>534</v>
      </c>
      <c r="C229" s="24">
        <v>268.5</v>
      </c>
      <c r="D229" s="25">
        <v>0.3</v>
      </c>
      <c r="E229" s="25">
        <f t="shared" si="7"/>
        <v>80.55</v>
      </c>
      <c r="F229" s="25"/>
      <c r="G229" s="25">
        <f t="shared" si="8"/>
        <v>80.55</v>
      </c>
      <c r="H229" s="34">
        <v>11566758</v>
      </c>
      <c r="I229" s="214" t="s">
        <v>535</v>
      </c>
      <c r="J229" s="473" t="s">
        <v>25</v>
      </c>
      <c r="K229" s="474" t="s">
        <v>26</v>
      </c>
      <c r="L229" s="22"/>
      <c r="M229" s="26"/>
    </row>
    <row r="230" spans="1:15" s="144" customFormat="1" x14ac:dyDescent="0.25">
      <c r="A230" s="54">
        <v>3801</v>
      </c>
      <c r="B230" s="55" t="s">
        <v>536</v>
      </c>
      <c r="C230" s="56">
        <v>184</v>
      </c>
      <c r="D230" s="57">
        <v>0.3</v>
      </c>
      <c r="E230" s="57">
        <f t="shared" si="7"/>
        <v>55.199999999999996</v>
      </c>
      <c r="F230" s="57">
        <f>50.75+4.45</f>
        <v>55.2</v>
      </c>
      <c r="G230" s="57">
        <f t="shared" si="8"/>
        <v>0</v>
      </c>
      <c r="H230" s="84">
        <v>19559588</v>
      </c>
      <c r="I230" s="72" t="s">
        <v>537</v>
      </c>
      <c r="J230" s="59" t="s">
        <v>75</v>
      </c>
      <c r="K230" s="72" t="s">
        <v>76</v>
      </c>
      <c r="L230" s="54">
        <v>93200888</v>
      </c>
      <c r="M230" s="61" t="s">
        <v>936</v>
      </c>
      <c r="N230" s="144" t="s">
        <v>968</v>
      </c>
    </row>
    <row r="231" spans="1:15" x14ac:dyDescent="0.25">
      <c r="A231" s="22">
        <v>3802</v>
      </c>
      <c r="B231" s="33" t="s">
        <v>538</v>
      </c>
      <c r="C231" s="45">
        <v>334.3</v>
      </c>
      <c r="D231" s="25">
        <v>0.3</v>
      </c>
      <c r="E231" s="25">
        <f t="shared" si="7"/>
        <v>100.29</v>
      </c>
      <c r="F231" s="25">
        <v>99.26</v>
      </c>
      <c r="G231" s="25">
        <f t="shared" si="8"/>
        <v>1.0300000000000011</v>
      </c>
      <c r="H231" s="34">
        <v>1260268</v>
      </c>
      <c r="I231" s="214" t="s">
        <v>539</v>
      </c>
      <c r="J231" s="473" t="s">
        <v>25</v>
      </c>
      <c r="K231" s="474" t="s">
        <v>26</v>
      </c>
      <c r="L231" s="22">
        <v>99692231</v>
      </c>
      <c r="M231" s="61" t="s">
        <v>956</v>
      </c>
    </row>
    <row r="232" spans="1:15" x14ac:dyDescent="0.25">
      <c r="A232" s="22">
        <v>3803</v>
      </c>
      <c r="B232" s="33" t="s">
        <v>540</v>
      </c>
      <c r="C232" s="24">
        <v>377.8</v>
      </c>
      <c r="D232" s="25">
        <v>0.3</v>
      </c>
      <c r="E232" s="25">
        <f t="shared" si="7"/>
        <v>113.34</v>
      </c>
      <c r="F232" s="25"/>
      <c r="G232" s="25">
        <f t="shared" si="8"/>
        <v>113.34</v>
      </c>
      <c r="H232" s="34">
        <v>4890484</v>
      </c>
      <c r="I232" s="214" t="s">
        <v>541</v>
      </c>
      <c r="J232" s="26" t="s">
        <v>17</v>
      </c>
      <c r="K232" s="26" t="s">
        <v>18</v>
      </c>
      <c r="L232" s="22">
        <v>93231221</v>
      </c>
      <c r="M232" s="26"/>
    </row>
    <row r="233" spans="1:15" s="144" customFormat="1" x14ac:dyDescent="0.25">
      <c r="A233" s="54">
        <v>3804</v>
      </c>
      <c r="B233" s="55" t="s">
        <v>542</v>
      </c>
      <c r="C233" s="56">
        <v>270</v>
      </c>
      <c r="D233" s="57">
        <v>0.3</v>
      </c>
      <c r="E233" s="57">
        <f t="shared" si="7"/>
        <v>81</v>
      </c>
      <c r="F233" s="57">
        <f>80.59+0.41</f>
        <v>81</v>
      </c>
      <c r="G233" s="57">
        <f t="shared" si="8"/>
        <v>0</v>
      </c>
      <c r="H233" s="84">
        <v>18102928</v>
      </c>
      <c r="I233" s="60" t="s">
        <v>543</v>
      </c>
      <c r="J233" s="61" t="s">
        <v>17</v>
      </c>
      <c r="K233" s="61" t="s">
        <v>18</v>
      </c>
      <c r="L233" s="54">
        <v>95933733</v>
      </c>
      <c r="M233" s="61" t="s">
        <v>938</v>
      </c>
      <c r="N233" s="61" t="s">
        <v>972</v>
      </c>
    </row>
    <row r="234" spans="1:15" s="144" customFormat="1" x14ac:dyDescent="0.25">
      <c r="A234" s="54">
        <v>3805</v>
      </c>
      <c r="B234" s="55" t="s">
        <v>544</v>
      </c>
      <c r="C234" s="56">
        <v>232.1</v>
      </c>
      <c r="D234" s="57">
        <v>0.3</v>
      </c>
      <c r="E234" s="57">
        <f t="shared" si="7"/>
        <v>69.63</v>
      </c>
      <c r="F234" s="57">
        <f>68.24+1.39</f>
        <v>69.63</v>
      </c>
      <c r="G234" s="57">
        <f t="shared" si="8"/>
        <v>0</v>
      </c>
      <c r="H234" s="71">
        <v>18675553</v>
      </c>
      <c r="I234" s="72" t="s">
        <v>545</v>
      </c>
      <c r="J234" s="58" t="s">
        <v>75</v>
      </c>
      <c r="K234" s="61" t="s">
        <v>76</v>
      </c>
      <c r="L234" s="54">
        <v>77588303</v>
      </c>
      <c r="M234" s="461">
        <v>45727</v>
      </c>
      <c r="N234" s="461" t="s">
        <v>965</v>
      </c>
    </row>
    <row r="235" spans="1:15" s="79" customFormat="1" x14ac:dyDescent="0.25">
      <c r="A235" s="22">
        <v>3807</v>
      </c>
      <c r="B235" s="23" t="s">
        <v>546</v>
      </c>
      <c r="C235" s="24">
        <v>201</v>
      </c>
      <c r="D235" s="25">
        <v>0.3</v>
      </c>
      <c r="E235" s="25">
        <f t="shared" si="7"/>
        <v>60.3</v>
      </c>
      <c r="F235" s="25">
        <f>E235</f>
        <v>60.3</v>
      </c>
      <c r="G235" s="25">
        <f t="shared" si="8"/>
        <v>0</v>
      </c>
      <c r="H235" s="34">
        <v>2110484</v>
      </c>
      <c r="I235" s="214" t="s">
        <v>547</v>
      </c>
      <c r="J235" s="26" t="s">
        <v>17</v>
      </c>
      <c r="K235" s="26" t="s">
        <v>18</v>
      </c>
      <c r="L235" s="22">
        <v>95918256</v>
      </c>
      <c r="M235" s="61" t="s">
        <v>956</v>
      </c>
    </row>
    <row r="236" spans="1:15" x14ac:dyDescent="0.25">
      <c r="A236" s="54">
        <v>3808</v>
      </c>
      <c r="B236" s="55" t="s">
        <v>548</v>
      </c>
      <c r="C236" s="56">
        <v>420.6</v>
      </c>
      <c r="D236" s="57">
        <v>0.3</v>
      </c>
      <c r="E236" s="57">
        <f t="shared" si="7"/>
        <v>126.18</v>
      </c>
      <c r="F236" s="57">
        <f>126.01+0.17</f>
        <v>126.18</v>
      </c>
      <c r="G236" s="57">
        <f t="shared" si="8"/>
        <v>0</v>
      </c>
      <c r="H236" s="84">
        <v>1366005</v>
      </c>
      <c r="I236" s="60" t="s">
        <v>549</v>
      </c>
      <c r="J236" s="61" t="s">
        <v>17</v>
      </c>
      <c r="K236" s="61" t="s">
        <v>18</v>
      </c>
      <c r="L236" s="54">
        <v>99589981</v>
      </c>
      <c r="M236" s="461" t="s">
        <v>961</v>
      </c>
      <c r="N236" s="61" t="s">
        <v>966</v>
      </c>
    </row>
    <row r="237" spans="1:15" s="144" customFormat="1" x14ac:dyDescent="0.25">
      <c r="A237" s="54">
        <v>3809</v>
      </c>
      <c r="B237" s="55" t="s">
        <v>550</v>
      </c>
      <c r="C237" s="56">
        <v>513.9</v>
      </c>
      <c r="D237" s="57">
        <v>0.3</v>
      </c>
      <c r="E237" s="57">
        <f t="shared" si="7"/>
        <v>154.16999999999999</v>
      </c>
      <c r="F237" s="57">
        <f>153.91+0.26</f>
        <v>154.16999999999999</v>
      </c>
      <c r="G237" s="57">
        <f t="shared" si="8"/>
        <v>0</v>
      </c>
      <c r="H237" s="84">
        <v>10913998</v>
      </c>
      <c r="I237" s="60" t="s">
        <v>551</v>
      </c>
      <c r="J237" s="59" t="s">
        <v>25</v>
      </c>
      <c r="K237" s="60" t="s">
        <v>26</v>
      </c>
      <c r="L237" s="54">
        <v>99080863</v>
      </c>
      <c r="M237" s="61" t="s">
        <v>933</v>
      </c>
      <c r="N237" s="461">
        <v>46008</v>
      </c>
    </row>
    <row r="238" spans="1:15" x14ac:dyDescent="0.25">
      <c r="A238" s="22">
        <v>3810</v>
      </c>
      <c r="B238" s="464" t="s">
        <v>553</v>
      </c>
      <c r="C238" s="24">
        <v>232</v>
      </c>
      <c r="D238" s="25">
        <v>0.3</v>
      </c>
      <c r="E238" s="25">
        <f t="shared" si="7"/>
        <v>69.599999999999994</v>
      </c>
      <c r="F238" s="25"/>
      <c r="G238" s="25">
        <f t="shared" si="8"/>
        <v>69.599999999999994</v>
      </c>
      <c r="H238" s="471">
        <v>9442232</v>
      </c>
      <c r="I238" s="481" t="s">
        <v>554</v>
      </c>
      <c r="J238" s="485" t="s">
        <v>25</v>
      </c>
      <c r="K238" s="486" t="s">
        <v>26</v>
      </c>
      <c r="L238" s="465">
        <v>98255338</v>
      </c>
      <c r="M238" s="26"/>
    </row>
    <row r="239" spans="1:15" s="144" customFormat="1" x14ac:dyDescent="0.25">
      <c r="A239" s="54">
        <v>3811</v>
      </c>
      <c r="B239" s="55" t="s">
        <v>555</v>
      </c>
      <c r="C239" s="56">
        <v>250.4</v>
      </c>
      <c r="D239" s="57">
        <v>0.3</v>
      </c>
      <c r="E239" s="57">
        <f t="shared" si="7"/>
        <v>75.12</v>
      </c>
      <c r="F239" s="57">
        <f>E239</f>
        <v>75.12</v>
      </c>
      <c r="G239" s="57">
        <f t="shared" si="8"/>
        <v>0</v>
      </c>
      <c r="H239" s="84">
        <v>6865286</v>
      </c>
      <c r="I239" s="60" t="s">
        <v>556</v>
      </c>
      <c r="J239" s="58" t="s">
        <v>75</v>
      </c>
      <c r="K239" s="61" t="s">
        <v>76</v>
      </c>
      <c r="L239" s="54">
        <v>92441715</v>
      </c>
      <c r="M239" s="503">
        <v>45728</v>
      </c>
    </row>
    <row r="240" spans="1:15" s="144" customFormat="1" x14ac:dyDescent="0.25">
      <c r="A240" s="54">
        <v>3812</v>
      </c>
      <c r="B240" s="55" t="s">
        <v>557</v>
      </c>
      <c r="C240" s="56">
        <v>300.5</v>
      </c>
      <c r="D240" s="57">
        <v>0.3</v>
      </c>
      <c r="E240" s="57">
        <f t="shared" si="7"/>
        <v>90.149999999999991</v>
      </c>
      <c r="F240" s="57">
        <v>85.919999999999987</v>
      </c>
      <c r="G240" s="57">
        <f t="shared" si="8"/>
        <v>4.230000000000004</v>
      </c>
      <c r="H240" s="84">
        <v>2441718</v>
      </c>
      <c r="I240" s="60" t="s">
        <v>558</v>
      </c>
      <c r="J240" s="59" t="s">
        <v>25</v>
      </c>
      <c r="K240" s="60" t="s">
        <v>26</v>
      </c>
      <c r="L240" s="54"/>
      <c r="M240" s="61" t="s">
        <v>938</v>
      </c>
    </row>
    <row r="241" spans="1:15" s="79" customFormat="1" x14ac:dyDescent="0.25">
      <c r="A241" s="22">
        <v>3813</v>
      </c>
      <c r="B241" s="23" t="s">
        <v>559</v>
      </c>
      <c r="C241" s="24">
        <v>216</v>
      </c>
      <c r="D241" s="25">
        <v>0.3</v>
      </c>
      <c r="E241" s="25">
        <f t="shared" si="7"/>
        <v>64.8</v>
      </c>
      <c r="F241" s="25"/>
      <c r="G241" s="25">
        <f t="shared" si="8"/>
        <v>64.8</v>
      </c>
      <c r="H241" s="34">
        <v>18842378</v>
      </c>
      <c r="I241" s="214" t="s">
        <v>560</v>
      </c>
      <c r="J241" s="215" t="s">
        <v>25</v>
      </c>
      <c r="K241" s="214" t="s">
        <v>26</v>
      </c>
      <c r="L241" s="22">
        <v>91102135</v>
      </c>
      <c r="M241" s="26"/>
    </row>
    <row r="242" spans="1:15" x14ac:dyDescent="0.25">
      <c r="A242" s="22">
        <v>3814</v>
      </c>
      <c r="B242" s="33" t="s">
        <v>561</v>
      </c>
      <c r="C242" s="24">
        <v>270</v>
      </c>
      <c r="D242" s="25">
        <v>0.3</v>
      </c>
      <c r="E242" s="25">
        <f t="shared" si="7"/>
        <v>81</v>
      </c>
      <c r="F242" s="25"/>
      <c r="G242" s="25">
        <f t="shared" si="8"/>
        <v>81</v>
      </c>
      <c r="H242" s="83">
        <v>6998672</v>
      </c>
      <c r="I242" s="214" t="s">
        <v>562</v>
      </c>
      <c r="J242" s="478" t="s">
        <v>25</v>
      </c>
      <c r="K242" s="483" t="s">
        <v>26</v>
      </c>
      <c r="L242" s="22">
        <v>94051423</v>
      </c>
      <c r="M242" s="26"/>
    </row>
    <row r="243" spans="1:15" s="144" customFormat="1" x14ac:dyDescent="0.25">
      <c r="A243" s="54">
        <v>3815</v>
      </c>
      <c r="B243" s="55" t="s">
        <v>563</v>
      </c>
      <c r="C243" s="56">
        <v>207.1</v>
      </c>
      <c r="D243" s="57">
        <v>0.3</v>
      </c>
      <c r="E243" s="57">
        <f t="shared" si="7"/>
        <v>62.129999999999995</v>
      </c>
      <c r="F243" s="57">
        <f>61.03+1.1</f>
        <v>62.13</v>
      </c>
      <c r="G243" s="57">
        <f t="shared" si="8"/>
        <v>0</v>
      </c>
      <c r="H243" s="71">
        <v>24909353</v>
      </c>
      <c r="I243" s="72" t="s">
        <v>564</v>
      </c>
      <c r="J243" s="59" t="s">
        <v>25</v>
      </c>
      <c r="K243" s="60" t="s">
        <v>26</v>
      </c>
      <c r="L243" s="54">
        <v>97797883</v>
      </c>
      <c r="M243" s="61" t="s">
        <v>954</v>
      </c>
      <c r="N243" s="461">
        <v>46008</v>
      </c>
    </row>
    <row r="244" spans="1:15" x14ac:dyDescent="0.25">
      <c r="A244" s="22">
        <v>3816</v>
      </c>
      <c r="B244" s="33" t="s">
        <v>565</v>
      </c>
      <c r="C244" s="24">
        <v>285.10000000000002</v>
      </c>
      <c r="D244" s="25">
        <v>0.3</v>
      </c>
      <c r="E244" s="25">
        <f t="shared" si="7"/>
        <v>85.53</v>
      </c>
      <c r="F244" s="25"/>
      <c r="G244" s="25">
        <f t="shared" si="8"/>
        <v>85.53</v>
      </c>
      <c r="H244" s="34">
        <v>27389488</v>
      </c>
      <c r="I244" s="214" t="s">
        <v>566</v>
      </c>
      <c r="J244" s="473" t="s">
        <v>25</v>
      </c>
      <c r="K244" s="474" t="s">
        <v>26</v>
      </c>
      <c r="L244" s="22"/>
      <c r="M244" s="26"/>
    </row>
    <row r="245" spans="1:15" s="144" customFormat="1" x14ac:dyDescent="0.25">
      <c r="A245" s="54">
        <v>3817</v>
      </c>
      <c r="B245" s="55" t="s">
        <v>567</v>
      </c>
      <c r="C245" s="56">
        <v>393.2</v>
      </c>
      <c r="D245" s="57">
        <v>0.3</v>
      </c>
      <c r="E245" s="57">
        <f t="shared" si="7"/>
        <v>117.96</v>
      </c>
      <c r="F245" s="57">
        <f>117.24+0.72</f>
        <v>117.96</v>
      </c>
      <c r="G245" s="57">
        <f t="shared" si="8"/>
        <v>0</v>
      </c>
      <c r="H245" s="84">
        <v>7851322</v>
      </c>
      <c r="I245" s="60" t="s">
        <v>568</v>
      </c>
      <c r="J245" s="59" t="s">
        <v>25</v>
      </c>
      <c r="K245" s="60" t="s">
        <v>26</v>
      </c>
      <c r="L245" s="54">
        <v>96288881</v>
      </c>
      <c r="M245" s="61" t="s">
        <v>938</v>
      </c>
      <c r="N245" s="461" t="s">
        <v>965</v>
      </c>
    </row>
    <row r="246" spans="1:15" x14ac:dyDescent="0.25">
      <c r="A246" s="22">
        <v>3818</v>
      </c>
      <c r="B246" s="33" t="s">
        <v>569</v>
      </c>
      <c r="C246" s="45">
        <v>630</v>
      </c>
      <c r="D246" s="25">
        <v>0.3</v>
      </c>
      <c r="E246" s="25">
        <f t="shared" si="7"/>
        <v>189</v>
      </c>
      <c r="F246" s="25"/>
      <c r="G246" s="25">
        <f t="shared" si="8"/>
        <v>189</v>
      </c>
      <c r="H246" s="34">
        <v>2520858</v>
      </c>
      <c r="I246" s="214" t="s">
        <v>570</v>
      </c>
      <c r="J246" s="473" t="s">
        <v>25</v>
      </c>
      <c r="K246" s="474" t="s">
        <v>26</v>
      </c>
      <c r="L246" s="22">
        <v>99699976</v>
      </c>
      <c r="M246" s="26"/>
    </row>
    <row r="247" spans="1:15" s="144" customFormat="1" x14ac:dyDescent="0.25">
      <c r="A247" s="54">
        <v>3819</v>
      </c>
      <c r="B247" s="55" t="s">
        <v>571</v>
      </c>
      <c r="C247" s="56">
        <v>376.1</v>
      </c>
      <c r="D247" s="57">
        <v>0.3</v>
      </c>
      <c r="E247" s="57">
        <f t="shared" si="7"/>
        <v>112.83</v>
      </c>
      <c r="F247" s="57">
        <f>109.51+3.32</f>
        <v>112.83</v>
      </c>
      <c r="G247" s="57">
        <f t="shared" si="8"/>
        <v>0</v>
      </c>
      <c r="H247" s="84">
        <v>3952839</v>
      </c>
      <c r="I247" s="60" t="s">
        <v>572</v>
      </c>
      <c r="J247" s="61" t="s">
        <v>17</v>
      </c>
      <c r="K247" s="61" t="s">
        <v>18</v>
      </c>
      <c r="L247" s="54">
        <v>98856929</v>
      </c>
      <c r="M247" s="61" t="s">
        <v>940</v>
      </c>
      <c r="N247" s="461" t="s">
        <v>965</v>
      </c>
    </row>
    <row r="248" spans="1:15" s="144" customFormat="1" x14ac:dyDescent="0.25">
      <c r="A248" s="54">
        <v>3820</v>
      </c>
      <c r="B248" s="55" t="s">
        <v>573</v>
      </c>
      <c r="C248" s="56">
        <v>199.2</v>
      </c>
      <c r="D248" s="57">
        <v>0.3</v>
      </c>
      <c r="E248" s="57">
        <f t="shared" si="7"/>
        <v>59.759999999999991</v>
      </c>
      <c r="F248" s="57">
        <f>57.4953987730061+2.265</f>
        <v>59.760398773006102</v>
      </c>
      <c r="G248" s="57">
        <f t="shared" si="8"/>
        <v>-3.9877300611124156E-4</v>
      </c>
      <c r="H248" s="84">
        <v>20898806</v>
      </c>
      <c r="I248" s="60" t="s">
        <v>574</v>
      </c>
      <c r="J248" s="59" t="s">
        <v>25</v>
      </c>
      <c r="K248" s="60" t="s">
        <v>26</v>
      </c>
      <c r="L248" s="54">
        <v>95855255</v>
      </c>
      <c r="M248" s="461">
        <v>45788</v>
      </c>
      <c r="N248" s="61" t="s">
        <v>970</v>
      </c>
    </row>
    <row r="249" spans="1:15" s="79" customFormat="1" x14ac:dyDescent="0.25">
      <c r="A249" s="22">
        <v>3821</v>
      </c>
      <c r="B249" s="23" t="s">
        <v>575</v>
      </c>
      <c r="C249" s="24"/>
      <c r="D249" s="25">
        <v>0.3</v>
      </c>
      <c r="E249" s="25">
        <f t="shared" si="7"/>
        <v>0</v>
      </c>
      <c r="F249" s="25"/>
      <c r="G249" s="25">
        <f t="shared" si="8"/>
        <v>0</v>
      </c>
      <c r="H249" s="34">
        <v>5773746</v>
      </c>
      <c r="I249" s="214" t="s">
        <v>576</v>
      </c>
      <c r="J249" s="26" t="s">
        <v>210</v>
      </c>
      <c r="K249" s="216" t="s">
        <v>211</v>
      </c>
      <c r="L249" s="22">
        <v>96780867</v>
      </c>
      <c r="M249" s="26"/>
    </row>
    <row r="250" spans="1:15" s="144" customFormat="1" x14ac:dyDescent="0.25">
      <c r="A250" s="54">
        <v>3822</v>
      </c>
      <c r="B250" s="55" t="s">
        <v>577</v>
      </c>
      <c r="C250" s="56">
        <v>840.5</v>
      </c>
      <c r="D250" s="57">
        <v>0.3</v>
      </c>
      <c r="E250" s="57">
        <f t="shared" si="7"/>
        <v>252.14999999999998</v>
      </c>
      <c r="F250" s="57">
        <f>E250</f>
        <v>252.14999999999998</v>
      </c>
      <c r="G250" s="57">
        <f t="shared" si="8"/>
        <v>0</v>
      </c>
      <c r="H250" s="84">
        <v>1522824</v>
      </c>
      <c r="I250" s="60" t="s">
        <v>578</v>
      </c>
      <c r="J250" s="61" t="s">
        <v>43</v>
      </c>
      <c r="K250" s="60" t="s">
        <v>44</v>
      </c>
      <c r="L250" s="54">
        <v>92733857</v>
      </c>
      <c r="M250" s="61" t="s">
        <v>938</v>
      </c>
      <c r="N250" s="530" t="s">
        <v>939</v>
      </c>
    </row>
    <row r="251" spans="1:15" s="144" customFormat="1" x14ac:dyDescent="0.25">
      <c r="A251" s="54">
        <v>3823</v>
      </c>
      <c r="B251" s="55" t="s">
        <v>579</v>
      </c>
      <c r="C251" s="56">
        <v>255</v>
      </c>
      <c r="D251" s="57">
        <v>0.3</v>
      </c>
      <c r="E251" s="57">
        <f t="shared" si="7"/>
        <v>76.5</v>
      </c>
      <c r="F251" s="57">
        <f>73.9+2.6</f>
        <v>76.5</v>
      </c>
      <c r="G251" s="57">
        <f t="shared" si="8"/>
        <v>0</v>
      </c>
      <c r="H251" s="84">
        <v>865789</v>
      </c>
      <c r="I251" s="60" t="s">
        <v>580</v>
      </c>
      <c r="J251" s="59" t="s">
        <v>25</v>
      </c>
      <c r="K251" s="60" t="s">
        <v>26</v>
      </c>
      <c r="L251" s="54">
        <v>99366841</v>
      </c>
      <c r="M251" s="461">
        <v>45941</v>
      </c>
      <c r="N251" s="61" t="s">
        <v>966</v>
      </c>
    </row>
    <row r="252" spans="1:15" x14ac:dyDescent="0.25">
      <c r="A252" s="54">
        <v>3824</v>
      </c>
      <c r="B252" s="55" t="s">
        <v>914</v>
      </c>
      <c r="C252" s="56">
        <v>401.1</v>
      </c>
      <c r="D252" s="57">
        <v>0.3</v>
      </c>
      <c r="E252" s="57">
        <f t="shared" si="7"/>
        <v>120.33</v>
      </c>
      <c r="F252" s="57">
        <f>115.94+4.39</f>
        <v>120.33</v>
      </c>
      <c r="G252" s="57">
        <f t="shared" si="8"/>
        <v>0</v>
      </c>
      <c r="H252" s="84">
        <v>19875796</v>
      </c>
      <c r="I252" s="60" t="s">
        <v>915</v>
      </c>
      <c r="J252" s="59" t="s">
        <v>25</v>
      </c>
      <c r="K252" s="60" t="s">
        <v>26</v>
      </c>
      <c r="L252" s="54">
        <v>97778036</v>
      </c>
      <c r="M252" s="61" t="s">
        <v>938</v>
      </c>
      <c r="N252" s="61" t="s">
        <v>973</v>
      </c>
    </row>
    <row r="253" spans="1:15" x14ac:dyDescent="0.25">
      <c r="A253" s="22">
        <v>3827</v>
      </c>
      <c r="B253" s="33" t="s">
        <v>583</v>
      </c>
      <c r="C253" s="24">
        <v>825.1</v>
      </c>
      <c r="D253" s="25">
        <v>0.3</v>
      </c>
      <c r="E253" s="25">
        <f t="shared" si="7"/>
        <v>247.53</v>
      </c>
      <c r="F253" s="25">
        <f>245.21+2.32</f>
        <v>247.53</v>
      </c>
      <c r="G253" s="25">
        <f t="shared" si="8"/>
        <v>0</v>
      </c>
      <c r="H253" s="34">
        <v>19049113</v>
      </c>
      <c r="I253" s="214" t="s">
        <v>584</v>
      </c>
      <c r="J253" s="473" t="s">
        <v>25</v>
      </c>
      <c r="K253" s="474" t="s">
        <v>26</v>
      </c>
      <c r="L253" s="22">
        <v>97778037</v>
      </c>
      <c r="M253" s="61" t="s">
        <v>938</v>
      </c>
      <c r="N253" s="61" t="s">
        <v>973</v>
      </c>
    </row>
    <row r="254" spans="1:15" s="144" customFormat="1" x14ac:dyDescent="0.25">
      <c r="A254" s="54">
        <v>3828</v>
      </c>
      <c r="B254" s="55" t="s">
        <v>585</v>
      </c>
      <c r="C254" s="56">
        <v>185.8</v>
      </c>
      <c r="D254" s="57">
        <v>0.3</v>
      </c>
      <c r="E254" s="57">
        <f t="shared" si="7"/>
        <v>55.74</v>
      </c>
      <c r="F254" s="57">
        <f>0.0600000000000027+52.25+3.43</f>
        <v>55.74</v>
      </c>
      <c r="G254" s="57">
        <f t="shared" si="8"/>
        <v>0</v>
      </c>
      <c r="H254" s="84">
        <v>5520522</v>
      </c>
      <c r="I254" s="60" t="s">
        <v>586</v>
      </c>
      <c r="J254" s="58" t="s">
        <v>75</v>
      </c>
      <c r="K254" s="61" t="s">
        <v>76</v>
      </c>
      <c r="L254" s="54">
        <v>99589277</v>
      </c>
      <c r="M254" s="61" t="s">
        <v>927</v>
      </c>
      <c r="N254" s="461">
        <v>45788</v>
      </c>
      <c r="O254" s="61" t="s">
        <v>966</v>
      </c>
    </row>
    <row r="255" spans="1:15" x14ac:dyDescent="0.25">
      <c r="A255" s="22">
        <v>3829</v>
      </c>
      <c r="B255" s="33" t="s">
        <v>587</v>
      </c>
      <c r="C255" s="24">
        <v>204.5</v>
      </c>
      <c r="D255" s="25">
        <v>0.3</v>
      </c>
      <c r="E255" s="25">
        <f t="shared" si="7"/>
        <v>61.349999999999994</v>
      </c>
      <c r="F255" s="25"/>
      <c r="G255" s="25">
        <f t="shared" si="8"/>
        <v>61.349999999999994</v>
      </c>
      <c r="H255" s="34">
        <v>897384</v>
      </c>
      <c r="I255" s="214" t="s">
        <v>588</v>
      </c>
      <c r="J255" s="26" t="s">
        <v>17</v>
      </c>
      <c r="K255" s="26" t="s">
        <v>18</v>
      </c>
      <c r="L255" s="22"/>
      <c r="M255" s="26"/>
    </row>
    <row r="256" spans="1:15" s="144" customFormat="1" x14ac:dyDescent="0.25">
      <c r="A256" s="54">
        <v>3830</v>
      </c>
      <c r="B256" s="55" t="s">
        <v>589</v>
      </c>
      <c r="C256" s="56">
        <v>238.4</v>
      </c>
      <c r="D256" s="57">
        <v>0.3</v>
      </c>
      <c r="E256" s="57">
        <f t="shared" si="7"/>
        <v>71.52</v>
      </c>
      <c r="F256" s="57">
        <f>3.78999999999999+66.5+1.23</f>
        <v>71.52</v>
      </c>
      <c r="G256" s="57">
        <f t="shared" si="8"/>
        <v>0</v>
      </c>
      <c r="H256" s="84">
        <v>2153706</v>
      </c>
      <c r="I256" s="60" t="s">
        <v>590</v>
      </c>
      <c r="J256" s="59" t="s">
        <v>25</v>
      </c>
      <c r="K256" s="60" t="s">
        <v>26</v>
      </c>
      <c r="L256" s="54">
        <v>92740607</v>
      </c>
      <c r="M256" s="61" t="s">
        <v>930</v>
      </c>
      <c r="N256" s="144" t="s">
        <v>959</v>
      </c>
      <c r="O256" s="61" t="s">
        <v>966</v>
      </c>
    </row>
    <row r="257" spans="1:20" x14ac:dyDescent="0.25">
      <c r="A257" s="22">
        <v>3831</v>
      </c>
      <c r="B257" s="33" t="s">
        <v>591</v>
      </c>
      <c r="C257" s="24">
        <v>111.3</v>
      </c>
      <c r="D257" s="25">
        <v>0.3</v>
      </c>
      <c r="E257" s="25">
        <f t="shared" si="7"/>
        <v>33.39</v>
      </c>
      <c r="F257" s="25"/>
      <c r="G257" s="25">
        <f t="shared" si="8"/>
        <v>33.39</v>
      </c>
      <c r="H257" s="34">
        <v>873604</v>
      </c>
      <c r="I257" s="214" t="s">
        <v>592</v>
      </c>
      <c r="J257" s="26" t="s">
        <v>17</v>
      </c>
      <c r="K257" s="26" t="s">
        <v>18</v>
      </c>
      <c r="L257" s="22">
        <v>98145449</v>
      </c>
      <c r="M257" s="26"/>
    </row>
    <row r="258" spans="1:20" s="144" customFormat="1" x14ac:dyDescent="0.25">
      <c r="A258" s="54">
        <v>3832</v>
      </c>
      <c r="B258" s="55" t="s">
        <v>792</v>
      </c>
      <c r="C258" s="56">
        <v>32.5</v>
      </c>
      <c r="D258" s="57">
        <v>0.3</v>
      </c>
      <c r="E258" s="57">
        <f t="shared" si="7"/>
        <v>9.75</v>
      </c>
      <c r="F258" s="57">
        <f>6.77+2.98</f>
        <v>9.75</v>
      </c>
      <c r="G258" s="57">
        <f t="shared" si="8"/>
        <v>0</v>
      </c>
      <c r="H258" s="84">
        <v>1985192</v>
      </c>
      <c r="I258" s="512" t="s">
        <v>840</v>
      </c>
      <c r="J258" s="513" t="s">
        <v>25</v>
      </c>
      <c r="K258" s="512" t="s">
        <v>26</v>
      </c>
      <c r="L258" s="54">
        <v>99695515</v>
      </c>
      <c r="M258" s="461">
        <v>45788</v>
      </c>
      <c r="N258" s="61" t="s">
        <v>966</v>
      </c>
    </row>
    <row r="259" spans="1:20" x14ac:dyDescent="0.25">
      <c r="A259" s="22">
        <v>3833</v>
      </c>
      <c r="B259" s="33" t="s">
        <v>593</v>
      </c>
      <c r="C259" s="24">
        <v>255</v>
      </c>
      <c r="D259" s="25">
        <v>0.3</v>
      </c>
      <c r="E259" s="25">
        <f t="shared" si="7"/>
        <v>76.5</v>
      </c>
      <c r="F259" s="25">
        <v>74.820000000000036</v>
      </c>
      <c r="G259" s="25">
        <f t="shared" si="8"/>
        <v>1.6799999999999642</v>
      </c>
      <c r="H259" s="34">
        <v>19179619</v>
      </c>
      <c r="I259" s="214" t="s">
        <v>594</v>
      </c>
      <c r="J259" s="26" t="s">
        <v>17</v>
      </c>
      <c r="K259" s="26" t="s">
        <v>18</v>
      </c>
      <c r="L259" s="22">
        <v>91133123</v>
      </c>
      <c r="M259" s="61" t="s">
        <v>938</v>
      </c>
    </row>
    <row r="260" spans="1:20" x14ac:dyDescent="0.25">
      <c r="A260" s="542">
        <v>3834</v>
      </c>
      <c r="B260" s="543" t="s">
        <v>595</v>
      </c>
      <c r="C260" s="544">
        <v>467</v>
      </c>
      <c r="D260" s="545">
        <v>0.3</v>
      </c>
      <c r="E260" s="545">
        <f t="shared" ref="E260:E312" si="9">D260*C260</f>
        <v>140.1</v>
      </c>
      <c r="F260" s="545">
        <f>2.73000000000002+116.01+21.36</f>
        <v>140.10000000000002</v>
      </c>
      <c r="G260" s="25">
        <f t="shared" si="8"/>
        <v>0</v>
      </c>
      <c r="H260" s="34">
        <v>5544756</v>
      </c>
      <c r="I260" s="214" t="s">
        <v>596</v>
      </c>
      <c r="J260" s="473" t="s">
        <v>25</v>
      </c>
      <c r="K260" s="474" t="s">
        <v>26</v>
      </c>
      <c r="L260" s="22">
        <v>92444788</v>
      </c>
      <c r="M260" s="61" t="s">
        <v>938</v>
      </c>
      <c r="N260" t="s">
        <v>957</v>
      </c>
      <c r="T260" s="61" t="s">
        <v>966</v>
      </c>
    </row>
    <row r="261" spans="1:20" s="170" customFormat="1" x14ac:dyDescent="0.25">
      <c r="A261" s="115">
        <v>3835</v>
      </c>
      <c r="B261" s="116" t="s">
        <v>598</v>
      </c>
      <c r="C261" s="117">
        <v>182.7</v>
      </c>
      <c r="D261" s="118">
        <v>0.3</v>
      </c>
      <c r="E261" s="118">
        <f t="shared" si="9"/>
        <v>54.809999999999995</v>
      </c>
      <c r="F261" s="118">
        <f>E261</f>
        <v>54.809999999999995</v>
      </c>
      <c r="G261" s="118">
        <f t="shared" si="8"/>
        <v>0</v>
      </c>
      <c r="H261" s="119">
        <v>781845</v>
      </c>
      <c r="I261" s="120" t="s">
        <v>599</v>
      </c>
      <c r="J261" s="125" t="s">
        <v>17</v>
      </c>
      <c r="K261" s="125" t="s">
        <v>18</v>
      </c>
      <c r="L261" s="115">
        <v>99297720</v>
      </c>
      <c r="M261" s="125" t="s">
        <v>946</v>
      </c>
    </row>
    <row r="262" spans="1:20" s="144" customFormat="1" x14ac:dyDescent="0.25">
      <c r="A262" s="54">
        <v>3836</v>
      </c>
      <c r="B262" s="55" t="s">
        <v>600</v>
      </c>
      <c r="C262" s="56">
        <v>138.80000000000001</v>
      </c>
      <c r="D262" s="57">
        <v>0.3</v>
      </c>
      <c r="E262" s="57">
        <f t="shared" si="9"/>
        <v>41.64</v>
      </c>
      <c r="F262" s="57">
        <f>39.93+1.71</f>
        <v>41.64</v>
      </c>
      <c r="G262" s="57">
        <f t="shared" si="8"/>
        <v>0</v>
      </c>
      <c r="H262" s="84">
        <v>20264434</v>
      </c>
      <c r="I262" s="60" t="s">
        <v>601</v>
      </c>
      <c r="J262" s="59" t="s">
        <v>25</v>
      </c>
      <c r="K262" s="60" t="s">
        <v>26</v>
      </c>
      <c r="L262" s="54"/>
      <c r="M262" s="61" t="s">
        <v>938</v>
      </c>
      <c r="N262" s="61" t="s">
        <v>966</v>
      </c>
    </row>
    <row r="263" spans="1:20" x14ac:dyDescent="0.25">
      <c r="A263" s="22">
        <v>3837</v>
      </c>
      <c r="B263" s="33" t="s">
        <v>602</v>
      </c>
      <c r="C263" s="24">
        <v>250.1</v>
      </c>
      <c r="D263" s="25">
        <v>0.3</v>
      </c>
      <c r="E263" s="25">
        <f t="shared" si="9"/>
        <v>75.03</v>
      </c>
      <c r="F263" s="25"/>
      <c r="G263" s="25">
        <f t="shared" si="8"/>
        <v>75.03</v>
      </c>
      <c r="H263" s="34">
        <v>1935947</v>
      </c>
      <c r="I263" s="214" t="s">
        <v>603</v>
      </c>
      <c r="J263" s="473" t="s">
        <v>25</v>
      </c>
      <c r="K263" s="474" t="s">
        <v>26</v>
      </c>
      <c r="L263" s="22">
        <v>99499566</v>
      </c>
      <c r="M263" s="26"/>
    </row>
    <row r="264" spans="1:20" s="144" customFormat="1" x14ac:dyDescent="0.25">
      <c r="A264" s="54">
        <v>3838</v>
      </c>
      <c r="B264" s="55" t="s">
        <v>604</v>
      </c>
      <c r="C264" s="56">
        <v>238</v>
      </c>
      <c r="D264" s="57">
        <v>0.3</v>
      </c>
      <c r="E264" s="57">
        <f t="shared" si="9"/>
        <v>71.399999999999991</v>
      </c>
      <c r="F264" s="57">
        <v>3.819999999999979</v>
      </c>
      <c r="G264" s="57">
        <f t="shared" si="8"/>
        <v>67.580000000000013</v>
      </c>
      <c r="H264" s="84">
        <v>18553115</v>
      </c>
      <c r="I264" s="60" t="s">
        <v>605</v>
      </c>
      <c r="J264" s="59" t="s">
        <v>25</v>
      </c>
      <c r="K264" s="60" t="s">
        <v>26</v>
      </c>
      <c r="L264" s="54"/>
      <c r="M264" s="61" t="s">
        <v>933</v>
      </c>
    </row>
    <row r="265" spans="1:20" s="144" customFormat="1" x14ac:dyDescent="0.25">
      <c r="A265" s="54">
        <v>3839</v>
      </c>
      <c r="B265" s="55" t="s">
        <v>606</v>
      </c>
      <c r="C265" s="56">
        <v>1060.2</v>
      </c>
      <c r="D265" s="57">
        <v>0.3</v>
      </c>
      <c r="E265" s="57">
        <f t="shared" si="9"/>
        <v>318.06</v>
      </c>
      <c r="F265" s="57">
        <f>314.32+3.74</f>
        <v>318.06</v>
      </c>
      <c r="G265" s="57">
        <f t="shared" si="8"/>
        <v>0</v>
      </c>
      <c r="H265" s="84">
        <v>22799311</v>
      </c>
      <c r="I265" s="60" t="s">
        <v>607</v>
      </c>
      <c r="J265" s="59" t="s">
        <v>25</v>
      </c>
      <c r="K265" s="60" t="s">
        <v>26</v>
      </c>
      <c r="L265" s="54"/>
      <c r="M265" s="61" t="s">
        <v>938</v>
      </c>
      <c r="N265" s="61" t="s">
        <v>966</v>
      </c>
    </row>
    <row r="266" spans="1:20" s="144" customFormat="1" x14ac:dyDescent="0.25">
      <c r="A266" s="54">
        <v>3840</v>
      </c>
      <c r="B266" s="55" t="s">
        <v>608</v>
      </c>
      <c r="C266" s="56">
        <v>366.7</v>
      </c>
      <c r="D266" s="57">
        <v>0.3</v>
      </c>
      <c r="E266" s="57">
        <f t="shared" si="9"/>
        <v>110.00999999999999</v>
      </c>
      <c r="F266" s="57">
        <f>108.58+1.43</f>
        <v>110.01</v>
      </c>
      <c r="G266" s="57">
        <f t="shared" si="8"/>
        <v>0</v>
      </c>
      <c r="H266" s="84">
        <v>19777334</v>
      </c>
      <c r="I266" s="60" t="s">
        <v>609</v>
      </c>
      <c r="J266" s="59" t="s">
        <v>25</v>
      </c>
      <c r="K266" s="60" t="s">
        <v>26</v>
      </c>
      <c r="L266" s="54"/>
      <c r="M266" s="461">
        <v>45727</v>
      </c>
      <c r="N266" s="461" t="s">
        <v>965</v>
      </c>
    </row>
    <row r="267" spans="1:20" x14ac:dyDescent="0.25">
      <c r="A267" s="22">
        <v>3841</v>
      </c>
      <c r="B267" s="33" t="s">
        <v>610</v>
      </c>
      <c r="C267" s="24">
        <v>504</v>
      </c>
      <c r="D267" s="25">
        <v>0.3</v>
      </c>
      <c r="E267" s="25">
        <f t="shared" si="9"/>
        <v>151.19999999999999</v>
      </c>
      <c r="F267" s="25"/>
      <c r="G267" s="25">
        <f t="shared" si="8"/>
        <v>151.19999999999999</v>
      </c>
      <c r="H267" s="34">
        <v>2538202</v>
      </c>
      <c r="I267" s="214" t="s">
        <v>611</v>
      </c>
      <c r="J267" s="216" t="s">
        <v>75</v>
      </c>
      <c r="K267" s="26" t="s">
        <v>76</v>
      </c>
      <c r="L267" s="22">
        <v>92735668</v>
      </c>
      <c r="M267" s="26"/>
    </row>
    <row r="268" spans="1:20" s="144" customFormat="1" x14ac:dyDescent="0.25">
      <c r="A268" s="54">
        <v>3843</v>
      </c>
      <c r="B268" s="55" t="s">
        <v>612</v>
      </c>
      <c r="C268" s="56">
        <v>707</v>
      </c>
      <c r="D268" s="57">
        <v>0.3</v>
      </c>
      <c r="E268" s="57">
        <f t="shared" si="9"/>
        <v>212.1</v>
      </c>
      <c r="F268" s="57">
        <v>206.78</v>
      </c>
      <c r="G268" s="57">
        <f t="shared" si="8"/>
        <v>5.3199999999999932</v>
      </c>
      <c r="H268" s="84">
        <v>19564247</v>
      </c>
      <c r="I268" s="60" t="s">
        <v>613</v>
      </c>
      <c r="J268" s="59" t="s">
        <v>25</v>
      </c>
      <c r="K268" s="60" t="s">
        <v>26</v>
      </c>
      <c r="L268" s="54"/>
      <c r="M268" s="61" t="s">
        <v>954</v>
      </c>
    </row>
    <row r="269" spans="1:20" s="144" customFormat="1" x14ac:dyDescent="0.25">
      <c r="A269" s="54">
        <v>3844</v>
      </c>
      <c r="B269" s="55" t="s">
        <v>614</v>
      </c>
      <c r="C269" s="56">
        <v>1102.3</v>
      </c>
      <c r="D269" s="57">
        <v>0.3</v>
      </c>
      <c r="E269" s="57">
        <f t="shared" si="9"/>
        <v>330.69</v>
      </c>
      <c r="F269" s="57">
        <f>328.99+1.7</f>
        <v>330.69</v>
      </c>
      <c r="G269" s="57">
        <f t="shared" si="8"/>
        <v>0</v>
      </c>
      <c r="H269" s="84">
        <v>1036602</v>
      </c>
      <c r="I269" s="60" t="s">
        <v>615</v>
      </c>
      <c r="J269" s="61" t="s">
        <v>43</v>
      </c>
      <c r="K269" s="60" t="s">
        <v>44</v>
      </c>
      <c r="L269" s="54">
        <v>98112999</v>
      </c>
      <c r="M269" s="61" t="s">
        <v>938</v>
      </c>
      <c r="N269" s="61" t="s">
        <v>966</v>
      </c>
    </row>
    <row r="270" spans="1:20" s="144" customFormat="1" x14ac:dyDescent="0.25">
      <c r="A270" s="54">
        <v>3845</v>
      </c>
      <c r="B270" s="55" t="s">
        <v>616</v>
      </c>
      <c r="C270" s="56">
        <v>1024.0999999999999</v>
      </c>
      <c r="D270" s="57">
        <v>0.3</v>
      </c>
      <c r="E270" s="57">
        <f t="shared" si="9"/>
        <v>307.22999999999996</v>
      </c>
      <c r="F270" s="57">
        <f>303.23+4</f>
        <v>307.23</v>
      </c>
      <c r="G270" s="57">
        <f t="shared" si="8"/>
        <v>0</v>
      </c>
      <c r="H270" s="84">
        <v>1432563</v>
      </c>
      <c r="I270" s="60" t="s">
        <v>617</v>
      </c>
      <c r="J270" s="61" t="s">
        <v>17</v>
      </c>
      <c r="K270" s="61" t="s">
        <v>18</v>
      </c>
      <c r="L270" s="54"/>
      <c r="M270" s="61" t="s">
        <v>938</v>
      </c>
      <c r="N270" s="61" t="s">
        <v>966</v>
      </c>
    </row>
    <row r="271" spans="1:20" x14ac:dyDescent="0.25">
      <c r="A271" s="22">
        <v>3846</v>
      </c>
      <c r="B271" s="33" t="s">
        <v>618</v>
      </c>
      <c r="C271" s="24">
        <v>252</v>
      </c>
      <c r="D271" s="25">
        <v>0.3</v>
      </c>
      <c r="E271" s="25">
        <f t="shared" si="9"/>
        <v>75.599999999999994</v>
      </c>
      <c r="F271" s="25">
        <f>E271</f>
        <v>75.599999999999994</v>
      </c>
      <c r="G271" s="25">
        <f t="shared" si="8"/>
        <v>0</v>
      </c>
      <c r="H271" s="34">
        <v>8115103</v>
      </c>
      <c r="I271" s="214" t="s">
        <v>619</v>
      </c>
      <c r="J271" s="216" t="s">
        <v>75</v>
      </c>
      <c r="K271" s="26" t="s">
        <v>76</v>
      </c>
      <c r="L271" s="22">
        <v>99298488</v>
      </c>
      <c r="M271" s="61" t="s">
        <v>955</v>
      </c>
    </row>
    <row r="272" spans="1:20" x14ac:dyDescent="0.25">
      <c r="A272" s="22">
        <v>3847</v>
      </c>
      <c r="B272" s="33" t="s">
        <v>620</v>
      </c>
      <c r="C272" s="24">
        <v>1098</v>
      </c>
      <c r="D272" s="25">
        <v>0.3</v>
      </c>
      <c r="E272" s="25">
        <f t="shared" si="9"/>
        <v>329.4</v>
      </c>
      <c r="F272" s="25"/>
      <c r="G272" s="25">
        <f t="shared" si="8"/>
        <v>329.4</v>
      </c>
      <c r="H272" s="34">
        <v>238234</v>
      </c>
      <c r="I272" s="214" t="s">
        <v>621</v>
      </c>
      <c r="J272" s="473" t="s">
        <v>25</v>
      </c>
      <c r="K272" s="474" t="s">
        <v>26</v>
      </c>
      <c r="L272" s="22">
        <v>99495154</v>
      </c>
      <c r="M272" s="26"/>
    </row>
    <row r="273" spans="1:15" s="144" customFormat="1" x14ac:dyDescent="0.25">
      <c r="A273" s="54">
        <v>3848</v>
      </c>
      <c r="B273" s="55" t="s">
        <v>622</v>
      </c>
      <c r="C273" s="56">
        <v>984.5</v>
      </c>
      <c r="D273" s="57">
        <v>0.3</v>
      </c>
      <c r="E273" s="57">
        <f t="shared" si="9"/>
        <v>295.34999999999997</v>
      </c>
      <c r="F273" s="57">
        <f>290.68+4.67</f>
        <v>295.35000000000002</v>
      </c>
      <c r="G273" s="57">
        <f t="shared" ref="G273:G312" si="10">E273-F273</f>
        <v>0</v>
      </c>
      <c r="H273" s="84">
        <v>19231852</v>
      </c>
      <c r="I273" s="60" t="s">
        <v>623</v>
      </c>
      <c r="J273" s="61" t="s">
        <v>43</v>
      </c>
      <c r="K273" s="60" t="s">
        <v>44</v>
      </c>
      <c r="L273" s="54">
        <v>92341000</v>
      </c>
      <c r="M273" s="61" t="s">
        <v>940</v>
      </c>
      <c r="N273" s="461">
        <v>46008</v>
      </c>
    </row>
    <row r="274" spans="1:15" s="144" customFormat="1" x14ac:dyDescent="0.25">
      <c r="A274" s="54">
        <v>3849</v>
      </c>
      <c r="B274" s="55" t="s">
        <v>624</v>
      </c>
      <c r="C274" s="56">
        <v>235.4</v>
      </c>
      <c r="D274" s="57">
        <v>0.3</v>
      </c>
      <c r="E274" s="57">
        <f t="shared" si="9"/>
        <v>70.62</v>
      </c>
      <c r="F274" s="57">
        <v>67.640000000000015</v>
      </c>
      <c r="G274" s="57">
        <f t="shared" si="10"/>
        <v>2.9799999999999898</v>
      </c>
      <c r="H274" s="468">
        <v>18693727</v>
      </c>
      <c r="I274" s="567" t="s">
        <v>625</v>
      </c>
      <c r="J274" s="61" t="s">
        <v>17</v>
      </c>
      <c r="K274" s="61" t="s">
        <v>18</v>
      </c>
      <c r="L274" s="54">
        <v>93264185</v>
      </c>
      <c r="M274" s="61" t="s">
        <v>940</v>
      </c>
    </row>
    <row r="275" spans="1:15" s="144" customFormat="1" x14ac:dyDescent="0.25">
      <c r="A275" s="54">
        <v>3850</v>
      </c>
      <c r="B275" s="55" t="s">
        <v>626</v>
      </c>
      <c r="C275" s="56">
        <v>422.2</v>
      </c>
      <c r="D275" s="57">
        <v>0.3</v>
      </c>
      <c r="E275" s="57">
        <f t="shared" si="9"/>
        <v>126.66</v>
      </c>
      <c r="F275" s="57">
        <f>4.18000000000002+122.48</f>
        <v>126.66000000000003</v>
      </c>
      <c r="G275" s="57">
        <f t="shared" si="10"/>
        <v>0</v>
      </c>
      <c r="H275" s="84">
        <v>5742985</v>
      </c>
      <c r="I275" s="60" t="s">
        <v>627</v>
      </c>
      <c r="J275" s="59" t="s">
        <v>25</v>
      </c>
      <c r="K275" s="60" t="s">
        <v>26</v>
      </c>
      <c r="L275" s="54">
        <v>93693543</v>
      </c>
      <c r="M275" s="461">
        <v>45727</v>
      </c>
      <c r="N275" s="461">
        <v>46002</v>
      </c>
    </row>
    <row r="276" spans="1:15" x14ac:dyDescent="0.25">
      <c r="A276" s="22">
        <v>3851</v>
      </c>
      <c r="B276" s="33" t="s">
        <v>629</v>
      </c>
      <c r="C276" s="24">
        <v>179.1</v>
      </c>
      <c r="D276" s="25">
        <v>0.3</v>
      </c>
      <c r="E276" s="25">
        <f t="shared" si="9"/>
        <v>53.73</v>
      </c>
      <c r="F276" s="25">
        <v>51.310000000000016</v>
      </c>
      <c r="G276" s="25">
        <f t="shared" si="10"/>
        <v>2.4199999999999804</v>
      </c>
      <c r="H276" s="34">
        <v>22766611</v>
      </c>
      <c r="I276" s="214" t="s">
        <v>630</v>
      </c>
      <c r="J276" s="214" t="s">
        <v>257</v>
      </c>
      <c r="K276" s="214" t="s">
        <v>258</v>
      </c>
      <c r="L276" s="22">
        <v>92688007</v>
      </c>
      <c r="M276" s="461">
        <v>45727</v>
      </c>
    </row>
    <row r="277" spans="1:15" x14ac:dyDescent="0.25">
      <c r="A277" s="22">
        <v>3852</v>
      </c>
      <c r="B277" s="33" t="s">
        <v>631</v>
      </c>
      <c r="C277" s="24">
        <v>290.5</v>
      </c>
      <c r="D277" s="25">
        <v>0.3</v>
      </c>
      <c r="E277" s="25">
        <f t="shared" si="9"/>
        <v>87.149999999999991</v>
      </c>
      <c r="F277" s="25"/>
      <c r="G277" s="25">
        <f t="shared" si="10"/>
        <v>87.149999999999991</v>
      </c>
      <c r="H277" s="34">
        <v>8827979</v>
      </c>
      <c r="I277" s="214" t="s">
        <v>632</v>
      </c>
      <c r="J277" s="473" t="s">
        <v>25</v>
      </c>
      <c r="K277" s="474" t="s">
        <v>26</v>
      </c>
      <c r="L277" s="22">
        <v>92698971</v>
      </c>
      <c r="M277" s="26"/>
    </row>
    <row r="278" spans="1:15" s="144" customFormat="1" x14ac:dyDescent="0.25">
      <c r="A278" s="54">
        <v>3853</v>
      </c>
      <c r="B278" s="55" t="s">
        <v>633</v>
      </c>
      <c r="C278" s="56">
        <v>193.8</v>
      </c>
      <c r="D278" s="57">
        <v>0.3</v>
      </c>
      <c r="E278" s="57">
        <f t="shared" si="9"/>
        <v>58.14</v>
      </c>
      <c r="F278" s="57">
        <f>3.00999999999998+52.25</f>
        <v>55.259999999999977</v>
      </c>
      <c r="G278" s="57">
        <f t="shared" si="10"/>
        <v>2.8800000000000239</v>
      </c>
      <c r="H278" s="84">
        <v>5857446</v>
      </c>
      <c r="I278" s="60" t="s">
        <v>634</v>
      </c>
      <c r="J278" s="59" t="s">
        <v>25</v>
      </c>
      <c r="K278" s="60" t="s">
        <v>26</v>
      </c>
      <c r="L278" s="54">
        <v>97799611</v>
      </c>
      <c r="M278" s="61" t="s">
        <v>933</v>
      </c>
      <c r="N278" s="61" t="s">
        <v>940</v>
      </c>
    </row>
    <row r="279" spans="1:15" s="144" customFormat="1" x14ac:dyDescent="0.25">
      <c r="A279" s="54">
        <v>3854</v>
      </c>
      <c r="B279" s="55" t="s">
        <v>635</v>
      </c>
      <c r="C279" s="56">
        <v>213.6</v>
      </c>
      <c r="D279" s="57">
        <v>0.3</v>
      </c>
      <c r="E279" s="57">
        <f t="shared" si="9"/>
        <v>64.08</v>
      </c>
      <c r="F279" s="57">
        <v>59.539999999999992</v>
      </c>
      <c r="G279" s="57">
        <f t="shared" si="10"/>
        <v>4.5400000000000063</v>
      </c>
      <c r="H279" s="84">
        <v>1085838</v>
      </c>
      <c r="I279" s="60" t="s">
        <v>636</v>
      </c>
      <c r="J279" s="60" t="s">
        <v>166</v>
      </c>
      <c r="K279" s="61" t="s">
        <v>129</v>
      </c>
      <c r="L279" s="54">
        <v>92928848</v>
      </c>
      <c r="M279" s="61" t="s">
        <v>938</v>
      </c>
    </row>
    <row r="280" spans="1:15" s="144" customFormat="1" x14ac:dyDescent="0.25">
      <c r="A280" s="54">
        <v>3855</v>
      </c>
      <c r="B280" s="55" t="s">
        <v>637</v>
      </c>
      <c r="C280" s="56">
        <v>301.89999999999998</v>
      </c>
      <c r="D280" s="57">
        <v>0.3</v>
      </c>
      <c r="E280" s="57">
        <f t="shared" si="9"/>
        <v>90.57</v>
      </c>
      <c r="F280" s="57">
        <f>1.63999999999999+85.5+3.43</f>
        <v>90.57</v>
      </c>
      <c r="G280" s="57">
        <f t="shared" si="10"/>
        <v>0</v>
      </c>
      <c r="H280" s="84">
        <v>4948259</v>
      </c>
      <c r="I280" s="60" t="s">
        <v>638</v>
      </c>
      <c r="J280" s="59" t="s">
        <v>25</v>
      </c>
      <c r="K280" s="60" t="s">
        <v>26</v>
      </c>
      <c r="L280" s="54">
        <v>98252880</v>
      </c>
      <c r="M280" s="61" t="s">
        <v>930</v>
      </c>
      <c r="N280" s="461">
        <v>45727</v>
      </c>
      <c r="O280" s="61" t="s">
        <v>966</v>
      </c>
    </row>
    <row r="281" spans="1:15" x14ac:dyDescent="0.25">
      <c r="A281" s="22">
        <v>3856</v>
      </c>
      <c r="B281" s="33" t="s">
        <v>639</v>
      </c>
      <c r="C281" s="24">
        <v>128.69999999999999</v>
      </c>
      <c r="D281" s="25">
        <v>0.3</v>
      </c>
      <c r="E281" s="25">
        <f t="shared" si="9"/>
        <v>38.609999999999992</v>
      </c>
      <c r="F281" s="25"/>
      <c r="G281" s="25">
        <f t="shared" si="10"/>
        <v>38.609999999999992</v>
      </c>
      <c r="H281" s="34">
        <v>15097631</v>
      </c>
      <c r="I281" s="214" t="s">
        <v>640</v>
      </c>
      <c r="J281" s="473" t="s">
        <v>25</v>
      </c>
      <c r="K281" s="474" t="s">
        <v>26</v>
      </c>
      <c r="L281" s="22">
        <v>93262015</v>
      </c>
      <c r="M281" s="26"/>
    </row>
    <row r="282" spans="1:15" s="144" customFormat="1" x14ac:dyDescent="0.25">
      <c r="A282" s="54">
        <v>3857</v>
      </c>
      <c r="B282" s="55" t="s">
        <v>36</v>
      </c>
      <c r="C282" s="56">
        <v>522.9</v>
      </c>
      <c r="D282" s="57">
        <v>0.3</v>
      </c>
      <c r="E282" s="57">
        <f t="shared" si="9"/>
        <v>156.86999999999998</v>
      </c>
      <c r="F282" s="57">
        <f>156.32+0.55</f>
        <v>156.87</v>
      </c>
      <c r="G282" s="57">
        <f t="shared" si="10"/>
        <v>0</v>
      </c>
      <c r="H282" s="84">
        <v>28903474</v>
      </c>
      <c r="I282" s="60" t="s">
        <v>37</v>
      </c>
      <c r="J282" s="61" t="s">
        <v>17</v>
      </c>
      <c r="K282" s="61" t="s">
        <v>18</v>
      </c>
      <c r="L282" s="54">
        <v>77588901</v>
      </c>
      <c r="M282" s="461">
        <v>45727</v>
      </c>
      <c r="N282" s="461" t="s">
        <v>965</v>
      </c>
    </row>
    <row r="283" spans="1:15" x14ac:dyDescent="0.25">
      <c r="A283" s="54">
        <v>3858</v>
      </c>
      <c r="B283" s="55" t="s">
        <v>641</v>
      </c>
      <c r="C283" s="56">
        <v>270</v>
      </c>
      <c r="D283" s="57">
        <v>0.3</v>
      </c>
      <c r="E283" s="57">
        <f t="shared" si="9"/>
        <v>81</v>
      </c>
      <c r="F283" s="57">
        <f>76.6+4.4</f>
        <v>81</v>
      </c>
      <c r="G283" s="57">
        <f t="shared" si="10"/>
        <v>0</v>
      </c>
      <c r="H283" s="84">
        <v>18451569</v>
      </c>
      <c r="I283" s="60" t="s">
        <v>642</v>
      </c>
      <c r="J283" s="59" t="s">
        <v>25</v>
      </c>
      <c r="K283" s="60" t="s">
        <v>26</v>
      </c>
      <c r="L283" s="54">
        <v>99298699</v>
      </c>
      <c r="M283" s="461">
        <v>45727</v>
      </c>
      <c r="N283" s="461">
        <v>46002</v>
      </c>
    </row>
    <row r="284" spans="1:15" x14ac:dyDescent="0.25">
      <c r="A284" s="22">
        <v>3859</v>
      </c>
      <c r="B284" s="33" t="s">
        <v>442</v>
      </c>
      <c r="C284" s="24">
        <v>473.2</v>
      </c>
      <c r="D284" s="25">
        <v>0.3</v>
      </c>
      <c r="E284" s="25">
        <f t="shared" si="9"/>
        <v>141.95999999999998</v>
      </c>
      <c r="F284" s="25"/>
      <c r="G284" s="25">
        <f t="shared" si="10"/>
        <v>141.95999999999998</v>
      </c>
      <c r="H284" s="34">
        <v>6038764</v>
      </c>
      <c r="I284" s="214" t="s">
        <v>643</v>
      </c>
      <c r="J284" s="26" t="s">
        <v>17</v>
      </c>
      <c r="K284" s="26" t="s">
        <v>18</v>
      </c>
      <c r="L284" s="22">
        <v>98525646</v>
      </c>
      <c r="M284" s="26"/>
    </row>
    <row r="285" spans="1:15" x14ac:dyDescent="0.25">
      <c r="A285" s="22">
        <v>3860</v>
      </c>
      <c r="B285" s="33" t="s">
        <v>644</v>
      </c>
      <c r="C285" s="24">
        <v>250.2</v>
      </c>
      <c r="D285" s="25">
        <v>0.3</v>
      </c>
      <c r="E285" s="25">
        <f t="shared" si="9"/>
        <v>75.059999999999988</v>
      </c>
      <c r="F285" s="25">
        <v>72.269999999999982</v>
      </c>
      <c r="G285" s="25">
        <f t="shared" si="10"/>
        <v>2.7900000000000063</v>
      </c>
      <c r="H285" s="34">
        <v>6132261</v>
      </c>
      <c r="I285" s="214" t="s">
        <v>916</v>
      </c>
      <c r="J285" s="473" t="s">
        <v>25</v>
      </c>
      <c r="K285" s="474" t="s">
        <v>26</v>
      </c>
      <c r="L285" s="22">
        <v>92527857</v>
      </c>
      <c r="M285" s="461">
        <v>45788</v>
      </c>
    </row>
    <row r="286" spans="1:15" x14ac:dyDescent="0.25">
      <c r="A286" s="22">
        <v>3861</v>
      </c>
      <c r="B286" s="33" t="s">
        <v>646</v>
      </c>
      <c r="C286" s="24">
        <v>299.10000000000002</v>
      </c>
      <c r="D286" s="25">
        <v>0.3</v>
      </c>
      <c r="E286" s="25">
        <f t="shared" si="9"/>
        <v>89.73</v>
      </c>
      <c r="F286" s="25">
        <f>89.45+0.28</f>
        <v>89.73</v>
      </c>
      <c r="G286" s="25">
        <f t="shared" si="10"/>
        <v>0</v>
      </c>
      <c r="H286" s="34">
        <v>14330506</v>
      </c>
      <c r="I286" s="214" t="s">
        <v>647</v>
      </c>
      <c r="J286" s="26" t="s">
        <v>17</v>
      </c>
      <c r="K286" s="26" t="s">
        <v>18</v>
      </c>
      <c r="L286" s="22">
        <v>98187484</v>
      </c>
      <c r="M286" s="461">
        <v>45727</v>
      </c>
      <c r="N286" s="144" t="s">
        <v>968</v>
      </c>
    </row>
    <row r="287" spans="1:15" s="144" customFormat="1" x14ac:dyDescent="0.25">
      <c r="A287" s="54">
        <v>3862</v>
      </c>
      <c r="B287" s="55" t="s">
        <v>648</v>
      </c>
      <c r="C287" s="56">
        <v>317.89999999999998</v>
      </c>
      <c r="D287" s="57">
        <v>0.3</v>
      </c>
      <c r="E287" s="57">
        <f t="shared" si="9"/>
        <v>95.36999999999999</v>
      </c>
      <c r="F287" s="57">
        <f>94.41+0.96</f>
        <v>95.36999999999999</v>
      </c>
      <c r="G287" s="57">
        <f t="shared" si="10"/>
        <v>0</v>
      </c>
      <c r="H287" s="84">
        <v>5892019</v>
      </c>
      <c r="I287" s="60" t="s">
        <v>649</v>
      </c>
      <c r="J287" s="59" t="s">
        <v>25</v>
      </c>
      <c r="K287" s="60" t="s">
        <v>26</v>
      </c>
      <c r="L287" s="54"/>
      <c r="M287" s="61" t="s">
        <v>938</v>
      </c>
      <c r="N287" s="461" t="s">
        <v>965</v>
      </c>
    </row>
    <row r="288" spans="1:15" x14ac:dyDescent="0.25">
      <c r="A288" s="22">
        <v>3863</v>
      </c>
      <c r="B288" s="33" t="s">
        <v>650</v>
      </c>
      <c r="C288" s="24">
        <v>118.4</v>
      </c>
      <c r="D288" s="25">
        <v>0.3</v>
      </c>
      <c r="E288" s="25">
        <f t="shared" si="9"/>
        <v>35.520000000000003</v>
      </c>
      <c r="F288" s="25"/>
      <c r="G288" s="25">
        <f t="shared" si="10"/>
        <v>35.520000000000003</v>
      </c>
      <c r="H288" s="34">
        <v>10772417</v>
      </c>
      <c r="I288" s="214" t="s">
        <v>651</v>
      </c>
      <c r="J288" s="473" t="s">
        <v>25</v>
      </c>
      <c r="K288" s="474" t="s">
        <v>26</v>
      </c>
      <c r="L288" s="22"/>
      <c r="M288" s="26"/>
    </row>
    <row r="289" spans="1:16" s="144" customFormat="1" x14ac:dyDescent="0.25">
      <c r="A289" s="54">
        <v>3864</v>
      </c>
      <c r="B289" s="55" t="s">
        <v>652</v>
      </c>
      <c r="C289" s="56">
        <v>164.4</v>
      </c>
      <c r="D289" s="57">
        <v>0.3</v>
      </c>
      <c r="E289" s="57">
        <f t="shared" si="9"/>
        <v>49.32</v>
      </c>
      <c r="F289" s="57">
        <f>0.259999999999986+49.06</f>
        <v>49.319999999999986</v>
      </c>
      <c r="G289" s="57">
        <f t="shared" si="10"/>
        <v>0</v>
      </c>
      <c r="H289" s="84">
        <v>6493803</v>
      </c>
      <c r="I289" s="60" t="s">
        <v>653</v>
      </c>
      <c r="J289" s="61" t="s">
        <v>17</v>
      </c>
      <c r="K289" s="61" t="s">
        <v>18</v>
      </c>
      <c r="L289" s="54">
        <v>99810408</v>
      </c>
      <c r="M289" s="61" t="s">
        <v>956</v>
      </c>
      <c r="N289" s="61" t="s">
        <v>966</v>
      </c>
    </row>
    <row r="290" spans="1:16" x14ac:dyDescent="0.25">
      <c r="A290" s="22">
        <v>3865</v>
      </c>
      <c r="B290" s="33" t="s">
        <v>654</v>
      </c>
      <c r="C290" s="24">
        <v>537.29999999999995</v>
      </c>
      <c r="D290" s="25">
        <v>0.3</v>
      </c>
      <c r="E290" s="25">
        <f t="shared" si="9"/>
        <v>161.18999999999997</v>
      </c>
      <c r="F290" s="25">
        <f>E290</f>
        <v>161.18999999999997</v>
      </c>
      <c r="G290" s="25">
        <f t="shared" si="10"/>
        <v>0</v>
      </c>
      <c r="H290" s="34">
        <v>15219317</v>
      </c>
      <c r="I290" s="214" t="s">
        <v>655</v>
      </c>
      <c r="J290" s="473" t="s">
        <v>25</v>
      </c>
      <c r="K290" s="474" t="s">
        <v>26</v>
      </c>
      <c r="L290" s="22"/>
      <c r="M290" s="461">
        <v>46002</v>
      </c>
    </row>
    <row r="291" spans="1:16" s="144" customFormat="1" x14ac:dyDescent="0.25">
      <c r="A291" s="54">
        <v>3866</v>
      </c>
      <c r="B291" s="55" t="s">
        <v>656</v>
      </c>
      <c r="C291" s="56">
        <v>320.60000000000002</v>
      </c>
      <c r="D291" s="57">
        <v>0.3</v>
      </c>
      <c r="E291" s="57">
        <f t="shared" si="9"/>
        <v>96.18</v>
      </c>
      <c r="F291" s="57">
        <v>93.040000000000063</v>
      </c>
      <c r="G291" s="57">
        <f t="shared" si="10"/>
        <v>3.1399999999999437</v>
      </c>
      <c r="H291" s="84">
        <v>11772662</v>
      </c>
      <c r="I291" s="60" t="s">
        <v>657</v>
      </c>
      <c r="J291" s="59" t="s">
        <v>25</v>
      </c>
      <c r="K291" s="60" t="s">
        <v>26</v>
      </c>
      <c r="L291" s="54"/>
      <c r="M291" s="61" t="s">
        <v>933</v>
      </c>
    </row>
    <row r="292" spans="1:16" x14ac:dyDescent="0.25">
      <c r="A292" s="22">
        <v>3867</v>
      </c>
      <c r="B292" s="33" t="s">
        <v>658</v>
      </c>
      <c r="C292" s="24">
        <v>270</v>
      </c>
      <c r="D292" s="25">
        <v>0.3</v>
      </c>
      <c r="E292" s="25">
        <f t="shared" si="9"/>
        <v>81</v>
      </c>
      <c r="F292" s="25"/>
      <c r="G292" s="25">
        <f t="shared" si="10"/>
        <v>81</v>
      </c>
      <c r="H292" s="34">
        <v>18189491</v>
      </c>
      <c r="I292" s="214" t="s">
        <v>659</v>
      </c>
      <c r="J292" s="473" t="s">
        <v>25</v>
      </c>
      <c r="K292" s="474" t="s">
        <v>26</v>
      </c>
      <c r="L292" s="22">
        <v>92236482</v>
      </c>
      <c r="M292" s="26"/>
    </row>
    <row r="293" spans="1:16" x14ac:dyDescent="0.25">
      <c r="A293" s="22">
        <v>3868</v>
      </c>
      <c r="B293" s="33" t="s">
        <v>660</v>
      </c>
      <c r="C293" s="24">
        <v>135.80000000000001</v>
      </c>
      <c r="D293" s="25">
        <v>0.3</v>
      </c>
      <c r="E293" s="25">
        <f t="shared" si="9"/>
        <v>40.74</v>
      </c>
      <c r="F293" s="25">
        <v>39.880000000000003</v>
      </c>
      <c r="G293" s="25">
        <f t="shared" si="10"/>
        <v>0.85999999999999943</v>
      </c>
      <c r="H293" s="34">
        <v>23619706</v>
      </c>
      <c r="I293" s="214" t="s">
        <v>661</v>
      </c>
      <c r="J293" s="473" t="s">
        <v>25</v>
      </c>
      <c r="K293" s="474" t="s">
        <v>26</v>
      </c>
      <c r="L293" s="22">
        <v>93392527</v>
      </c>
      <c r="M293" s="461">
        <v>45788</v>
      </c>
    </row>
    <row r="294" spans="1:16" s="144" customFormat="1" x14ac:dyDescent="0.25">
      <c r="A294" s="54">
        <v>3869</v>
      </c>
      <c r="B294" s="55" t="s">
        <v>662</v>
      </c>
      <c r="C294" s="56">
        <v>136.80000000000001</v>
      </c>
      <c r="D294" s="57">
        <v>0.3</v>
      </c>
      <c r="E294" s="57">
        <f t="shared" si="9"/>
        <v>41.04</v>
      </c>
      <c r="F294" s="57">
        <f>40.82+0.22</f>
        <v>41.04</v>
      </c>
      <c r="G294" s="57">
        <f t="shared" si="10"/>
        <v>0</v>
      </c>
      <c r="H294" s="84">
        <v>1265569</v>
      </c>
      <c r="I294" s="60" t="s">
        <v>663</v>
      </c>
      <c r="J294" s="59" t="s">
        <v>25</v>
      </c>
      <c r="K294" s="60" t="s">
        <v>26</v>
      </c>
      <c r="L294" s="54">
        <v>93392527</v>
      </c>
      <c r="M294" s="461">
        <v>45788</v>
      </c>
      <c r="N294" s="461">
        <v>46002</v>
      </c>
    </row>
    <row r="295" spans="1:16" s="144" customFormat="1" x14ac:dyDescent="0.25">
      <c r="A295" s="54">
        <v>3870</v>
      </c>
      <c r="B295" s="55" t="s">
        <v>664</v>
      </c>
      <c r="C295" s="56">
        <v>743.9</v>
      </c>
      <c r="D295" s="57">
        <v>0.3</v>
      </c>
      <c r="E295" s="57">
        <f t="shared" si="9"/>
        <v>223.17</v>
      </c>
      <c r="F295" s="57">
        <f>209.93+13.24</f>
        <v>223.17000000000002</v>
      </c>
      <c r="G295" s="57">
        <f t="shared" si="10"/>
        <v>0</v>
      </c>
      <c r="H295" s="84">
        <v>7138058</v>
      </c>
      <c r="I295" s="60" t="s">
        <v>665</v>
      </c>
      <c r="J295" s="61" t="s">
        <v>17</v>
      </c>
      <c r="K295" s="61" t="s">
        <v>18</v>
      </c>
      <c r="L295" s="54">
        <v>98187475</v>
      </c>
      <c r="M295" s="61" t="s">
        <v>933</v>
      </c>
      <c r="N295" s="26" t="s">
        <v>972</v>
      </c>
    </row>
    <row r="296" spans="1:16" s="144" customFormat="1" x14ac:dyDescent="0.25">
      <c r="A296" s="54">
        <v>3871</v>
      </c>
      <c r="B296" s="55" t="s">
        <v>38</v>
      </c>
      <c r="C296" s="56">
        <v>479.3</v>
      </c>
      <c r="D296" s="57">
        <v>0.3</v>
      </c>
      <c r="E296" s="57">
        <f t="shared" si="9"/>
        <v>143.79</v>
      </c>
      <c r="F296" s="57">
        <f>0.0700000000000074+142.35+1.37</f>
        <v>143.79000000000002</v>
      </c>
      <c r="G296" s="57">
        <f t="shared" si="10"/>
        <v>0</v>
      </c>
      <c r="H296" s="84">
        <v>6920684</v>
      </c>
      <c r="I296" s="60" t="s">
        <v>39</v>
      </c>
      <c r="J296" s="61" t="s">
        <v>17</v>
      </c>
      <c r="K296" s="61" t="s">
        <v>18</v>
      </c>
      <c r="L296" s="54"/>
      <c r="M296" s="61" t="s">
        <v>928</v>
      </c>
      <c r="N296" s="461">
        <v>45727</v>
      </c>
      <c r="O296" s="461" t="s">
        <v>965</v>
      </c>
    </row>
    <row r="297" spans="1:16" s="144" customFormat="1" x14ac:dyDescent="0.25">
      <c r="A297" s="54">
        <v>3872</v>
      </c>
      <c r="B297" s="55" t="s">
        <v>666</v>
      </c>
      <c r="C297" s="56">
        <v>577.79999999999995</v>
      </c>
      <c r="D297" s="57">
        <v>0.3</v>
      </c>
      <c r="E297" s="57">
        <f t="shared" si="9"/>
        <v>173.33999999999997</v>
      </c>
      <c r="F297" s="57">
        <f>171.55+1.79</f>
        <v>173.34</v>
      </c>
      <c r="G297" s="57">
        <f t="shared" si="10"/>
        <v>0</v>
      </c>
      <c r="H297" s="84">
        <v>5546892</v>
      </c>
      <c r="I297" s="60" t="s">
        <v>667</v>
      </c>
      <c r="J297" s="61" t="s">
        <v>17</v>
      </c>
      <c r="K297" s="61" t="s">
        <v>18</v>
      </c>
      <c r="L297" s="54">
        <v>93117757</v>
      </c>
      <c r="M297" s="461">
        <v>45727</v>
      </c>
      <c r="N297" s="461" t="s">
        <v>965</v>
      </c>
    </row>
    <row r="298" spans="1:16" s="144" customFormat="1" x14ac:dyDescent="0.25">
      <c r="A298" s="54">
        <v>3873</v>
      </c>
      <c r="B298" s="55" t="s">
        <v>668</v>
      </c>
      <c r="C298" s="56">
        <v>519.70000000000005</v>
      </c>
      <c r="D298" s="57">
        <v>0.3</v>
      </c>
      <c r="E298" s="57">
        <f t="shared" si="9"/>
        <v>155.91</v>
      </c>
      <c r="F298" s="57">
        <v>155.91</v>
      </c>
      <c r="G298" s="57">
        <f t="shared" si="10"/>
        <v>0</v>
      </c>
      <c r="H298" s="84">
        <v>6560744</v>
      </c>
      <c r="I298" s="60" t="s">
        <v>669</v>
      </c>
      <c r="J298" s="59" t="s">
        <v>25</v>
      </c>
      <c r="K298" s="60" t="s">
        <v>26</v>
      </c>
      <c r="L298" s="54">
        <v>99291997</v>
      </c>
      <c r="M298" s="461">
        <v>45700</v>
      </c>
    </row>
    <row r="299" spans="1:16" x14ac:dyDescent="0.25">
      <c r="A299" s="22">
        <v>3874</v>
      </c>
      <c r="B299" s="33" t="s">
        <v>670</v>
      </c>
      <c r="C299" s="24">
        <v>209</v>
      </c>
      <c r="D299" s="25">
        <v>0.3</v>
      </c>
      <c r="E299" s="25">
        <f t="shared" si="9"/>
        <v>62.699999999999996</v>
      </c>
      <c r="F299" s="25"/>
      <c r="G299" s="25">
        <f t="shared" si="10"/>
        <v>62.699999999999996</v>
      </c>
      <c r="H299" s="34">
        <v>8105354</v>
      </c>
      <c r="I299" s="214" t="s">
        <v>671</v>
      </c>
      <c r="J299" s="473" t="s">
        <v>25</v>
      </c>
      <c r="K299" s="474" t="s">
        <v>26</v>
      </c>
      <c r="L299" s="22">
        <v>96249000</v>
      </c>
      <c r="M299" s="26"/>
    </row>
    <row r="300" spans="1:16" x14ac:dyDescent="0.25">
      <c r="A300" s="22">
        <v>3875</v>
      </c>
      <c r="B300" s="33" t="s">
        <v>672</v>
      </c>
      <c r="C300" s="24">
        <v>335.4</v>
      </c>
      <c r="D300" s="25">
        <v>0.3</v>
      </c>
      <c r="E300" s="25">
        <f t="shared" si="9"/>
        <v>100.61999999999999</v>
      </c>
      <c r="F300" s="25"/>
      <c r="G300" s="25">
        <f t="shared" si="10"/>
        <v>100.61999999999999</v>
      </c>
      <c r="H300" s="34">
        <v>1345289</v>
      </c>
      <c r="I300" s="214" t="s">
        <v>673</v>
      </c>
      <c r="J300" s="473" t="s">
        <v>25</v>
      </c>
      <c r="K300" s="474" t="s">
        <v>26</v>
      </c>
      <c r="L300" s="22">
        <v>99495936</v>
      </c>
      <c r="M300" s="26"/>
    </row>
    <row r="301" spans="1:16" s="144" customFormat="1" x14ac:dyDescent="0.25">
      <c r="A301" s="54">
        <v>3876</v>
      </c>
      <c r="B301" s="55" t="s">
        <v>674</v>
      </c>
      <c r="C301" s="56">
        <v>358.6</v>
      </c>
      <c r="D301" s="57">
        <v>0.3</v>
      </c>
      <c r="E301" s="57">
        <f t="shared" si="9"/>
        <v>107.58</v>
      </c>
      <c r="F301" s="57">
        <f>103.55+4.03</f>
        <v>107.58</v>
      </c>
      <c r="G301" s="57">
        <f t="shared" si="10"/>
        <v>0</v>
      </c>
      <c r="H301" s="84">
        <v>4767948</v>
      </c>
      <c r="I301" s="60" t="s">
        <v>675</v>
      </c>
      <c r="J301" s="61" t="s">
        <v>17</v>
      </c>
      <c r="K301" s="61" t="s">
        <v>18</v>
      </c>
      <c r="L301" s="54"/>
      <c r="M301" s="61" t="s">
        <v>938</v>
      </c>
      <c r="N301" s="461" t="s">
        <v>965</v>
      </c>
    </row>
    <row r="302" spans="1:16" s="144" customFormat="1" x14ac:dyDescent="0.25">
      <c r="A302" s="54">
        <v>3877</v>
      </c>
      <c r="B302" s="55" t="s">
        <v>41</v>
      </c>
      <c r="C302" s="56">
        <v>269.10000000000002</v>
      </c>
      <c r="D302" s="57">
        <v>0.3</v>
      </c>
      <c r="E302" s="57">
        <f t="shared" si="9"/>
        <v>80.73</v>
      </c>
      <c r="F302" s="57">
        <f>E302</f>
        <v>80.73</v>
      </c>
      <c r="G302" s="57">
        <f t="shared" si="10"/>
        <v>0</v>
      </c>
      <c r="H302" s="84">
        <v>14897254</v>
      </c>
      <c r="I302" s="60" t="s">
        <v>42</v>
      </c>
      <c r="J302" s="61" t="s">
        <v>43</v>
      </c>
      <c r="K302" s="60" t="s">
        <v>44</v>
      </c>
      <c r="L302" s="54">
        <v>92226297</v>
      </c>
      <c r="M302" s="461">
        <v>45971</v>
      </c>
    </row>
    <row r="303" spans="1:16" x14ac:dyDescent="0.25">
      <c r="A303" s="22">
        <v>3878</v>
      </c>
      <c r="B303" s="33" t="s">
        <v>676</v>
      </c>
      <c r="C303" s="24">
        <v>266.5</v>
      </c>
      <c r="D303" s="25">
        <v>0.3</v>
      </c>
      <c r="E303" s="25">
        <f t="shared" si="9"/>
        <v>79.95</v>
      </c>
      <c r="F303" s="25"/>
      <c r="G303" s="25">
        <f t="shared" si="10"/>
        <v>79.95</v>
      </c>
      <c r="H303" s="34">
        <v>22687078</v>
      </c>
      <c r="I303" s="214" t="s">
        <v>677</v>
      </c>
      <c r="J303" s="216" t="s">
        <v>75</v>
      </c>
      <c r="K303" s="26" t="s">
        <v>76</v>
      </c>
      <c r="L303" s="22">
        <v>92338070</v>
      </c>
      <c r="M303" s="26"/>
    </row>
    <row r="304" spans="1:16" s="144" customFormat="1" x14ac:dyDescent="0.25">
      <c r="A304" s="54">
        <v>3879</v>
      </c>
      <c r="B304" s="55" t="s">
        <v>678</v>
      </c>
      <c r="C304" s="56">
        <v>124.2</v>
      </c>
      <c r="D304" s="57">
        <v>0.3</v>
      </c>
      <c r="E304" s="57">
        <f t="shared" si="9"/>
        <v>37.26</v>
      </c>
      <c r="F304" s="57">
        <f>E304</f>
        <v>37.26</v>
      </c>
      <c r="G304" s="57">
        <f t="shared" si="10"/>
        <v>0</v>
      </c>
      <c r="H304" s="84">
        <v>23178497</v>
      </c>
      <c r="I304" s="60" t="s">
        <v>679</v>
      </c>
      <c r="J304" s="59" t="s">
        <v>25</v>
      </c>
      <c r="K304" s="60" t="s">
        <v>26</v>
      </c>
      <c r="L304" s="54"/>
      <c r="M304" s="61" t="s">
        <v>928</v>
      </c>
      <c r="N304" s="530" t="s">
        <v>945</v>
      </c>
      <c r="O304" s="530"/>
      <c r="P304" s="530"/>
    </row>
    <row r="305" spans="1:15" s="144" customFormat="1" x14ac:dyDescent="0.25">
      <c r="A305" s="54">
        <v>3880</v>
      </c>
      <c r="B305" s="55" t="s">
        <v>680</v>
      </c>
      <c r="C305" s="56">
        <v>654.6</v>
      </c>
      <c r="D305" s="57">
        <v>0.3</v>
      </c>
      <c r="E305" s="57">
        <f t="shared" si="9"/>
        <v>196.38</v>
      </c>
      <c r="F305" s="57">
        <v>1.5800000000000167</v>
      </c>
      <c r="G305" s="57">
        <f t="shared" si="10"/>
        <v>194.79999999999998</v>
      </c>
      <c r="H305" s="84">
        <v>6370697</v>
      </c>
      <c r="I305" s="60" t="s">
        <v>681</v>
      </c>
      <c r="J305" s="59" t="s">
        <v>25</v>
      </c>
      <c r="K305" s="60" t="s">
        <v>26</v>
      </c>
      <c r="L305" s="54">
        <v>99239896</v>
      </c>
      <c r="M305" s="461">
        <v>45788</v>
      </c>
    </row>
    <row r="306" spans="1:15" s="144" customFormat="1" x14ac:dyDescent="0.25">
      <c r="A306" s="54">
        <v>3882</v>
      </c>
      <c r="B306" s="55" t="s">
        <v>684</v>
      </c>
      <c r="C306" s="56">
        <v>317.89999999999998</v>
      </c>
      <c r="D306" s="57">
        <v>0.3</v>
      </c>
      <c r="E306" s="57">
        <f t="shared" si="9"/>
        <v>95.36999999999999</v>
      </c>
      <c r="F306" s="57">
        <f>94.2+1.17</f>
        <v>95.37</v>
      </c>
      <c r="G306" s="57">
        <f t="shared" si="10"/>
        <v>0</v>
      </c>
      <c r="H306" s="84">
        <v>26752992</v>
      </c>
      <c r="I306" s="60" t="s">
        <v>685</v>
      </c>
      <c r="J306" s="59" t="s">
        <v>210</v>
      </c>
      <c r="K306" s="60" t="s">
        <v>211</v>
      </c>
      <c r="L306" s="54"/>
      <c r="M306" s="144" t="s">
        <v>959</v>
      </c>
      <c r="N306" s="61" t="s">
        <v>970</v>
      </c>
    </row>
    <row r="307" spans="1:15" x14ac:dyDescent="0.25">
      <c r="A307" s="22">
        <v>3884</v>
      </c>
      <c r="B307" s="33" t="s">
        <v>688</v>
      </c>
      <c r="C307" s="24">
        <v>169.8</v>
      </c>
      <c r="D307" s="25">
        <v>0.3</v>
      </c>
      <c r="E307" s="25">
        <f t="shared" si="9"/>
        <v>50.940000000000005</v>
      </c>
      <c r="F307" s="25"/>
      <c r="G307" s="25">
        <f t="shared" si="10"/>
        <v>50.940000000000005</v>
      </c>
      <c r="H307" s="34">
        <v>22716378</v>
      </c>
      <c r="I307" s="214" t="s">
        <v>689</v>
      </c>
      <c r="J307" s="473" t="s">
        <v>25</v>
      </c>
      <c r="K307" s="474" t="s">
        <v>26</v>
      </c>
      <c r="L307" s="22"/>
      <c r="M307" s="26"/>
    </row>
    <row r="308" spans="1:15" x14ac:dyDescent="0.25">
      <c r="A308" s="22">
        <v>3885</v>
      </c>
      <c r="B308" s="33" t="s">
        <v>690</v>
      </c>
      <c r="C308" s="24">
        <v>190.5</v>
      </c>
      <c r="D308" s="25">
        <v>0.3</v>
      </c>
      <c r="E308" s="25">
        <f t="shared" si="9"/>
        <v>57.15</v>
      </c>
      <c r="F308" s="25"/>
      <c r="G308" s="25">
        <f t="shared" si="10"/>
        <v>57.15</v>
      </c>
      <c r="H308" s="34">
        <v>9920479</v>
      </c>
      <c r="I308" s="214" t="s">
        <v>691</v>
      </c>
      <c r="J308" s="473" t="s">
        <v>326</v>
      </c>
      <c r="K308" s="474" t="s">
        <v>327</v>
      </c>
      <c r="L308" s="22"/>
      <c r="M308" s="26"/>
    </row>
    <row r="309" spans="1:15" x14ac:dyDescent="0.25">
      <c r="A309" s="22">
        <v>3886</v>
      </c>
      <c r="B309" s="33" t="s">
        <v>692</v>
      </c>
      <c r="C309" s="24">
        <v>297.10000000000002</v>
      </c>
      <c r="D309" s="25">
        <v>0.3</v>
      </c>
      <c r="E309" s="25">
        <f t="shared" si="9"/>
        <v>89.13000000000001</v>
      </c>
      <c r="F309" s="25"/>
      <c r="G309" s="25">
        <f t="shared" si="10"/>
        <v>89.13000000000001</v>
      </c>
      <c r="H309" s="34">
        <v>21941594</v>
      </c>
      <c r="I309" s="214" t="s">
        <v>693</v>
      </c>
      <c r="J309" s="473" t="s">
        <v>25</v>
      </c>
      <c r="K309" s="474" t="s">
        <v>26</v>
      </c>
      <c r="L309" s="22">
        <v>92094818</v>
      </c>
      <c r="M309" s="26"/>
    </row>
    <row r="310" spans="1:15" s="144" customFormat="1" x14ac:dyDescent="0.25">
      <c r="A310" s="54">
        <v>3887</v>
      </c>
      <c r="B310" s="55" t="s">
        <v>694</v>
      </c>
      <c r="C310" s="56">
        <v>131</v>
      </c>
      <c r="D310" s="57">
        <v>0.3</v>
      </c>
      <c r="E310" s="57">
        <f t="shared" si="9"/>
        <v>39.299999999999997</v>
      </c>
      <c r="F310" s="57">
        <f>38+1.3</f>
        <v>39.299999999999997</v>
      </c>
      <c r="G310" s="57">
        <f t="shared" si="10"/>
        <v>0</v>
      </c>
      <c r="H310" s="84">
        <v>13204809</v>
      </c>
      <c r="I310" s="60" t="s">
        <v>695</v>
      </c>
      <c r="J310" s="59" t="s">
        <v>25</v>
      </c>
      <c r="K310" s="60" t="s">
        <v>26</v>
      </c>
      <c r="L310" s="54">
        <v>93332329</v>
      </c>
      <c r="M310" s="61" t="s">
        <v>930</v>
      </c>
      <c r="N310" s="461">
        <v>46002</v>
      </c>
    </row>
    <row r="311" spans="1:15" x14ac:dyDescent="0.25">
      <c r="A311" s="22">
        <v>3888</v>
      </c>
      <c r="B311" s="33" t="s">
        <v>696</v>
      </c>
      <c r="C311" s="24">
        <v>338.8</v>
      </c>
      <c r="D311" s="25">
        <v>0.3</v>
      </c>
      <c r="E311" s="25">
        <f t="shared" si="9"/>
        <v>101.64</v>
      </c>
      <c r="F311" s="25"/>
      <c r="G311" s="25">
        <f t="shared" si="10"/>
        <v>101.64</v>
      </c>
      <c r="H311" s="34">
        <v>1808869</v>
      </c>
      <c r="I311" s="214" t="s">
        <v>697</v>
      </c>
      <c r="J311" s="26" t="s">
        <v>17</v>
      </c>
      <c r="K311" s="26" t="s">
        <v>18</v>
      </c>
      <c r="L311" s="22">
        <v>98003381</v>
      </c>
      <c r="M311" s="26"/>
    </row>
    <row r="312" spans="1:15" s="144" customFormat="1" x14ac:dyDescent="0.25">
      <c r="A312" s="54">
        <v>3889</v>
      </c>
      <c r="B312" s="55" t="s">
        <v>698</v>
      </c>
      <c r="C312" s="56">
        <v>290.8</v>
      </c>
      <c r="D312" s="57">
        <v>0.3</v>
      </c>
      <c r="E312" s="57">
        <f t="shared" si="9"/>
        <v>87.24</v>
      </c>
      <c r="F312" s="57">
        <f>1.74+83.95+1.55</f>
        <v>87.24</v>
      </c>
      <c r="G312" s="57">
        <f t="shared" si="10"/>
        <v>0</v>
      </c>
      <c r="H312" s="84">
        <v>6499103</v>
      </c>
      <c r="I312" s="60" t="s">
        <v>699</v>
      </c>
      <c r="J312" s="59" t="s">
        <v>25</v>
      </c>
      <c r="K312" s="60" t="s">
        <v>26</v>
      </c>
      <c r="L312" s="54">
        <v>98200299</v>
      </c>
      <c r="M312" s="61" t="s">
        <v>930</v>
      </c>
      <c r="N312" s="461">
        <v>45727</v>
      </c>
      <c r="O312" s="461" t="s">
        <v>965</v>
      </c>
    </row>
    <row r="313" spans="1:15" x14ac:dyDescent="0.25">
      <c r="A313" s="38"/>
      <c r="B313" s="39" t="s">
        <v>45</v>
      </c>
      <c r="C313" s="42">
        <f>SUM(C4:C312)</f>
        <v>109100.40000000005</v>
      </c>
      <c r="D313" s="41"/>
      <c r="E313" s="42">
        <f>SUM(E4:E312)</f>
        <v>32730.120000000003</v>
      </c>
      <c r="F313" s="42">
        <f t="shared" ref="F313:G313" si="11">SUM(F4:F312)</f>
        <v>22975.390398773008</v>
      </c>
      <c r="G313" s="42">
        <f t="shared" si="11"/>
        <v>9754.7296012269962</v>
      </c>
      <c r="H313" s="37"/>
      <c r="I313" s="43"/>
      <c r="J313" s="43"/>
      <c r="K313" s="43"/>
      <c r="L313" s="44"/>
      <c r="M313" s="44"/>
    </row>
    <row r="314" spans="1:15" x14ac:dyDescent="0.25">
      <c r="C314" s="472"/>
    </row>
    <row r="315" spans="1:15" x14ac:dyDescent="0.25">
      <c r="C315" s="150"/>
    </row>
  </sheetData>
  <autoFilter ref="A3:M313" xr:uid="{D873B59B-E34F-4312-A54C-5947E680FD26}"/>
  <phoneticPr fontId="29" type="noConversion"/>
  <conditionalFormatting sqref="I24">
    <cfRule type="duplicateValues" dxfId="73" priority="17"/>
  </conditionalFormatting>
  <conditionalFormatting sqref="I31">
    <cfRule type="duplicateValues" dxfId="72" priority="18"/>
  </conditionalFormatting>
  <conditionalFormatting sqref="I37">
    <cfRule type="duplicateValues" dxfId="71" priority="19"/>
  </conditionalFormatting>
  <conditionalFormatting sqref="I47">
    <cfRule type="duplicateValues" dxfId="70" priority="10"/>
  </conditionalFormatting>
  <conditionalFormatting sqref="I48">
    <cfRule type="duplicateValues" dxfId="69" priority="11"/>
  </conditionalFormatting>
  <conditionalFormatting sqref="I49">
    <cfRule type="duplicateValues" dxfId="68" priority="12"/>
  </conditionalFormatting>
  <conditionalFormatting sqref="I56">
    <cfRule type="duplicateValues" dxfId="67" priority="13"/>
  </conditionalFormatting>
  <conditionalFormatting sqref="I59">
    <cfRule type="duplicateValues" dxfId="66" priority="14"/>
  </conditionalFormatting>
  <conditionalFormatting sqref="I69">
    <cfRule type="duplicateValues" dxfId="65" priority="15"/>
  </conditionalFormatting>
  <conditionalFormatting sqref="I95">
    <cfRule type="duplicateValues" dxfId="64" priority="16"/>
  </conditionalFormatting>
  <conditionalFormatting sqref="I105">
    <cfRule type="duplicateValues" dxfId="63" priority="1"/>
  </conditionalFormatting>
  <conditionalFormatting sqref="I106">
    <cfRule type="duplicateValues" dxfId="62" priority="2"/>
  </conditionalFormatting>
  <conditionalFormatting sqref="I112">
    <cfRule type="duplicateValues" dxfId="61" priority="3"/>
  </conditionalFormatting>
  <conditionalFormatting sqref="I131">
    <cfRule type="duplicateValues" dxfId="60" priority="4"/>
  </conditionalFormatting>
  <conditionalFormatting sqref="I132">
    <cfRule type="duplicateValues" dxfId="59" priority="5"/>
  </conditionalFormatting>
  <conditionalFormatting sqref="J60">
    <cfRule type="duplicateValues" dxfId="58" priority="6"/>
  </conditionalFormatting>
  <conditionalFormatting sqref="J96">
    <cfRule type="duplicateValues" dxfId="57" priority="8"/>
  </conditionalFormatting>
  <conditionalFormatting sqref="L60">
    <cfRule type="duplicateValues" dxfId="56" priority="7"/>
  </conditionalFormatting>
  <pageMargins left="0.7" right="0.7" top="0.75" bottom="0.75" header="0.3" footer="0.3"/>
  <pageSetup paperSize="9"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BBE-2B53-418C-8B7D-AB685A5CA84B}">
  <dimension ref="A1:Q315"/>
  <sheetViews>
    <sheetView view="pageBreakPreview" zoomScale="130" zoomScaleNormal="100" zoomScaleSheetLayoutView="130" workbookViewId="0">
      <pane xSplit="1" topLeftCell="B1" activePane="topRight" state="frozen"/>
      <selection pane="topRight" activeCell="G3" sqref="G3"/>
    </sheetView>
  </sheetViews>
  <sheetFormatPr defaultRowHeight="15" x14ac:dyDescent="0.25"/>
  <cols>
    <col min="1" max="1" width="59.5703125" bestFit="1" customWidth="1"/>
    <col min="2" max="2" width="38.42578125" bestFit="1" customWidth="1"/>
    <col min="3" max="3" width="12.140625" customWidth="1"/>
    <col min="4" max="4" width="9.28515625" bestFit="1" customWidth="1"/>
    <col min="5" max="7" width="13.5703125" customWidth="1"/>
    <col min="8" max="8" width="13" bestFit="1" customWidth="1"/>
    <col min="9" max="9" width="19" hidden="1" customWidth="1"/>
    <col min="10" max="10" width="18.140625" hidden="1" customWidth="1"/>
    <col min="11" max="11" width="13.42578125" hidden="1" customWidth="1"/>
    <col min="12" max="12" width="13" hidden="1" customWidth="1"/>
    <col min="13" max="13" width="12.28515625" customWidth="1"/>
    <col min="14" max="14" width="9.85546875" bestFit="1" customWidth="1"/>
    <col min="17" max="17" width="9.85546875" bestFit="1" customWidth="1"/>
  </cols>
  <sheetData>
    <row r="1" spans="1:14" x14ac:dyDescent="0.25">
      <c r="A1" s="142" t="s">
        <v>951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4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4" ht="27" x14ac:dyDescent="0.25">
      <c r="A3" s="14" t="s">
        <v>2</v>
      </c>
      <c r="B3" s="15" t="s">
        <v>3</v>
      </c>
      <c r="C3" s="16" t="s">
        <v>4</v>
      </c>
      <c r="D3" s="14" t="s">
        <v>5</v>
      </c>
      <c r="E3" s="14" t="s">
        <v>6</v>
      </c>
      <c r="F3" s="14"/>
      <c r="G3" s="14" t="s">
        <v>704</v>
      </c>
      <c r="H3" s="17" t="s">
        <v>9</v>
      </c>
      <c r="I3" s="18" t="s">
        <v>10</v>
      </c>
      <c r="J3" s="18" t="s">
        <v>11</v>
      </c>
      <c r="K3" s="19" t="s">
        <v>12</v>
      </c>
      <c r="L3" s="20" t="s">
        <v>13</v>
      </c>
      <c r="M3" s="21" t="s">
        <v>14</v>
      </c>
    </row>
    <row r="4" spans="1:14" x14ac:dyDescent="0.25">
      <c r="A4" s="457">
        <v>1108</v>
      </c>
      <c r="B4" s="33" t="s">
        <v>49</v>
      </c>
      <c r="C4" s="45">
        <v>641.70000000000005</v>
      </c>
      <c r="D4" s="25">
        <v>0.3</v>
      </c>
      <c r="E4" s="25">
        <f t="shared" ref="E4:E67" si="0">D4*C4</f>
        <v>192.51000000000002</v>
      </c>
      <c r="F4" s="25"/>
      <c r="G4" s="25">
        <f>E4-F4</f>
        <v>192.51000000000002</v>
      </c>
      <c r="H4" s="458">
        <v>15218386</v>
      </c>
      <c r="I4" s="473" t="s">
        <v>50</v>
      </c>
      <c r="J4" s="473" t="s">
        <v>25</v>
      </c>
      <c r="K4" s="214" t="s">
        <v>26</v>
      </c>
      <c r="L4" s="458">
        <v>92776884</v>
      </c>
      <c r="M4" s="26"/>
    </row>
    <row r="5" spans="1:14" s="144" customFormat="1" x14ac:dyDescent="0.25">
      <c r="A5" s="54">
        <v>1390</v>
      </c>
      <c r="B5" s="55" t="s">
        <v>51</v>
      </c>
      <c r="C5" s="56">
        <v>203.7</v>
      </c>
      <c r="D5" s="57">
        <v>0.3</v>
      </c>
      <c r="E5" s="57">
        <f t="shared" si="0"/>
        <v>61.109999999999992</v>
      </c>
      <c r="F5" s="57">
        <f>E5</f>
        <v>61.109999999999992</v>
      </c>
      <c r="G5" s="57">
        <f t="shared" ref="G5:G68" si="1">E5-F5</f>
        <v>0</v>
      </c>
      <c r="H5" s="54">
        <v>12181822</v>
      </c>
      <c r="I5" s="59" t="s">
        <v>52</v>
      </c>
      <c r="J5" s="59" t="s">
        <v>25</v>
      </c>
      <c r="K5" s="60" t="s">
        <v>26</v>
      </c>
      <c r="L5" s="54">
        <v>92442060</v>
      </c>
      <c r="M5" s="144" t="s">
        <v>959</v>
      </c>
      <c r="N5" s="530" t="s">
        <v>960</v>
      </c>
    </row>
    <row r="6" spans="1:14" s="144" customFormat="1" x14ac:dyDescent="0.25">
      <c r="A6" s="54">
        <v>1399</v>
      </c>
      <c r="B6" s="55" t="s">
        <v>53</v>
      </c>
      <c r="C6" s="56">
        <v>177.2</v>
      </c>
      <c r="D6" s="57">
        <v>0.3</v>
      </c>
      <c r="E6" s="57">
        <f t="shared" si="0"/>
        <v>53.16</v>
      </c>
      <c r="F6" s="57">
        <v>50.78</v>
      </c>
      <c r="G6" s="57">
        <f t="shared" si="1"/>
        <v>2.3799999999999955</v>
      </c>
      <c r="H6" s="84">
        <v>10065546</v>
      </c>
      <c r="I6" s="60" t="s">
        <v>54</v>
      </c>
      <c r="J6" s="59" t="s">
        <v>43</v>
      </c>
      <c r="K6" s="60" t="s">
        <v>44</v>
      </c>
      <c r="L6" s="54"/>
      <c r="M6" s="144" t="s">
        <v>968</v>
      </c>
    </row>
    <row r="7" spans="1:14" s="144" customFormat="1" x14ac:dyDescent="0.25">
      <c r="A7" s="54">
        <v>1422</v>
      </c>
      <c r="B7" s="55" t="s">
        <v>56</v>
      </c>
      <c r="C7" s="56">
        <v>100.5</v>
      </c>
      <c r="D7" s="57">
        <v>0.3</v>
      </c>
      <c r="E7" s="57">
        <f t="shared" si="0"/>
        <v>30.15</v>
      </c>
      <c r="F7" s="57">
        <v>26.500000000000004</v>
      </c>
      <c r="G7" s="57">
        <f t="shared" si="1"/>
        <v>3.649999999999995</v>
      </c>
      <c r="H7" s="520">
        <v>3280016</v>
      </c>
      <c r="I7" s="59" t="s">
        <v>57</v>
      </c>
      <c r="J7" s="59" t="s">
        <v>25</v>
      </c>
      <c r="K7" s="60" t="s">
        <v>26</v>
      </c>
      <c r="L7" s="520"/>
      <c r="M7" s="144" t="s">
        <v>968</v>
      </c>
    </row>
    <row r="8" spans="1:14" s="556" customFormat="1" x14ac:dyDescent="0.25">
      <c r="A8" s="550">
        <v>1424</v>
      </c>
      <c r="B8" s="551" t="s">
        <v>58</v>
      </c>
      <c r="C8" s="497"/>
      <c r="D8" s="498">
        <v>0.3</v>
      </c>
      <c r="E8" s="498">
        <f t="shared" si="0"/>
        <v>0</v>
      </c>
      <c r="F8" s="498"/>
      <c r="G8" s="498">
        <f t="shared" si="1"/>
        <v>0</v>
      </c>
      <c r="H8" s="598">
        <v>748395</v>
      </c>
      <c r="I8" s="594" t="s">
        <v>59</v>
      </c>
      <c r="J8" s="555" t="s">
        <v>17</v>
      </c>
      <c r="K8" s="555" t="s">
        <v>18</v>
      </c>
      <c r="L8" s="598">
        <v>93011211</v>
      </c>
      <c r="M8" s="555"/>
    </row>
    <row r="9" spans="1:14" x14ac:dyDescent="0.25">
      <c r="A9" s="22">
        <v>1429</v>
      </c>
      <c r="B9" s="33" t="s">
        <v>60</v>
      </c>
      <c r="C9" s="24">
        <v>311.3</v>
      </c>
      <c r="D9" s="25">
        <v>0.3</v>
      </c>
      <c r="E9" s="25">
        <f t="shared" si="0"/>
        <v>93.39</v>
      </c>
      <c r="F9" s="25"/>
      <c r="G9" s="25">
        <f t="shared" si="1"/>
        <v>93.39</v>
      </c>
      <c r="H9" s="34">
        <v>339725</v>
      </c>
      <c r="I9" s="214" t="s">
        <v>61</v>
      </c>
      <c r="J9" s="473" t="s">
        <v>25</v>
      </c>
      <c r="K9" s="474" t="s">
        <v>26</v>
      </c>
      <c r="L9" s="22"/>
      <c r="M9" s="26"/>
    </row>
    <row r="10" spans="1:14" x14ac:dyDescent="0.25">
      <c r="A10" s="22">
        <v>1431</v>
      </c>
      <c r="B10" s="33" t="s">
        <v>62</v>
      </c>
      <c r="C10" s="45">
        <v>99</v>
      </c>
      <c r="D10" s="25">
        <v>0.3</v>
      </c>
      <c r="E10" s="25">
        <f t="shared" si="0"/>
        <v>29.7</v>
      </c>
      <c r="F10" s="25"/>
      <c r="G10" s="25">
        <f t="shared" si="1"/>
        <v>29.7</v>
      </c>
      <c r="H10" s="46">
        <v>721445</v>
      </c>
      <c r="I10" s="215" t="s">
        <v>63</v>
      </c>
      <c r="J10" s="26" t="s">
        <v>17</v>
      </c>
      <c r="K10" s="26" t="s">
        <v>18</v>
      </c>
      <c r="L10" s="46">
        <v>99291700</v>
      </c>
      <c r="M10" s="26"/>
    </row>
    <row r="11" spans="1:14" s="144" customFormat="1" x14ac:dyDescent="0.25">
      <c r="A11" s="54">
        <v>1443</v>
      </c>
      <c r="B11" s="55" t="s">
        <v>65</v>
      </c>
      <c r="C11" s="56">
        <v>534.79999999999995</v>
      </c>
      <c r="D11" s="57">
        <v>0.3</v>
      </c>
      <c r="E11" s="57">
        <f t="shared" si="0"/>
        <v>160.43999999999997</v>
      </c>
      <c r="F11" s="57">
        <f>3.34</f>
        <v>3.34</v>
      </c>
      <c r="G11" s="57">
        <f t="shared" si="1"/>
        <v>157.09999999999997</v>
      </c>
      <c r="H11" s="520">
        <v>6026992</v>
      </c>
      <c r="I11" s="59" t="s">
        <v>66</v>
      </c>
      <c r="J11" s="59" t="s">
        <v>25</v>
      </c>
      <c r="K11" s="60" t="s">
        <v>26</v>
      </c>
      <c r="L11" s="520">
        <v>95863774</v>
      </c>
      <c r="M11" s="558">
        <v>45728</v>
      </c>
    </row>
    <row r="12" spans="1:14" s="144" customFormat="1" x14ac:dyDescent="0.25">
      <c r="A12" s="54">
        <v>1452</v>
      </c>
      <c r="B12" s="55" t="s">
        <v>67</v>
      </c>
      <c r="C12" s="56">
        <v>228.3</v>
      </c>
      <c r="D12" s="57">
        <v>0.3</v>
      </c>
      <c r="E12" s="57">
        <f t="shared" si="0"/>
        <v>68.489999999999995</v>
      </c>
      <c r="F12" s="57">
        <v>67.44</v>
      </c>
      <c r="G12" s="57">
        <f t="shared" si="1"/>
        <v>1.0499999999999972</v>
      </c>
      <c r="H12" s="515">
        <v>20917176</v>
      </c>
      <c r="I12" s="516" t="s">
        <v>68</v>
      </c>
      <c r="J12" s="73" t="s">
        <v>25</v>
      </c>
      <c r="K12" s="516" t="s">
        <v>26</v>
      </c>
      <c r="L12" s="515">
        <v>95863774</v>
      </c>
      <c r="M12" s="61" t="s">
        <v>966</v>
      </c>
    </row>
    <row r="13" spans="1:14" x14ac:dyDescent="0.25">
      <c r="A13" s="22">
        <v>1458</v>
      </c>
      <c r="B13" s="33" t="s">
        <v>69</v>
      </c>
      <c r="C13" s="45">
        <v>210</v>
      </c>
      <c r="D13" s="25">
        <v>0.3</v>
      </c>
      <c r="E13" s="25">
        <f t="shared" si="0"/>
        <v>63</v>
      </c>
      <c r="F13" s="25"/>
      <c r="G13" s="25">
        <f t="shared" si="1"/>
        <v>63</v>
      </c>
      <c r="H13" s="46">
        <v>77628</v>
      </c>
      <c r="I13" s="215" t="s">
        <v>70</v>
      </c>
      <c r="J13" s="26" t="s">
        <v>17</v>
      </c>
      <c r="K13" s="26" t="s">
        <v>18</v>
      </c>
      <c r="L13" s="46">
        <v>99275608</v>
      </c>
      <c r="M13" s="26"/>
    </row>
    <row r="14" spans="1:14" x14ac:dyDescent="0.25">
      <c r="A14" s="22">
        <v>1461</v>
      </c>
      <c r="B14" s="33" t="s">
        <v>71</v>
      </c>
      <c r="C14" s="45">
        <v>215.6</v>
      </c>
      <c r="D14" s="25">
        <v>0.3</v>
      </c>
      <c r="E14" s="25">
        <f t="shared" si="0"/>
        <v>64.679999999999993</v>
      </c>
      <c r="F14" s="25"/>
      <c r="G14" s="25">
        <f t="shared" si="1"/>
        <v>64.679999999999993</v>
      </c>
      <c r="H14" s="46">
        <v>6828806</v>
      </c>
      <c r="I14" s="215" t="s">
        <v>72</v>
      </c>
      <c r="J14" s="473" t="s">
        <v>25</v>
      </c>
      <c r="K14" s="214" t="s">
        <v>26</v>
      </c>
      <c r="L14" s="46">
        <v>92330321</v>
      </c>
      <c r="M14" s="26"/>
    </row>
    <row r="15" spans="1:14" s="144" customFormat="1" x14ac:dyDescent="0.25">
      <c r="A15" s="54">
        <v>1465</v>
      </c>
      <c r="B15" s="55" t="s">
        <v>73</v>
      </c>
      <c r="C15" s="56">
        <v>195</v>
      </c>
      <c r="D15" s="57">
        <v>0.3</v>
      </c>
      <c r="E15" s="57">
        <f t="shared" si="0"/>
        <v>58.5</v>
      </c>
      <c r="F15" s="57">
        <v>0.42000000000000215</v>
      </c>
      <c r="G15" s="57">
        <f t="shared" si="1"/>
        <v>58.08</v>
      </c>
      <c r="H15" s="54">
        <v>757601</v>
      </c>
      <c r="I15" s="60" t="s">
        <v>74</v>
      </c>
      <c r="J15" s="58" t="s">
        <v>75</v>
      </c>
      <c r="K15" s="61" t="s">
        <v>76</v>
      </c>
      <c r="L15" s="54">
        <v>99892131</v>
      </c>
      <c r="M15" s="461">
        <v>45941</v>
      </c>
    </row>
    <row r="16" spans="1:14" x14ac:dyDescent="0.25">
      <c r="A16" s="54">
        <v>1474</v>
      </c>
      <c r="B16" s="55" t="s">
        <v>15</v>
      </c>
      <c r="C16" s="56">
        <v>459.3</v>
      </c>
      <c r="D16" s="57">
        <v>0.3</v>
      </c>
      <c r="E16" s="57">
        <f t="shared" si="0"/>
        <v>137.79</v>
      </c>
      <c r="F16" s="57">
        <v>3.3700000000000028</v>
      </c>
      <c r="G16" s="57">
        <f t="shared" si="1"/>
        <v>134.41999999999999</v>
      </c>
      <c r="H16" s="54">
        <v>4603773</v>
      </c>
      <c r="I16" s="61" t="s">
        <v>16</v>
      </c>
      <c r="J16" s="61" t="s">
        <v>17</v>
      </c>
      <c r="K16" s="61" t="s">
        <v>18</v>
      </c>
      <c r="L16" s="54">
        <v>98820843</v>
      </c>
      <c r="M16" s="461">
        <v>45941</v>
      </c>
    </row>
    <row r="17" spans="1:14" s="144" customFormat="1" x14ac:dyDescent="0.25">
      <c r="A17" s="54">
        <v>1479</v>
      </c>
      <c r="B17" s="499" t="s">
        <v>77</v>
      </c>
      <c r="C17" s="56">
        <v>221.4</v>
      </c>
      <c r="D17" s="57">
        <v>0.3</v>
      </c>
      <c r="E17" s="57">
        <f t="shared" si="0"/>
        <v>66.42</v>
      </c>
      <c r="F17" s="57">
        <v>65.989999999999995</v>
      </c>
      <c r="G17" s="57">
        <f t="shared" si="1"/>
        <v>0.43000000000000682</v>
      </c>
      <c r="H17" s="500">
        <v>5217726</v>
      </c>
      <c r="I17" s="501" t="s">
        <v>78</v>
      </c>
      <c r="J17" s="502" t="s">
        <v>25</v>
      </c>
      <c r="K17" s="502" t="s">
        <v>26</v>
      </c>
      <c r="L17" s="500">
        <v>92610234</v>
      </c>
      <c r="M17" s="144" t="s">
        <v>968</v>
      </c>
    </row>
    <row r="18" spans="1:14" s="144" customFormat="1" x14ac:dyDescent="0.25">
      <c r="A18" s="54">
        <v>1483</v>
      </c>
      <c r="B18" s="55" t="s">
        <v>79</v>
      </c>
      <c r="C18" s="56">
        <v>431.6</v>
      </c>
      <c r="D18" s="57">
        <v>0.3</v>
      </c>
      <c r="E18" s="57">
        <f t="shared" si="0"/>
        <v>129.47999999999999</v>
      </c>
      <c r="F18" s="57">
        <v>127.36999999999999</v>
      </c>
      <c r="G18" s="57">
        <f t="shared" si="1"/>
        <v>2.1099999999999994</v>
      </c>
      <c r="H18" s="54">
        <v>1567826</v>
      </c>
      <c r="I18" s="58" t="s">
        <v>80</v>
      </c>
      <c r="J18" s="61" t="s">
        <v>75</v>
      </c>
      <c r="K18" s="60" t="s">
        <v>76</v>
      </c>
      <c r="L18" s="54">
        <v>98532884</v>
      </c>
      <c r="M18" s="61" t="s">
        <v>966</v>
      </c>
    </row>
    <row r="19" spans="1:14" s="79" customFormat="1" x14ac:dyDescent="0.25">
      <c r="A19" s="54">
        <v>1486</v>
      </c>
      <c r="B19" s="55" t="s">
        <v>714</v>
      </c>
      <c r="C19" s="56">
        <v>214.7</v>
      </c>
      <c r="D19" s="57">
        <v>0.3</v>
      </c>
      <c r="E19" s="57">
        <f t="shared" si="0"/>
        <v>64.41</v>
      </c>
      <c r="F19" s="57">
        <f>1.95+61.75</f>
        <v>63.7</v>
      </c>
      <c r="G19" s="57">
        <f t="shared" si="1"/>
        <v>0.70999999999999375</v>
      </c>
      <c r="H19" s="54">
        <v>22792564</v>
      </c>
      <c r="I19" s="58" t="s">
        <v>715</v>
      </c>
      <c r="J19" s="502" t="s">
        <v>25</v>
      </c>
      <c r="K19" s="502" t="s">
        <v>26</v>
      </c>
      <c r="L19" s="54"/>
      <c r="M19" s="461">
        <v>45700</v>
      </c>
      <c r="N19" s="61" t="s">
        <v>972</v>
      </c>
    </row>
    <row r="20" spans="1:14" s="144" customFormat="1" x14ac:dyDescent="0.25">
      <c r="A20" s="54">
        <v>1762</v>
      </c>
      <c r="B20" s="55" t="s">
        <v>82</v>
      </c>
      <c r="C20" s="56">
        <v>505.5</v>
      </c>
      <c r="D20" s="57">
        <v>0.3</v>
      </c>
      <c r="E20" s="57">
        <f t="shared" si="0"/>
        <v>151.65</v>
      </c>
      <c r="F20" s="57">
        <f>49.78</f>
        <v>49.78</v>
      </c>
      <c r="G20" s="57">
        <f t="shared" si="1"/>
        <v>101.87</v>
      </c>
      <c r="H20" s="84">
        <v>1409527</v>
      </c>
      <c r="I20" s="60" t="s">
        <v>83</v>
      </c>
      <c r="J20" s="59" t="s">
        <v>84</v>
      </c>
      <c r="K20" s="60" t="s">
        <v>26</v>
      </c>
      <c r="L20" s="54"/>
      <c r="M20" s="61" t="s">
        <v>928</v>
      </c>
      <c r="N20" s="530" t="s">
        <v>942</v>
      </c>
    </row>
    <row r="21" spans="1:14" x14ac:dyDescent="0.25">
      <c r="A21" s="22">
        <v>1792</v>
      </c>
      <c r="B21" s="33" t="s">
        <v>85</v>
      </c>
      <c r="C21" s="24">
        <v>148.9</v>
      </c>
      <c r="D21" s="25">
        <v>0.3</v>
      </c>
      <c r="E21" s="25">
        <f t="shared" si="0"/>
        <v>44.67</v>
      </c>
      <c r="F21" s="25"/>
      <c r="G21" s="25">
        <f t="shared" si="1"/>
        <v>44.67</v>
      </c>
      <c r="H21" s="462">
        <v>9545556</v>
      </c>
      <c r="I21" s="476" t="s">
        <v>86</v>
      </c>
      <c r="J21" s="26" t="s">
        <v>17</v>
      </c>
      <c r="K21" s="476" t="s">
        <v>18</v>
      </c>
      <c r="L21" s="22"/>
      <c r="M21" s="26"/>
    </row>
    <row r="22" spans="1:14" x14ac:dyDescent="0.25">
      <c r="A22" s="22">
        <v>3009</v>
      </c>
      <c r="B22" s="33" t="s">
        <v>87</v>
      </c>
      <c r="C22" s="45">
        <v>52.4</v>
      </c>
      <c r="D22" s="25">
        <v>0.3</v>
      </c>
      <c r="E22" s="25">
        <f t="shared" si="0"/>
        <v>15.719999999999999</v>
      </c>
      <c r="F22" s="25"/>
      <c r="G22" s="25">
        <f t="shared" si="1"/>
        <v>15.719999999999999</v>
      </c>
      <c r="H22" s="22">
        <v>1448391</v>
      </c>
      <c r="I22" s="477" t="s">
        <v>88</v>
      </c>
      <c r="J22" s="26" t="s">
        <v>43</v>
      </c>
      <c r="K22" s="26" t="s">
        <v>44</v>
      </c>
      <c r="L22" s="22">
        <v>99100144</v>
      </c>
      <c r="M22" s="26"/>
    </row>
    <row r="23" spans="1:14" s="144" customFormat="1" x14ac:dyDescent="0.25">
      <c r="A23" s="54">
        <v>3012</v>
      </c>
      <c r="B23" s="55" t="s">
        <v>90</v>
      </c>
      <c r="C23" s="56">
        <v>209</v>
      </c>
      <c r="D23" s="57">
        <v>0.3</v>
      </c>
      <c r="E23" s="57">
        <f t="shared" si="0"/>
        <v>62.699999999999996</v>
      </c>
      <c r="F23" s="57">
        <f>1.64999999999999+58.4</f>
        <v>60.04999999999999</v>
      </c>
      <c r="G23" s="57">
        <f t="shared" si="1"/>
        <v>2.6500000000000057</v>
      </c>
      <c r="H23" s="54">
        <v>5634422</v>
      </c>
      <c r="I23" s="58" t="s">
        <v>91</v>
      </c>
      <c r="J23" s="59" t="s">
        <v>25</v>
      </c>
      <c r="K23" s="60" t="s">
        <v>26</v>
      </c>
      <c r="L23" s="54">
        <v>96922118</v>
      </c>
      <c r="M23" s="461">
        <v>45881</v>
      </c>
      <c r="N23" s="61" t="s">
        <v>972</v>
      </c>
    </row>
    <row r="24" spans="1:14" s="144" customFormat="1" x14ac:dyDescent="0.25">
      <c r="A24" s="54">
        <v>3014</v>
      </c>
      <c r="B24" s="55" t="s">
        <v>92</v>
      </c>
      <c r="C24" s="56">
        <v>195</v>
      </c>
      <c r="D24" s="57">
        <v>0.3</v>
      </c>
      <c r="E24" s="57">
        <f t="shared" si="0"/>
        <v>58.5</v>
      </c>
      <c r="F24" s="57">
        <v>55.19</v>
      </c>
      <c r="G24" s="57">
        <f t="shared" si="1"/>
        <v>3.3100000000000023</v>
      </c>
      <c r="H24" s="54">
        <v>648421</v>
      </c>
      <c r="I24" s="58" t="s">
        <v>93</v>
      </c>
      <c r="J24" s="61" t="s">
        <v>43</v>
      </c>
      <c r="K24" s="61" t="s">
        <v>44</v>
      </c>
      <c r="L24" s="54">
        <v>98815665</v>
      </c>
      <c r="M24" s="461">
        <v>45819</v>
      </c>
    </row>
    <row r="25" spans="1:14" x14ac:dyDescent="0.25">
      <c r="A25" s="22">
        <v>3015</v>
      </c>
      <c r="B25" s="33" t="s">
        <v>94</v>
      </c>
      <c r="C25" s="45">
        <v>221</v>
      </c>
      <c r="D25" s="25">
        <v>0.3</v>
      </c>
      <c r="E25" s="25">
        <f t="shared" si="0"/>
        <v>66.3</v>
      </c>
      <c r="F25" s="25"/>
      <c r="G25" s="25">
        <f t="shared" si="1"/>
        <v>66.3</v>
      </c>
      <c r="H25" s="22">
        <v>5753033</v>
      </c>
      <c r="I25" s="216" t="s">
        <v>95</v>
      </c>
      <c r="J25" s="473" t="s">
        <v>25</v>
      </c>
      <c r="K25" s="214" t="s">
        <v>26</v>
      </c>
      <c r="L25" s="22">
        <v>92838405</v>
      </c>
      <c r="M25" s="26"/>
    </row>
    <row r="26" spans="1:14" s="556" customFormat="1" x14ac:dyDescent="0.25">
      <c r="A26" s="550">
        <v>3018</v>
      </c>
      <c r="B26" s="551" t="s">
        <v>96</v>
      </c>
      <c r="C26" s="552"/>
      <c r="D26" s="498">
        <v>0.3</v>
      </c>
      <c r="E26" s="498">
        <f t="shared" si="0"/>
        <v>0</v>
      </c>
      <c r="F26" s="498"/>
      <c r="G26" s="498">
        <f t="shared" si="1"/>
        <v>0</v>
      </c>
      <c r="H26" s="553">
        <v>1528087</v>
      </c>
      <c r="I26" s="599" t="s">
        <v>97</v>
      </c>
      <c r="J26" s="593" t="s">
        <v>25</v>
      </c>
      <c r="K26" s="554" t="s">
        <v>26</v>
      </c>
      <c r="L26" s="550"/>
      <c r="M26" s="600"/>
    </row>
    <row r="27" spans="1:14" s="144" customFormat="1" x14ac:dyDescent="0.25">
      <c r="A27" s="54">
        <v>3020</v>
      </c>
      <c r="B27" s="55" t="s">
        <v>98</v>
      </c>
      <c r="C27" s="56">
        <v>290.7</v>
      </c>
      <c r="D27" s="57">
        <v>0.3</v>
      </c>
      <c r="E27" s="57">
        <f t="shared" si="0"/>
        <v>87.21</v>
      </c>
      <c r="F27" s="57">
        <v>85.910000000000011</v>
      </c>
      <c r="G27" s="57">
        <f t="shared" si="1"/>
        <v>1.2999999999999829</v>
      </c>
      <c r="H27" s="54">
        <v>5418422</v>
      </c>
      <c r="I27" s="58" t="s">
        <v>99</v>
      </c>
      <c r="J27" s="59" t="s">
        <v>25</v>
      </c>
      <c r="K27" s="60" t="s">
        <v>26</v>
      </c>
      <c r="L27" s="54">
        <v>99495434</v>
      </c>
      <c r="M27" s="61" t="s">
        <v>954</v>
      </c>
    </row>
    <row r="28" spans="1:14" s="144" customFormat="1" x14ac:dyDescent="0.25">
      <c r="A28" s="54">
        <v>3022</v>
      </c>
      <c r="B28" s="55" t="s">
        <v>100</v>
      </c>
      <c r="C28" s="56">
        <v>525.5</v>
      </c>
      <c r="D28" s="57">
        <v>0.3</v>
      </c>
      <c r="E28" s="57">
        <f t="shared" si="0"/>
        <v>157.65</v>
      </c>
      <c r="F28" s="57">
        <v>153.61000000000001</v>
      </c>
      <c r="G28" s="57">
        <f t="shared" si="1"/>
        <v>4.039999999999992</v>
      </c>
      <c r="H28" s="54">
        <v>5360253</v>
      </c>
      <c r="I28" s="58" t="s">
        <v>101</v>
      </c>
      <c r="J28" s="61" t="s">
        <v>75</v>
      </c>
      <c r="K28" s="60" t="s">
        <v>76</v>
      </c>
      <c r="L28" s="54">
        <v>99257989</v>
      </c>
      <c r="M28" s="61" t="s">
        <v>972</v>
      </c>
    </row>
    <row r="29" spans="1:14" x14ac:dyDescent="0.25">
      <c r="A29" s="22">
        <v>3025</v>
      </c>
      <c r="B29" s="33" t="s">
        <v>102</v>
      </c>
      <c r="C29" s="45">
        <v>396.1</v>
      </c>
      <c r="D29" s="25">
        <v>0.3</v>
      </c>
      <c r="E29" s="25">
        <f t="shared" si="0"/>
        <v>118.83</v>
      </c>
      <c r="F29" s="25"/>
      <c r="G29" s="25">
        <f t="shared" si="1"/>
        <v>118.83</v>
      </c>
      <c r="H29" s="22">
        <v>7542172</v>
      </c>
      <c r="I29" s="216" t="s">
        <v>103</v>
      </c>
      <c r="J29" s="473" t="s">
        <v>25</v>
      </c>
      <c r="K29" s="214" t="s">
        <v>26</v>
      </c>
      <c r="L29" s="22"/>
      <c r="M29" s="26"/>
    </row>
    <row r="30" spans="1:14" x14ac:dyDescent="0.25">
      <c r="A30" s="22">
        <v>3026</v>
      </c>
      <c r="B30" s="33" t="s">
        <v>105</v>
      </c>
      <c r="C30" s="45">
        <v>206.8</v>
      </c>
      <c r="D30" s="25">
        <v>0.3</v>
      </c>
      <c r="E30" s="25">
        <f t="shared" si="0"/>
        <v>62.04</v>
      </c>
      <c r="F30" s="25"/>
      <c r="G30" s="25">
        <f t="shared" si="1"/>
        <v>62.04</v>
      </c>
      <c r="H30" s="22">
        <v>7033819</v>
      </c>
      <c r="I30" s="216" t="s">
        <v>106</v>
      </c>
      <c r="J30" s="473" t="s">
        <v>25</v>
      </c>
      <c r="K30" s="214" t="s">
        <v>26</v>
      </c>
      <c r="L30" s="22">
        <v>92256918</v>
      </c>
      <c r="M30" s="26"/>
    </row>
    <row r="31" spans="1:14" s="144" customFormat="1" x14ac:dyDescent="0.25">
      <c r="A31" s="54">
        <v>3027</v>
      </c>
      <c r="B31" s="55" t="s">
        <v>107</v>
      </c>
      <c r="C31" s="56">
        <v>435</v>
      </c>
      <c r="D31" s="57">
        <v>0.3</v>
      </c>
      <c r="E31" s="57">
        <f t="shared" si="0"/>
        <v>130.5</v>
      </c>
      <c r="F31" s="57">
        <f>129.35</f>
        <v>129.35</v>
      </c>
      <c r="G31" s="57">
        <f t="shared" si="1"/>
        <v>1.1500000000000057</v>
      </c>
      <c r="H31" s="54">
        <v>6420643</v>
      </c>
      <c r="I31" s="58" t="s">
        <v>108</v>
      </c>
      <c r="J31" s="59" t="s">
        <v>17</v>
      </c>
      <c r="K31" s="60" t="s">
        <v>18</v>
      </c>
      <c r="L31" s="54">
        <v>92288434</v>
      </c>
      <c r="M31" s="144" t="s">
        <v>968</v>
      </c>
    </row>
    <row r="32" spans="1:14" s="144" customFormat="1" x14ac:dyDescent="0.25">
      <c r="A32" s="54">
        <v>3030</v>
      </c>
      <c r="B32" s="55" t="s">
        <v>109</v>
      </c>
      <c r="C32" s="56">
        <v>205.5</v>
      </c>
      <c r="D32" s="57">
        <v>0.3</v>
      </c>
      <c r="E32" s="57">
        <f t="shared" si="0"/>
        <v>61.65</v>
      </c>
      <c r="F32" s="57">
        <v>59.07</v>
      </c>
      <c r="G32" s="57">
        <f t="shared" si="1"/>
        <v>2.5799999999999983</v>
      </c>
      <c r="H32" s="54">
        <v>6021175</v>
      </c>
      <c r="I32" s="58" t="s">
        <v>110</v>
      </c>
      <c r="J32" s="59" t="s">
        <v>25</v>
      </c>
      <c r="K32" s="60" t="s">
        <v>26</v>
      </c>
      <c r="L32" s="54">
        <v>91716888</v>
      </c>
      <c r="M32" s="144" t="s">
        <v>965</v>
      </c>
    </row>
    <row r="33" spans="1:14" s="144" customFormat="1" x14ac:dyDescent="0.25">
      <c r="A33" s="54">
        <v>3038</v>
      </c>
      <c r="B33" s="55" t="s">
        <v>111</v>
      </c>
      <c r="C33" s="56">
        <v>436.9</v>
      </c>
      <c r="D33" s="57">
        <v>0.3</v>
      </c>
      <c r="E33" s="57">
        <f t="shared" si="0"/>
        <v>131.07</v>
      </c>
      <c r="F33" s="57">
        <f>2.23+128.7</f>
        <v>130.92999999999998</v>
      </c>
      <c r="G33" s="57">
        <f t="shared" si="1"/>
        <v>0.14000000000001478</v>
      </c>
      <c r="H33" s="54">
        <v>7976</v>
      </c>
      <c r="I33" s="58" t="s">
        <v>112</v>
      </c>
      <c r="J33" s="61" t="s">
        <v>43</v>
      </c>
      <c r="K33" s="61" t="s">
        <v>44</v>
      </c>
      <c r="L33" s="54">
        <v>98920007</v>
      </c>
      <c r="M33" s="61" t="s">
        <v>956</v>
      </c>
      <c r="N33" s="144" t="s">
        <v>965</v>
      </c>
    </row>
    <row r="34" spans="1:14" s="144" customFormat="1" x14ac:dyDescent="0.25">
      <c r="A34" s="54">
        <v>3043</v>
      </c>
      <c r="B34" s="55" t="s">
        <v>113</v>
      </c>
      <c r="C34" s="56">
        <v>187.3</v>
      </c>
      <c r="D34" s="57">
        <v>0.3</v>
      </c>
      <c r="E34" s="57">
        <f t="shared" si="0"/>
        <v>56.190000000000005</v>
      </c>
      <c r="F34" s="57">
        <v>54.3</v>
      </c>
      <c r="G34" s="57">
        <f t="shared" si="1"/>
        <v>1.8900000000000077</v>
      </c>
      <c r="H34" s="54">
        <v>396336</v>
      </c>
      <c r="I34" s="58" t="s">
        <v>114</v>
      </c>
      <c r="J34" s="59" t="s">
        <v>25</v>
      </c>
      <c r="K34" s="60" t="s">
        <v>26</v>
      </c>
      <c r="L34" s="54">
        <v>99498844</v>
      </c>
      <c r="M34" s="61" t="s">
        <v>970</v>
      </c>
    </row>
    <row r="35" spans="1:14" x14ac:dyDescent="0.25">
      <c r="A35" s="22">
        <v>3058</v>
      </c>
      <c r="B35" s="33" t="s">
        <v>115</v>
      </c>
      <c r="C35" s="45">
        <v>732.3</v>
      </c>
      <c r="D35" s="25">
        <v>0.3</v>
      </c>
      <c r="E35" s="25">
        <f t="shared" si="0"/>
        <v>219.68999999999997</v>
      </c>
      <c r="F35" s="25"/>
      <c r="G35" s="25">
        <f t="shared" si="1"/>
        <v>219.68999999999997</v>
      </c>
      <c r="H35" s="22">
        <v>965148</v>
      </c>
      <c r="I35" s="216" t="s">
        <v>116</v>
      </c>
      <c r="J35" s="26" t="s">
        <v>43</v>
      </c>
      <c r="K35" s="26" t="s">
        <v>44</v>
      </c>
      <c r="L35" s="22">
        <v>90980121</v>
      </c>
      <c r="M35" s="26"/>
    </row>
    <row r="36" spans="1:14" x14ac:dyDescent="0.25">
      <c r="A36" s="22">
        <v>3070</v>
      </c>
      <c r="B36" s="33" t="s">
        <v>117</v>
      </c>
      <c r="C36" s="45">
        <v>616</v>
      </c>
      <c r="D36" s="25">
        <v>0.3</v>
      </c>
      <c r="E36" s="25">
        <f t="shared" si="0"/>
        <v>184.79999999999998</v>
      </c>
      <c r="F36" s="25"/>
      <c r="G36" s="25">
        <f t="shared" si="1"/>
        <v>184.79999999999998</v>
      </c>
      <c r="H36" s="46">
        <v>1918001</v>
      </c>
      <c r="I36" s="216" t="s">
        <v>118</v>
      </c>
      <c r="J36" s="473" t="s">
        <v>25</v>
      </c>
      <c r="K36" s="214" t="s">
        <v>26</v>
      </c>
      <c r="L36" s="46">
        <v>92863640</v>
      </c>
      <c r="M36" s="26"/>
    </row>
    <row r="37" spans="1:14" x14ac:dyDescent="0.25">
      <c r="A37" s="22">
        <v>3072</v>
      </c>
      <c r="B37" s="33" t="s">
        <v>119</v>
      </c>
      <c r="C37" s="45">
        <v>198</v>
      </c>
      <c r="D37" s="25">
        <v>0.3</v>
      </c>
      <c r="E37" s="25">
        <f t="shared" si="0"/>
        <v>59.4</v>
      </c>
      <c r="F37" s="25"/>
      <c r="G37" s="25">
        <f t="shared" si="1"/>
        <v>59.4</v>
      </c>
      <c r="H37" s="22">
        <v>993077</v>
      </c>
      <c r="I37" s="216" t="s">
        <v>120</v>
      </c>
      <c r="J37" s="26" t="s">
        <v>121</v>
      </c>
      <c r="K37" s="26" t="s">
        <v>122</v>
      </c>
      <c r="L37" s="22">
        <v>92252981</v>
      </c>
      <c r="M37" s="26"/>
    </row>
    <row r="38" spans="1:14" s="144" customFormat="1" x14ac:dyDescent="0.25">
      <c r="A38" s="54">
        <v>3077</v>
      </c>
      <c r="B38" s="55" t="s">
        <v>123</v>
      </c>
      <c r="C38" s="56">
        <v>244</v>
      </c>
      <c r="D38" s="57">
        <v>0.3</v>
      </c>
      <c r="E38" s="57">
        <f t="shared" si="0"/>
        <v>73.2</v>
      </c>
      <c r="F38" s="57">
        <v>72.67</v>
      </c>
      <c r="G38" s="57">
        <f t="shared" si="1"/>
        <v>0.53000000000000114</v>
      </c>
      <c r="H38" s="54">
        <v>21978752</v>
      </c>
      <c r="I38" s="58" t="s">
        <v>124</v>
      </c>
      <c r="J38" s="59" t="s">
        <v>25</v>
      </c>
      <c r="K38" s="60" t="s">
        <v>26</v>
      </c>
      <c r="L38" s="54">
        <v>90833336</v>
      </c>
      <c r="M38" s="61" t="s">
        <v>970</v>
      </c>
    </row>
    <row r="39" spans="1:14" s="144" customFormat="1" x14ac:dyDescent="0.25">
      <c r="A39" s="54">
        <v>3081</v>
      </c>
      <c r="B39" s="55" t="s">
        <v>126</v>
      </c>
      <c r="C39" s="56">
        <v>275</v>
      </c>
      <c r="D39" s="57">
        <v>0.3</v>
      </c>
      <c r="E39" s="57">
        <f t="shared" si="0"/>
        <v>82.5</v>
      </c>
      <c r="F39" s="57">
        <f>18.28+61.75</f>
        <v>80.03</v>
      </c>
      <c r="G39" s="57">
        <f t="shared" si="1"/>
        <v>2.4699999999999989</v>
      </c>
      <c r="H39" s="54">
        <v>21219868</v>
      </c>
      <c r="I39" s="488" t="s">
        <v>127</v>
      </c>
      <c r="J39" s="61" t="s">
        <v>128</v>
      </c>
      <c r="K39" s="69" t="s">
        <v>129</v>
      </c>
      <c r="L39" s="54">
        <v>93288777</v>
      </c>
      <c r="M39" s="461">
        <v>46002</v>
      </c>
      <c r="N39" s="61" t="s">
        <v>966</v>
      </c>
    </row>
    <row r="40" spans="1:14" s="144" customFormat="1" x14ac:dyDescent="0.25">
      <c r="A40" s="54">
        <v>3089</v>
      </c>
      <c r="B40" s="55" t="s">
        <v>130</v>
      </c>
      <c r="C40" s="56">
        <v>181.4</v>
      </c>
      <c r="D40" s="57">
        <v>0.3</v>
      </c>
      <c r="E40" s="57">
        <f t="shared" si="0"/>
        <v>54.42</v>
      </c>
      <c r="F40" s="57">
        <f>52.25</f>
        <v>52.25</v>
      </c>
      <c r="G40" s="57">
        <f t="shared" si="1"/>
        <v>2.1700000000000017</v>
      </c>
      <c r="H40" s="54">
        <v>18790484</v>
      </c>
      <c r="I40" s="58" t="s">
        <v>131</v>
      </c>
      <c r="J40" s="59" t="s">
        <v>25</v>
      </c>
      <c r="K40" s="60" t="s">
        <v>26</v>
      </c>
      <c r="L40" s="54"/>
      <c r="M40" s="61" t="s">
        <v>972</v>
      </c>
    </row>
    <row r="41" spans="1:14" x14ac:dyDescent="0.25">
      <c r="A41" s="22">
        <v>3093</v>
      </c>
      <c r="B41" s="33" t="s">
        <v>132</v>
      </c>
      <c r="C41" s="45">
        <v>354</v>
      </c>
      <c r="D41" s="25">
        <v>0.3</v>
      </c>
      <c r="E41" s="25">
        <f t="shared" si="0"/>
        <v>106.2</v>
      </c>
      <c r="F41" s="25"/>
      <c r="G41" s="25">
        <f t="shared" si="1"/>
        <v>106.2</v>
      </c>
      <c r="H41" s="22">
        <v>6361035</v>
      </c>
      <c r="I41" s="216" t="s">
        <v>133</v>
      </c>
      <c r="J41" s="26" t="s">
        <v>134</v>
      </c>
      <c r="K41" s="214" t="s">
        <v>135</v>
      </c>
      <c r="L41" s="22">
        <v>99497919</v>
      </c>
      <c r="M41" s="26"/>
    </row>
    <row r="42" spans="1:14" x14ac:dyDescent="0.25">
      <c r="A42" s="22">
        <v>3094</v>
      </c>
      <c r="B42" s="33" t="s">
        <v>136</v>
      </c>
      <c r="C42" s="45">
        <v>487.5</v>
      </c>
      <c r="D42" s="25">
        <v>0.3</v>
      </c>
      <c r="E42" s="25">
        <f t="shared" si="0"/>
        <v>146.25</v>
      </c>
      <c r="F42" s="25"/>
      <c r="G42" s="25">
        <f t="shared" si="1"/>
        <v>146.25</v>
      </c>
      <c r="H42" s="22">
        <v>26343985</v>
      </c>
      <c r="I42" s="216" t="s">
        <v>137</v>
      </c>
      <c r="J42" s="473" t="s">
        <v>25</v>
      </c>
      <c r="K42" s="214" t="s">
        <v>26</v>
      </c>
      <c r="L42" s="22">
        <v>93327740</v>
      </c>
      <c r="M42" s="26"/>
    </row>
    <row r="43" spans="1:14" x14ac:dyDescent="0.25">
      <c r="A43" s="22">
        <v>3100</v>
      </c>
      <c r="B43" s="33" t="s">
        <v>138</v>
      </c>
      <c r="C43" s="45">
        <v>900</v>
      </c>
      <c r="D43" s="25">
        <v>0.3</v>
      </c>
      <c r="E43" s="25">
        <f t="shared" si="0"/>
        <v>270</v>
      </c>
      <c r="F43" s="25">
        <v>267.98999999999995</v>
      </c>
      <c r="G43" s="25">
        <f t="shared" si="1"/>
        <v>2.0100000000000477</v>
      </c>
      <c r="H43" s="22">
        <v>1278615</v>
      </c>
      <c r="I43" s="216" t="s">
        <v>139</v>
      </c>
      <c r="J43" s="26" t="s">
        <v>75</v>
      </c>
      <c r="K43" s="214" t="s">
        <v>26</v>
      </c>
      <c r="L43" s="22">
        <v>99806386</v>
      </c>
      <c r="M43" s="61" t="s">
        <v>972</v>
      </c>
    </row>
    <row r="44" spans="1:14" x14ac:dyDescent="0.25">
      <c r="A44" s="22">
        <v>3101</v>
      </c>
      <c r="B44" s="33" t="s">
        <v>140</v>
      </c>
      <c r="C44" s="45">
        <v>219.6</v>
      </c>
      <c r="D44" s="25">
        <v>0.3</v>
      </c>
      <c r="E44" s="25">
        <f t="shared" si="0"/>
        <v>65.88</v>
      </c>
      <c r="F44" s="25"/>
      <c r="G44" s="25">
        <f t="shared" si="1"/>
        <v>65.88</v>
      </c>
      <c r="H44" s="22">
        <v>6767598</v>
      </c>
      <c r="I44" s="216" t="s">
        <v>141</v>
      </c>
      <c r="J44" s="473" t="s">
        <v>25</v>
      </c>
      <c r="K44" s="214" t="s">
        <v>26</v>
      </c>
      <c r="L44" s="22">
        <v>99100344</v>
      </c>
      <c r="M44" s="26"/>
    </row>
    <row r="45" spans="1:14" s="144" customFormat="1" x14ac:dyDescent="0.25">
      <c r="A45" s="54">
        <v>3102</v>
      </c>
      <c r="B45" s="55" t="s">
        <v>142</v>
      </c>
      <c r="C45" s="56">
        <v>373.6</v>
      </c>
      <c r="D45" s="57">
        <v>0.3</v>
      </c>
      <c r="E45" s="57">
        <f t="shared" si="0"/>
        <v>112.08</v>
      </c>
      <c r="F45" s="57">
        <f>3.4+104.5</f>
        <v>107.9</v>
      </c>
      <c r="G45" s="57">
        <f t="shared" si="1"/>
        <v>4.1799999999999926</v>
      </c>
      <c r="H45" s="54">
        <v>5916838</v>
      </c>
      <c r="I45" s="60" t="s">
        <v>143</v>
      </c>
      <c r="J45" s="59" t="s">
        <v>25</v>
      </c>
      <c r="K45" s="60" t="s">
        <v>26</v>
      </c>
      <c r="L45" s="54">
        <v>91917520</v>
      </c>
      <c r="M45" s="61" t="s">
        <v>966</v>
      </c>
      <c r="N45" s="61" t="s">
        <v>970</v>
      </c>
    </row>
    <row r="46" spans="1:14" s="144" customFormat="1" x14ac:dyDescent="0.25">
      <c r="A46" s="54">
        <v>3119</v>
      </c>
      <c r="B46" s="55" t="s">
        <v>144</v>
      </c>
      <c r="C46" s="56">
        <v>238.6</v>
      </c>
      <c r="D46" s="57">
        <v>0.3</v>
      </c>
      <c r="E46" s="57">
        <f t="shared" si="0"/>
        <v>71.58</v>
      </c>
      <c r="F46" s="57">
        <f>69.35</f>
        <v>69.349999999999994</v>
      </c>
      <c r="G46" s="57">
        <f t="shared" si="1"/>
        <v>2.230000000000004</v>
      </c>
      <c r="H46" s="54">
        <v>5903061</v>
      </c>
      <c r="I46" s="58" t="s">
        <v>145</v>
      </c>
      <c r="J46" s="59" t="s">
        <v>25</v>
      </c>
      <c r="K46" s="60" t="s">
        <v>26</v>
      </c>
      <c r="L46" s="54">
        <v>91904279</v>
      </c>
      <c r="M46" s="61" t="s">
        <v>966</v>
      </c>
    </row>
    <row r="47" spans="1:14" s="144" customFormat="1" x14ac:dyDescent="0.25">
      <c r="A47" s="54">
        <v>3122</v>
      </c>
      <c r="B47" s="55" t="s">
        <v>146</v>
      </c>
      <c r="C47" s="56">
        <v>219.7</v>
      </c>
      <c r="D47" s="57">
        <v>0.3</v>
      </c>
      <c r="E47" s="57">
        <f t="shared" si="0"/>
        <v>65.91</v>
      </c>
      <c r="F47" s="57">
        <v>62.599999999999994</v>
      </c>
      <c r="G47" s="57">
        <f t="shared" si="1"/>
        <v>3.3100000000000023</v>
      </c>
      <c r="H47" s="54">
        <v>12415718</v>
      </c>
      <c r="I47" s="58" t="s">
        <v>110</v>
      </c>
      <c r="J47" s="59" t="s">
        <v>25</v>
      </c>
      <c r="K47" s="60" t="s">
        <v>26</v>
      </c>
      <c r="L47" s="54">
        <v>99481799</v>
      </c>
      <c r="M47" s="144" t="s">
        <v>965</v>
      </c>
    </row>
    <row r="48" spans="1:14" x14ac:dyDescent="0.25">
      <c r="A48" s="22">
        <v>3136</v>
      </c>
      <c r="B48" s="33" t="s">
        <v>20</v>
      </c>
      <c r="C48" s="45">
        <v>366.5</v>
      </c>
      <c r="D48" s="25">
        <v>0.3</v>
      </c>
      <c r="E48" s="25">
        <f t="shared" si="0"/>
        <v>109.95</v>
      </c>
      <c r="F48" s="25"/>
      <c r="G48" s="25">
        <f t="shared" si="1"/>
        <v>109.95</v>
      </c>
      <c r="H48" s="22">
        <v>183498</v>
      </c>
      <c r="I48" s="216" t="s">
        <v>21</v>
      </c>
      <c r="J48" s="473" t="s">
        <v>17</v>
      </c>
      <c r="K48" s="214" t="s">
        <v>18</v>
      </c>
      <c r="L48" s="22">
        <v>99481314</v>
      </c>
      <c r="M48" s="26"/>
    </row>
    <row r="49" spans="1:14" x14ac:dyDescent="0.25">
      <c r="A49" s="22">
        <v>3178</v>
      </c>
      <c r="B49" s="33" t="s">
        <v>147</v>
      </c>
      <c r="C49" s="45">
        <v>1490</v>
      </c>
      <c r="D49" s="25">
        <v>0.3</v>
      </c>
      <c r="E49" s="25">
        <f t="shared" si="0"/>
        <v>447</v>
      </c>
      <c r="F49" s="25"/>
      <c r="G49" s="25">
        <f t="shared" si="1"/>
        <v>447</v>
      </c>
      <c r="H49" s="22">
        <v>1511754</v>
      </c>
      <c r="I49" s="216" t="s">
        <v>148</v>
      </c>
      <c r="J49" s="26" t="s">
        <v>43</v>
      </c>
      <c r="K49" s="26" t="s">
        <v>44</v>
      </c>
      <c r="L49" s="22">
        <v>99495933</v>
      </c>
      <c r="M49" s="26"/>
    </row>
    <row r="50" spans="1:14" x14ac:dyDescent="0.25">
      <c r="A50" s="22">
        <v>3199</v>
      </c>
      <c r="B50" s="33" t="s">
        <v>149</v>
      </c>
      <c r="C50" s="45">
        <v>29.9</v>
      </c>
      <c r="D50" s="25">
        <v>0.3</v>
      </c>
      <c r="E50" s="25">
        <f t="shared" si="0"/>
        <v>8.9699999999999989</v>
      </c>
      <c r="F50" s="25"/>
      <c r="G50" s="25">
        <f t="shared" si="1"/>
        <v>8.9699999999999989</v>
      </c>
      <c r="H50" s="22">
        <v>5168327</v>
      </c>
      <c r="I50" s="216" t="s">
        <v>150</v>
      </c>
      <c r="J50" s="473" t="s">
        <v>25</v>
      </c>
      <c r="K50" s="214" t="s">
        <v>26</v>
      </c>
      <c r="L50" s="22">
        <v>98066833</v>
      </c>
      <c r="M50" s="26"/>
    </row>
    <row r="51" spans="1:14" s="144" customFormat="1" x14ac:dyDescent="0.25">
      <c r="A51" s="54">
        <v>3200</v>
      </c>
      <c r="B51" s="55" t="s">
        <v>151</v>
      </c>
      <c r="C51" s="56">
        <v>176.8</v>
      </c>
      <c r="D51" s="57">
        <v>0.3</v>
      </c>
      <c r="E51" s="57">
        <f t="shared" si="0"/>
        <v>53.04</v>
      </c>
      <c r="F51" s="57">
        <v>49.930000000000007</v>
      </c>
      <c r="G51" s="57">
        <f t="shared" si="1"/>
        <v>3.1099999999999923</v>
      </c>
      <c r="H51" s="84">
        <v>21947578</v>
      </c>
      <c r="I51" s="60" t="s">
        <v>152</v>
      </c>
      <c r="J51" s="59" t="s">
        <v>25</v>
      </c>
      <c r="K51" s="60" t="s">
        <v>26</v>
      </c>
      <c r="L51" s="54"/>
      <c r="M51" s="461">
        <v>46002</v>
      </c>
    </row>
    <row r="52" spans="1:14" x14ac:dyDescent="0.25">
      <c r="A52" s="22">
        <v>3201</v>
      </c>
      <c r="B52" s="33" t="s">
        <v>153</v>
      </c>
      <c r="C52" s="45">
        <v>181</v>
      </c>
      <c r="D52" s="25">
        <v>0.3</v>
      </c>
      <c r="E52" s="25">
        <f t="shared" si="0"/>
        <v>54.3</v>
      </c>
      <c r="F52" s="25"/>
      <c r="G52" s="25">
        <f t="shared" si="1"/>
        <v>54.3</v>
      </c>
      <c r="H52" s="22">
        <v>7048401</v>
      </c>
      <c r="I52" s="216" t="s">
        <v>154</v>
      </c>
      <c r="J52" s="26" t="s">
        <v>17</v>
      </c>
      <c r="K52" s="26" t="s">
        <v>18</v>
      </c>
      <c r="L52" s="22"/>
      <c r="M52" s="26"/>
    </row>
    <row r="53" spans="1:14" s="144" customFormat="1" x14ac:dyDescent="0.25">
      <c r="A53" s="54">
        <v>3202</v>
      </c>
      <c r="B53" s="55" t="s">
        <v>155</v>
      </c>
      <c r="C53" s="56">
        <v>78.8</v>
      </c>
      <c r="D53" s="57">
        <v>0.3</v>
      </c>
      <c r="E53" s="57">
        <f t="shared" si="0"/>
        <v>23.639999999999997</v>
      </c>
      <c r="F53" s="57">
        <v>18.989999999999995</v>
      </c>
      <c r="G53" s="57">
        <f t="shared" si="1"/>
        <v>4.6500000000000021</v>
      </c>
      <c r="H53" s="54">
        <v>5197371</v>
      </c>
      <c r="I53" s="58" t="s">
        <v>156</v>
      </c>
      <c r="J53" s="59" t="s">
        <v>25</v>
      </c>
      <c r="K53" s="60" t="s">
        <v>26</v>
      </c>
      <c r="L53" s="54">
        <v>93889732</v>
      </c>
      <c r="M53" s="61" t="s">
        <v>966</v>
      </c>
    </row>
    <row r="54" spans="1:14" s="144" customFormat="1" x14ac:dyDescent="0.25">
      <c r="A54" s="54">
        <v>3203</v>
      </c>
      <c r="B54" s="55" t="s">
        <v>157</v>
      </c>
      <c r="C54" s="56">
        <v>269</v>
      </c>
      <c r="D54" s="57">
        <v>0.3</v>
      </c>
      <c r="E54" s="57">
        <f t="shared" si="0"/>
        <v>80.7</v>
      </c>
      <c r="F54" s="57">
        <v>80.260000000000005</v>
      </c>
      <c r="G54" s="57">
        <f t="shared" si="1"/>
        <v>0.43999999999999773</v>
      </c>
      <c r="H54" s="54">
        <v>23215097</v>
      </c>
      <c r="I54" s="58" t="s">
        <v>158</v>
      </c>
      <c r="J54" s="59" t="s">
        <v>25</v>
      </c>
      <c r="K54" s="60" t="s">
        <v>26</v>
      </c>
      <c r="L54" s="54"/>
      <c r="M54" s="61" t="s">
        <v>970</v>
      </c>
    </row>
    <row r="55" spans="1:14" s="144" customFormat="1" x14ac:dyDescent="0.25">
      <c r="A55" s="54">
        <v>3204</v>
      </c>
      <c r="B55" s="55" t="s">
        <v>159</v>
      </c>
      <c r="C55" s="56">
        <v>285.5</v>
      </c>
      <c r="D55" s="57">
        <v>0.3</v>
      </c>
      <c r="E55" s="57">
        <f t="shared" si="0"/>
        <v>85.649999999999991</v>
      </c>
      <c r="F55" s="57">
        <v>81.509999999999991</v>
      </c>
      <c r="G55" s="57">
        <f t="shared" si="1"/>
        <v>4.1400000000000006</v>
      </c>
      <c r="H55" s="54">
        <v>24958926</v>
      </c>
      <c r="I55" s="58" t="s">
        <v>160</v>
      </c>
      <c r="J55" s="59" t="s">
        <v>25</v>
      </c>
      <c r="K55" s="60" t="s">
        <v>26</v>
      </c>
      <c r="L55" s="54">
        <v>99312225</v>
      </c>
      <c r="M55" s="144" t="s">
        <v>968</v>
      </c>
    </row>
    <row r="56" spans="1:14" x14ac:dyDescent="0.25">
      <c r="A56" s="22">
        <v>3207</v>
      </c>
      <c r="B56" s="33" t="s">
        <v>162</v>
      </c>
      <c r="C56" s="45">
        <v>490.9</v>
      </c>
      <c r="D56" s="25">
        <v>0.3</v>
      </c>
      <c r="E56" s="25">
        <f t="shared" si="0"/>
        <v>147.26999999999998</v>
      </c>
      <c r="F56" s="25"/>
      <c r="G56" s="25">
        <f t="shared" si="1"/>
        <v>147.26999999999998</v>
      </c>
      <c r="H56" s="22">
        <v>11940175</v>
      </c>
      <c r="I56" s="216" t="s">
        <v>163</v>
      </c>
      <c r="J56" s="473" t="s">
        <v>25</v>
      </c>
      <c r="K56" s="214" t="s">
        <v>26</v>
      </c>
      <c r="L56" s="22">
        <v>98138748</v>
      </c>
      <c r="M56" s="26"/>
    </row>
    <row r="57" spans="1:14" x14ac:dyDescent="0.25">
      <c r="A57" s="22">
        <v>3208</v>
      </c>
      <c r="B57" s="33" t="s">
        <v>164</v>
      </c>
      <c r="C57" s="45">
        <v>415.6</v>
      </c>
      <c r="D57" s="25">
        <v>0.3</v>
      </c>
      <c r="E57" s="25">
        <f t="shared" si="0"/>
        <v>124.68</v>
      </c>
      <c r="F57" s="25"/>
      <c r="G57" s="25">
        <f t="shared" si="1"/>
        <v>124.68</v>
      </c>
      <c r="H57" s="22">
        <v>1742664</v>
      </c>
      <c r="I57" s="216" t="s">
        <v>165</v>
      </c>
      <c r="J57" s="26" t="s">
        <v>166</v>
      </c>
      <c r="K57" s="26" t="s">
        <v>129</v>
      </c>
      <c r="L57" s="22">
        <v>99482598</v>
      </c>
      <c r="M57" s="26"/>
    </row>
    <row r="58" spans="1:14" s="144" customFormat="1" x14ac:dyDescent="0.25">
      <c r="A58" s="54">
        <v>3209</v>
      </c>
      <c r="B58" s="55" t="s">
        <v>169</v>
      </c>
      <c r="C58" s="56">
        <v>224.1</v>
      </c>
      <c r="D58" s="57">
        <v>0.3</v>
      </c>
      <c r="E58" s="57">
        <f t="shared" si="0"/>
        <v>67.22999999999999</v>
      </c>
      <c r="F58" s="57">
        <f>0.0800000000000029+65.7</f>
        <v>65.78</v>
      </c>
      <c r="G58" s="57">
        <f t="shared" si="1"/>
        <v>1.4499999999999886</v>
      </c>
      <c r="H58" s="54">
        <v>5634328</v>
      </c>
      <c r="I58" s="58" t="s">
        <v>170</v>
      </c>
      <c r="J58" s="59" t="s">
        <v>25</v>
      </c>
      <c r="K58" s="60" t="s">
        <v>26</v>
      </c>
      <c r="L58" s="54">
        <v>92283227</v>
      </c>
      <c r="M58" s="461">
        <v>45881</v>
      </c>
      <c r="N58" s="61" t="s">
        <v>972</v>
      </c>
    </row>
    <row r="59" spans="1:14" s="144" customFormat="1" x14ac:dyDescent="0.25">
      <c r="A59" s="54">
        <v>3210</v>
      </c>
      <c r="B59" s="55" t="s">
        <v>171</v>
      </c>
      <c r="C59" s="56">
        <v>400.6</v>
      </c>
      <c r="D59" s="57">
        <v>0.3</v>
      </c>
      <c r="E59" s="57">
        <f t="shared" si="0"/>
        <v>120.18</v>
      </c>
      <c r="F59" s="57">
        <v>116.64900000000002</v>
      </c>
      <c r="G59" s="57">
        <f t="shared" si="1"/>
        <v>3.5309999999999917</v>
      </c>
      <c r="H59" s="54">
        <v>45419</v>
      </c>
      <c r="I59" s="58" t="s">
        <v>172</v>
      </c>
      <c r="J59" s="59" t="s">
        <v>25</v>
      </c>
      <c r="K59" s="60" t="s">
        <v>26</v>
      </c>
      <c r="L59" s="54">
        <v>90101070</v>
      </c>
      <c r="M59" s="144" t="s">
        <v>954</v>
      </c>
    </row>
    <row r="60" spans="1:14" s="556" customFormat="1" x14ac:dyDescent="0.25">
      <c r="A60" s="550">
        <v>3211</v>
      </c>
      <c r="B60" s="551" t="s">
        <v>173</v>
      </c>
      <c r="C60" s="552"/>
      <c r="D60" s="498">
        <v>0.3</v>
      </c>
      <c r="E60" s="498">
        <f t="shared" si="0"/>
        <v>0</v>
      </c>
      <c r="F60" s="498"/>
      <c r="G60" s="498">
        <f t="shared" si="1"/>
        <v>0</v>
      </c>
      <c r="H60" s="595">
        <v>9927207</v>
      </c>
      <c r="I60" s="596" t="s">
        <v>174</v>
      </c>
      <c r="J60" s="596" t="s">
        <v>17</v>
      </c>
      <c r="K60" s="596" t="s">
        <v>18</v>
      </c>
      <c r="L60" s="595"/>
      <c r="M60" s="597">
        <v>44986</v>
      </c>
    </row>
    <row r="61" spans="1:14" x14ac:dyDescent="0.25">
      <c r="A61" s="22">
        <v>3212</v>
      </c>
      <c r="B61" s="33" t="s">
        <v>175</v>
      </c>
      <c r="C61" s="45">
        <v>577</v>
      </c>
      <c r="D61" s="25">
        <v>0.3</v>
      </c>
      <c r="E61" s="25">
        <f t="shared" si="0"/>
        <v>173.1</v>
      </c>
      <c r="F61" s="25"/>
      <c r="G61" s="25">
        <f t="shared" si="1"/>
        <v>173.1</v>
      </c>
      <c r="H61" s="22">
        <v>804443</v>
      </c>
      <c r="I61" s="216" t="s">
        <v>176</v>
      </c>
      <c r="J61" s="26" t="s">
        <v>121</v>
      </c>
      <c r="K61" s="26" t="s">
        <v>122</v>
      </c>
      <c r="L61" s="22">
        <v>99483202</v>
      </c>
      <c r="M61" s="26"/>
    </row>
    <row r="62" spans="1:14" s="144" customFormat="1" x14ac:dyDescent="0.25">
      <c r="A62" s="54">
        <v>3213</v>
      </c>
      <c r="B62" s="55" t="s">
        <v>177</v>
      </c>
      <c r="C62" s="56">
        <v>556.29999999999995</v>
      </c>
      <c r="D62" s="57">
        <v>0.3</v>
      </c>
      <c r="E62" s="57">
        <f t="shared" si="0"/>
        <v>166.89</v>
      </c>
      <c r="F62" s="57">
        <v>1.659999999999991</v>
      </c>
      <c r="G62" s="57">
        <f t="shared" si="1"/>
        <v>165.23</v>
      </c>
      <c r="H62" s="54">
        <v>2594336</v>
      </c>
      <c r="I62" s="58" t="s">
        <v>178</v>
      </c>
      <c r="J62" s="59" t="s">
        <v>25</v>
      </c>
      <c r="K62" s="60" t="s">
        <v>26</v>
      </c>
      <c r="L62" s="54">
        <v>71773005</v>
      </c>
      <c r="M62" s="461">
        <v>45700</v>
      </c>
    </row>
    <row r="63" spans="1:14" s="144" customFormat="1" x14ac:dyDescent="0.25">
      <c r="A63" s="54">
        <v>3214</v>
      </c>
      <c r="B63" s="55" t="s">
        <v>179</v>
      </c>
      <c r="C63" s="56">
        <v>447.8</v>
      </c>
      <c r="D63" s="57">
        <v>0.3</v>
      </c>
      <c r="E63" s="57">
        <f t="shared" si="0"/>
        <v>134.34</v>
      </c>
      <c r="F63" s="57">
        <v>130.17000000000002</v>
      </c>
      <c r="G63" s="57">
        <f t="shared" si="1"/>
        <v>4.1699999999999875</v>
      </c>
      <c r="H63" s="54">
        <v>5168262</v>
      </c>
      <c r="I63" s="58" t="s">
        <v>180</v>
      </c>
      <c r="J63" s="61" t="s">
        <v>17</v>
      </c>
      <c r="K63" s="61" t="s">
        <v>18</v>
      </c>
      <c r="L63" s="54">
        <v>99895383</v>
      </c>
      <c r="M63" s="61" t="s">
        <v>967</v>
      </c>
    </row>
    <row r="64" spans="1:14" s="144" customFormat="1" x14ac:dyDescent="0.25">
      <c r="A64" s="54">
        <v>3215</v>
      </c>
      <c r="B64" s="55" t="s">
        <v>181</v>
      </c>
      <c r="C64" s="56">
        <v>415</v>
      </c>
      <c r="D64" s="57">
        <v>0.3</v>
      </c>
      <c r="E64" s="57">
        <f t="shared" si="0"/>
        <v>124.5</v>
      </c>
      <c r="F64" s="57">
        <v>121.89000000000001</v>
      </c>
      <c r="G64" s="57">
        <f t="shared" si="1"/>
        <v>2.6099999999999852</v>
      </c>
      <c r="H64" s="84">
        <v>11684091</v>
      </c>
      <c r="I64" s="60" t="s">
        <v>182</v>
      </c>
      <c r="J64" s="61" t="s">
        <v>17</v>
      </c>
      <c r="K64" s="61" t="s">
        <v>18</v>
      </c>
      <c r="L64" s="54"/>
      <c r="M64" s="144" t="s">
        <v>966</v>
      </c>
    </row>
    <row r="65" spans="1:16" s="144" customFormat="1" x14ac:dyDescent="0.25">
      <c r="A65" s="54">
        <v>3216</v>
      </c>
      <c r="B65" s="55" t="s">
        <v>23</v>
      </c>
      <c r="C65" s="56">
        <v>481.9</v>
      </c>
      <c r="D65" s="57">
        <v>0.3</v>
      </c>
      <c r="E65" s="57">
        <f t="shared" si="0"/>
        <v>144.57</v>
      </c>
      <c r="F65" s="587">
        <v>143.17999999999998</v>
      </c>
      <c r="G65" s="57">
        <f t="shared" si="1"/>
        <v>1.3900000000000148</v>
      </c>
      <c r="H65" s="71">
        <v>18715567</v>
      </c>
      <c r="I65" s="72" t="s">
        <v>24</v>
      </c>
      <c r="J65" s="73" t="s">
        <v>25</v>
      </c>
      <c r="K65" s="72" t="s">
        <v>26</v>
      </c>
      <c r="L65" s="54">
        <v>77279900</v>
      </c>
      <c r="M65" s="144" t="s">
        <v>968</v>
      </c>
    </row>
    <row r="66" spans="1:16" x14ac:dyDescent="0.25">
      <c r="A66" s="22">
        <v>3217</v>
      </c>
      <c r="B66" s="33" t="s">
        <v>183</v>
      </c>
      <c r="C66" s="45">
        <v>129.69999999999999</v>
      </c>
      <c r="D66" s="25">
        <v>0.3</v>
      </c>
      <c r="E66" s="25">
        <f t="shared" si="0"/>
        <v>38.909999999999997</v>
      </c>
      <c r="F66" s="25"/>
      <c r="G66" s="25">
        <f t="shared" si="1"/>
        <v>38.909999999999997</v>
      </c>
      <c r="H66" s="22">
        <v>1568196</v>
      </c>
      <c r="I66" s="216" t="s">
        <v>184</v>
      </c>
      <c r="J66" s="26" t="s">
        <v>134</v>
      </c>
      <c r="K66" s="214" t="s">
        <v>135</v>
      </c>
      <c r="L66" s="22">
        <v>99494635</v>
      </c>
      <c r="M66" s="26"/>
    </row>
    <row r="67" spans="1:16" s="144" customFormat="1" x14ac:dyDescent="0.25">
      <c r="A67" s="54">
        <v>3219</v>
      </c>
      <c r="B67" s="55" t="s">
        <v>185</v>
      </c>
      <c r="C67" s="56">
        <v>620.79999999999995</v>
      </c>
      <c r="D67" s="57">
        <v>0.3</v>
      </c>
      <c r="E67" s="57">
        <f t="shared" si="0"/>
        <v>186.23999999999998</v>
      </c>
      <c r="F67" s="57">
        <v>182.31</v>
      </c>
      <c r="G67" s="57">
        <f t="shared" si="1"/>
        <v>3.9299999999999784</v>
      </c>
      <c r="H67" s="71">
        <v>12398617</v>
      </c>
      <c r="I67" s="72" t="s">
        <v>186</v>
      </c>
      <c r="J67" s="73" t="s">
        <v>25</v>
      </c>
      <c r="K67" s="72" t="s">
        <v>26</v>
      </c>
      <c r="L67" s="54"/>
      <c r="M67" s="61" t="s">
        <v>966</v>
      </c>
    </row>
    <row r="68" spans="1:16" x14ac:dyDescent="0.25">
      <c r="A68" s="22">
        <v>3220</v>
      </c>
      <c r="B68" s="33" t="s">
        <v>187</v>
      </c>
      <c r="C68" s="45">
        <v>434.3</v>
      </c>
      <c r="D68" s="25">
        <v>0.3</v>
      </c>
      <c r="E68" s="25">
        <f t="shared" ref="E68:E131" si="2">D68*C68</f>
        <v>130.29</v>
      </c>
      <c r="F68" s="25"/>
      <c r="G68" s="25">
        <f t="shared" si="1"/>
        <v>130.29</v>
      </c>
      <c r="H68" s="22">
        <v>5348311</v>
      </c>
      <c r="I68" s="216" t="s">
        <v>188</v>
      </c>
      <c r="J68" s="26" t="s">
        <v>17</v>
      </c>
      <c r="K68" s="26" t="s">
        <v>18</v>
      </c>
      <c r="L68" s="22">
        <v>96313636</v>
      </c>
      <c r="M68" s="26"/>
    </row>
    <row r="69" spans="1:16" x14ac:dyDescent="0.25">
      <c r="A69" s="22">
        <v>3221</v>
      </c>
      <c r="B69" s="33" t="s">
        <v>189</v>
      </c>
      <c r="C69" s="45">
        <v>199</v>
      </c>
      <c r="D69" s="25">
        <v>0.3</v>
      </c>
      <c r="E69" s="25">
        <f t="shared" si="2"/>
        <v>59.699999999999996</v>
      </c>
      <c r="F69" s="25"/>
      <c r="G69" s="25">
        <f t="shared" ref="G69:G132" si="3">E69-F69</f>
        <v>59.699999999999996</v>
      </c>
      <c r="H69" s="22">
        <v>13362673</v>
      </c>
      <c r="I69" s="216" t="s">
        <v>190</v>
      </c>
      <c r="J69" s="473" t="s">
        <v>25</v>
      </c>
      <c r="K69" s="214" t="s">
        <v>26</v>
      </c>
      <c r="L69" s="22">
        <v>92665337</v>
      </c>
      <c r="M69" s="26"/>
    </row>
    <row r="70" spans="1:16" s="144" customFormat="1" x14ac:dyDescent="0.25">
      <c r="A70" s="54">
        <v>3222</v>
      </c>
      <c r="B70" s="55" t="s">
        <v>191</v>
      </c>
      <c r="C70" s="56">
        <v>139</v>
      </c>
      <c r="D70" s="57">
        <v>0.3</v>
      </c>
      <c r="E70" s="57">
        <f t="shared" si="2"/>
        <v>41.699999999999996</v>
      </c>
      <c r="F70" s="57">
        <f>0.04+39.6</f>
        <v>39.64</v>
      </c>
      <c r="G70" s="57">
        <f t="shared" si="3"/>
        <v>2.0599999999999952</v>
      </c>
      <c r="H70" s="54">
        <v>18091329</v>
      </c>
      <c r="I70" s="58" t="s">
        <v>192</v>
      </c>
      <c r="J70" s="61" t="s">
        <v>17</v>
      </c>
      <c r="K70" s="61" t="s">
        <v>18</v>
      </c>
      <c r="L70" s="54">
        <v>92197820</v>
      </c>
      <c r="M70" s="461">
        <v>45788</v>
      </c>
      <c r="N70" s="144" t="s">
        <v>968</v>
      </c>
    </row>
    <row r="71" spans="1:16" x14ac:dyDescent="0.25">
      <c r="A71" s="22">
        <v>3223</v>
      </c>
      <c r="B71" s="33" t="s">
        <v>193</v>
      </c>
      <c r="C71" s="45">
        <v>210</v>
      </c>
      <c r="D71" s="25">
        <v>0.3</v>
      </c>
      <c r="E71" s="25">
        <f t="shared" si="2"/>
        <v>63</v>
      </c>
      <c r="F71" s="25"/>
      <c r="G71" s="25">
        <f t="shared" si="3"/>
        <v>63</v>
      </c>
      <c r="H71" s="22">
        <v>5334914</v>
      </c>
      <c r="I71" s="216" t="s">
        <v>194</v>
      </c>
      <c r="J71" s="26" t="s">
        <v>134</v>
      </c>
      <c r="K71" s="214" t="s">
        <v>135</v>
      </c>
      <c r="L71" s="22">
        <v>98800996</v>
      </c>
      <c r="M71" s="26"/>
    </row>
    <row r="72" spans="1:16" s="144" customFormat="1" x14ac:dyDescent="0.25">
      <c r="A72" s="54">
        <v>3224</v>
      </c>
      <c r="B72" s="55" t="s">
        <v>195</v>
      </c>
      <c r="C72" s="56">
        <v>179.5</v>
      </c>
      <c r="D72" s="57">
        <v>0.3</v>
      </c>
      <c r="E72" s="57">
        <f t="shared" si="2"/>
        <v>53.85</v>
      </c>
      <c r="F72" s="57">
        <f>E72</f>
        <v>53.85</v>
      </c>
      <c r="G72" s="57">
        <f t="shared" si="3"/>
        <v>0</v>
      </c>
      <c r="H72" s="54">
        <v>2066756</v>
      </c>
      <c r="I72" s="488" t="s">
        <v>196</v>
      </c>
      <c r="J72" s="61" t="s">
        <v>25</v>
      </c>
      <c r="K72" s="60" t="s">
        <v>26</v>
      </c>
      <c r="L72" s="54">
        <v>95316025</v>
      </c>
      <c r="M72" s="122" t="s">
        <v>929</v>
      </c>
      <c r="O72" s="144">
        <f>97.84-53.85</f>
        <v>43.99</v>
      </c>
      <c r="P72" s="144" t="s">
        <v>952</v>
      </c>
    </row>
    <row r="73" spans="1:16" s="144" customFormat="1" x14ac:dyDescent="0.25">
      <c r="A73" s="54">
        <v>3225</v>
      </c>
      <c r="B73" s="55" t="s">
        <v>197</v>
      </c>
      <c r="C73" s="56">
        <v>177</v>
      </c>
      <c r="D73" s="57">
        <v>0.3</v>
      </c>
      <c r="E73" s="57">
        <f t="shared" si="2"/>
        <v>53.1</v>
      </c>
      <c r="F73" s="57">
        <v>1.959999999999982</v>
      </c>
      <c r="G73" s="57">
        <f t="shared" si="3"/>
        <v>51.140000000000022</v>
      </c>
      <c r="H73" s="71">
        <v>798637</v>
      </c>
      <c r="I73" s="72" t="s">
        <v>198</v>
      </c>
      <c r="J73" s="73" t="s">
        <v>25</v>
      </c>
      <c r="K73" s="72" t="s">
        <v>26</v>
      </c>
      <c r="L73" s="54"/>
      <c r="M73" s="461">
        <v>45881</v>
      </c>
    </row>
    <row r="74" spans="1:16" s="144" customFormat="1" x14ac:dyDescent="0.25">
      <c r="A74" s="54">
        <v>3227</v>
      </c>
      <c r="B74" s="55" t="s">
        <v>790</v>
      </c>
      <c r="C74" s="56">
        <v>149.1</v>
      </c>
      <c r="D74" s="57">
        <v>0.3</v>
      </c>
      <c r="E74" s="57">
        <f t="shared" si="2"/>
        <v>44.73</v>
      </c>
      <c r="F74" s="57">
        <v>42.46</v>
      </c>
      <c r="G74" s="57">
        <f t="shared" si="3"/>
        <v>2.269999999999996</v>
      </c>
      <c r="H74" s="71">
        <v>15214649</v>
      </c>
      <c r="I74" s="514" t="s">
        <v>199</v>
      </c>
      <c r="J74" s="73" t="s">
        <v>25</v>
      </c>
      <c r="K74" s="72" t="s">
        <v>26</v>
      </c>
      <c r="L74" s="54">
        <v>92171914</v>
      </c>
      <c r="M74" s="61" t="s">
        <v>966</v>
      </c>
    </row>
    <row r="75" spans="1:16" x14ac:dyDescent="0.25">
      <c r="A75" s="22">
        <v>3228</v>
      </c>
      <c r="B75" s="33" t="s">
        <v>200</v>
      </c>
      <c r="C75" s="45">
        <v>418</v>
      </c>
      <c r="D75" s="25">
        <v>0.3</v>
      </c>
      <c r="E75" s="25">
        <f t="shared" si="2"/>
        <v>125.39999999999999</v>
      </c>
      <c r="F75" s="25"/>
      <c r="G75" s="25">
        <f t="shared" si="3"/>
        <v>125.39999999999999</v>
      </c>
      <c r="H75" s="22">
        <v>1307775</v>
      </c>
      <c r="I75" s="216" t="s">
        <v>201</v>
      </c>
      <c r="J75" s="26" t="s">
        <v>17</v>
      </c>
      <c r="K75" s="26" t="s">
        <v>18</v>
      </c>
      <c r="L75" s="22">
        <v>99484101</v>
      </c>
      <c r="M75" s="26"/>
    </row>
    <row r="76" spans="1:16" x14ac:dyDescent="0.25">
      <c r="A76" s="22">
        <v>3229</v>
      </c>
      <c r="B76" s="33" t="s">
        <v>202</v>
      </c>
      <c r="C76" s="45">
        <v>328</v>
      </c>
      <c r="D76" s="25">
        <v>0.3</v>
      </c>
      <c r="E76" s="25">
        <f t="shared" si="2"/>
        <v>98.399999999999991</v>
      </c>
      <c r="F76" s="25"/>
      <c r="G76" s="25">
        <f t="shared" si="3"/>
        <v>98.399999999999991</v>
      </c>
      <c r="H76" s="22">
        <v>6370978</v>
      </c>
      <c r="I76" s="216" t="s">
        <v>203</v>
      </c>
      <c r="J76" s="473" t="s">
        <v>25</v>
      </c>
      <c r="K76" s="214" t="s">
        <v>26</v>
      </c>
      <c r="L76" s="22">
        <v>99485611</v>
      </c>
      <c r="M76" s="26"/>
    </row>
    <row r="77" spans="1:16" x14ac:dyDescent="0.25">
      <c r="A77" s="22">
        <v>3230</v>
      </c>
      <c r="B77" s="33" t="s">
        <v>204</v>
      </c>
      <c r="C77" s="45">
        <v>291</v>
      </c>
      <c r="D77" s="25">
        <v>0.3</v>
      </c>
      <c r="E77" s="25">
        <f t="shared" si="2"/>
        <v>87.3</v>
      </c>
      <c r="F77" s="25"/>
      <c r="G77" s="25">
        <f t="shared" si="3"/>
        <v>87.3</v>
      </c>
      <c r="H77" s="22">
        <v>1968755</v>
      </c>
      <c r="I77" s="214" t="s">
        <v>205</v>
      </c>
      <c r="J77" s="473" t="s">
        <v>25</v>
      </c>
      <c r="K77" s="214" t="s">
        <v>26</v>
      </c>
      <c r="L77" s="22"/>
      <c r="M77" s="26"/>
    </row>
    <row r="78" spans="1:16" s="144" customFormat="1" x14ac:dyDescent="0.25">
      <c r="A78" s="54">
        <v>3231</v>
      </c>
      <c r="B78" s="55" t="s">
        <v>206</v>
      </c>
      <c r="C78" s="56">
        <v>390</v>
      </c>
      <c r="D78" s="57">
        <v>0.3</v>
      </c>
      <c r="E78" s="57">
        <f t="shared" si="2"/>
        <v>117</v>
      </c>
      <c r="F78" s="57">
        <v>114.69</v>
      </c>
      <c r="G78" s="57">
        <f t="shared" si="3"/>
        <v>2.3100000000000023</v>
      </c>
      <c r="H78" s="54">
        <v>6203903</v>
      </c>
      <c r="I78" s="58" t="s">
        <v>207</v>
      </c>
      <c r="J78" s="61" t="s">
        <v>17</v>
      </c>
      <c r="K78" s="61" t="s">
        <v>18</v>
      </c>
      <c r="L78" s="54">
        <v>92535588</v>
      </c>
      <c r="M78" s="461">
        <v>46008</v>
      </c>
    </row>
    <row r="79" spans="1:16" s="144" customFormat="1" x14ac:dyDescent="0.25">
      <c r="A79" s="54">
        <v>3232</v>
      </c>
      <c r="B79" s="55" t="s">
        <v>208</v>
      </c>
      <c r="C79" s="56">
        <v>180</v>
      </c>
      <c r="D79" s="57">
        <v>0.3</v>
      </c>
      <c r="E79" s="57">
        <f t="shared" si="2"/>
        <v>54</v>
      </c>
      <c r="F79" s="57">
        <v>1.3300000000000096</v>
      </c>
      <c r="G79" s="57">
        <f t="shared" si="3"/>
        <v>52.669999999999987</v>
      </c>
      <c r="H79" s="54">
        <v>6387264</v>
      </c>
      <c r="I79" s="72" t="s">
        <v>209</v>
      </c>
      <c r="J79" s="59" t="s">
        <v>210</v>
      </c>
      <c r="K79" s="72" t="s">
        <v>211</v>
      </c>
      <c r="L79" s="54">
        <v>96661076</v>
      </c>
      <c r="M79" s="461">
        <v>45881</v>
      </c>
    </row>
    <row r="80" spans="1:16" x14ac:dyDescent="0.25">
      <c r="A80" s="22">
        <v>3234</v>
      </c>
      <c r="B80" s="33" t="s">
        <v>212</v>
      </c>
      <c r="C80" s="45">
        <v>386.2</v>
      </c>
      <c r="D80" s="25">
        <v>0.3</v>
      </c>
      <c r="E80" s="25">
        <f t="shared" si="2"/>
        <v>115.85999999999999</v>
      </c>
      <c r="F80" s="25"/>
      <c r="G80" s="25">
        <f t="shared" si="3"/>
        <v>115.85999999999999</v>
      </c>
      <c r="H80" s="22">
        <v>21834239</v>
      </c>
      <c r="I80" s="216" t="s">
        <v>213</v>
      </c>
      <c r="J80" s="473" t="s">
        <v>25</v>
      </c>
      <c r="K80" s="214" t="s">
        <v>26</v>
      </c>
      <c r="L80" s="22">
        <v>98135444</v>
      </c>
      <c r="M80" s="26"/>
    </row>
    <row r="81" spans="1:17" s="144" customFormat="1" x14ac:dyDescent="0.25">
      <c r="A81" s="54">
        <v>3235</v>
      </c>
      <c r="B81" s="55" t="s">
        <v>214</v>
      </c>
      <c r="C81" s="56">
        <v>435</v>
      </c>
      <c r="D81" s="57">
        <v>0.3</v>
      </c>
      <c r="E81" s="57">
        <f t="shared" si="2"/>
        <v>130.5</v>
      </c>
      <c r="F81" s="57">
        <v>126.4</v>
      </c>
      <c r="G81" s="57">
        <f t="shared" si="3"/>
        <v>4.0999999999999943</v>
      </c>
      <c r="H81" s="54">
        <v>1234245</v>
      </c>
      <c r="I81" s="58" t="s">
        <v>215</v>
      </c>
      <c r="J81" s="61" t="s">
        <v>75</v>
      </c>
      <c r="K81" s="60" t="s">
        <v>76</v>
      </c>
      <c r="L81" s="54">
        <v>99487759</v>
      </c>
      <c r="M81" s="144" t="s">
        <v>968</v>
      </c>
    </row>
    <row r="82" spans="1:17" s="144" customFormat="1" x14ac:dyDescent="0.25">
      <c r="A82" s="54">
        <v>3236</v>
      </c>
      <c r="B82" s="55" t="s">
        <v>216</v>
      </c>
      <c r="C82" s="56">
        <v>133.30000000000001</v>
      </c>
      <c r="D82" s="57">
        <v>0.3</v>
      </c>
      <c r="E82" s="57">
        <f t="shared" si="2"/>
        <v>39.99</v>
      </c>
      <c r="F82" s="57">
        <v>34.29</v>
      </c>
      <c r="G82" s="57">
        <f t="shared" si="3"/>
        <v>5.7000000000000028</v>
      </c>
      <c r="H82" s="71">
        <v>6733333</v>
      </c>
      <c r="I82" s="72" t="s">
        <v>217</v>
      </c>
      <c r="J82" s="59" t="s">
        <v>25</v>
      </c>
      <c r="K82" s="72" t="s">
        <v>26</v>
      </c>
      <c r="L82" s="54"/>
      <c r="M82" s="61" t="s">
        <v>966</v>
      </c>
    </row>
    <row r="83" spans="1:17" s="144" customFormat="1" x14ac:dyDescent="0.25">
      <c r="A83" s="54">
        <v>3237</v>
      </c>
      <c r="B83" s="55" t="s">
        <v>218</v>
      </c>
      <c r="C83" s="56">
        <v>448.6</v>
      </c>
      <c r="D83" s="57">
        <v>0.3</v>
      </c>
      <c r="E83" s="57">
        <f t="shared" si="2"/>
        <v>134.58000000000001</v>
      </c>
      <c r="F83" s="57">
        <f>3.23999999999997+128.7</f>
        <v>131.93999999999997</v>
      </c>
      <c r="G83" s="57">
        <f t="shared" si="3"/>
        <v>2.6400000000000432</v>
      </c>
      <c r="H83" s="54">
        <v>873637</v>
      </c>
      <c r="I83" s="60" t="s">
        <v>219</v>
      </c>
      <c r="J83" s="61" t="s">
        <v>43</v>
      </c>
      <c r="K83" s="60" t="s">
        <v>44</v>
      </c>
      <c r="L83" s="54">
        <v>97659667</v>
      </c>
      <c r="M83" s="61" t="s">
        <v>956</v>
      </c>
      <c r="N83" s="61" t="s">
        <v>966</v>
      </c>
    </row>
    <row r="84" spans="1:17" s="79" customFormat="1" x14ac:dyDescent="0.25">
      <c r="A84" s="22">
        <v>3238</v>
      </c>
      <c r="B84" s="23" t="s">
        <v>220</v>
      </c>
      <c r="C84" s="24">
        <v>188.9</v>
      </c>
      <c r="D84" s="25">
        <v>0.3</v>
      </c>
      <c r="E84" s="25">
        <f t="shared" si="2"/>
        <v>56.67</v>
      </c>
      <c r="F84" s="25"/>
      <c r="G84" s="25">
        <f t="shared" si="3"/>
        <v>56.67</v>
      </c>
      <c r="H84" s="141">
        <v>5361082</v>
      </c>
      <c r="I84" s="479" t="s">
        <v>221</v>
      </c>
      <c r="J84" s="460" t="s">
        <v>25</v>
      </c>
      <c r="K84" s="480" t="s">
        <v>26</v>
      </c>
      <c r="L84" s="22"/>
      <c r="M84" s="62">
        <v>44621</v>
      </c>
    </row>
    <row r="85" spans="1:17" x14ac:dyDescent="0.25">
      <c r="A85" s="22">
        <v>3239</v>
      </c>
      <c r="B85" s="33" t="s">
        <v>222</v>
      </c>
      <c r="C85" s="45">
        <v>228.6</v>
      </c>
      <c r="D85" s="25">
        <v>0.3</v>
      </c>
      <c r="E85" s="25">
        <f t="shared" si="2"/>
        <v>68.58</v>
      </c>
      <c r="F85" s="25"/>
      <c r="G85" s="25">
        <f t="shared" si="3"/>
        <v>68.58</v>
      </c>
      <c r="H85" s="22">
        <v>14379226</v>
      </c>
      <c r="I85" s="216" t="s">
        <v>223</v>
      </c>
      <c r="J85" s="473" t="s">
        <v>25</v>
      </c>
      <c r="K85" s="214" t="s">
        <v>26</v>
      </c>
      <c r="L85" s="22">
        <v>92385524</v>
      </c>
      <c r="M85" s="26"/>
    </row>
    <row r="86" spans="1:17" s="144" customFormat="1" x14ac:dyDescent="0.25">
      <c r="A86" s="54">
        <v>3240</v>
      </c>
      <c r="B86" s="55" t="s">
        <v>224</v>
      </c>
      <c r="C86" s="56">
        <v>384.1</v>
      </c>
      <c r="D86" s="57">
        <v>0.3</v>
      </c>
      <c r="E86" s="57">
        <f t="shared" si="2"/>
        <v>115.23</v>
      </c>
      <c r="F86" s="57">
        <v>114.44000000000001</v>
      </c>
      <c r="G86" s="57">
        <f t="shared" si="3"/>
        <v>0.78999999999999204</v>
      </c>
      <c r="H86" s="54">
        <v>5622856</v>
      </c>
      <c r="I86" s="58" t="s">
        <v>225</v>
      </c>
      <c r="J86" s="61" t="s">
        <v>134</v>
      </c>
      <c r="K86" s="60" t="s">
        <v>135</v>
      </c>
      <c r="L86" s="54">
        <v>92400553</v>
      </c>
      <c r="M86" s="61" t="s">
        <v>966</v>
      </c>
    </row>
    <row r="87" spans="1:17" x14ac:dyDescent="0.25">
      <c r="A87" s="22">
        <v>3241</v>
      </c>
      <c r="B87" s="33" t="s">
        <v>227</v>
      </c>
      <c r="C87" s="45">
        <v>85.3</v>
      </c>
      <c r="D87" s="25">
        <v>0.3</v>
      </c>
      <c r="E87" s="25">
        <f t="shared" si="2"/>
        <v>25.59</v>
      </c>
      <c r="F87" s="25"/>
      <c r="G87" s="25">
        <f t="shared" si="3"/>
        <v>25.59</v>
      </c>
      <c r="H87" s="22">
        <v>21125518</v>
      </c>
      <c r="I87" s="216" t="s">
        <v>228</v>
      </c>
      <c r="J87" s="473" t="s">
        <v>25</v>
      </c>
      <c r="K87" s="214" t="s">
        <v>26</v>
      </c>
      <c r="L87" s="22">
        <v>99508853</v>
      </c>
      <c r="M87" s="26"/>
    </row>
    <row r="88" spans="1:17" s="144" customFormat="1" x14ac:dyDescent="0.25">
      <c r="A88" s="54">
        <v>3243</v>
      </c>
      <c r="B88" s="55" t="s">
        <v>229</v>
      </c>
      <c r="C88" s="56">
        <v>149.80000000000001</v>
      </c>
      <c r="D88" s="57">
        <v>0.3</v>
      </c>
      <c r="E88" s="57">
        <f t="shared" si="2"/>
        <v>44.940000000000005</v>
      </c>
      <c r="F88" s="57">
        <v>41.777999999999999</v>
      </c>
      <c r="G88" s="57">
        <f t="shared" si="3"/>
        <v>3.1620000000000061</v>
      </c>
      <c r="H88" s="54">
        <v>25887256</v>
      </c>
      <c r="I88" s="58" t="s">
        <v>230</v>
      </c>
      <c r="J88" s="59" t="s">
        <v>25</v>
      </c>
      <c r="K88" s="60" t="s">
        <v>26</v>
      </c>
      <c r="L88" s="54">
        <v>93271871</v>
      </c>
      <c r="M88" s="61" t="s">
        <v>965</v>
      </c>
    </row>
    <row r="89" spans="1:17" x14ac:dyDescent="0.25">
      <c r="A89" s="22">
        <v>3244</v>
      </c>
      <c r="B89" s="33" t="s">
        <v>232</v>
      </c>
      <c r="C89" s="45">
        <v>176.3</v>
      </c>
      <c r="D89" s="25">
        <v>0.3</v>
      </c>
      <c r="E89" s="25">
        <f t="shared" si="2"/>
        <v>52.89</v>
      </c>
      <c r="F89" s="25"/>
      <c r="G89" s="25">
        <f t="shared" si="3"/>
        <v>52.89</v>
      </c>
      <c r="H89" s="22">
        <v>19340943</v>
      </c>
      <c r="I89" s="216" t="s">
        <v>233</v>
      </c>
      <c r="J89" s="473" t="s">
        <v>25</v>
      </c>
      <c r="K89" s="214" t="s">
        <v>26</v>
      </c>
      <c r="L89" s="22">
        <v>92594446</v>
      </c>
      <c r="M89" s="26"/>
    </row>
    <row r="90" spans="1:17" s="144" customFormat="1" x14ac:dyDescent="0.25">
      <c r="A90" s="54">
        <v>3245</v>
      </c>
      <c r="B90" s="55" t="s">
        <v>234</v>
      </c>
      <c r="C90" s="56">
        <v>152.69999999999999</v>
      </c>
      <c r="D90" s="57">
        <v>0.3</v>
      </c>
      <c r="E90" s="57">
        <f t="shared" si="2"/>
        <v>45.809999999999995</v>
      </c>
      <c r="F90" s="57">
        <v>43.5</v>
      </c>
      <c r="G90" s="57">
        <f t="shared" si="3"/>
        <v>2.3099999999999952</v>
      </c>
      <c r="H90" s="124" t="s">
        <v>235</v>
      </c>
      <c r="I90" s="60" t="s">
        <v>236</v>
      </c>
      <c r="J90" s="61" t="s">
        <v>43</v>
      </c>
      <c r="K90" s="60" t="s">
        <v>44</v>
      </c>
      <c r="L90" s="54">
        <v>99699068</v>
      </c>
      <c r="M90" s="61" t="s">
        <v>966</v>
      </c>
    </row>
    <row r="91" spans="1:17" s="144" customFormat="1" x14ac:dyDescent="0.25">
      <c r="A91" s="54">
        <v>3246</v>
      </c>
      <c r="B91" s="55" t="s">
        <v>237</v>
      </c>
      <c r="C91" s="56">
        <v>181.1</v>
      </c>
      <c r="D91" s="57">
        <v>0.3</v>
      </c>
      <c r="E91" s="57">
        <f t="shared" si="2"/>
        <v>54.33</v>
      </c>
      <c r="F91" s="57">
        <v>53.7</v>
      </c>
      <c r="G91" s="57">
        <f t="shared" si="3"/>
        <v>0.62999999999999545</v>
      </c>
      <c r="H91" s="54">
        <v>662648</v>
      </c>
      <c r="I91" s="58" t="s">
        <v>238</v>
      </c>
      <c r="J91" s="59" t="s">
        <v>25</v>
      </c>
      <c r="K91" s="60" t="s">
        <v>26</v>
      </c>
      <c r="L91" s="54">
        <v>99498382</v>
      </c>
      <c r="M91" s="461">
        <v>46008</v>
      </c>
    </row>
    <row r="92" spans="1:17" s="144" customFormat="1" x14ac:dyDescent="0.25">
      <c r="A92" s="54">
        <v>3247</v>
      </c>
      <c r="B92" s="55" t="s">
        <v>239</v>
      </c>
      <c r="C92" s="56">
        <v>194.2</v>
      </c>
      <c r="D92" s="57">
        <v>0.3</v>
      </c>
      <c r="E92" s="57">
        <f t="shared" si="2"/>
        <v>58.259999999999991</v>
      </c>
      <c r="F92" s="57">
        <v>54.38</v>
      </c>
      <c r="G92" s="57">
        <f t="shared" si="3"/>
        <v>3.8799999999999883</v>
      </c>
      <c r="H92" s="54">
        <v>6457783</v>
      </c>
      <c r="I92" s="60" t="s">
        <v>240</v>
      </c>
      <c r="J92" s="59" t="s">
        <v>25</v>
      </c>
      <c r="K92" s="60" t="s">
        <v>26</v>
      </c>
      <c r="L92" s="54">
        <v>92594442</v>
      </c>
      <c r="M92" s="461">
        <v>46008</v>
      </c>
      <c r="P92" s="144" t="s">
        <v>719</v>
      </c>
      <c r="Q92" s="144" t="s">
        <v>719</v>
      </c>
    </row>
    <row r="93" spans="1:17" s="144" customFormat="1" x14ac:dyDescent="0.25">
      <c r="A93" s="54">
        <v>3248</v>
      </c>
      <c r="B93" s="55" t="s">
        <v>241</v>
      </c>
      <c r="C93" s="56">
        <v>176.5</v>
      </c>
      <c r="D93" s="57">
        <v>0.3</v>
      </c>
      <c r="E93" s="57">
        <f t="shared" si="2"/>
        <v>52.949999999999996</v>
      </c>
      <c r="F93" s="57">
        <v>51.15</v>
      </c>
      <c r="G93" s="57">
        <f t="shared" si="3"/>
        <v>1.7999999999999972</v>
      </c>
      <c r="H93" s="54">
        <v>18811851</v>
      </c>
      <c r="I93" s="58" t="s">
        <v>242</v>
      </c>
      <c r="J93" s="59" t="s">
        <v>25</v>
      </c>
      <c r="K93" s="60" t="s">
        <v>26</v>
      </c>
      <c r="L93" s="54">
        <v>92597556</v>
      </c>
      <c r="M93" s="461">
        <v>46008</v>
      </c>
      <c r="P93" s="144" t="s">
        <v>719</v>
      </c>
    </row>
    <row r="94" spans="1:17" s="144" customFormat="1" x14ac:dyDescent="0.25">
      <c r="A94" s="54">
        <v>3249</v>
      </c>
      <c r="B94" s="55" t="s">
        <v>243</v>
      </c>
      <c r="C94" s="56">
        <v>390</v>
      </c>
      <c r="D94" s="57">
        <v>0.3</v>
      </c>
      <c r="E94" s="57">
        <f t="shared" si="2"/>
        <v>117</v>
      </c>
      <c r="F94" s="57">
        <v>115.85</v>
      </c>
      <c r="G94" s="57">
        <f t="shared" si="3"/>
        <v>1.1500000000000057</v>
      </c>
      <c r="H94" s="54">
        <v>24540784</v>
      </c>
      <c r="I94" s="69" t="s">
        <v>244</v>
      </c>
      <c r="J94" s="61" t="s">
        <v>25</v>
      </c>
      <c r="K94" s="60" t="s">
        <v>26</v>
      </c>
      <c r="L94" s="54">
        <v>99693301</v>
      </c>
      <c r="M94" s="61" t="s">
        <v>965</v>
      </c>
    </row>
    <row r="95" spans="1:17" s="144" customFormat="1" x14ac:dyDescent="0.25">
      <c r="A95" s="54">
        <v>3251</v>
      </c>
      <c r="B95" s="55" t="s">
        <v>245</v>
      </c>
      <c r="C95" s="56">
        <v>210</v>
      </c>
      <c r="D95" s="57">
        <v>0.3</v>
      </c>
      <c r="E95" s="57">
        <f t="shared" si="2"/>
        <v>63</v>
      </c>
      <c r="F95" s="57">
        <f>0.690000000000006+59.4</f>
        <v>60.09</v>
      </c>
      <c r="G95" s="57">
        <f t="shared" si="3"/>
        <v>2.9099999999999966</v>
      </c>
      <c r="H95" s="54">
        <v>6420681</v>
      </c>
      <c r="I95" s="58" t="s">
        <v>246</v>
      </c>
      <c r="J95" s="59" t="s">
        <v>25</v>
      </c>
      <c r="K95" s="60" t="s">
        <v>26</v>
      </c>
      <c r="L95" s="54">
        <v>99588744</v>
      </c>
      <c r="M95" s="461">
        <v>46002</v>
      </c>
      <c r="N95" s="144" t="s">
        <v>968</v>
      </c>
    </row>
    <row r="96" spans="1:17" s="79" customFormat="1" x14ac:dyDescent="0.25">
      <c r="A96" s="22">
        <v>3252</v>
      </c>
      <c r="B96" s="23" t="s">
        <v>247</v>
      </c>
      <c r="C96" s="24">
        <v>89.3</v>
      </c>
      <c r="D96" s="25">
        <v>0.3</v>
      </c>
      <c r="E96" s="25">
        <f t="shared" si="2"/>
        <v>26.79</v>
      </c>
      <c r="F96" s="25">
        <f>E96</f>
        <v>26.79</v>
      </c>
      <c r="G96" s="25">
        <f t="shared" si="3"/>
        <v>0</v>
      </c>
      <c r="H96" s="22">
        <v>460074</v>
      </c>
      <c r="I96" s="507" t="s">
        <v>248</v>
      </c>
      <c r="J96" s="507" t="s">
        <v>25</v>
      </c>
      <c r="K96" s="214" t="s">
        <v>26</v>
      </c>
      <c r="L96" s="22">
        <v>99292354</v>
      </c>
      <c r="M96" s="579" t="s">
        <v>953</v>
      </c>
    </row>
    <row r="97" spans="1:14" x14ac:dyDescent="0.25">
      <c r="A97" s="22">
        <v>3253</v>
      </c>
      <c r="B97" s="33" t="s">
        <v>249</v>
      </c>
      <c r="C97" s="45">
        <v>419</v>
      </c>
      <c r="D97" s="25">
        <v>0.3</v>
      </c>
      <c r="E97" s="25">
        <f t="shared" si="2"/>
        <v>125.69999999999999</v>
      </c>
      <c r="F97" s="25">
        <v>123.41000000000001</v>
      </c>
      <c r="G97" s="25">
        <f t="shared" si="3"/>
        <v>2.2899999999999778</v>
      </c>
      <c r="H97" s="22">
        <v>25887589</v>
      </c>
      <c r="I97" s="216" t="s">
        <v>250</v>
      </c>
      <c r="J97" s="473" t="s">
        <v>25</v>
      </c>
      <c r="K97" s="214" t="s">
        <v>26</v>
      </c>
      <c r="L97" s="22">
        <v>93995997</v>
      </c>
      <c r="M97" s="61" t="s">
        <v>965</v>
      </c>
    </row>
    <row r="98" spans="1:14" x14ac:dyDescent="0.25">
      <c r="A98" s="22">
        <v>3254</v>
      </c>
      <c r="B98" s="33" t="s">
        <v>251</v>
      </c>
      <c r="C98" s="45">
        <v>383.9</v>
      </c>
      <c r="D98" s="25">
        <v>0.3</v>
      </c>
      <c r="E98" s="25">
        <f t="shared" si="2"/>
        <v>115.16999999999999</v>
      </c>
      <c r="F98" s="25"/>
      <c r="G98" s="25">
        <f t="shared" si="3"/>
        <v>115.16999999999999</v>
      </c>
      <c r="H98" s="22">
        <v>6668983</v>
      </c>
      <c r="I98" s="216" t="s">
        <v>252</v>
      </c>
      <c r="J98" s="473" t="s">
        <v>25</v>
      </c>
      <c r="K98" s="214" t="s">
        <v>26</v>
      </c>
      <c r="L98" s="22">
        <v>92321002</v>
      </c>
      <c r="M98" s="26"/>
    </row>
    <row r="99" spans="1:14" x14ac:dyDescent="0.25">
      <c r="A99" s="22">
        <v>3255</v>
      </c>
      <c r="B99" s="33" t="s">
        <v>253</v>
      </c>
      <c r="C99" s="45">
        <v>280.7</v>
      </c>
      <c r="D99" s="25">
        <v>0.3</v>
      </c>
      <c r="E99" s="25">
        <f t="shared" si="2"/>
        <v>84.21</v>
      </c>
      <c r="F99" s="25"/>
      <c r="G99" s="25">
        <f t="shared" si="3"/>
        <v>84.21</v>
      </c>
      <c r="H99" s="22">
        <v>5851949</v>
      </c>
      <c r="I99" s="214" t="s">
        <v>254</v>
      </c>
      <c r="J99" s="473" t="s">
        <v>75</v>
      </c>
      <c r="K99" s="474" t="s">
        <v>76</v>
      </c>
      <c r="L99" s="22"/>
      <c r="M99" s="26"/>
    </row>
    <row r="100" spans="1:14" s="144" customFormat="1" x14ac:dyDescent="0.25">
      <c r="A100" s="54">
        <v>3256</v>
      </c>
      <c r="B100" s="55" t="s">
        <v>255</v>
      </c>
      <c r="C100" s="56">
        <v>1318.7</v>
      </c>
      <c r="D100" s="57">
        <v>0.3</v>
      </c>
      <c r="E100" s="57">
        <f t="shared" si="2"/>
        <v>395.61</v>
      </c>
      <c r="F100" s="57">
        <f>1.54000000000003+389.5</f>
        <v>391.04</v>
      </c>
      <c r="G100" s="57">
        <f t="shared" si="3"/>
        <v>4.5699999999999932</v>
      </c>
      <c r="H100" s="54">
        <v>6147152</v>
      </c>
      <c r="I100" s="58" t="s">
        <v>256</v>
      </c>
      <c r="J100" s="61" t="s">
        <v>257</v>
      </c>
      <c r="K100" s="60" t="s">
        <v>258</v>
      </c>
      <c r="L100" s="54">
        <v>99889778</v>
      </c>
      <c r="M100" s="461">
        <v>45941</v>
      </c>
      <c r="N100" s="61" t="s">
        <v>966</v>
      </c>
    </row>
    <row r="101" spans="1:14" s="144" customFormat="1" x14ac:dyDescent="0.25">
      <c r="A101" s="54">
        <v>3258</v>
      </c>
      <c r="B101" s="55" t="s">
        <v>259</v>
      </c>
      <c r="C101" s="56">
        <v>595.5</v>
      </c>
      <c r="D101" s="57">
        <v>0.3</v>
      </c>
      <c r="E101" s="57">
        <f t="shared" si="2"/>
        <v>178.65</v>
      </c>
      <c r="F101" s="57">
        <v>177.21</v>
      </c>
      <c r="G101" s="57">
        <f t="shared" si="3"/>
        <v>1.4399999999999977</v>
      </c>
      <c r="H101" s="54">
        <v>15335306</v>
      </c>
      <c r="I101" s="58" t="s">
        <v>260</v>
      </c>
      <c r="J101" s="61" t="s">
        <v>75</v>
      </c>
      <c r="K101" s="60" t="s">
        <v>76</v>
      </c>
      <c r="L101" s="54">
        <v>99772646</v>
      </c>
      <c r="M101" s="61" t="s">
        <v>972</v>
      </c>
    </row>
    <row r="102" spans="1:14" s="144" customFormat="1" x14ac:dyDescent="0.25">
      <c r="A102" s="54">
        <v>3260</v>
      </c>
      <c r="B102" s="55" t="s">
        <v>261</v>
      </c>
      <c r="C102" s="56">
        <v>205.6</v>
      </c>
      <c r="D102" s="57">
        <v>0.3</v>
      </c>
      <c r="E102" s="57">
        <f t="shared" si="2"/>
        <v>61.679999999999993</v>
      </c>
      <c r="F102" s="57">
        <f>60.96</f>
        <v>60.96</v>
      </c>
      <c r="G102" s="57">
        <f t="shared" si="3"/>
        <v>0.71999999999999176</v>
      </c>
      <c r="H102" s="54">
        <v>19361936</v>
      </c>
      <c r="I102" s="72" t="s">
        <v>262</v>
      </c>
      <c r="J102" s="61" t="s">
        <v>25</v>
      </c>
      <c r="K102" s="72" t="s">
        <v>26</v>
      </c>
      <c r="L102" s="54">
        <v>99550633</v>
      </c>
      <c r="M102" s="144" t="s">
        <v>970</v>
      </c>
    </row>
    <row r="103" spans="1:14" x14ac:dyDescent="0.25">
      <c r="A103" s="22">
        <v>3261</v>
      </c>
      <c r="B103" s="33" t="s">
        <v>263</v>
      </c>
      <c r="C103" s="45">
        <v>182</v>
      </c>
      <c r="D103" s="25">
        <v>0.3</v>
      </c>
      <c r="E103" s="25">
        <f t="shared" si="2"/>
        <v>54.6</v>
      </c>
      <c r="F103" s="25"/>
      <c r="G103" s="25">
        <f t="shared" si="3"/>
        <v>54.6</v>
      </c>
      <c r="H103" s="22">
        <v>8124516</v>
      </c>
      <c r="I103" s="216" t="s">
        <v>264</v>
      </c>
      <c r="J103" s="473" t="s">
        <v>25</v>
      </c>
      <c r="K103" s="214" t="s">
        <v>26</v>
      </c>
      <c r="L103" s="22">
        <v>92661167</v>
      </c>
      <c r="M103" s="26"/>
    </row>
    <row r="104" spans="1:14" s="537" customFormat="1" x14ac:dyDescent="0.25">
      <c r="A104" s="140">
        <v>3262</v>
      </c>
      <c r="B104" s="532" t="s">
        <v>265</v>
      </c>
      <c r="C104" s="508">
        <v>211.8</v>
      </c>
      <c r="D104" s="25">
        <v>0.3</v>
      </c>
      <c r="E104" s="533">
        <f t="shared" si="2"/>
        <v>63.54</v>
      </c>
      <c r="F104" s="533">
        <v>60.070000000000007</v>
      </c>
      <c r="G104" s="25">
        <f t="shared" si="3"/>
        <v>3.4699999999999918</v>
      </c>
      <c r="H104" s="140">
        <v>1483142</v>
      </c>
      <c r="I104" s="477" t="s">
        <v>266</v>
      </c>
      <c r="J104" s="538" t="s">
        <v>43</v>
      </c>
      <c r="K104" s="507" t="s">
        <v>44</v>
      </c>
      <c r="L104" s="140">
        <v>99499613</v>
      </c>
      <c r="M104" s="144" t="s">
        <v>968</v>
      </c>
    </row>
    <row r="105" spans="1:14" x14ac:dyDescent="0.25">
      <c r="A105" s="22">
        <v>3263</v>
      </c>
      <c r="B105" s="33" t="s">
        <v>267</v>
      </c>
      <c r="C105" s="45">
        <v>289.5</v>
      </c>
      <c r="D105" s="25">
        <v>0.3</v>
      </c>
      <c r="E105" s="25">
        <f t="shared" si="2"/>
        <v>86.85</v>
      </c>
      <c r="F105" s="25"/>
      <c r="G105" s="25">
        <f t="shared" si="3"/>
        <v>86.85</v>
      </c>
      <c r="H105" s="22">
        <v>986981</v>
      </c>
      <c r="I105" s="214" t="s">
        <v>268</v>
      </c>
      <c r="J105" s="26" t="s">
        <v>75</v>
      </c>
      <c r="K105" s="214" t="s">
        <v>76</v>
      </c>
      <c r="L105" s="22">
        <v>99667979</v>
      </c>
      <c r="M105" s="26"/>
    </row>
    <row r="106" spans="1:14" s="144" customFormat="1" x14ac:dyDescent="0.25">
      <c r="A106" s="54">
        <v>3266</v>
      </c>
      <c r="B106" s="55" t="s">
        <v>269</v>
      </c>
      <c r="C106" s="56">
        <v>432</v>
      </c>
      <c r="D106" s="57">
        <v>0.3</v>
      </c>
      <c r="E106" s="57">
        <f t="shared" si="2"/>
        <v>129.6</v>
      </c>
      <c r="F106" s="57">
        <v>125.4</v>
      </c>
      <c r="G106" s="57">
        <f t="shared" si="3"/>
        <v>4.1999999999999886</v>
      </c>
      <c r="H106" s="54">
        <v>25891616</v>
      </c>
      <c r="I106" s="58" t="s">
        <v>270</v>
      </c>
      <c r="J106" s="59" t="s">
        <v>25</v>
      </c>
      <c r="K106" s="60" t="s">
        <v>26</v>
      </c>
      <c r="L106" s="54">
        <v>99157779</v>
      </c>
      <c r="M106" s="144" t="s">
        <v>968</v>
      </c>
    </row>
    <row r="107" spans="1:14" s="144" customFormat="1" x14ac:dyDescent="0.25">
      <c r="A107" s="54">
        <v>3268</v>
      </c>
      <c r="B107" s="55" t="s">
        <v>271</v>
      </c>
      <c r="C107" s="56">
        <v>555.4</v>
      </c>
      <c r="D107" s="57">
        <v>0.3</v>
      </c>
      <c r="E107" s="57">
        <f t="shared" si="2"/>
        <v>166.61999999999998</v>
      </c>
      <c r="F107" s="57">
        <v>165.07</v>
      </c>
      <c r="G107" s="57">
        <f t="shared" si="3"/>
        <v>1.5499999999999829</v>
      </c>
      <c r="H107" s="71">
        <v>22373123</v>
      </c>
      <c r="I107" s="72" t="s">
        <v>272</v>
      </c>
      <c r="J107" s="73" t="s">
        <v>25</v>
      </c>
      <c r="K107" s="72" t="s">
        <v>26</v>
      </c>
      <c r="L107" s="54"/>
      <c r="M107" s="144" t="s">
        <v>970</v>
      </c>
    </row>
    <row r="108" spans="1:14" s="144" customFormat="1" x14ac:dyDescent="0.25">
      <c r="A108" s="54">
        <v>3269</v>
      </c>
      <c r="B108" s="55" t="s">
        <v>273</v>
      </c>
      <c r="C108" s="56">
        <v>172.1</v>
      </c>
      <c r="D108" s="57">
        <v>0.3</v>
      </c>
      <c r="E108" s="57">
        <f t="shared" si="2"/>
        <v>51.629999999999995</v>
      </c>
      <c r="F108" s="57">
        <f>E108</f>
        <v>51.629999999999995</v>
      </c>
      <c r="G108" s="57">
        <f t="shared" si="3"/>
        <v>0</v>
      </c>
      <c r="H108" s="71">
        <v>14052947</v>
      </c>
      <c r="I108" s="72" t="s">
        <v>274</v>
      </c>
      <c r="J108" s="59" t="s">
        <v>210</v>
      </c>
      <c r="K108" s="72" t="s">
        <v>211</v>
      </c>
      <c r="L108" s="54">
        <v>92203300</v>
      </c>
      <c r="M108" s="61" t="s">
        <v>970</v>
      </c>
    </row>
    <row r="109" spans="1:14" s="144" customFormat="1" x14ac:dyDescent="0.25">
      <c r="A109" s="54">
        <v>3270</v>
      </c>
      <c r="B109" s="55" t="s">
        <v>275</v>
      </c>
      <c r="C109" s="56">
        <v>374.5</v>
      </c>
      <c r="D109" s="57">
        <v>0.3</v>
      </c>
      <c r="E109" s="57">
        <f t="shared" si="2"/>
        <v>112.35</v>
      </c>
      <c r="F109" s="57">
        <v>107.82000000000001</v>
      </c>
      <c r="G109" s="57">
        <f t="shared" si="3"/>
        <v>4.5299999999999869</v>
      </c>
      <c r="H109" s="54">
        <v>11242698</v>
      </c>
      <c r="I109" s="58" t="s">
        <v>276</v>
      </c>
      <c r="J109" s="61" t="s">
        <v>17</v>
      </c>
      <c r="K109" s="61" t="s">
        <v>18</v>
      </c>
      <c r="L109" s="54">
        <v>93839955</v>
      </c>
      <c r="M109" s="61" t="s">
        <v>965</v>
      </c>
    </row>
    <row r="110" spans="1:14" s="144" customFormat="1" x14ac:dyDescent="0.25">
      <c r="A110" s="54">
        <v>3271</v>
      </c>
      <c r="B110" s="521" t="s">
        <v>277</v>
      </c>
      <c r="C110" s="56">
        <v>253.6</v>
      </c>
      <c r="D110" s="57">
        <v>0.3</v>
      </c>
      <c r="E110" s="57">
        <f t="shared" si="2"/>
        <v>76.08</v>
      </c>
      <c r="F110" s="57">
        <v>75.650000000000006</v>
      </c>
      <c r="G110" s="57">
        <f t="shared" si="3"/>
        <v>0.42999999999999261</v>
      </c>
      <c r="H110" s="522">
        <v>24503986</v>
      </c>
      <c r="I110" s="525" t="s">
        <v>278</v>
      </c>
      <c r="J110" s="521" t="s">
        <v>17</v>
      </c>
      <c r="K110" s="523" t="s">
        <v>18</v>
      </c>
      <c r="L110" s="522">
        <v>92235243</v>
      </c>
      <c r="M110" s="61" t="s">
        <v>966</v>
      </c>
    </row>
    <row r="111" spans="1:14" x14ac:dyDescent="0.25">
      <c r="A111" s="22">
        <v>3272</v>
      </c>
      <c r="B111" s="464" t="s">
        <v>279</v>
      </c>
      <c r="C111" s="45">
        <v>92.6</v>
      </c>
      <c r="D111" s="25">
        <v>0.3</v>
      </c>
      <c r="E111" s="25">
        <f t="shared" si="2"/>
        <v>27.779999999999998</v>
      </c>
      <c r="F111" s="25"/>
      <c r="G111" s="25">
        <f t="shared" si="3"/>
        <v>27.779999999999998</v>
      </c>
      <c r="H111" s="465">
        <v>22977225</v>
      </c>
      <c r="I111" s="475" t="s">
        <v>280</v>
      </c>
      <c r="J111" s="464" t="s">
        <v>25</v>
      </c>
      <c r="K111" s="481" t="s">
        <v>26</v>
      </c>
      <c r="L111" s="482"/>
      <c r="M111" s="466"/>
    </row>
    <row r="112" spans="1:14" x14ac:dyDescent="0.25">
      <c r="A112" s="22">
        <v>3273</v>
      </c>
      <c r="B112" s="33" t="s">
        <v>281</v>
      </c>
      <c r="C112" s="45">
        <v>430.9</v>
      </c>
      <c r="D112" s="25">
        <v>0.3</v>
      </c>
      <c r="E112" s="25">
        <f t="shared" si="2"/>
        <v>129.26999999999998</v>
      </c>
      <c r="F112" s="25"/>
      <c r="G112" s="25">
        <f t="shared" si="3"/>
        <v>129.26999999999998</v>
      </c>
      <c r="H112" s="22">
        <v>7047221</v>
      </c>
      <c r="I112" s="216" t="s">
        <v>282</v>
      </c>
      <c r="J112" s="26" t="s">
        <v>17</v>
      </c>
      <c r="K112" s="26" t="s">
        <v>18</v>
      </c>
      <c r="L112" s="22">
        <v>92152241</v>
      </c>
      <c r="M112" s="26"/>
    </row>
    <row r="113" spans="1:14" s="144" customFormat="1" x14ac:dyDescent="0.25">
      <c r="A113" s="54">
        <v>3277</v>
      </c>
      <c r="B113" s="55" t="s">
        <v>283</v>
      </c>
      <c r="C113" s="56">
        <v>312.10000000000002</v>
      </c>
      <c r="D113" s="57">
        <v>0.3</v>
      </c>
      <c r="E113" s="57">
        <f t="shared" si="2"/>
        <v>93.63000000000001</v>
      </c>
      <c r="F113" s="57">
        <v>93.14</v>
      </c>
      <c r="G113" s="57">
        <f t="shared" si="3"/>
        <v>0.49000000000000909</v>
      </c>
      <c r="H113" s="54">
        <v>14277741</v>
      </c>
      <c r="I113" s="58" t="s">
        <v>284</v>
      </c>
      <c r="J113" s="59" t="s">
        <v>25</v>
      </c>
      <c r="K113" s="60" t="s">
        <v>26</v>
      </c>
      <c r="L113" s="54">
        <v>92160872</v>
      </c>
      <c r="M113" s="461">
        <v>46008</v>
      </c>
    </row>
    <row r="114" spans="1:14" x14ac:dyDescent="0.25">
      <c r="A114" s="22">
        <v>3278</v>
      </c>
      <c r="B114" s="33" t="s">
        <v>285</v>
      </c>
      <c r="C114" s="45">
        <v>188.7</v>
      </c>
      <c r="D114" s="25">
        <v>0.3</v>
      </c>
      <c r="E114" s="25">
        <f t="shared" si="2"/>
        <v>56.609999999999992</v>
      </c>
      <c r="F114" s="25"/>
      <c r="G114" s="25">
        <f t="shared" si="3"/>
        <v>56.609999999999992</v>
      </c>
      <c r="H114" s="22">
        <v>27713998</v>
      </c>
      <c r="I114" s="216" t="s">
        <v>286</v>
      </c>
      <c r="J114" s="26" t="s">
        <v>75</v>
      </c>
      <c r="K114" s="214" t="s">
        <v>76</v>
      </c>
      <c r="L114" s="22">
        <v>99257989</v>
      </c>
      <c r="M114" s="26"/>
    </row>
    <row r="115" spans="1:14" s="144" customFormat="1" x14ac:dyDescent="0.25">
      <c r="A115" s="54">
        <v>3279</v>
      </c>
      <c r="B115" s="55" t="s">
        <v>287</v>
      </c>
      <c r="C115" s="56">
        <v>960</v>
      </c>
      <c r="D115" s="57">
        <v>0.3</v>
      </c>
      <c r="E115" s="57">
        <f t="shared" si="2"/>
        <v>288</v>
      </c>
      <c r="F115" s="57">
        <v>287.13</v>
      </c>
      <c r="G115" s="57">
        <f t="shared" si="3"/>
        <v>0.87000000000000455</v>
      </c>
      <c r="H115" s="78">
        <v>20468811</v>
      </c>
      <c r="I115" s="60" t="s">
        <v>244</v>
      </c>
      <c r="J115" s="59" t="s">
        <v>25</v>
      </c>
      <c r="K115" s="60" t="s">
        <v>26</v>
      </c>
      <c r="L115" s="54"/>
      <c r="M115" s="61" t="s">
        <v>965</v>
      </c>
    </row>
    <row r="116" spans="1:14" x14ac:dyDescent="0.25">
      <c r="A116" s="22">
        <v>3280</v>
      </c>
      <c r="B116" s="33" t="s">
        <v>288</v>
      </c>
      <c r="C116" s="45">
        <v>375</v>
      </c>
      <c r="D116" s="25">
        <v>0.3</v>
      </c>
      <c r="E116" s="25">
        <f t="shared" si="2"/>
        <v>112.5</v>
      </c>
      <c r="F116" s="25">
        <v>108.64999999999999</v>
      </c>
      <c r="G116" s="25">
        <f t="shared" si="3"/>
        <v>3.8500000000000085</v>
      </c>
      <c r="H116" s="22">
        <v>25887523</v>
      </c>
      <c r="I116" s="216" t="s">
        <v>289</v>
      </c>
      <c r="J116" s="26" t="s">
        <v>290</v>
      </c>
      <c r="K116" s="214" t="s">
        <v>291</v>
      </c>
      <c r="L116" s="22">
        <v>91774010</v>
      </c>
      <c r="M116" s="61" t="s">
        <v>965</v>
      </c>
    </row>
    <row r="117" spans="1:14" x14ac:dyDescent="0.25">
      <c r="A117" s="22">
        <v>3281</v>
      </c>
      <c r="B117" s="33" t="s">
        <v>292</v>
      </c>
      <c r="C117" s="45">
        <v>360.9</v>
      </c>
      <c r="D117" s="25">
        <v>0.3</v>
      </c>
      <c r="E117" s="25">
        <f t="shared" si="2"/>
        <v>108.27</v>
      </c>
      <c r="F117" s="25"/>
      <c r="G117" s="25">
        <f t="shared" si="3"/>
        <v>108.27</v>
      </c>
      <c r="H117" s="22">
        <v>1045575</v>
      </c>
      <c r="I117" s="216" t="s">
        <v>293</v>
      </c>
      <c r="J117" s="26" t="s">
        <v>134</v>
      </c>
      <c r="K117" s="214" t="s">
        <v>135</v>
      </c>
      <c r="L117" s="22">
        <v>99841917</v>
      </c>
      <c r="M117" s="26"/>
    </row>
    <row r="118" spans="1:14" x14ac:dyDescent="0.25">
      <c r="A118" s="22">
        <v>3286</v>
      </c>
      <c r="B118" s="33" t="s">
        <v>295</v>
      </c>
      <c r="C118" s="45">
        <v>284</v>
      </c>
      <c r="D118" s="25">
        <v>0.3</v>
      </c>
      <c r="E118" s="25">
        <f t="shared" si="2"/>
        <v>85.2</v>
      </c>
      <c r="F118" s="25">
        <v>83.42</v>
      </c>
      <c r="G118" s="25">
        <f t="shared" si="3"/>
        <v>1.7800000000000011</v>
      </c>
      <c r="H118" s="22">
        <v>23232841</v>
      </c>
      <c r="I118" s="216" t="s">
        <v>296</v>
      </c>
      <c r="J118" s="473" t="s">
        <v>25</v>
      </c>
      <c r="K118" s="214" t="s">
        <v>26</v>
      </c>
      <c r="L118" s="22"/>
      <c r="M118" s="61" t="s">
        <v>966</v>
      </c>
    </row>
    <row r="119" spans="1:14" x14ac:dyDescent="0.25">
      <c r="A119" s="22">
        <v>3287</v>
      </c>
      <c r="B119" s="33" t="s">
        <v>297</v>
      </c>
      <c r="C119" s="45">
        <v>190.7</v>
      </c>
      <c r="D119" s="25">
        <v>0.3</v>
      </c>
      <c r="E119" s="25">
        <f t="shared" si="2"/>
        <v>57.209999999999994</v>
      </c>
      <c r="F119" s="25"/>
      <c r="G119" s="25">
        <f t="shared" si="3"/>
        <v>57.209999999999994</v>
      </c>
      <c r="H119" s="22">
        <v>6504554</v>
      </c>
      <c r="I119" s="216" t="s">
        <v>298</v>
      </c>
      <c r="J119" s="473" t="s">
        <v>25</v>
      </c>
      <c r="K119" s="214" t="s">
        <v>26</v>
      </c>
      <c r="L119" s="22">
        <v>95606029</v>
      </c>
      <c r="M119" s="26"/>
    </row>
    <row r="120" spans="1:14" x14ac:dyDescent="0.25">
      <c r="A120" s="22">
        <v>3288</v>
      </c>
      <c r="B120" s="33" t="s">
        <v>300</v>
      </c>
      <c r="C120" s="24">
        <v>227</v>
      </c>
      <c r="D120" s="25">
        <v>0.3</v>
      </c>
      <c r="E120" s="25">
        <f t="shared" si="2"/>
        <v>68.099999999999994</v>
      </c>
      <c r="F120" s="25">
        <f>65.33</f>
        <v>65.33</v>
      </c>
      <c r="G120" s="25">
        <f t="shared" si="3"/>
        <v>2.769999999999996</v>
      </c>
      <c r="H120" s="34">
        <v>1460824</v>
      </c>
      <c r="I120" s="214" t="s">
        <v>301</v>
      </c>
      <c r="J120" s="473" t="s">
        <v>302</v>
      </c>
      <c r="K120" s="474" t="s">
        <v>18</v>
      </c>
      <c r="L120" s="22"/>
      <c r="M120" s="61" t="s">
        <v>966</v>
      </c>
    </row>
    <row r="121" spans="1:14" x14ac:dyDescent="0.25">
      <c r="A121" s="22">
        <v>3291</v>
      </c>
      <c r="B121" s="33" t="s">
        <v>303</v>
      </c>
      <c r="C121" s="24">
        <v>561</v>
      </c>
      <c r="D121" s="25">
        <v>0.3</v>
      </c>
      <c r="E121" s="25">
        <f t="shared" si="2"/>
        <v>168.29999999999998</v>
      </c>
      <c r="F121" s="25"/>
      <c r="G121" s="25">
        <f t="shared" si="3"/>
        <v>168.29999999999998</v>
      </c>
      <c r="H121" s="22">
        <v>1974735</v>
      </c>
      <c r="I121" s="216" t="s">
        <v>304</v>
      </c>
      <c r="J121" s="214" t="s">
        <v>75</v>
      </c>
      <c r="K121" s="216" t="s">
        <v>76</v>
      </c>
      <c r="L121" s="22">
        <v>99085848</v>
      </c>
      <c r="M121" s="26"/>
    </row>
    <row r="122" spans="1:14" x14ac:dyDescent="0.25">
      <c r="A122" s="22">
        <v>3292</v>
      </c>
      <c r="B122" s="33" t="s">
        <v>305</v>
      </c>
      <c r="C122" s="24">
        <v>465.3</v>
      </c>
      <c r="D122" s="25">
        <v>0.3</v>
      </c>
      <c r="E122" s="25">
        <f t="shared" si="2"/>
        <v>139.59</v>
      </c>
      <c r="F122" s="25"/>
      <c r="G122" s="25">
        <f t="shared" si="3"/>
        <v>139.59</v>
      </c>
      <c r="H122" s="462">
        <v>13282353</v>
      </c>
      <c r="I122" s="476" t="s">
        <v>306</v>
      </c>
      <c r="J122" s="26" t="s">
        <v>17</v>
      </c>
      <c r="K122" s="476" t="s">
        <v>18</v>
      </c>
      <c r="L122" s="22"/>
      <c r="M122" s="26"/>
    </row>
    <row r="123" spans="1:14" s="79" customFormat="1" x14ac:dyDescent="0.25">
      <c r="A123" s="22">
        <v>3293</v>
      </c>
      <c r="B123" s="23" t="s">
        <v>307</v>
      </c>
      <c r="C123" s="24">
        <v>58.2</v>
      </c>
      <c r="D123" s="25">
        <v>0.3</v>
      </c>
      <c r="E123" s="25">
        <f t="shared" si="2"/>
        <v>17.46</v>
      </c>
      <c r="F123" s="25"/>
      <c r="G123" s="25">
        <f t="shared" si="3"/>
        <v>17.46</v>
      </c>
      <c r="H123" s="22">
        <v>4048259</v>
      </c>
      <c r="I123" s="214" t="s">
        <v>308</v>
      </c>
      <c r="J123" s="26" t="s">
        <v>75</v>
      </c>
      <c r="K123" s="214" t="s">
        <v>76</v>
      </c>
      <c r="L123" s="22">
        <v>92970078</v>
      </c>
      <c r="M123" s="26"/>
    </row>
    <row r="124" spans="1:14" s="144" customFormat="1" x14ac:dyDescent="0.25">
      <c r="A124" s="54">
        <v>3294</v>
      </c>
      <c r="B124" s="55" t="s">
        <v>309</v>
      </c>
      <c r="C124" s="56">
        <v>227.1</v>
      </c>
      <c r="D124" s="57">
        <v>0.3</v>
      </c>
      <c r="E124" s="57">
        <f t="shared" si="2"/>
        <v>68.13</v>
      </c>
      <c r="F124" s="57">
        <f>66.26</f>
        <v>66.260000000000005</v>
      </c>
      <c r="G124" s="57">
        <f t="shared" si="3"/>
        <v>1.8699999999999903</v>
      </c>
      <c r="H124" s="54">
        <v>19263029</v>
      </c>
      <c r="I124" s="58" t="s">
        <v>310</v>
      </c>
      <c r="J124" s="59" t="s">
        <v>25</v>
      </c>
      <c r="K124" s="60" t="s">
        <v>26</v>
      </c>
      <c r="L124" s="54">
        <v>92387034</v>
      </c>
      <c r="M124" s="61" t="s">
        <v>971</v>
      </c>
    </row>
    <row r="125" spans="1:14" s="144" customFormat="1" x14ac:dyDescent="0.25">
      <c r="A125" s="54">
        <v>3295</v>
      </c>
      <c r="B125" s="55" t="s">
        <v>311</v>
      </c>
      <c r="C125" s="56">
        <v>208</v>
      </c>
      <c r="D125" s="57">
        <v>0.3</v>
      </c>
      <c r="E125" s="57">
        <f t="shared" si="2"/>
        <v>62.4</v>
      </c>
      <c r="F125" s="57">
        <f>1.44+60.48</f>
        <v>61.919999999999995</v>
      </c>
      <c r="G125" s="57">
        <f t="shared" si="3"/>
        <v>0.48000000000000398</v>
      </c>
      <c r="H125" s="54">
        <v>20378353</v>
      </c>
      <c r="I125" s="58" t="s">
        <v>312</v>
      </c>
      <c r="J125" s="61" t="s">
        <v>17</v>
      </c>
      <c r="K125" s="61" t="s">
        <v>18</v>
      </c>
      <c r="L125" s="54">
        <v>99489171</v>
      </c>
      <c r="M125" s="461">
        <v>46002</v>
      </c>
      <c r="N125" s="61" t="s">
        <v>966</v>
      </c>
    </row>
    <row r="126" spans="1:14" x14ac:dyDescent="0.25">
      <c r="A126" s="22">
        <v>3297</v>
      </c>
      <c r="B126" s="33" t="s">
        <v>313</v>
      </c>
      <c r="C126" s="45">
        <v>162.30000000000001</v>
      </c>
      <c r="D126" s="25">
        <v>0.3</v>
      </c>
      <c r="E126" s="25">
        <f t="shared" si="2"/>
        <v>48.690000000000005</v>
      </c>
      <c r="F126" s="25">
        <f>47.5</f>
        <v>47.5</v>
      </c>
      <c r="G126" s="25">
        <f t="shared" si="3"/>
        <v>1.1900000000000048</v>
      </c>
      <c r="H126" s="22">
        <v>5359682</v>
      </c>
      <c r="I126" s="214" t="s">
        <v>314</v>
      </c>
      <c r="J126" s="26" t="s">
        <v>25</v>
      </c>
      <c r="K126" s="26" t="s">
        <v>26</v>
      </c>
      <c r="L126" s="22">
        <v>93240442</v>
      </c>
      <c r="M126" s="61" t="s">
        <v>972</v>
      </c>
    </row>
    <row r="127" spans="1:14" s="144" customFormat="1" x14ac:dyDescent="0.25">
      <c r="A127" s="54">
        <v>3298</v>
      </c>
      <c r="B127" s="55" t="s">
        <v>315</v>
      </c>
      <c r="C127" s="56">
        <v>234.7</v>
      </c>
      <c r="D127" s="57">
        <v>0.3</v>
      </c>
      <c r="E127" s="57">
        <f t="shared" si="2"/>
        <v>70.41</v>
      </c>
      <c r="F127" s="57">
        <f>0.150000000000003+66.5</f>
        <v>66.650000000000006</v>
      </c>
      <c r="G127" s="57">
        <f t="shared" si="3"/>
        <v>3.7599999999999909</v>
      </c>
      <c r="H127" s="84">
        <v>6160236</v>
      </c>
      <c r="I127" s="72" t="s">
        <v>316</v>
      </c>
      <c r="J127" s="59" t="s">
        <v>25</v>
      </c>
      <c r="K127" s="72" t="s">
        <v>26</v>
      </c>
      <c r="L127" s="54"/>
      <c r="M127" s="461">
        <v>45700</v>
      </c>
      <c r="N127" s="144" t="s">
        <v>968</v>
      </c>
    </row>
    <row r="128" spans="1:14" x14ac:dyDescent="0.25">
      <c r="A128" s="22">
        <v>3302</v>
      </c>
      <c r="B128" s="33" t="s">
        <v>317</v>
      </c>
      <c r="C128" s="45">
        <v>270</v>
      </c>
      <c r="D128" s="25">
        <v>0.3</v>
      </c>
      <c r="E128" s="25">
        <f t="shared" si="2"/>
        <v>81</v>
      </c>
      <c r="F128" s="25">
        <v>80.160000000000011</v>
      </c>
      <c r="G128" s="25">
        <f t="shared" si="3"/>
        <v>0.8399999999999892</v>
      </c>
      <c r="H128" s="22">
        <v>71004483</v>
      </c>
      <c r="I128" s="510" t="s">
        <v>318</v>
      </c>
      <c r="J128" s="473" t="s">
        <v>25</v>
      </c>
      <c r="K128" s="214" t="s">
        <v>26</v>
      </c>
      <c r="L128" s="22">
        <v>92557761</v>
      </c>
      <c r="M128" s="61" t="s">
        <v>972</v>
      </c>
    </row>
    <row r="129" spans="1:14" x14ac:dyDescent="0.25">
      <c r="A129" s="22">
        <v>3303</v>
      </c>
      <c r="B129" s="33" t="s">
        <v>319</v>
      </c>
      <c r="C129" s="24">
        <v>182.6</v>
      </c>
      <c r="D129" s="25">
        <v>0.3</v>
      </c>
      <c r="E129" s="25">
        <f t="shared" si="2"/>
        <v>54.779999999999994</v>
      </c>
      <c r="F129" s="25"/>
      <c r="G129" s="25">
        <f t="shared" si="3"/>
        <v>54.779999999999994</v>
      </c>
      <c r="H129" s="34">
        <v>3172781</v>
      </c>
      <c r="I129" s="214" t="s">
        <v>320</v>
      </c>
      <c r="J129" s="473" t="s">
        <v>17</v>
      </c>
      <c r="K129" s="474" t="s">
        <v>18</v>
      </c>
      <c r="L129" s="22">
        <v>99282770</v>
      </c>
      <c r="M129" s="26"/>
    </row>
    <row r="130" spans="1:14" s="549" customFormat="1" x14ac:dyDescent="0.25">
      <c r="A130" s="542">
        <v>3309</v>
      </c>
      <c r="B130" s="543" t="s">
        <v>321</v>
      </c>
      <c r="C130" s="544">
        <v>69.599999999999994</v>
      </c>
      <c r="D130" s="545">
        <v>0.3</v>
      </c>
      <c r="E130" s="545">
        <f t="shared" si="2"/>
        <v>20.88</v>
      </c>
      <c r="F130" s="545">
        <f>E130</f>
        <v>20.88</v>
      </c>
      <c r="G130" s="545">
        <f t="shared" si="3"/>
        <v>0</v>
      </c>
      <c r="H130" s="546">
        <v>21453611</v>
      </c>
      <c r="I130" s="583" t="s">
        <v>322</v>
      </c>
      <c r="J130" s="548" t="s">
        <v>25</v>
      </c>
      <c r="K130" s="547" t="s">
        <v>26</v>
      </c>
      <c r="L130" s="542">
        <v>93389969</v>
      </c>
      <c r="M130" s="579" t="s">
        <v>953</v>
      </c>
    </row>
    <row r="131" spans="1:14" x14ac:dyDescent="0.25">
      <c r="A131" s="22">
        <v>3311</v>
      </c>
      <c r="B131" s="33" t="s">
        <v>323</v>
      </c>
      <c r="C131" s="45">
        <v>334.8</v>
      </c>
      <c r="D131" s="25">
        <v>0.3</v>
      </c>
      <c r="E131" s="25">
        <f t="shared" si="2"/>
        <v>100.44</v>
      </c>
      <c r="F131" s="25"/>
      <c r="G131" s="25">
        <f t="shared" si="3"/>
        <v>100.44</v>
      </c>
      <c r="H131" s="22" t="s">
        <v>324</v>
      </c>
      <c r="I131" s="216" t="s">
        <v>325</v>
      </c>
      <c r="J131" s="215" t="s">
        <v>326</v>
      </c>
      <c r="K131" s="216" t="s">
        <v>327</v>
      </c>
      <c r="L131" s="22">
        <v>92817378</v>
      </c>
      <c r="M131" s="26"/>
    </row>
    <row r="132" spans="1:14" x14ac:dyDescent="0.25">
      <c r="A132" s="22">
        <v>3312</v>
      </c>
      <c r="B132" s="33" t="s">
        <v>328</v>
      </c>
      <c r="C132" s="45">
        <v>367.1</v>
      </c>
      <c r="D132" s="25">
        <v>0.3</v>
      </c>
      <c r="E132" s="25">
        <f t="shared" ref="E132:E195" si="4">D132*C132</f>
        <v>110.13000000000001</v>
      </c>
      <c r="F132" s="25">
        <v>107.06</v>
      </c>
      <c r="G132" s="25">
        <f t="shared" si="3"/>
        <v>3.0700000000000074</v>
      </c>
      <c r="H132" s="22">
        <v>881326</v>
      </c>
      <c r="I132" s="216" t="s">
        <v>329</v>
      </c>
      <c r="J132" s="26" t="s">
        <v>121</v>
      </c>
      <c r="K132" s="26" t="s">
        <v>122</v>
      </c>
      <c r="L132" s="22">
        <v>99481799</v>
      </c>
      <c r="M132" s="61" t="s">
        <v>965</v>
      </c>
    </row>
    <row r="133" spans="1:14" x14ac:dyDescent="0.25">
      <c r="A133" s="22">
        <v>3314</v>
      </c>
      <c r="B133" s="33" t="s">
        <v>330</v>
      </c>
      <c r="C133" s="45">
        <v>329.5</v>
      </c>
      <c r="D133" s="25">
        <v>0.3</v>
      </c>
      <c r="E133" s="25">
        <f t="shared" si="4"/>
        <v>98.85</v>
      </c>
      <c r="F133" s="25">
        <v>96.679999999999993</v>
      </c>
      <c r="G133" s="25">
        <f t="shared" ref="G133:G196" si="5">E133-F133</f>
        <v>2.1700000000000017</v>
      </c>
      <c r="H133" s="22">
        <v>766893</v>
      </c>
      <c r="I133" s="216" t="s">
        <v>331</v>
      </c>
      <c r="J133" s="473" t="s">
        <v>25</v>
      </c>
      <c r="K133" s="214" t="s">
        <v>26</v>
      </c>
      <c r="L133" s="22">
        <v>99257989</v>
      </c>
      <c r="M133" s="61" t="s">
        <v>972</v>
      </c>
    </row>
    <row r="134" spans="1:14" s="549" customFormat="1" x14ac:dyDescent="0.25">
      <c r="A134" s="542">
        <v>3315</v>
      </c>
      <c r="B134" s="543" t="s">
        <v>333</v>
      </c>
      <c r="C134" s="544">
        <v>67.400000000000006</v>
      </c>
      <c r="D134" s="545">
        <v>0.3</v>
      </c>
      <c r="E134" s="545">
        <f t="shared" si="4"/>
        <v>20.220000000000002</v>
      </c>
      <c r="F134" s="545">
        <f>E134</f>
        <v>20.220000000000002</v>
      </c>
      <c r="G134" s="545">
        <f t="shared" si="5"/>
        <v>0</v>
      </c>
      <c r="H134" s="542">
        <v>23957422</v>
      </c>
      <c r="I134" s="580" t="s">
        <v>334</v>
      </c>
      <c r="J134" s="581" t="s">
        <v>25</v>
      </c>
      <c r="K134" s="582" t="s">
        <v>26</v>
      </c>
      <c r="L134" s="542">
        <v>99601665</v>
      </c>
      <c r="M134" s="579" t="s">
        <v>953</v>
      </c>
    </row>
    <row r="135" spans="1:14" s="549" customFormat="1" x14ac:dyDescent="0.25">
      <c r="A135" s="542">
        <v>3316</v>
      </c>
      <c r="B135" s="543" t="s">
        <v>335</v>
      </c>
      <c r="C135" s="544">
        <v>53.3</v>
      </c>
      <c r="D135" s="545">
        <v>0.3</v>
      </c>
      <c r="E135" s="545">
        <f t="shared" si="4"/>
        <v>15.989999999999998</v>
      </c>
      <c r="F135" s="545">
        <f>E135</f>
        <v>15.989999999999998</v>
      </c>
      <c r="G135" s="545">
        <f t="shared" si="5"/>
        <v>0</v>
      </c>
      <c r="H135" s="542">
        <v>26159748</v>
      </c>
      <c r="I135" s="547" t="s">
        <v>336</v>
      </c>
      <c r="J135" s="581" t="s">
        <v>25</v>
      </c>
      <c r="K135" s="582" t="s">
        <v>26</v>
      </c>
      <c r="L135" s="542">
        <v>99601665</v>
      </c>
      <c r="M135" s="579" t="s">
        <v>953</v>
      </c>
    </row>
    <row r="136" spans="1:14" x14ac:dyDescent="0.25">
      <c r="A136" s="22">
        <v>3320</v>
      </c>
      <c r="B136" s="33" t="s">
        <v>337</v>
      </c>
      <c r="C136" s="45">
        <v>220</v>
      </c>
      <c r="D136" s="25">
        <v>0.3</v>
      </c>
      <c r="E136" s="25">
        <f t="shared" si="4"/>
        <v>66</v>
      </c>
      <c r="F136" s="25"/>
      <c r="G136" s="25">
        <f t="shared" si="5"/>
        <v>66</v>
      </c>
      <c r="H136" s="22">
        <v>2096234</v>
      </c>
      <c r="I136" s="216" t="s">
        <v>338</v>
      </c>
      <c r="J136" s="473" t="s">
        <v>25</v>
      </c>
      <c r="K136" s="214" t="s">
        <v>26</v>
      </c>
      <c r="L136" s="22">
        <v>99495933</v>
      </c>
      <c r="M136" s="26"/>
    </row>
    <row r="137" spans="1:14" x14ac:dyDescent="0.25">
      <c r="A137" s="22">
        <v>3321</v>
      </c>
      <c r="B137" s="33" t="s">
        <v>339</v>
      </c>
      <c r="C137" s="45">
        <v>47.5</v>
      </c>
      <c r="D137" s="25">
        <v>0.3</v>
      </c>
      <c r="E137" s="25">
        <f t="shared" si="4"/>
        <v>14.25</v>
      </c>
      <c r="F137" s="25"/>
      <c r="G137" s="25">
        <f t="shared" si="5"/>
        <v>14.25</v>
      </c>
      <c r="H137" s="22">
        <v>10721505</v>
      </c>
      <c r="I137" s="216" t="s">
        <v>340</v>
      </c>
      <c r="J137" s="473" t="s">
        <v>25</v>
      </c>
      <c r="K137" s="214" t="s">
        <v>26</v>
      </c>
      <c r="L137" s="22">
        <v>93955800</v>
      </c>
      <c r="M137" s="26"/>
    </row>
    <row r="138" spans="1:14" x14ac:dyDescent="0.25">
      <c r="A138" s="22">
        <v>3322</v>
      </c>
      <c r="B138" s="33" t="s">
        <v>341</v>
      </c>
      <c r="C138" s="45">
        <v>273.3</v>
      </c>
      <c r="D138" s="25">
        <v>0.3</v>
      </c>
      <c r="E138" s="25">
        <f t="shared" si="4"/>
        <v>81.99</v>
      </c>
      <c r="F138" s="25"/>
      <c r="G138" s="25">
        <f t="shared" si="5"/>
        <v>81.99</v>
      </c>
      <c r="H138" s="22">
        <v>6047858</v>
      </c>
      <c r="I138" s="216" t="s">
        <v>342</v>
      </c>
      <c r="J138" s="26" t="s">
        <v>43</v>
      </c>
      <c r="K138" s="214" t="s">
        <v>44</v>
      </c>
      <c r="L138" s="22"/>
      <c r="M138" s="26"/>
    </row>
    <row r="139" spans="1:14" s="144" customFormat="1" x14ac:dyDescent="0.25">
      <c r="A139" s="54">
        <v>3325</v>
      </c>
      <c r="B139" s="55" t="s">
        <v>153</v>
      </c>
      <c r="C139" s="56">
        <v>129.5</v>
      </c>
      <c r="D139" s="57">
        <v>0.3</v>
      </c>
      <c r="E139" s="57">
        <f t="shared" si="4"/>
        <v>38.85</v>
      </c>
      <c r="F139" s="57">
        <v>35.39</v>
      </c>
      <c r="G139" s="57">
        <f t="shared" si="5"/>
        <v>3.4600000000000009</v>
      </c>
      <c r="H139" s="54">
        <v>21849398</v>
      </c>
      <c r="I139" s="58" t="s">
        <v>343</v>
      </c>
      <c r="J139" s="59" t="s">
        <v>25</v>
      </c>
      <c r="K139" s="60" t="s">
        <v>26</v>
      </c>
      <c r="L139" s="54">
        <v>93233323</v>
      </c>
      <c r="M139" s="61" t="s">
        <v>956</v>
      </c>
    </row>
    <row r="140" spans="1:14" s="144" customFormat="1" x14ac:dyDescent="0.25">
      <c r="A140" s="54">
        <v>3326</v>
      </c>
      <c r="B140" s="55" t="s">
        <v>344</v>
      </c>
      <c r="C140" s="56">
        <v>377.6</v>
      </c>
      <c r="D140" s="57">
        <v>0.3</v>
      </c>
      <c r="E140" s="57">
        <f t="shared" si="4"/>
        <v>113.28</v>
      </c>
      <c r="F140" s="57">
        <v>108.34</v>
      </c>
      <c r="G140" s="57">
        <f t="shared" si="5"/>
        <v>4.9399999999999977</v>
      </c>
      <c r="H140" s="54">
        <v>1466865</v>
      </c>
      <c r="I140" s="58" t="s">
        <v>345</v>
      </c>
      <c r="J140" s="61" t="s">
        <v>17</v>
      </c>
      <c r="K140" s="61" t="s">
        <v>18</v>
      </c>
      <c r="L140" s="54"/>
      <c r="M140" s="461">
        <v>46008</v>
      </c>
    </row>
    <row r="141" spans="1:14" s="144" customFormat="1" x14ac:dyDescent="0.25">
      <c r="A141" s="54">
        <v>3328</v>
      </c>
      <c r="B141" s="55" t="s">
        <v>346</v>
      </c>
      <c r="C141" s="56">
        <v>386</v>
      </c>
      <c r="D141" s="57">
        <v>0.3</v>
      </c>
      <c r="E141" s="57">
        <f t="shared" si="4"/>
        <v>115.8</v>
      </c>
      <c r="F141" s="57">
        <v>114.14999999999999</v>
      </c>
      <c r="G141" s="57">
        <f t="shared" si="5"/>
        <v>1.6500000000000057</v>
      </c>
      <c r="H141" s="54">
        <v>1934204</v>
      </c>
      <c r="I141" s="60" t="s">
        <v>347</v>
      </c>
      <c r="J141" s="59" t="s">
        <v>25</v>
      </c>
      <c r="K141" s="60" t="s">
        <v>26</v>
      </c>
      <c r="L141" s="54"/>
      <c r="M141" s="61" t="s">
        <v>966</v>
      </c>
    </row>
    <row r="142" spans="1:14" s="144" customFormat="1" x14ac:dyDescent="0.25">
      <c r="A142" s="54">
        <v>3329</v>
      </c>
      <c r="B142" s="55" t="s">
        <v>348</v>
      </c>
      <c r="C142" s="56">
        <v>224.8</v>
      </c>
      <c r="D142" s="57">
        <v>0.3</v>
      </c>
      <c r="E142" s="57">
        <f t="shared" si="4"/>
        <v>67.44</v>
      </c>
      <c r="F142" s="57">
        <v>65.860000000000014</v>
      </c>
      <c r="G142" s="57">
        <f t="shared" si="5"/>
        <v>1.5799999999999841</v>
      </c>
      <c r="H142" s="54">
        <v>9086292</v>
      </c>
      <c r="I142" s="60" t="s">
        <v>349</v>
      </c>
      <c r="J142" s="61" t="s">
        <v>75</v>
      </c>
      <c r="K142" s="60" t="s">
        <v>76</v>
      </c>
      <c r="L142" s="54">
        <v>95976260</v>
      </c>
      <c r="M142" s="144" t="s">
        <v>974</v>
      </c>
    </row>
    <row r="143" spans="1:14" s="144" customFormat="1" x14ac:dyDescent="0.25">
      <c r="A143" s="54">
        <v>3331</v>
      </c>
      <c r="B143" s="55" t="s">
        <v>350</v>
      </c>
      <c r="C143" s="56">
        <v>398.8</v>
      </c>
      <c r="D143" s="57">
        <v>0.3</v>
      </c>
      <c r="E143" s="57">
        <f t="shared" si="4"/>
        <v>119.64</v>
      </c>
      <c r="F143" s="57">
        <f>2.38+114</f>
        <v>116.38</v>
      </c>
      <c r="G143" s="57">
        <f t="shared" si="5"/>
        <v>3.2600000000000051</v>
      </c>
      <c r="H143" s="54">
        <v>18048861</v>
      </c>
      <c r="I143" s="58" t="s">
        <v>351</v>
      </c>
      <c r="J143" s="61" t="s">
        <v>352</v>
      </c>
      <c r="K143" s="60" t="s">
        <v>129</v>
      </c>
      <c r="L143" s="54"/>
      <c r="M143" s="461">
        <v>45941</v>
      </c>
      <c r="N143" s="144" t="s">
        <v>966</v>
      </c>
    </row>
    <row r="144" spans="1:14" x14ac:dyDescent="0.25">
      <c r="A144" s="54">
        <v>3332</v>
      </c>
      <c r="B144" s="55" t="s">
        <v>721</v>
      </c>
      <c r="C144" s="56">
        <v>99.5</v>
      </c>
      <c r="D144" s="57">
        <v>0.3</v>
      </c>
      <c r="E144" s="57">
        <f t="shared" si="4"/>
        <v>29.849999999999998</v>
      </c>
      <c r="F144" s="57">
        <v>25.790000000000006</v>
      </c>
      <c r="G144" s="57">
        <f t="shared" si="5"/>
        <v>4.0599999999999916</v>
      </c>
      <c r="H144" s="54">
        <v>1320775</v>
      </c>
      <c r="I144" s="58"/>
      <c r="J144" s="61"/>
      <c r="K144" s="60"/>
      <c r="L144" s="54">
        <v>99490105</v>
      </c>
      <c r="M144" s="461">
        <v>45941</v>
      </c>
      <c r="N144" s="144"/>
    </row>
    <row r="145" spans="1:14" x14ac:dyDescent="0.25">
      <c r="A145" s="22">
        <v>3334</v>
      </c>
      <c r="B145" s="33" t="s">
        <v>353</v>
      </c>
      <c r="C145" s="45">
        <v>298.5</v>
      </c>
      <c r="D145" s="25">
        <v>0.3</v>
      </c>
      <c r="E145" s="25">
        <f t="shared" si="4"/>
        <v>89.55</v>
      </c>
      <c r="F145" s="25"/>
      <c r="G145" s="25">
        <f t="shared" si="5"/>
        <v>89.55</v>
      </c>
      <c r="H145" s="22">
        <v>1176211</v>
      </c>
      <c r="I145" s="216" t="s">
        <v>354</v>
      </c>
      <c r="J145" s="26" t="s">
        <v>17</v>
      </c>
      <c r="K145" s="26" t="s">
        <v>18</v>
      </c>
      <c r="L145" s="22">
        <v>99480111</v>
      </c>
      <c r="M145" s="26"/>
    </row>
    <row r="146" spans="1:14" x14ac:dyDescent="0.25">
      <c r="A146" s="22">
        <v>3335</v>
      </c>
      <c r="B146" s="33" t="s">
        <v>355</v>
      </c>
      <c r="C146" s="45">
        <v>63</v>
      </c>
      <c r="D146" s="25">
        <v>0.3</v>
      </c>
      <c r="E146" s="25">
        <f t="shared" si="4"/>
        <v>18.899999999999999</v>
      </c>
      <c r="F146" s="25"/>
      <c r="G146" s="25">
        <f t="shared" si="5"/>
        <v>18.899999999999999</v>
      </c>
      <c r="H146" s="22">
        <v>2022545</v>
      </c>
      <c r="I146" s="216" t="s">
        <v>356</v>
      </c>
      <c r="J146" s="473" t="s">
        <v>25</v>
      </c>
      <c r="K146" s="214" t="s">
        <v>26</v>
      </c>
      <c r="L146" s="22">
        <v>99489989</v>
      </c>
      <c r="M146" s="26"/>
    </row>
    <row r="147" spans="1:14" s="144" customFormat="1" x14ac:dyDescent="0.25">
      <c r="A147" s="54">
        <v>3336</v>
      </c>
      <c r="B147" s="55" t="s">
        <v>357</v>
      </c>
      <c r="C147" s="56">
        <v>209</v>
      </c>
      <c r="D147" s="57">
        <v>0.3</v>
      </c>
      <c r="E147" s="57">
        <f t="shared" si="4"/>
        <v>62.699999999999996</v>
      </c>
      <c r="F147" s="57">
        <f>2.78+57</f>
        <v>59.78</v>
      </c>
      <c r="G147" s="57">
        <f t="shared" si="5"/>
        <v>2.9199999999999946</v>
      </c>
      <c r="H147" s="54">
        <v>905756</v>
      </c>
      <c r="I147" s="58" t="s">
        <v>358</v>
      </c>
      <c r="J147" s="59" t="s">
        <v>25</v>
      </c>
      <c r="K147" s="60" t="s">
        <v>26</v>
      </c>
      <c r="L147" s="54">
        <v>92321799</v>
      </c>
      <c r="M147" s="461">
        <v>45941</v>
      </c>
      <c r="N147" s="461">
        <v>46008</v>
      </c>
    </row>
    <row r="148" spans="1:14" x14ac:dyDescent="0.25">
      <c r="A148" s="22">
        <v>3337</v>
      </c>
      <c r="B148" s="33" t="s">
        <v>359</v>
      </c>
      <c r="C148" s="561">
        <v>156</v>
      </c>
      <c r="D148" s="25">
        <v>0.3</v>
      </c>
      <c r="E148" s="25">
        <f t="shared" si="4"/>
        <v>46.8</v>
      </c>
      <c r="F148" s="25"/>
      <c r="G148" s="25">
        <f t="shared" si="5"/>
        <v>46.8</v>
      </c>
      <c r="H148" s="22">
        <v>19344361</v>
      </c>
      <c r="I148" s="216" t="s">
        <v>360</v>
      </c>
      <c r="J148" s="473" t="s">
        <v>25</v>
      </c>
      <c r="K148" s="214" t="s">
        <v>26</v>
      </c>
      <c r="L148" s="22"/>
      <c r="M148" s="26"/>
    </row>
    <row r="149" spans="1:14" x14ac:dyDescent="0.25">
      <c r="A149" s="22">
        <v>3338</v>
      </c>
      <c r="B149" s="33" t="s">
        <v>361</v>
      </c>
      <c r="C149" s="24">
        <v>261.8</v>
      </c>
      <c r="D149" s="25">
        <v>0.3</v>
      </c>
      <c r="E149" s="25">
        <f t="shared" si="4"/>
        <v>78.540000000000006</v>
      </c>
      <c r="F149" s="25"/>
      <c r="G149" s="25">
        <f t="shared" si="5"/>
        <v>78.540000000000006</v>
      </c>
      <c r="H149" s="22">
        <v>1078791</v>
      </c>
      <c r="I149" s="216" t="s">
        <v>362</v>
      </c>
      <c r="J149" s="26" t="s">
        <v>17</v>
      </c>
      <c r="K149" s="26" t="s">
        <v>18</v>
      </c>
      <c r="L149" s="22"/>
      <c r="M149" s="26"/>
    </row>
    <row r="150" spans="1:14" s="144" customFormat="1" x14ac:dyDescent="0.25">
      <c r="A150" s="54">
        <v>3340</v>
      </c>
      <c r="B150" s="55" t="s">
        <v>363</v>
      </c>
      <c r="C150" s="56">
        <v>190.9</v>
      </c>
      <c r="D150" s="57">
        <v>0.3</v>
      </c>
      <c r="E150" s="57">
        <f t="shared" si="4"/>
        <v>57.27</v>
      </c>
      <c r="F150" s="57">
        <f>E150</f>
        <v>57.27</v>
      </c>
      <c r="G150" s="57">
        <f t="shared" si="5"/>
        <v>0</v>
      </c>
      <c r="H150" s="54">
        <v>906355</v>
      </c>
      <c r="I150" s="58" t="s">
        <v>364</v>
      </c>
      <c r="J150" s="59" t="s">
        <v>25</v>
      </c>
      <c r="K150" s="60" t="s">
        <v>26</v>
      </c>
      <c r="L150" s="54">
        <v>95333933</v>
      </c>
      <c r="M150" s="144" t="s">
        <v>974</v>
      </c>
    </row>
    <row r="151" spans="1:14" s="144" customFormat="1" x14ac:dyDescent="0.25">
      <c r="A151" s="54">
        <v>3342</v>
      </c>
      <c r="B151" s="55" t="s">
        <v>366</v>
      </c>
      <c r="C151" s="56">
        <v>140.69999999999999</v>
      </c>
      <c r="D151" s="57">
        <v>0.3</v>
      </c>
      <c r="E151" s="57">
        <f t="shared" si="4"/>
        <v>42.209999999999994</v>
      </c>
      <c r="F151" s="57">
        <v>37.700000000000003</v>
      </c>
      <c r="G151" s="57">
        <f t="shared" si="5"/>
        <v>4.5099999999999909</v>
      </c>
      <c r="H151" s="54">
        <v>1779485</v>
      </c>
      <c r="I151" s="58" t="s">
        <v>367</v>
      </c>
      <c r="J151" s="61" t="s">
        <v>17</v>
      </c>
      <c r="K151" s="61" t="s">
        <v>18</v>
      </c>
      <c r="L151" s="54"/>
      <c r="M151" s="144" t="s">
        <v>966</v>
      </c>
    </row>
    <row r="152" spans="1:14" s="144" customFormat="1" x14ac:dyDescent="0.25">
      <c r="A152" s="54">
        <v>3346</v>
      </c>
      <c r="B152" s="55" t="s">
        <v>368</v>
      </c>
      <c r="C152" s="56">
        <v>347.5</v>
      </c>
      <c r="D152" s="57">
        <v>0.3</v>
      </c>
      <c r="E152" s="57">
        <f t="shared" si="4"/>
        <v>104.25</v>
      </c>
      <c r="F152" s="57">
        <v>102.46</v>
      </c>
      <c r="G152" s="57">
        <f t="shared" si="5"/>
        <v>1.7900000000000063</v>
      </c>
      <c r="H152" s="54">
        <v>1586848</v>
      </c>
      <c r="I152" s="58" t="s">
        <v>369</v>
      </c>
      <c r="J152" s="61" t="s">
        <v>166</v>
      </c>
      <c r="K152" s="61" t="s">
        <v>129</v>
      </c>
      <c r="L152" s="54">
        <v>92930610</v>
      </c>
      <c r="M152" s="461">
        <v>45942</v>
      </c>
    </row>
    <row r="153" spans="1:14" s="144" customFormat="1" x14ac:dyDescent="0.25">
      <c r="A153" s="54">
        <v>3700</v>
      </c>
      <c r="B153" s="55" t="s">
        <v>27</v>
      </c>
      <c r="C153" s="56">
        <v>557.20000000000005</v>
      </c>
      <c r="D153" s="57">
        <v>0.3</v>
      </c>
      <c r="E153" s="57">
        <f t="shared" si="4"/>
        <v>167.16</v>
      </c>
      <c r="F153" s="57">
        <v>167.04</v>
      </c>
      <c r="G153" s="57">
        <f t="shared" si="5"/>
        <v>0.12000000000000455</v>
      </c>
      <c r="H153" s="54">
        <v>19729836</v>
      </c>
      <c r="I153" s="60" t="s">
        <v>28</v>
      </c>
      <c r="J153" s="59" t="s">
        <v>25</v>
      </c>
      <c r="K153" s="61" t="s">
        <v>26</v>
      </c>
      <c r="L153" s="54">
        <v>99633838</v>
      </c>
      <c r="M153" s="61" t="s">
        <v>972</v>
      </c>
    </row>
    <row r="154" spans="1:14" s="144" customFormat="1" x14ac:dyDescent="0.25">
      <c r="A154" s="54">
        <v>3702</v>
      </c>
      <c r="B154" s="55" t="s">
        <v>370</v>
      </c>
      <c r="C154" s="56">
        <v>199.9</v>
      </c>
      <c r="D154" s="57">
        <v>0.3</v>
      </c>
      <c r="E154" s="57">
        <f t="shared" si="4"/>
        <v>59.97</v>
      </c>
      <c r="F154" s="57">
        <f>1.16+54.45</f>
        <v>55.61</v>
      </c>
      <c r="G154" s="57">
        <f t="shared" si="5"/>
        <v>4.3599999999999994</v>
      </c>
      <c r="H154" s="124" t="s">
        <v>371</v>
      </c>
      <c r="I154" s="60" t="s">
        <v>372</v>
      </c>
      <c r="J154" s="61" t="s">
        <v>17</v>
      </c>
      <c r="K154" s="61" t="s">
        <v>18</v>
      </c>
      <c r="L154" s="54">
        <v>90939111</v>
      </c>
      <c r="M154" s="461">
        <v>45700</v>
      </c>
      <c r="N154" s="61" t="s">
        <v>966</v>
      </c>
    </row>
    <row r="155" spans="1:14" x14ac:dyDescent="0.25">
      <c r="A155" s="22">
        <v>3703</v>
      </c>
      <c r="B155" s="33" t="s">
        <v>373</v>
      </c>
      <c r="C155" s="24">
        <v>534.1</v>
      </c>
      <c r="D155" s="25">
        <v>0.3</v>
      </c>
      <c r="E155" s="25">
        <f t="shared" si="4"/>
        <v>160.22999999999999</v>
      </c>
      <c r="F155" s="25">
        <v>159.67000000000002</v>
      </c>
      <c r="G155" s="25">
        <f t="shared" si="5"/>
        <v>0.55999999999997385</v>
      </c>
      <c r="H155" s="22">
        <v>6332137</v>
      </c>
      <c r="I155" s="214" t="s">
        <v>374</v>
      </c>
      <c r="J155" s="26" t="s">
        <v>121</v>
      </c>
      <c r="K155" s="26" t="s">
        <v>122</v>
      </c>
      <c r="L155" s="22">
        <v>98239666</v>
      </c>
      <c r="M155" s="61" t="s">
        <v>966</v>
      </c>
    </row>
    <row r="156" spans="1:14" x14ac:dyDescent="0.25">
      <c r="A156" s="22">
        <v>3704</v>
      </c>
      <c r="B156" s="33" t="s">
        <v>375</v>
      </c>
      <c r="C156" s="24">
        <v>368.2</v>
      </c>
      <c r="D156" s="25">
        <v>0.3</v>
      </c>
      <c r="E156" s="25">
        <f t="shared" si="4"/>
        <v>110.46</v>
      </c>
      <c r="F156" s="25"/>
      <c r="G156" s="25">
        <f t="shared" si="5"/>
        <v>110.46</v>
      </c>
      <c r="H156" s="22">
        <v>730722</v>
      </c>
      <c r="I156" s="216" t="s">
        <v>376</v>
      </c>
      <c r="J156" s="26" t="s">
        <v>25</v>
      </c>
      <c r="K156" s="214" t="s">
        <v>26</v>
      </c>
      <c r="L156" s="22">
        <v>92499000</v>
      </c>
      <c r="M156" s="26"/>
    </row>
    <row r="157" spans="1:14" s="144" customFormat="1" x14ac:dyDescent="0.25">
      <c r="A157" s="54">
        <v>3705</v>
      </c>
      <c r="B157" s="55" t="s">
        <v>377</v>
      </c>
      <c r="C157" s="56">
        <v>176.4</v>
      </c>
      <c r="D157" s="57">
        <v>0.3</v>
      </c>
      <c r="E157" s="57">
        <f t="shared" si="4"/>
        <v>52.92</v>
      </c>
      <c r="F157" s="57">
        <f>1.62000000000001+47.5</f>
        <v>49.120000000000012</v>
      </c>
      <c r="G157" s="57">
        <f t="shared" si="5"/>
        <v>3.7999999999999901</v>
      </c>
      <c r="H157" s="54">
        <v>738486</v>
      </c>
      <c r="I157" s="58" t="s">
        <v>378</v>
      </c>
      <c r="J157" s="61" t="s">
        <v>25</v>
      </c>
      <c r="K157" s="60" t="s">
        <v>26</v>
      </c>
      <c r="L157" s="54">
        <v>99486030</v>
      </c>
      <c r="M157" s="61" t="s">
        <v>956</v>
      </c>
      <c r="N157" s="61" t="s">
        <v>966</v>
      </c>
    </row>
    <row r="158" spans="1:14" s="144" customFormat="1" x14ac:dyDescent="0.25">
      <c r="A158" s="54">
        <v>3706</v>
      </c>
      <c r="B158" s="55" t="s">
        <v>379</v>
      </c>
      <c r="C158" s="56">
        <v>84.3</v>
      </c>
      <c r="D158" s="57">
        <v>0.3</v>
      </c>
      <c r="E158" s="57">
        <f t="shared" si="4"/>
        <v>25.29</v>
      </c>
      <c r="F158" s="57">
        <f>1.62000000000001+19</f>
        <v>20.620000000000012</v>
      </c>
      <c r="G158" s="57">
        <f t="shared" si="5"/>
        <v>4.6699999999999875</v>
      </c>
      <c r="H158" s="54">
        <v>8098795</v>
      </c>
      <c r="I158" s="58" t="s">
        <v>380</v>
      </c>
      <c r="J158" s="61" t="s">
        <v>25</v>
      </c>
      <c r="K158" s="60" t="s">
        <v>26</v>
      </c>
      <c r="L158" s="54">
        <v>93567000</v>
      </c>
      <c r="M158" s="61" t="s">
        <v>956</v>
      </c>
      <c r="N158" s="61" t="s">
        <v>966</v>
      </c>
    </row>
    <row r="159" spans="1:14" s="144" customFormat="1" x14ac:dyDescent="0.25">
      <c r="A159" s="54">
        <v>3708</v>
      </c>
      <c r="B159" s="55" t="s">
        <v>381</v>
      </c>
      <c r="C159" s="56">
        <v>373.7</v>
      </c>
      <c r="D159" s="57">
        <v>0.3</v>
      </c>
      <c r="E159" s="57">
        <f t="shared" si="4"/>
        <v>112.11</v>
      </c>
      <c r="F159" s="57">
        <f>109.25</f>
        <v>109.25</v>
      </c>
      <c r="G159" s="57">
        <f t="shared" si="5"/>
        <v>2.8599999999999994</v>
      </c>
      <c r="H159" s="57">
        <v>5304255</v>
      </c>
      <c r="I159" s="60" t="s">
        <v>383</v>
      </c>
      <c r="J159" s="59" t="s">
        <v>25</v>
      </c>
      <c r="K159" s="60" t="s">
        <v>26</v>
      </c>
      <c r="L159" s="54">
        <v>98822655</v>
      </c>
      <c r="M159" s="61" t="s">
        <v>966</v>
      </c>
    </row>
    <row r="160" spans="1:14" x14ac:dyDescent="0.25">
      <c r="A160" s="22">
        <v>3709</v>
      </c>
      <c r="B160" s="33" t="s">
        <v>912</v>
      </c>
      <c r="C160" s="24">
        <v>280.2</v>
      </c>
      <c r="D160" s="25">
        <v>0.3</v>
      </c>
      <c r="E160" s="25">
        <f t="shared" si="4"/>
        <v>84.059999999999988</v>
      </c>
      <c r="F160" s="25"/>
      <c r="G160" s="25">
        <f t="shared" si="5"/>
        <v>84.059999999999988</v>
      </c>
      <c r="H160" s="80" t="s">
        <v>913</v>
      </c>
      <c r="I160" s="214" t="s">
        <v>911</v>
      </c>
      <c r="J160" s="473" t="s">
        <v>25</v>
      </c>
      <c r="K160" s="214" t="s">
        <v>26</v>
      </c>
      <c r="L160" s="22">
        <v>99693314</v>
      </c>
      <c r="M160" s="26"/>
    </row>
    <row r="161" spans="1:14" s="144" customFormat="1" x14ac:dyDescent="0.25">
      <c r="A161" s="54">
        <v>3711</v>
      </c>
      <c r="B161" s="55" t="s">
        <v>387</v>
      </c>
      <c r="C161" s="56">
        <v>159.69999999999999</v>
      </c>
      <c r="D161" s="57">
        <v>0.3</v>
      </c>
      <c r="E161" s="57">
        <f t="shared" si="4"/>
        <v>47.91</v>
      </c>
      <c r="F161" s="57">
        <v>46.910000000000004</v>
      </c>
      <c r="G161" s="57">
        <f t="shared" si="5"/>
        <v>0.99999999999999289</v>
      </c>
      <c r="H161" s="124" t="s">
        <v>388</v>
      </c>
      <c r="I161" s="60" t="s">
        <v>389</v>
      </c>
      <c r="J161" s="61" t="s">
        <v>17</v>
      </c>
      <c r="K161" s="61" t="s">
        <v>18</v>
      </c>
      <c r="L161" s="54">
        <v>99590400</v>
      </c>
      <c r="M161" s="61" t="s">
        <v>956</v>
      </c>
    </row>
    <row r="162" spans="1:14" x14ac:dyDescent="0.25">
      <c r="A162" s="22">
        <v>3712</v>
      </c>
      <c r="B162" s="33" t="s">
        <v>390</v>
      </c>
      <c r="C162" s="24">
        <v>130.19999999999999</v>
      </c>
      <c r="D162" s="25">
        <v>0.3</v>
      </c>
      <c r="E162" s="25">
        <f t="shared" si="4"/>
        <v>39.059999999999995</v>
      </c>
      <c r="F162" s="25"/>
      <c r="G162" s="25">
        <f t="shared" si="5"/>
        <v>39.059999999999995</v>
      </c>
      <c r="H162" s="80" t="s">
        <v>391</v>
      </c>
      <c r="I162" s="214" t="s">
        <v>392</v>
      </c>
      <c r="J162" s="473" t="s">
        <v>25</v>
      </c>
      <c r="K162" s="214" t="s">
        <v>26</v>
      </c>
      <c r="L162" s="22">
        <v>99586643</v>
      </c>
      <c r="M162" s="26"/>
    </row>
    <row r="163" spans="1:14" x14ac:dyDescent="0.25">
      <c r="A163" s="22">
        <v>3713</v>
      </c>
      <c r="B163" s="33" t="s">
        <v>393</v>
      </c>
      <c r="C163" s="24">
        <v>210.5</v>
      </c>
      <c r="D163" s="25">
        <v>0.3</v>
      </c>
      <c r="E163" s="25">
        <f t="shared" si="4"/>
        <v>63.15</v>
      </c>
      <c r="F163" s="25"/>
      <c r="G163" s="25">
        <f t="shared" si="5"/>
        <v>63.15</v>
      </c>
      <c r="H163" s="80" t="s">
        <v>394</v>
      </c>
      <c r="I163" s="26" t="s">
        <v>395</v>
      </c>
      <c r="J163" s="26" t="s">
        <v>121</v>
      </c>
      <c r="K163" s="26" t="s">
        <v>122</v>
      </c>
      <c r="L163" s="22">
        <v>99490438</v>
      </c>
      <c r="M163" s="26"/>
    </row>
    <row r="164" spans="1:14" x14ac:dyDescent="0.25">
      <c r="A164" s="22">
        <v>3716</v>
      </c>
      <c r="B164" s="33" t="s">
        <v>396</v>
      </c>
      <c r="C164" s="24">
        <v>387.1</v>
      </c>
      <c r="D164" s="25">
        <v>0.3</v>
      </c>
      <c r="E164" s="25">
        <f t="shared" si="4"/>
        <v>116.13</v>
      </c>
      <c r="F164" s="25"/>
      <c r="G164" s="25">
        <f t="shared" si="5"/>
        <v>116.13</v>
      </c>
      <c r="H164" s="34" t="s">
        <v>397</v>
      </c>
      <c r="I164" s="214" t="s">
        <v>398</v>
      </c>
      <c r="J164" s="473" t="s">
        <v>25</v>
      </c>
      <c r="K164" s="474" t="s">
        <v>26</v>
      </c>
      <c r="L164" s="22"/>
      <c r="M164" s="26"/>
    </row>
    <row r="165" spans="1:14" s="144" customFormat="1" x14ac:dyDescent="0.25">
      <c r="A165" s="54">
        <v>3717</v>
      </c>
      <c r="B165" s="55" t="s">
        <v>399</v>
      </c>
      <c r="C165" s="56">
        <v>428</v>
      </c>
      <c r="D165" s="57">
        <v>0.3</v>
      </c>
      <c r="E165" s="57">
        <f t="shared" si="4"/>
        <v>128.4</v>
      </c>
      <c r="F165" s="57">
        <v>127.28999999999996</v>
      </c>
      <c r="G165" s="57">
        <f t="shared" si="5"/>
        <v>1.1100000000000421</v>
      </c>
      <c r="H165" s="84" t="s">
        <v>400</v>
      </c>
      <c r="I165" s="60" t="s">
        <v>401</v>
      </c>
      <c r="J165" s="59" t="s">
        <v>25</v>
      </c>
      <c r="K165" s="60" t="s">
        <v>26</v>
      </c>
      <c r="L165" s="54"/>
      <c r="M165" s="461">
        <v>46002</v>
      </c>
    </row>
    <row r="166" spans="1:14" x14ac:dyDescent="0.25">
      <c r="A166" s="22">
        <v>3718</v>
      </c>
      <c r="B166" s="33" t="s">
        <v>403</v>
      </c>
      <c r="C166" s="24">
        <v>107.6</v>
      </c>
      <c r="D166" s="25">
        <v>0.3</v>
      </c>
      <c r="E166" s="25">
        <f t="shared" si="4"/>
        <v>32.279999999999994</v>
      </c>
      <c r="F166" s="25"/>
      <c r="G166" s="25">
        <f t="shared" si="5"/>
        <v>32.279999999999994</v>
      </c>
      <c r="H166" s="80" t="s">
        <v>404</v>
      </c>
      <c r="I166" s="214" t="s">
        <v>405</v>
      </c>
      <c r="J166" s="26" t="s">
        <v>43</v>
      </c>
      <c r="K166" s="214" t="s">
        <v>44</v>
      </c>
      <c r="L166" s="22">
        <v>92955331</v>
      </c>
      <c r="M166" s="26"/>
    </row>
    <row r="167" spans="1:14" x14ac:dyDescent="0.25">
      <c r="A167" s="22">
        <v>3719</v>
      </c>
      <c r="B167" s="33" t="s">
        <v>406</v>
      </c>
      <c r="C167" s="24">
        <v>210</v>
      </c>
      <c r="D167" s="25">
        <v>0.3</v>
      </c>
      <c r="E167" s="25">
        <f t="shared" si="4"/>
        <v>63</v>
      </c>
      <c r="F167" s="25"/>
      <c r="G167" s="25">
        <f t="shared" si="5"/>
        <v>63</v>
      </c>
      <c r="H167" s="80" t="s">
        <v>407</v>
      </c>
      <c r="I167" s="214" t="s">
        <v>408</v>
      </c>
      <c r="J167" s="216" t="s">
        <v>75</v>
      </c>
      <c r="K167" s="26" t="s">
        <v>76</v>
      </c>
      <c r="L167" s="22">
        <v>99083559</v>
      </c>
      <c r="M167" s="26"/>
    </row>
    <row r="168" spans="1:14" s="556" customFormat="1" x14ac:dyDescent="0.25">
      <c r="A168" s="550">
        <v>3720</v>
      </c>
      <c r="B168" s="551" t="s">
        <v>409</v>
      </c>
      <c r="C168" s="552"/>
      <c r="D168" s="498">
        <v>0.3</v>
      </c>
      <c r="E168" s="498">
        <f t="shared" si="4"/>
        <v>0</v>
      </c>
      <c r="F168" s="498"/>
      <c r="G168" s="498">
        <f t="shared" si="5"/>
        <v>0</v>
      </c>
      <c r="H168" s="588" t="s">
        <v>410</v>
      </c>
      <c r="I168" s="554" t="s">
        <v>411</v>
      </c>
      <c r="J168" s="555" t="s">
        <v>17</v>
      </c>
      <c r="K168" s="555" t="s">
        <v>18</v>
      </c>
      <c r="L168" s="550">
        <v>91731345</v>
      </c>
      <c r="M168" s="555"/>
    </row>
    <row r="169" spans="1:14" s="144" customFormat="1" x14ac:dyDescent="0.25">
      <c r="A169" s="54">
        <v>3722</v>
      </c>
      <c r="B169" s="55" t="s">
        <v>412</v>
      </c>
      <c r="C169" s="56">
        <v>210.8</v>
      </c>
      <c r="D169" s="57">
        <v>0.3</v>
      </c>
      <c r="E169" s="57">
        <f t="shared" si="4"/>
        <v>63.24</v>
      </c>
      <c r="F169" s="57">
        <f>2.79000000000001+57</f>
        <v>59.790000000000006</v>
      </c>
      <c r="G169" s="57">
        <f t="shared" si="5"/>
        <v>3.4499999999999957</v>
      </c>
      <c r="H169" s="506" t="s">
        <v>413</v>
      </c>
      <c r="I169" s="60" t="s">
        <v>414</v>
      </c>
      <c r="J169" s="488" t="s">
        <v>75</v>
      </c>
      <c r="K169" s="61" t="s">
        <v>76</v>
      </c>
      <c r="L169" s="54">
        <v>96912200</v>
      </c>
      <c r="M169" s="461">
        <v>45700</v>
      </c>
      <c r="N169" s="61" t="s">
        <v>972</v>
      </c>
    </row>
    <row r="170" spans="1:14" x14ac:dyDescent="0.25">
      <c r="A170" s="54">
        <v>3723</v>
      </c>
      <c r="B170" s="55" t="s">
        <v>415</v>
      </c>
      <c r="C170" s="56">
        <v>133.9</v>
      </c>
      <c r="D170" s="57">
        <v>0.3</v>
      </c>
      <c r="E170" s="57">
        <f t="shared" si="4"/>
        <v>40.17</v>
      </c>
      <c r="F170" s="57">
        <v>35.799999999999997</v>
      </c>
      <c r="G170" s="57">
        <f t="shared" si="5"/>
        <v>4.3700000000000045</v>
      </c>
      <c r="H170" s="54">
        <v>993752</v>
      </c>
      <c r="I170" s="69" t="s">
        <v>416</v>
      </c>
      <c r="J170" s="73" t="s">
        <v>25</v>
      </c>
      <c r="K170" s="69" t="s">
        <v>26</v>
      </c>
      <c r="L170" s="54">
        <v>99100344</v>
      </c>
      <c r="M170" s="61" t="s">
        <v>965</v>
      </c>
    </row>
    <row r="171" spans="1:14" x14ac:dyDescent="0.25">
      <c r="A171" s="22">
        <v>3725</v>
      </c>
      <c r="B171" s="33" t="s">
        <v>297</v>
      </c>
      <c r="C171" s="45">
        <v>350.2</v>
      </c>
      <c r="D171" s="25">
        <v>0.3</v>
      </c>
      <c r="E171" s="25">
        <f t="shared" si="4"/>
        <v>105.05999999999999</v>
      </c>
      <c r="F171" s="25">
        <v>103.36</v>
      </c>
      <c r="G171" s="25">
        <f t="shared" si="5"/>
        <v>1.6999999999999886</v>
      </c>
      <c r="H171" s="462">
        <v>1648248</v>
      </c>
      <c r="I171" s="509" t="s">
        <v>417</v>
      </c>
      <c r="J171" s="478" t="s">
        <v>25</v>
      </c>
      <c r="K171" s="507" t="s">
        <v>26</v>
      </c>
      <c r="L171" s="22">
        <v>99497550</v>
      </c>
      <c r="M171" s="61" t="s">
        <v>970</v>
      </c>
    </row>
    <row r="172" spans="1:14" x14ac:dyDescent="0.25">
      <c r="A172" s="22">
        <v>3727</v>
      </c>
      <c r="B172" s="33" t="s">
        <v>419</v>
      </c>
      <c r="C172" s="24">
        <v>125.6</v>
      </c>
      <c r="D172" s="25">
        <v>0.3</v>
      </c>
      <c r="E172" s="25">
        <f t="shared" si="4"/>
        <v>37.68</v>
      </c>
      <c r="F172" s="25"/>
      <c r="G172" s="25">
        <f t="shared" si="5"/>
        <v>37.68</v>
      </c>
      <c r="H172" s="80" t="s">
        <v>420</v>
      </c>
      <c r="I172" s="214" t="s">
        <v>421</v>
      </c>
      <c r="J172" s="473" t="s">
        <v>25</v>
      </c>
      <c r="K172" s="214" t="s">
        <v>26</v>
      </c>
      <c r="L172" s="22">
        <v>99679943</v>
      </c>
      <c r="M172" s="26"/>
    </row>
    <row r="173" spans="1:14" s="144" customFormat="1" x14ac:dyDescent="0.25">
      <c r="A173" s="54">
        <v>3728</v>
      </c>
      <c r="B173" s="55" t="s">
        <v>422</v>
      </c>
      <c r="C173" s="56">
        <v>93.1</v>
      </c>
      <c r="D173" s="57">
        <v>0.3</v>
      </c>
      <c r="E173" s="57">
        <f t="shared" si="4"/>
        <v>27.929999999999996</v>
      </c>
      <c r="F173" s="57">
        <v>26.536999999999999</v>
      </c>
      <c r="G173" s="57">
        <f t="shared" si="5"/>
        <v>1.3929999999999971</v>
      </c>
      <c r="H173" s="71">
        <v>25886784</v>
      </c>
      <c r="I173" s="514" t="s">
        <v>423</v>
      </c>
      <c r="J173" s="73" t="s">
        <v>25</v>
      </c>
      <c r="K173" s="69" t="s">
        <v>26</v>
      </c>
      <c r="L173" s="54">
        <v>99564153</v>
      </c>
      <c r="M173" s="144" t="s">
        <v>968</v>
      </c>
    </row>
    <row r="174" spans="1:14" s="144" customFormat="1" x14ac:dyDescent="0.25">
      <c r="A174" s="54">
        <v>3729</v>
      </c>
      <c r="B174" s="55" t="s">
        <v>424</v>
      </c>
      <c r="C174" s="527">
        <v>183.8</v>
      </c>
      <c r="D174" s="57">
        <v>0.3</v>
      </c>
      <c r="E174" s="57">
        <f t="shared" si="4"/>
        <v>55.14</v>
      </c>
      <c r="F174" s="57">
        <v>53.25</v>
      </c>
      <c r="G174" s="57">
        <f t="shared" si="5"/>
        <v>1.8900000000000006</v>
      </c>
      <c r="H174" s="506" t="s">
        <v>425</v>
      </c>
      <c r="I174" s="60" t="s">
        <v>426</v>
      </c>
      <c r="J174" s="73" t="s">
        <v>25</v>
      </c>
      <c r="K174" s="69" t="s">
        <v>26</v>
      </c>
      <c r="L174" s="54">
        <v>91288200</v>
      </c>
      <c r="M174" s="461">
        <v>45941</v>
      </c>
    </row>
    <row r="175" spans="1:14" x14ac:dyDescent="0.25">
      <c r="A175" s="22">
        <v>3730</v>
      </c>
      <c r="B175" s="33" t="s">
        <v>427</v>
      </c>
      <c r="C175" s="24">
        <v>289.5</v>
      </c>
      <c r="D175" s="25">
        <v>0.3</v>
      </c>
      <c r="E175" s="25">
        <f t="shared" si="4"/>
        <v>86.85</v>
      </c>
      <c r="F175" s="25"/>
      <c r="G175" s="25">
        <f t="shared" si="5"/>
        <v>86.85</v>
      </c>
      <c r="H175" s="80" t="s">
        <v>428</v>
      </c>
      <c r="I175" s="214" t="s">
        <v>429</v>
      </c>
      <c r="J175" s="473" t="s">
        <v>25</v>
      </c>
      <c r="K175" s="214" t="s">
        <v>26</v>
      </c>
      <c r="L175" s="22">
        <v>93504408</v>
      </c>
      <c r="M175" s="26"/>
    </row>
    <row r="176" spans="1:14" s="144" customFormat="1" x14ac:dyDescent="0.25">
      <c r="A176" s="54">
        <v>3731</v>
      </c>
      <c r="B176" s="55" t="s">
        <v>430</v>
      </c>
      <c r="C176" s="56">
        <v>409.6</v>
      </c>
      <c r="D176" s="57">
        <v>0.3</v>
      </c>
      <c r="E176" s="57">
        <f t="shared" si="4"/>
        <v>122.88</v>
      </c>
      <c r="F176" s="57">
        <v>120.17</v>
      </c>
      <c r="G176" s="57">
        <f t="shared" si="5"/>
        <v>2.7099999999999937</v>
      </c>
      <c r="H176" s="468">
        <v>4640285</v>
      </c>
      <c r="I176" s="60" t="s">
        <v>431</v>
      </c>
      <c r="J176" s="59" t="s">
        <v>25</v>
      </c>
      <c r="K176" s="60" t="s">
        <v>26</v>
      </c>
      <c r="L176" s="54">
        <v>99493301</v>
      </c>
      <c r="M176" s="61" t="s">
        <v>966</v>
      </c>
    </row>
    <row r="177" spans="1:17" s="556" customFormat="1" x14ac:dyDescent="0.25">
      <c r="A177" s="550">
        <v>3732</v>
      </c>
      <c r="B177" s="589" t="s">
        <v>791</v>
      </c>
      <c r="C177" s="552"/>
      <c r="D177" s="498">
        <v>0.3</v>
      </c>
      <c r="E177" s="498">
        <f t="shared" si="4"/>
        <v>0</v>
      </c>
      <c r="F177" s="498"/>
      <c r="G177" s="498">
        <f t="shared" si="5"/>
        <v>0</v>
      </c>
      <c r="H177" s="590">
        <v>194498</v>
      </c>
      <c r="I177" s="591" t="s">
        <v>841</v>
      </c>
      <c r="J177" s="592" t="s">
        <v>17</v>
      </c>
      <c r="K177" s="591" t="s">
        <v>18</v>
      </c>
      <c r="L177" s="550"/>
      <c r="M177" s="555"/>
    </row>
    <row r="178" spans="1:17" x14ac:dyDescent="0.25">
      <c r="A178" s="22">
        <v>3733</v>
      </c>
      <c r="B178" s="33" t="s">
        <v>432</v>
      </c>
      <c r="C178" s="24">
        <v>186</v>
      </c>
      <c r="D178" s="25">
        <v>0.3</v>
      </c>
      <c r="E178" s="25">
        <f t="shared" si="4"/>
        <v>55.8</v>
      </c>
      <c r="F178" s="25"/>
      <c r="G178" s="25">
        <f t="shared" si="5"/>
        <v>55.8</v>
      </c>
      <c r="H178" s="83">
        <v>23270163</v>
      </c>
      <c r="I178" s="214" t="s">
        <v>433</v>
      </c>
      <c r="J178" s="478" t="s">
        <v>25</v>
      </c>
      <c r="K178" s="507" t="s">
        <v>26</v>
      </c>
      <c r="L178" s="22">
        <v>92212553</v>
      </c>
      <c r="M178" s="53">
        <v>45558</v>
      </c>
    </row>
    <row r="179" spans="1:17" s="144" customFormat="1" x14ac:dyDescent="0.25">
      <c r="A179" s="54">
        <v>3734</v>
      </c>
      <c r="B179" s="55" t="s">
        <v>434</v>
      </c>
      <c r="C179" s="56">
        <v>240.4</v>
      </c>
      <c r="D179" s="57">
        <v>0.3</v>
      </c>
      <c r="E179" s="57">
        <f t="shared" si="4"/>
        <v>72.12</v>
      </c>
      <c r="F179" s="57">
        <f>69.35</f>
        <v>69.349999999999994</v>
      </c>
      <c r="G179" s="57">
        <f t="shared" si="5"/>
        <v>2.7700000000000102</v>
      </c>
      <c r="H179" s="84">
        <v>6680216</v>
      </c>
      <c r="I179" s="60" t="s">
        <v>435</v>
      </c>
      <c r="J179" s="61" t="s">
        <v>17</v>
      </c>
      <c r="K179" s="61" t="s">
        <v>18</v>
      </c>
      <c r="L179" s="54">
        <v>92333311</v>
      </c>
      <c r="M179" s="144" t="s">
        <v>968</v>
      </c>
    </row>
    <row r="180" spans="1:17" x14ac:dyDescent="0.25">
      <c r="A180" s="22">
        <v>3735</v>
      </c>
      <c r="B180" s="33" t="s">
        <v>436</v>
      </c>
      <c r="C180" s="24">
        <v>187.7</v>
      </c>
      <c r="D180" s="25">
        <v>0.3</v>
      </c>
      <c r="E180" s="25">
        <f t="shared" si="4"/>
        <v>56.309999999999995</v>
      </c>
      <c r="F180" s="25"/>
      <c r="G180" s="25">
        <f t="shared" si="5"/>
        <v>56.309999999999995</v>
      </c>
      <c r="H180" s="34">
        <v>19952467</v>
      </c>
      <c r="I180" s="214" t="s">
        <v>437</v>
      </c>
      <c r="J180" s="473" t="s">
        <v>25</v>
      </c>
      <c r="K180" s="214" t="s">
        <v>26</v>
      </c>
      <c r="L180" s="22">
        <v>91222276</v>
      </c>
      <c r="M180" s="26"/>
    </row>
    <row r="181" spans="1:17" x14ac:dyDescent="0.25">
      <c r="A181" s="22">
        <v>3739</v>
      </c>
      <c r="B181" s="44" t="s">
        <v>438</v>
      </c>
      <c r="C181" s="24">
        <v>122.5</v>
      </c>
      <c r="D181" s="25">
        <v>0.3</v>
      </c>
      <c r="E181" s="25">
        <f t="shared" si="4"/>
        <v>36.75</v>
      </c>
      <c r="F181" s="25"/>
      <c r="G181" s="25">
        <f t="shared" si="5"/>
        <v>36.75</v>
      </c>
      <c r="H181" s="469">
        <v>22187694</v>
      </c>
      <c r="I181" s="481" t="s">
        <v>439</v>
      </c>
      <c r="J181" s="484" t="s">
        <v>25</v>
      </c>
      <c r="K181" s="481" t="s">
        <v>26</v>
      </c>
      <c r="L181" s="465">
        <v>93000079</v>
      </c>
      <c r="M181" s="26"/>
    </row>
    <row r="182" spans="1:17" s="144" customFormat="1" x14ac:dyDescent="0.25">
      <c r="A182" s="54">
        <v>3740</v>
      </c>
      <c r="B182" s="55" t="s">
        <v>440</v>
      </c>
      <c r="C182" s="56">
        <v>390.4</v>
      </c>
      <c r="D182" s="57">
        <v>0.3</v>
      </c>
      <c r="E182" s="57">
        <f t="shared" si="4"/>
        <v>117.11999999999999</v>
      </c>
      <c r="F182" s="57">
        <v>113.26</v>
      </c>
      <c r="G182" s="57">
        <f t="shared" si="5"/>
        <v>3.8599999999999852</v>
      </c>
      <c r="H182" s="84">
        <v>25472616</v>
      </c>
      <c r="I182" s="60" t="s">
        <v>441</v>
      </c>
      <c r="J182" s="61" t="s">
        <v>17</v>
      </c>
      <c r="K182" s="61" t="s">
        <v>18</v>
      </c>
      <c r="L182" s="54">
        <v>93318821</v>
      </c>
      <c r="M182" s="61" t="s">
        <v>966</v>
      </c>
    </row>
    <row r="183" spans="1:17" x14ac:dyDescent="0.25">
      <c r="A183" s="22">
        <v>3742</v>
      </c>
      <c r="B183" s="33" t="s">
        <v>442</v>
      </c>
      <c r="C183" s="24">
        <v>24.4</v>
      </c>
      <c r="D183" s="25">
        <v>0.3</v>
      </c>
      <c r="E183" s="25">
        <f t="shared" si="4"/>
        <v>7.3199999999999994</v>
      </c>
      <c r="F183" s="25"/>
      <c r="G183" s="25">
        <f t="shared" si="5"/>
        <v>7.3199999999999994</v>
      </c>
      <c r="H183" s="83">
        <v>1930281</v>
      </c>
      <c r="I183" s="214" t="s">
        <v>443</v>
      </c>
      <c r="J183" s="214" t="s">
        <v>418</v>
      </c>
      <c r="K183" s="476" t="s">
        <v>258</v>
      </c>
      <c r="L183" s="22">
        <v>99330095</v>
      </c>
      <c r="M183" s="26"/>
    </row>
    <row r="184" spans="1:17" s="556" customFormat="1" x14ac:dyDescent="0.25">
      <c r="A184" s="550">
        <v>3743</v>
      </c>
      <c r="B184" s="551" t="s">
        <v>444</v>
      </c>
      <c r="C184" s="552"/>
      <c r="D184" s="498">
        <v>0.3</v>
      </c>
      <c r="E184" s="498">
        <f t="shared" si="4"/>
        <v>0</v>
      </c>
      <c r="F184" s="498"/>
      <c r="G184" s="498">
        <f t="shared" si="5"/>
        <v>0</v>
      </c>
      <c r="H184" s="553">
        <v>599336</v>
      </c>
      <c r="I184" s="554" t="s">
        <v>445</v>
      </c>
      <c r="J184" s="593" t="s">
        <v>25</v>
      </c>
      <c r="K184" s="554" t="s">
        <v>26</v>
      </c>
      <c r="L184" s="550">
        <v>99497544</v>
      </c>
      <c r="M184" s="555"/>
    </row>
    <row r="185" spans="1:17" s="144" customFormat="1" x14ac:dyDescent="0.25">
      <c r="A185" s="54">
        <v>3745</v>
      </c>
      <c r="B185" s="55" t="s">
        <v>446</v>
      </c>
      <c r="C185" s="56">
        <v>185.1</v>
      </c>
      <c r="D185" s="57">
        <v>0.3</v>
      </c>
      <c r="E185" s="57">
        <f t="shared" si="4"/>
        <v>55.529999999999994</v>
      </c>
      <c r="F185" s="57">
        <v>52.150000000000006</v>
      </c>
      <c r="G185" s="57">
        <f t="shared" si="5"/>
        <v>3.3799999999999883</v>
      </c>
      <c r="H185" s="84">
        <v>2199772</v>
      </c>
      <c r="I185" s="60" t="s">
        <v>447</v>
      </c>
      <c r="J185" s="59" t="s">
        <v>25</v>
      </c>
      <c r="K185" s="60" t="s">
        <v>26</v>
      </c>
      <c r="L185" s="54">
        <v>72556787</v>
      </c>
      <c r="M185" s="461">
        <v>46008</v>
      </c>
    </row>
    <row r="186" spans="1:17" x14ac:dyDescent="0.25">
      <c r="A186" s="22">
        <v>3746</v>
      </c>
      <c r="B186" s="33" t="s">
        <v>448</v>
      </c>
      <c r="C186" s="24">
        <v>236.4</v>
      </c>
      <c r="D186" s="25">
        <v>0.3</v>
      </c>
      <c r="E186" s="25">
        <f t="shared" si="4"/>
        <v>70.92</v>
      </c>
      <c r="F186" s="25"/>
      <c r="G186" s="25">
        <f t="shared" si="5"/>
        <v>70.92</v>
      </c>
      <c r="H186" s="34">
        <v>21973713</v>
      </c>
      <c r="I186" s="214" t="s">
        <v>449</v>
      </c>
      <c r="J186" s="473" t="s">
        <v>25</v>
      </c>
      <c r="K186" s="214" t="s">
        <v>26</v>
      </c>
      <c r="L186" s="22">
        <v>95710331</v>
      </c>
      <c r="M186" s="26"/>
    </row>
    <row r="187" spans="1:17" x14ac:dyDescent="0.25">
      <c r="A187" s="22">
        <v>3748</v>
      </c>
      <c r="B187" s="33" t="s">
        <v>450</v>
      </c>
      <c r="C187" s="24">
        <v>125.2</v>
      </c>
      <c r="D187" s="25">
        <v>0.3</v>
      </c>
      <c r="E187" s="25">
        <f t="shared" si="4"/>
        <v>37.56</v>
      </c>
      <c r="F187" s="25"/>
      <c r="G187" s="25">
        <f t="shared" si="5"/>
        <v>37.56</v>
      </c>
      <c r="H187" s="34">
        <v>18620918</v>
      </c>
      <c r="I187" s="214" t="s">
        <v>451</v>
      </c>
      <c r="J187" s="473" t="s">
        <v>25</v>
      </c>
      <c r="K187" s="214" t="s">
        <v>26</v>
      </c>
      <c r="L187" s="22">
        <v>91222276</v>
      </c>
      <c r="M187" s="26"/>
    </row>
    <row r="188" spans="1:17" s="144" customFormat="1" x14ac:dyDescent="0.25">
      <c r="A188" s="54">
        <v>3750</v>
      </c>
      <c r="B188" s="55" t="s">
        <v>452</v>
      </c>
      <c r="C188" s="56">
        <v>311.60000000000002</v>
      </c>
      <c r="D188" s="57">
        <v>0.3</v>
      </c>
      <c r="E188" s="57">
        <f t="shared" si="4"/>
        <v>93.48</v>
      </c>
      <c r="F188" s="57">
        <v>91.509999999999991</v>
      </c>
      <c r="G188" s="57">
        <f t="shared" si="5"/>
        <v>1.9700000000000131</v>
      </c>
      <c r="H188" s="84">
        <v>939641</v>
      </c>
      <c r="I188" s="60" t="s">
        <v>453</v>
      </c>
      <c r="J188" s="59" t="s">
        <v>25</v>
      </c>
      <c r="K188" s="60" t="s">
        <v>26</v>
      </c>
      <c r="L188" s="54">
        <v>99588609</v>
      </c>
      <c r="M188" s="461">
        <v>45973</v>
      </c>
    </row>
    <row r="189" spans="1:17" x14ac:dyDescent="0.25">
      <c r="A189" s="22">
        <v>3751</v>
      </c>
      <c r="B189" s="33" t="s">
        <v>454</v>
      </c>
      <c r="C189" s="24">
        <v>737.4</v>
      </c>
      <c r="D189" s="25">
        <v>0.3</v>
      </c>
      <c r="E189" s="25">
        <f t="shared" si="4"/>
        <v>221.22</v>
      </c>
      <c r="F189" s="25"/>
      <c r="G189" s="25">
        <f t="shared" si="5"/>
        <v>221.22</v>
      </c>
      <c r="H189" s="457">
        <v>2116627</v>
      </c>
      <c r="I189" s="474" t="s">
        <v>455</v>
      </c>
      <c r="J189" s="473" t="s">
        <v>25</v>
      </c>
      <c r="K189" s="474" t="s">
        <v>26</v>
      </c>
      <c r="L189" s="457">
        <v>99493880</v>
      </c>
      <c r="M189" s="26"/>
    </row>
    <row r="190" spans="1:17" s="144" customFormat="1" x14ac:dyDescent="0.25">
      <c r="A190" s="54">
        <v>3752</v>
      </c>
      <c r="B190" s="55" t="s">
        <v>456</v>
      </c>
      <c r="C190" s="56">
        <v>224.1</v>
      </c>
      <c r="D190" s="57">
        <v>0.3</v>
      </c>
      <c r="E190" s="57">
        <f t="shared" si="4"/>
        <v>67.22999999999999</v>
      </c>
      <c r="F190" s="57">
        <f>24.81+40.15</f>
        <v>64.959999999999994</v>
      </c>
      <c r="G190" s="57">
        <f t="shared" si="5"/>
        <v>2.269999999999996</v>
      </c>
      <c r="H190" s="84">
        <v>2789493</v>
      </c>
      <c r="I190" s="60" t="s">
        <v>457</v>
      </c>
      <c r="J190" s="59" t="s">
        <v>25</v>
      </c>
      <c r="K190" s="60" t="s">
        <v>26</v>
      </c>
      <c r="L190" s="54">
        <v>97884330</v>
      </c>
      <c r="M190" s="61" t="s">
        <v>923</v>
      </c>
      <c r="N190" s="530" t="s">
        <v>943</v>
      </c>
      <c r="O190" s="530"/>
      <c r="P190" s="530"/>
      <c r="Q190" s="61" t="s">
        <v>966</v>
      </c>
    </row>
    <row r="191" spans="1:17" x14ac:dyDescent="0.25">
      <c r="A191" s="22">
        <v>3753</v>
      </c>
      <c r="B191" s="33" t="s">
        <v>458</v>
      </c>
      <c r="C191" s="24">
        <v>187.6</v>
      </c>
      <c r="D191" s="25">
        <v>0.3</v>
      </c>
      <c r="E191" s="25">
        <f t="shared" si="4"/>
        <v>56.279999999999994</v>
      </c>
      <c r="F191" s="25"/>
      <c r="G191" s="25">
        <f t="shared" si="5"/>
        <v>56.279999999999994</v>
      </c>
      <c r="H191" s="34">
        <v>13938302</v>
      </c>
      <c r="I191" s="214" t="s">
        <v>459</v>
      </c>
      <c r="J191" s="26" t="s">
        <v>17</v>
      </c>
      <c r="K191" s="26" t="s">
        <v>18</v>
      </c>
      <c r="L191" s="22">
        <v>99054621</v>
      </c>
      <c r="M191" s="26"/>
    </row>
    <row r="192" spans="1:17" x14ac:dyDescent="0.25">
      <c r="A192" s="22">
        <v>3754</v>
      </c>
      <c r="B192" s="33" t="s">
        <v>460</v>
      </c>
      <c r="C192" s="24">
        <v>528.70000000000005</v>
      </c>
      <c r="D192" s="25">
        <v>0.3</v>
      </c>
      <c r="E192" s="25">
        <f t="shared" si="4"/>
        <v>158.61000000000001</v>
      </c>
      <c r="F192" s="25"/>
      <c r="G192" s="25">
        <f t="shared" si="5"/>
        <v>158.61000000000001</v>
      </c>
      <c r="H192" s="34">
        <v>443075</v>
      </c>
      <c r="I192" s="214" t="s">
        <v>461</v>
      </c>
      <c r="J192" s="26" t="s">
        <v>210</v>
      </c>
      <c r="K192" s="216" t="s">
        <v>211</v>
      </c>
      <c r="L192" s="22">
        <v>90937047</v>
      </c>
      <c r="M192" s="26"/>
    </row>
    <row r="193" spans="1:14" s="144" customFormat="1" x14ac:dyDescent="0.25">
      <c r="A193" s="54">
        <v>3755</v>
      </c>
      <c r="B193" s="55" t="s">
        <v>462</v>
      </c>
      <c r="C193" s="56">
        <v>392</v>
      </c>
      <c r="D193" s="57">
        <v>0.3</v>
      </c>
      <c r="E193" s="57">
        <f t="shared" si="4"/>
        <v>117.6</v>
      </c>
      <c r="F193" s="57">
        <v>112.67</v>
      </c>
      <c r="G193" s="57">
        <f t="shared" si="5"/>
        <v>4.9299999999999926</v>
      </c>
      <c r="H193" s="84">
        <v>15536654</v>
      </c>
      <c r="I193" s="60" t="s">
        <v>463</v>
      </c>
      <c r="J193" s="59" t="s">
        <v>25</v>
      </c>
      <c r="K193" s="60" t="s">
        <v>26</v>
      </c>
      <c r="L193" s="54">
        <v>92826690</v>
      </c>
      <c r="M193" s="61" t="s">
        <v>966</v>
      </c>
    </row>
    <row r="194" spans="1:14" x14ac:dyDescent="0.25">
      <c r="A194" s="22">
        <v>3756</v>
      </c>
      <c r="B194" s="33" t="s">
        <v>464</v>
      </c>
      <c r="C194" s="24">
        <v>173.6</v>
      </c>
      <c r="D194" s="25">
        <v>0.3</v>
      </c>
      <c r="E194" s="25">
        <f t="shared" si="4"/>
        <v>52.08</v>
      </c>
      <c r="F194" s="25"/>
      <c r="G194" s="25">
        <f t="shared" si="5"/>
        <v>52.08</v>
      </c>
      <c r="H194" s="34">
        <v>630458</v>
      </c>
      <c r="I194" s="214" t="s">
        <v>465</v>
      </c>
      <c r="J194" s="473" t="s">
        <v>25</v>
      </c>
      <c r="K194" s="214" t="s">
        <v>26</v>
      </c>
      <c r="L194" s="22"/>
      <c r="M194" s="26"/>
    </row>
    <row r="195" spans="1:14" s="144" customFormat="1" x14ac:dyDescent="0.25">
      <c r="A195" s="54">
        <v>3757</v>
      </c>
      <c r="B195" s="55" t="s">
        <v>466</v>
      </c>
      <c r="C195" s="56">
        <v>224.2</v>
      </c>
      <c r="D195" s="57">
        <v>0.3</v>
      </c>
      <c r="E195" s="57">
        <f t="shared" si="4"/>
        <v>67.259999999999991</v>
      </c>
      <c r="F195" s="57">
        <f>2.58999999999999+62.05</f>
        <v>64.639999999999986</v>
      </c>
      <c r="G195" s="57">
        <f t="shared" si="5"/>
        <v>2.6200000000000045</v>
      </c>
      <c r="H195" s="84">
        <v>729973</v>
      </c>
      <c r="I195" s="60" t="s">
        <v>467</v>
      </c>
      <c r="J195" s="60" t="s">
        <v>121</v>
      </c>
      <c r="K195" s="61" t="s">
        <v>122</v>
      </c>
      <c r="L195" s="54">
        <v>92283227</v>
      </c>
      <c r="M195" s="461">
        <v>45881</v>
      </c>
      <c r="N195" s="61" t="s">
        <v>972</v>
      </c>
    </row>
    <row r="196" spans="1:14" s="144" customFormat="1" x14ac:dyDescent="0.25">
      <c r="A196" s="54">
        <v>3758</v>
      </c>
      <c r="B196" s="55" t="s">
        <v>468</v>
      </c>
      <c r="C196" s="56">
        <v>225</v>
      </c>
      <c r="D196" s="57">
        <v>0.3</v>
      </c>
      <c r="E196" s="57">
        <f t="shared" ref="E196:E259" si="6">D196*C196</f>
        <v>67.5</v>
      </c>
      <c r="F196" s="57">
        <v>65.539999999999992</v>
      </c>
      <c r="G196" s="57">
        <f t="shared" si="5"/>
        <v>1.960000000000008</v>
      </c>
      <c r="H196" s="84">
        <v>18899068</v>
      </c>
      <c r="I196" s="60" t="s">
        <v>469</v>
      </c>
      <c r="J196" s="59" t="s">
        <v>25</v>
      </c>
      <c r="K196" s="60" t="s">
        <v>26</v>
      </c>
      <c r="L196" s="54">
        <v>92672061</v>
      </c>
      <c r="M196" s="61" t="s">
        <v>972</v>
      </c>
    </row>
    <row r="197" spans="1:14" s="144" customFormat="1" x14ac:dyDescent="0.25">
      <c r="A197" s="54">
        <v>3759</v>
      </c>
      <c r="B197" s="55" t="s">
        <v>774</v>
      </c>
      <c r="C197" s="56">
        <v>225</v>
      </c>
      <c r="D197" s="57">
        <v>0.3</v>
      </c>
      <c r="E197" s="57">
        <f t="shared" si="6"/>
        <v>67.5</v>
      </c>
      <c r="F197" s="57">
        <f>1.77999999999999+65.7</f>
        <v>67.47999999999999</v>
      </c>
      <c r="G197" s="57">
        <f t="shared" ref="G197:G260" si="7">E197-F197</f>
        <v>2.0000000000010232E-2</v>
      </c>
      <c r="H197" s="84">
        <v>5634282</v>
      </c>
      <c r="I197" s="60" t="s">
        <v>30</v>
      </c>
      <c r="J197" s="59" t="s">
        <v>25</v>
      </c>
      <c r="K197" s="60" t="s">
        <v>26</v>
      </c>
      <c r="L197" s="54">
        <v>99293745</v>
      </c>
      <c r="M197" s="461">
        <v>45881</v>
      </c>
      <c r="N197" s="61" t="s">
        <v>972</v>
      </c>
    </row>
    <row r="198" spans="1:14" s="144" customFormat="1" x14ac:dyDescent="0.25">
      <c r="A198" s="54">
        <v>3760</v>
      </c>
      <c r="B198" s="55" t="s">
        <v>470</v>
      </c>
      <c r="C198" s="56">
        <v>209</v>
      </c>
      <c r="D198" s="57">
        <v>0.3</v>
      </c>
      <c r="E198" s="57">
        <f t="shared" si="6"/>
        <v>62.699999999999996</v>
      </c>
      <c r="F198" s="57">
        <v>56.650000000000006</v>
      </c>
      <c r="G198" s="57">
        <f t="shared" si="7"/>
        <v>6.0499999999999901</v>
      </c>
      <c r="H198" s="84">
        <v>19531566</v>
      </c>
      <c r="I198" s="60" t="s">
        <v>471</v>
      </c>
      <c r="J198" s="61" t="s">
        <v>17</v>
      </c>
      <c r="K198" s="61" t="s">
        <v>18</v>
      </c>
      <c r="L198" s="54">
        <v>90988855</v>
      </c>
      <c r="M198" s="61" t="s">
        <v>970</v>
      </c>
    </row>
    <row r="199" spans="1:14" s="144" customFormat="1" x14ac:dyDescent="0.25">
      <c r="A199" s="54">
        <v>3762</v>
      </c>
      <c r="B199" s="55" t="s">
        <v>472</v>
      </c>
      <c r="C199" s="56">
        <v>177.8</v>
      </c>
      <c r="D199" s="57">
        <v>0.3</v>
      </c>
      <c r="E199" s="57">
        <f t="shared" si="6"/>
        <v>53.34</v>
      </c>
      <c r="F199" s="57">
        <f>0.0699999999999736+49.5</f>
        <v>49.569999999999972</v>
      </c>
      <c r="G199" s="57">
        <f t="shared" si="7"/>
        <v>3.7700000000000315</v>
      </c>
      <c r="H199" s="84">
        <v>15664101</v>
      </c>
      <c r="I199" s="60" t="s">
        <v>473</v>
      </c>
      <c r="J199" s="59" t="s">
        <v>25</v>
      </c>
      <c r="K199" s="60" t="s">
        <v>26</v>
      </c>
      <c r="L199" s="54"/>
      <c r="M199" s="61" t="s">
        <v>954</v>
      </c>
      <c r="N199" s="61" t="s">
        <v>973</v>
      </c>
    </row>
    <row r="200" spans="1:14" x14ac:dyDescent="0.25">
      <c r="A200" s="22">
        <v>3764</v>
      </c>
      <c r="B200" s="33" t="s">
        <v>474</v>
      </c>
      <c r="C200" s="24">
        <v>537.1</v>
      </c>
      <c r="D200" s="25">
        <v>0.3</v>
      </c>
      <c r="E200" s="25">
        <f t="shared" si="6"/>
        <v>161.13</v>
      </c>
      <c r="F200" s="25"/>
      <c r="G200" s="25">
        <f t="shared" si="7"/>
        <v>161.13</v>
      </c>
      <c r="H200" s="34">
        <v>1996843</v>
      </c>
      <c r="I200" s="214" t="s">
        <v>475</v>
      </c>
      <c r="J200" s="473" t="s">
        <v>25</v>
      </c>
      <c r="K200" s="214" t="s">
        <v>26</v>
      </c>
      <c r="L200" s="22">
        <v>91918493</v>
      </c>
      <c r="M200" s="26"/>
    </row>
    <row r="201" spans="1:14" x14ac:dyDescent="0.25">
      <c r="A201" s="22">
        <v>3765</v>
      </c>
      <c r="B201" s="33" t="s">
        <v>31</v>
      </c>
      <c r="C201" s="24">
        <v>514.6</v>
      </c>
      <c r="D201" s="25">
        <v>0.3</v>
      </c>
      <c r="E201" s="25">
        <f t="shared" si="6"/>
        <v>154.38</v>
      </c>
      <c r="F201" s="25"/>
      <c r="G201" s="25">
        <f t="shared" si="7"/>
        <v>154.38</v>
      </c>
      <c r="H201" s="34">
        <v>19752023</v>
      </c>
      <c r="I201" s="214" t="s">
        <v>32</v>
      </c>
      <c r="J201" s="473" t="s">
        <v>25</v>
      </c>
      <c r="K201" s="214" t="s">
        <v>26</v>
      </c>
      <c r="L201" s="22">
        <v>99499894</v>
      </c>
      <c r="M201" s="26"/>
    </row>
    <row r="202" spans="1:14" x14ac:dyDescent="0.25">
      <c r="A202" s="54">
        <v>3766</v>
      </c>
      <c r="B202" s="55" t="s">
        <v>476</v>
      </c>
      <c r="C202" s="56">
        <v>200.1</v>
      </c>
      <c r="D202" s="57">
        <v>0.3</v>
      </c>
      <c r="E202" s="57">
        <f t="shared" si="6"/>
        <v>60.029999999999994</v>
      </c>
      <c r="F202" s="57">
        <v>56.120000000000005</v>
      </c>
      <c r="G202" s="57">
        <f t="shared" si="7"/>
        <v>3.9099999999999895</v>
      </c>
      <c r="H202" s="84">
        <v>5729117</v>
      </c>
      <c r="I202" s="60" t="s">
        <v>477</v>
      </c>
      <c r="J202" s="61" t="s">
        <v>17</v>
      </c>
      <c r="K202" s="61" t="s">
        <v>18</v>
      </c>
      <c r="L202" s="54">
        <v>97297211</v>
      </c>
      <c r="M202" s="61" t="s">
        <v>970</v>
      </c>
    </row>
    <row r="203" spans="1:14" x14ac:dyDescent="0.25">
      <c r="A203" s="22">
        <v>3767</v>
      </c>
      <c r="B203" s="33" t="s">
        <v>478</v>
      </c>
      <c r="C203" s="24">
        <v>802.5</v>
      </c>
      <c r="D203" s="25">
        <v>0.3</v>
      </c>
      <c r="E203" s="25">
        <f t="shared" si="6"/>
        <v>240.75</v>
      </c>
      <c r="F203" s="25"/>
      <c r="G203" s="25">
        <f t="shared" si="7"/>
        <v>240.75</v>
      </c>
      <c r="H203" s="34">
        <v>971428</v>
      </c>
      <c r="I203" s="214" t="s">
        <v>479</v>
      </c>
      <c r="J203" s="473" t="s">
        <v>25</v>
      </c>
      <c r="K203" s="214" t="s">
        <v>26</v>
      </c>
      <c r="L203" s="22">
        <v>92214819</v>
      </c>
      <c r="M203" s="26"/>
    </row>
    <row r="204" spans="1:14" s="144" customFormat="1" x14ac:dyDescent="0.25">
      <c r="A204" s="54">
        <v>3768</v>
      </c>
      <c r="B204" s="55" t="s">
        <v>480</v>
      </c>
      <c r="C204" s="56">
        <v>190.1</v>
      </c>
      <c r="D204" s="57">
        <v>0.3</v>
      </c>
      <c r="E204" s="57">
        <f t="shared" si="6"/>
        <v>57.029999999999994</v>
      </c>
      <c r="F204" s="57">
        <v>0.44000000000000722</v>
      </c>
      <c r="G204" s="57">
        <f t="shared" si="7"/>
        <v>56.589999999999989</v>
      </c>
      <c r="H204" s="84">
        <v>21349024</v>
      </c>
      <c r="I204" s="60" t="s">
        <v>481</v>
      </c>
      <c r="J204" s="59" t="s">
        <v>25</v>
      </c>
      <c r="K204" s="60" t="s">
        <v>26</v>
      </c>
      <c r="L204" s="54">
        <v>71536935</v>
      </c>
      <c r="M204" s="461">
        <v>45941</v>
      </c>
    </row>
    <row r="205" spans="1:14" s="144" customFormat="1" x14ac:dyDescent="0.25">
      <c r="A205" s="54">
        <v>3769</v>
      </c>
      <c r="B205" s="55" t="s">
        <v>482</v>
      </c>
      <c r="C205" s="56">
        <v>147.19999999999999</v>
      </c>
      <c r="D205" s="57">
        <v>0.3</v>
      </c>
      <c r="E205" s="57">
        <f t="shared" si="6"/>
        <v>44.16</v>
      </c>
      <c r="F205" s="57">
        <v>40.67</v>
      </c>
      <c r="G205" s="57">
        <f t="shared" si="7"/>
        <v>3.4899999999999949</v>
      </c>
      <c r="H205" s="84">
        <v>24915633</v>
      </c>
      <c r="I205" s="60" t="s">
        <v>483</v>
      </c>
      <c r="J205" s="61" t="s">
        <v>43</v>
      </c>
      <c r="K205" s="60" t="s">
        <v>44</v>
      </c>
      <c r="L205" s="54">
        <v>99605319</v>
      </c>
      <c r="M205" s="61" t="s">
        <v>966</v>
      </c>
    </row>
    <row r="206" spans="1:14" s="144" customFormat="1" x14ac:dyDescent="0.25">
      <c r="A206" s="54">
        <v>3770</v>
      </c>
      <c r="B206" s="55" t="s">
        <v>33</v>
      </c>
      <c r="C206" s="56">
        <v>154</v>
      </c>
      <c r="D206" s="57">
        <v>0.3</v>
      </c>
      <c r="E206" s="57">
        <f t="shared" si="6"/>
        <v>46.199999999999996</v>
      </c>
      <c r="F206" s="57">
        <v>41.67</v>
      </c>
      <c r="G206" s="57">
        <f t="shared" si="7"/>
        <v>4.529999999999994</v>
      </c>
      <c r="H206" s="84">
        <v>7198036</v>
      </c>
      <c r="I206" s="60" t="s">
        <v>34</v>
      </c>
      <c r="J206" s="59" t="s">
        <v>25</v>
      </c>
      <c r="K206" s="60" t="s">
        <v>26</v>
      </c>
      <c r="L206" s="54">
        <v>92321799</v>
      </c>
      <c r="M206" s="461">
        <v>46008</v>
      </c>
    </row>
    <row r="207" spans="1:14" s="144" customFormat="1" x14ac:dyDescent="0.25">
      <c r="A207" s="54">
        <v>3771</v>
      </c>
      <c r="B207" s="55" t="s">
        <v>484</v>
      </c>
      <c r="C207" s="56">
        <v>420</v>
      </c>
      <c r="D207" s="57">
        <v>0.3</v>
      </c>
      <c r="E207" s="57">
        <f t="shared" si="6"/>
        <v>126</v>
      </c>
      <c r="F207" s="57">
        <v>125.81</v>
      </c>
      <c r="G207" s="57">
        <f t="shared" si="7"/>
        <v>0.18999999999999773</v>
      </c>
      <c r="H207" s="84">
        <v>1977962</v>
      </c>
      <c r="I207" s="60" t="s">
        <v>485</v>
      </c>
      <c r="J207" s="59" t="s">
        <v>25</v>
      </c>
      <c r="K207" s="60" t="s">
        <v>26</v>
      </c>
      <c r="L207" s="54">
        <v>99488815</v>
      </c>
      <c r="M207" s="144" t="s">
        <v>968</v>
      </c>
    </row>
    <row r="208" spans="1:14" x14ac:dyDescent="0.25">
      <c r="A208" s="22">
        <v>3772</v>
      </c>
      <c r="B208" s="33" t="s">
        <v>486</v>
      </c>
      <c r="C208" s="24">
        <v>204.8</v>
      </c>
      <c r="D208" s="25">
        <v>0.3</v>
      </c>
      <c r="E208" s="25">
        <f t="shared" si="6"/>
        <v>61.44</v>
      </c>
      <c r="F208" s="25"/>
      <c r="G208" s="25">
        <f t="shared" si="7"/>
        <v>61.44</v>
      </c>
      <c r="H208" s="34">
        <v>6419804</v>
      </c>
      <c r="I208" s="214" t="s">
        <v>487</v>
      </c>
      <c r="J208" s="473" t="s">
        <v>25</v>
      </c>
      <c r="K208" s="474" t="s">
        <v>26</v>
      </c>
      <c r="L208" s="22"/>
      <c r="M208" s="26"/>
    </row>
    <row r="209" spans="1:17" x14ac:dyDescent="0.25">
      <c r="A209" s="22">
        <v>3773</v>
      </c>
      <c r="B209" s="33" t="s">
        <v>488</v>
      </c>
      <c r="C209" s="24">
        <v>169.2</v>
      </c>
      <c r="D209" s="25">
        <v>0.3</v>
      </c>
      <c r="E209" s="25">
        <f t="shared" si="6"/>
        <v>50.76</v>
      </c>
      <c r="F209" s="25"/>
      <c r="G209" s="25">
        <f t="shared" si="7"/>
        <v>50.76</v>
      </c>
      <c r="H209" s="34">
        <v>2023936</v>
      </c>
      <c r="I209" s="214" t="s">
        <v>489</v>
      </c>
      <c r="J209" s="473" t="s">
        <v>210</v>
      </c>
      <c r="K209" s="474" t="s">
        <v>211</v>
      </c>
      <c r="L209" s="22"/>
      <c r="M209" s="26"/>
    </row>
    <row r="210" spans="1:17" s="556" customFormat="1" x14ac:dyDescent="0.25">
      <c r="A210" s="550">
        <v>3774</v>
      </c>
      <c r="B210" s="551" t="s">
        <v>490</v>
      </c>
      <c r="C210" s="552"/>
      <c r="D210" s="498">
        <v>0.3</v>
      </c>
      <c r="E210" s="498">
        <f t="shared" si="6"/>
        <v>0</v>
      </c>
      <c r="F210" s="498"/>
      <c r="G210" s="498">
        <f t="shared" si="7"/>
        <v>0</v>
      </c>
      <c r="H210" s="553">
        <v>889849</v>
      </c>
      <c r="I210" s="554" t="s">
        <v>491</v>
      </c>
      <c r="J210" s="555" t="s">
        <v>17</v>
      </c>
      <c r="K210" s="555" t="s">
        <v>18</v>
      </c>
      <c r="L210" s="550">
        <v>93011211</v>
      </c>
      <c r="M210" s="555"/>
    </row>
    <row r="211" spans="1:17" s="144" customFormat="1" x14ac:dyDescent="0.25">
      <c r="A211" s="54">
        <v>3775</v>
      </c>
      <c r="B211" s="55" t="s">
        <v>492</v>
      </c>
      <c r="C211" s="56">
        <v>147.19999999999999</v>
      </c>
      <c r="D211" s="57">
        <v>0.3</v>
      </c>
      <c r="E211" s="57">
        <f t="shared" si="6"/>
        <v>44.16</v>
      </c>
      <c r="F211" s="57">
        <f>E211</f>
        <v>44.16</v>
      </c>
      <c r="G211" s="57">
        <f t="shared" si="7"/>
        <v>0</v>
      </c>
      <c r="H211" s="84">
        <v>7198074</v>
      </c>
      <c r="I211" s="60" t="s">
        <v>493</v>
      </c>
      <c r="J211" s="61" t="s">
        <v>210</v>
      </c>
      <c r="K211" s="58" t="s">
        <v>211</v>
      </c>
      <c r="L211" s="54">
        <v>98182322</v>
      </c>
      <c r="M211" s="461">
        <v>46008</v>
      </c>
    </row>
    <row r="212" spans="1:17" x14ac:dyDescent="0.25">
      <c r="A212" s="22">
        <v>3776</v>
      </c>
      <c r="B212" s="33" t="s">
        <v>494</v>
      </c>
      <c r="C212" s="24">
        <v>192.7</v>
      </c>
      <c r="D212" s="25">
        <v>0.3</v>
      </c>
      <c r="E212" s="25">
        <f t="shared" si="6"/>
        <v>57.809999999999995</v>
      </c>
      <c r="F212" s="25"/>
      <c r="G212" s="25">
        <f t="shared" si="7"/>
        <v>57.809999999999995</v>
      </c>
      <c r="H212" s="34">
        <v>5530783</v>
      </c>
      <c r="I212" s="214" t="s">
        <v>495</v>
      </c>
      <c r="J212" s="473" t="s">
        <v>25</v>
      </c>
      <c r="K212" s="214" t="s">
        <v>26</v>
      </c>
      <c r="L212" s="22">
        <v>97170030</v>
      </c>
      <c r="M212" s="26"/>
    </row>
    <row r="213" spans="1:17" x14ac:dyDescent="0.25">
      <c r="A213" s="22">
        <v>3777</v>
      </c>
      <c r="B213" s="33" t="s">
        <v>496</v>
      </c>
      <c r="C213" s="24">
        <v>500.9</v>
      </c>
      <c r="D213" s="25">
        <v>0.3</v>
      </c>
      <c r="E213" s="25">
        <f t="shared" si="6"/>
        <v>150.26999999999998</v>
      </c>
      <c r="F213" s="25"/>
      <c r="G213" s="25">
        <f t="shared" si="7"/>
        <v>150.26999999999998</v>
      </c>
      <c r="H213" s="34">
        <v>6538875</v>
      </c>
      <c r="I213" s="214" t="s">
        <v>497</v>
      </c>
      <c r="J213" s="473" t="s">
        <v>25</v>
      </c>
      <c r="K213" s="214" t="s">
        <v>26</v>
      </c>
      <c r="L213" s="22">
        <v>91750033</v>
      </c>
      <c r="M213" s="26"/>
    </row>
    <row r="214" spans="1:17" s="144" customFormat="1" x14ac:dyDescent="0.25">
      <c r="A214" s="54">
        <v>3778</v>
      </c>
      <c r="B214" s="55" t="s">
        <v>498</v>
      </c>
      <c r="C214" s="56">
        <v>278.7</v>
      </c>
      <c r="D214" s="57">
        <v>0.3</v>
      </c>
      <c r="E214" s="57">
        <f t="shared" si="6"/>
        <v>83.61</v>
      </c>
      <c r="F214" s="57">
        <f>82.09</f>
        <v>82.09</v>
      </c>
      <c r="G214" s="57">
        <f t="shared" si="7"/>
        <v>1.519999999999996</v>
      </c>
      <c r="H214" s="84">
        <v>1481822</v>
      </c>
      <c r="I214" s="60" t="s">
        <v>499</v>
      </c>
      <c r="J214" s="61" t="s">
        <v>17</v>
      </c>
      <c r="K214" s="61" t="s">
        <v>18</v>
      </c>
      <c r="L214" s="54">
        <v>92951944</v>
      </c>
      <c r="M214" s="61" t="s">
        <v>966</v>
      </c>
    </row>
    <row r="215" spans="1:17" s="144" customFormat="1" x14ac:dyDescent="0.25">
      <c r="A215" s="54">
        <v>3782</v>
      </c>
      <c r="B215" s="55" t="s">
        <v>505</v>
      </c>
      <c r="C215" s="56">
        <v>353</v>
      </c>
      <c r="D215" s="57">
        <v>0.3</v>
      </c>
      <c r="E215" s="57">
        <f t="shared" si="6"/>
        <v>105.89999999999999</v>
      </c>
      <c r="F215" s="57">
        <v>104.83</v>
      </c>
      <c r="G215" s="57">
        <f t="shared" si="7"/>
        <v>1.0699999999999932</v>
      </c>
      <c r="H215" s="84">
        <v>8467003</v>
      </c>
      <c r="I215" s="60" t="s">
        <v>506</v>
      </c>
      <c r="J215" s="59" t="s">
        <v>17</v>
      </c>
      <c r="K215" s="60" t="s">
        <v>18</v>
      </c>
      <c r="L215" s="54">
        <v>96138831</v>
      </c>
      <c r="M215" s="61" t="s">
        <v>966</v>
      </c>
    </row>
    <row r="216" spans="1:17" x14ac:dyDescent="0.25">
      <c r="A216" s="22">
        <v>3783</v>
      </c>
      <c r="B216" s="33" t="s">
        <v>507</v>
      </c>
      <c r="C216" s="24">
        <v>204.6</v>
      </c>
      <c r="D216" s="25">
        <v>0.3</v>
      </c>
      <c r="E216" s="25">
        <f t="shared" si="6"/>
        <v>61.379999999999995</v>
      </c>
      <c r="F216" s="25"/>
      <c r="G216" s="25">
        <f t="shared" si="7"/>
        <v>61.379999999999995</v>
      </c>
      <c r="H216" s="34">
        <v>25019867</v>
      </c>
      <c r="I216" s="214" t="s">
        <v>508</v>
      </c>
      <c r="J216" s="26" t="s">
        <v>17</v>
      </c>
      <c r="K216" s="26" t="s">
        <v>18</v>
      </c>
      <c r="L216" s="22">
        <v>97264292</v>
      </c>
      <c r="M216" s="26"/>
    </row>
    <row r="217" spans="1:17" s="144" customFormat="1" x14ac:dyDescent="0.25">
      <c r="A217" s="54">
        <v>3784</v>
      </c>
      <c r="B217" s="55" t="s">
        <v>509</v>
      </c>
      <c r="C217" s="56">
        <v>399</v>
      </c>
      <c r="D217" s="57">
        <v>0.3</v>
      </c>
      <c r="E217" s="57">
        <f t="shared" si="6"/>
        <v>119.69999999999999</v>
      </c>
      <c r="F217" s="57">
        <v>117.59</v>
      </c>
      <c r="G217" s="57">
        <f t="shared" si="7"/>
        <v>2.1099999999999852</v>
      </c>
      <c r="H217" s="84">
        <v>19870884</v>
      </c>
      <c r="I217" s="60" t="s">
        <v>510</v>
      </c>
      <c r="J217" s="59" t="s">
        <v>25</v>
      </c>
      <c r="K217" s="60" t="s">
        <v>26</v>
      </c>
      <c r="L217" s="54">
        <v>94847877</v>
      </c>
      <c r="M217" s="61" t="s">
        <v>973</v>
      </c>
    </row>
    <row r="218" spans="1:17" s="144" customFormat="1" x14ac:dyDescent="0.25">
      <c r="A218" s="54">
        <v>3786</v>
      </c>
      <c r="B218" s="55" t="s">
        <v>511</v>
      </c>
      <c r="C218" s="56">
        <v>291.7</v>
      </c>
      <c r="D218" s="57">
        <v>0.3</v>
      </c>
      <c r="E218" s="57">
        <f t="shared" si="6"/>
        <v>87.509999999999991</v>
      </c>
      <c r="F218" s="57">
        <f>22.78</f>
        <v>22.78</v>
      </c>
      <c r="G218" s="57">
        <f t="shared" si="7"/>
        <v>64.72999999999999</v>
      </c>
      <c r="H218" s="84">
        <v>941209</v>
      </c>
      <c r="I218" s="60" t="s">
        <v>512</v>
      </c>
      <c r="J218" s="61" t="s">
        <v>290</v>
      </c>
      <c r="K218" s="60" t="s">
        <v>291</v>
      </c>
      <c r="L218" s="54">
        <v>92975256</v>
      </c>
      <c r="M218" s="61" t="s">
        <v>928</v>
      </c>
      <c r="N218" s="144" t="s">
        <v>944</v>
      </c>
      <c r="Q218" s="503">
        <v>45759</v>
      </c>
    </row>
    <row r="219" spans="1:17" s="144" customFormat="1" x14ac:dyDescent="0.25">
      <c r="A219" s="54">
        <v>3787</v>
      </c>
      <c r="B219" s="55" t="s">
        <v>513</v>
      </c>
      <c r="C219" s="56">
        <v>433.7</v>
      </c>
      <c r="D219" s="57">
        <v>0.3</v>
      </c>
      <c r="E219" s="57">
        <f t="shared" si="6"/>
        <v>130.10999999999999</v>
      </c>
      <c r="F219" s="57">
        <v>129.54000000000002</v>
      </c>
      <c r="G219" s="57">
        <f t="shared" si="7"/>
        <v>0.56999999999996476</v>
      </c>
      <c r="H219" s="84">
        <v>813786</v>
      </c>
      <c r="I219" s="60" t="s">
        <v>514</v>
      </c>
      <c r="J219" s="59" t="s">
        <v>25</v>
      </c>
      <c r="K219" s="60" t="s">
        <v>26</v>
      </c>
      <c r="L219" s="54">
        <v>99293129</v>
      </c>
      <c r="M219" s="461">
        <v>46002</v>
      </c>
    </row>
    <row r="220" spans="1:17" x14ac:dyDescent="0.25">
      <c r="A220" s="22">
        <v>3789</v>
      </c>
      <c r="B220" s="33" t="s">
        <v>515</v>
      </c>
      <c r="C220" s="24">
        <v>111.3</v>
      </c>
      <c r="D220" s="25">
        <v>0.3</v>
      </c>
      <c r="E220" s="25">
        <f t="shared" si="6"/>
        <v>33.39</v>
      </c>
      <c r="F220" s="25"/>
      <c r="G220" s="25">
        <f t="shared" si="7"/>
        <v>33.39</v>
      </c>
      <c r="H220" s="34">
        <v>22338686</v>
      </c>
      <c r="I220" s="214" t="s">
        <v>516</v>
      </c>
      <c r="J220" s="473" t="s">
        <v>25</v>
      </c>
      <c r="K220" s="214" t="s">
        <v>26</v>
      </c>
      <c r="L220" s="22">
        <v>92552232</v>
      </c>
      <c r="M220" s="26"/>
    </row>
    <row r="221" spans="1:17" s="144" customFormat="1" x14ac:dyDescent="0.25">
      <c r="A221" s="54">
        <v>3791</v>
      </c>
      <c r="B221" s="55" t="s">
        <v>517</v>
      </c>
      <c r="C221" s="56">
        <v>161.1</v>
      </c>
      <c r="D221" s="57">
        <v>0.3</v>
      </c>
      <c r="E221" s="57">
        <f t="shared" si="6"/>
        <v>48.33</v>
      </c>
      <c r="F221" s="57">
        <v>48.28</v>
      </c>
      <c r="G221" s="57">
        <f t="shared" si="7"/>
        <v>4.9999999999997158E-2</v>
      </c>
      <c r="H221" s="84">
        <v>20365611</v>
      </c>
      <c r="I221" s="60" t="s">
        <v>518</v>
      </c>
      <c r="J221" s="59" t="s">
        <v>25</v>
      </c>
      <c r="K221" s="60" t="s">
        <v>26</v>
      </c>
      <c r="L221" s="54">
        <v>9257761</v>
      </c>
      <c r="M221" s="61" t="s">
        <v>972</v>
      </c>
    </row>
    <row r="222" spans="1:17" s="144" customFormat="1" x14ac:dyDescent="0.25">
      <c r="A222" s="54">
        <v>3792</v>
      </c>
      <c r="B222" s="521" t="s">
        <v>519</v>
      </c>
      <c r="C222" s="56">
        <v>177</v>
      </c>
      <c r="D222" s="57">
        <v>0.3</v>
      </c>
      <c r="E222" s="57">
        <f t="shared" si="6"/>
        <v>53.1</v>
      </c>
      <c r="F222" s="57">
        <v>52.3</v>
      </c>
      <c r="G222" s="57">
        <f t="shared" si="7"/>
        <v>0.80000000000000426</v>
      </c>
      <c r="H222" s="531">
        <v>23169608</v>
      </c>
      <c r="I222" s="523" t="s">
        <v>520</v>
      </c>
      <c r="J222" s="521" t="s">
        <v>290</v>
      </c>
      <c r="K222" s="523" t="s">
        <v>291</v>
      </c>
      <c r="L222" s="522">
        <v>93380506</v>
      </c>
      <c r="M222" s="61" t="s">
        <v>972</v>
      </c>
    </row>
    <row r="223" spans="1:17" s="79" customFormat="1" x14ac:dyDescent="0.25">
      <c r="A223" s="22">
        <v>3793</v>
      </c>
      <c r="B223" s="23" t="s">
        <v>521</v>
      </c>
      <c r="C223" s="24">
        <v>548.70000000000005</v>
      </c>
      <c r="D223" s="25">
        <v>0.3</v>
      </c>
      <c r="E223" s="25">
        <f t="shared" si="6"/>
        <v>164.61</v>
      </c>
      <c r="F223" s="25"/>
      <c r="G223" s="25">
        <f t="shared" si="7"/>
        <v>164.61</v>
      </c>
      <c r="H223" s="34">
        <v>1283875</v>
      </c>
      <c r="I223" s="214" t="s">
        <v>522</v>
      </c>
      <c r="J223" s="26" t="s">
        <v>43</v>
      </c>
      <c r="K223" s="214" t="s">
        <v>44</v>
      </c>
      <c r="L223" s="22">
        <v>92348115</v>
      </c>
      <c r="M223" s="26"/>
    </row>
    <row r="224" spans="1:17" s="144" customFormat="1" x14ac:dyDescent="0.25">
      <c r="A224" s="54">
        <v>3794</v>
      </c>
      <c r="B224" s="55" t="s">
        <v>523</v>
      </c>
      <c r="C224" s="56">
        <v>510.4</v>
      </c>
      <c r="D224" s="57">
        <v>0.3</v>
      </c>
      <c r="E224" s="57">
        <f t="shared" si="6"/>
        <v>153.11999999999998</v>
      </c>
      <c r="F224" s="57">
        <f>1.91999999999999+147.25</f>
        <v>149.16999999999999</v>
      </c>
      <c r="G224" s="57">
        <f t="shared" si="7"/>
        <v>3.9499999999999886</v>
      </c>
      <c r="H224" s="84">
        <v>8222931</v>
      </c>
      <c r="I224" s="60" t="s">
        <v>524</v>
      </c>
      <c r="J224" s="59" t="s">
        <v>25</v>
      </c>
      <c r="K224" s="60" t="s">
        <v>26</v>
      </c>
      <c r="L224" s="54">
        <v>93377666</v>
      </c>
      <c r="M224" s="461">
        <v>45941</v>
      </c>
      <c r="N224" s="144" t="s">
        <v>968</v>
      </c>
    </row>
    <row r="225" spans="1:14" x14ac:dyDescent="0.25">
      <c r="A225" s="22">
        <v>3795</v>
      </c>
      <c r="B225" s="33" t="s">
        <v>525</v>
      </c>
      <c r="C225" s="24">
        <v>224</v>
      </c>
      <c r="D225" s="25">
        <v>0.3</v>
      </c>
      <c r="E225" s="25">
        <f t="shared" si="6"/>
        <v>67.2</v>
      </c>
      <c r="F225" s="25"/>
      <c r="G225" s="25">
        <f t="shared" si="7"/>
        <v>67.2</v>
      </c>
      <c r="H225" s="34">
        <v>2331658</v>
      </c>
      <c r="I225" s="214" t="s">
        <v>526</v>
      </c>
      <c r="J225" s="26" t="s">
        <v>17</v>
      </c>
      <c r="K225" s="26" t="s">
        <v>18</v>
      </c>
      <c r="L225" s="22">
        <v>91790440</v>
      </c>
      <c r="M225" s="26"/>
    </row>
    <row r="226" spans="1:14" x14ac:dyDescent="0.25">
      <c r="A226" s="22">
        <v>3796</v>
      </c>
      <c r="B226" s="33" t="s">
        <v>527</v>
      </c>
      <c r="C226" s="24">
        <v>84</v>
      </c>
      <c r="D226" s="25">
        <v>0.3</v>
      </c>
      <c r="E226" s="25">
        <f t="shared" si="6"/>
        <v>25.2</v>
      </c>
      <c r="F226" s="25"/>
      <c r="G226" s="25">
        <f t="shared" si="7"/>
        <v>25.2</v>
      </c>
      <c r="H226" s="34">
        <v>6455206</v>
      </c>
      <c r="I226" s="214" t="s">
        <v>528</v>
      </c>
      <c r="J226" s="473" t="s">
        <v>25</v>
      </c>
      <c r="K226" s="474" t="s">
        <v>26</v>
      </c>
      <c r="L226" s="22">
        <v>97312444</v>
      </c>
      <c r="M226" s="26"/>
    </row>
    <row r="227" spans="1:14" x14ac:dyDescent="0.25">
      <c r="A227" s="22">
        <v>3798</v>
      </c>
      <c r="B227" s="33" t="s">
        <v>529</v>
      </c>
      <c r="C227" s="24">
        <v>129.30000000000001</v>
      </c>
      <c r="D227" s="25">
        <v>0.3</v>
      </c>
      <c r="E227" s="25">
        <f t="shared" si="6"/>
        <v>38.79</v>
      </c>
      <c r="F227" s="25"/>
      <c r="G227" s="25">
        <f t="shared" si="7"/>
        <v>38.79</v>
      </c>
      <c r="H227" s="34">
        <v>6048954</v>
      </c>
      <c r="I227" s="214" t="s">
        <v>530</v>
      </c>
      <c r="J227" s="473" t="s">
        <v>25</v>
      </c>
      <c r="K227" s="474" t="s">
        <v>26</v>
      </c>
      <c r="L227" s="22">
        <v>92833445</v>
      </c>
      <c r="M227" s="26"/>
    </row>
    <row r="228" spans="1:14" s="144" customFormat="1" x14ac:dyDescent="0.25">
      <c r="A228" s="54">
        <v>3799</v>
      </c>
      <c r="B228" s="55" t="s">
        <v>531</v>
      </c>
      <c r="C228" s="56">
        <v>417</v>
      </c>
      <c r="D228" s="57">
        <v>0.3</v>
      </c>
      <c r="E228" s="57">
        <f t="shared" si="6"/>
        <v>125.1</v>
      </c>
      <c r="F228" s="57">
        <v>122.82000000000001</v>
      </c>
      <c r="G228" s="57">
        <f t="shared" si="7"/>
        <v>2.2799999999999869</v>
      </c>
      <c r="H228" s="84">
        <v>12494672</v>
      </c>
      <c r="I228" s="60" t="s">
        <v>532</v>
      </c>
      <c r="J228" s="61" t="s">
        <v>17</v>
      </c>
      <c r="K228" s="61" t="s">
        <v>18</v>
      </c>
      <c r="L228" s="54">
        <v>98872720</v>
      </c>
      <c r="M228" s="61" t="s">
        <v>966</v>
      </c>
    </row>
    <row r="229" spans="1:14" x14ac:dyDescent="0.25">
      <c r="A229" s="22">
        <v>3800</v>
      </c>
      <c r="B229" s="33" t="s">
        <v>534</v>
      </c>
      <c r="C229" s="24">
        <v>221</v>
      </c>
      <c r="D229" s="25">
        <v>0.3</v>
      </c>
      <c r="E229" s="25">
        <f t="shared" si="6"/>
        <v>66.3</v>
      </c>
      <c r="F229" s="25"/>
      <c r="G229" s="25">
        <f t="shared" si="7"/>
        <v>66.3</v>
      </c>
      <c r="H229" s="34">
        <v>11566758</v>
      </c>
      <c r="I229" s="214" t="s">
        <v>535</v>
      </c>
      <c r="J229" s="473" t="s">
        <v>25</v>
      </c>
      <c r="K229" s="474" t="s">
        <v>26</v>
      </c>
      <c r="L229" s="22"/>
      <c r="M229" s="26"/>
    </row>
    <row r="230" spans="1:14" s="144" customFormat="1" x14ac:dyDescent="0.25">
      <c r="A230" s="54">
        <v>3801</v>
      </c>
      <c r="B230" s="55" t="s">
        <v>536</v>
      </c>
      <c r="C230" s="56">
        <v>107.5</v>
      </c>
      <c r="D230" s="57">
        <v>0.3</v>
      </c>
      <c r="E230" s="57">
        <f t="shared" si="6"/>
        <v>32.25</v>
      </c>
      <c r="F230" s="57">
        <v>30.200000000000003</v>
      </c>
      <c r="G230" s="57">
        <f t="shared" si="7"/>
        <v>2.0499999999999972</v>
      </c>
      <c r="H230" s="84">
        <v>19559588</v>
      </c>
      <c r="I230" s="72" t="s">
        <v>537</v>
      </c>
      <c r="J230" s="59" t="s">
        <v>75</v>
      </c>
      <c r="K230" s="72" t="s">
        <v>76</v>
      </c>
      <c r="L230" s="54">
        <v>93200888</v>
      </c>
      <c r="M230" s="144" t="s">
        <v>968</v>
      </c>
    </row>
    <row r="231" spans="1:14" x14ac:dyDescent="0.25">
      <c r="A231" s="22">
        <v>3802</v>
      </c>
      <c r="B231" s="33" t="s">
        <v>538</v>
      </c>
      <c r="C231" s="45">
        <v>261</v>
      </c>
      <c r="D231" s="25">
        <v>0.3</v>
      </c>
      <c r="E231" s="25">
        <f t="shared" si="6"/>
        <v>78.3</v>
      </c>
      <c r="F231" s="25"/>
      <c r="G231" s="25">
        <f t="shared" si="7"/>
        <v>78.3</v>
      </c>
      <c r="H231" s="34">
        <v>1260268</v>
      </c>
      <c r="I231" s="214" t="s">
        <v>539</v>
      </c>
      <c r="J231" s="473" t="s">
        <v>25</v>
      </c>
      <c r="K231" s="474" t="s">
        <v>26</v>
      </c>
      <c r="L231" s="22">
        <v>99692231</v>
      </c>
      <c r="M231" s="26"/>
    </row>
    <row r="232" spans="1:14" x14ac:dyDescent="0.25">
      <c r="A232" s="22">
        <v>3803</v>
      </c>
      <c r="B232" s="33" t="s">
        <v>540</v>
      </c>
      <c r="C232" s="24">
        <v>315</v>
      </c>
      <c r="D232" s="25">
        <v>0.3</v>
      </c>
      <c r="E232" s="25">
        <f t="shared" si="6"/>
        <v>94.5</v>
      </c>
      <c r="F232" s="25"/>
      <c r="G232" s="25">
        <f t="shared" si="7"/>
        <v>94.5</v>
      </c>
      <c r="H232" s="34">
        <v>4890484</v>
      </c>
      <c r="I232" s="214" t="s">
        <v>541</v>
      </c>
      <c r="J232" s="26" t="s">
        <v>17</v>
      </c>
      <c r="K232" s="26" t="s">
        <v>18</v>
      </c>
      <c r="L232" s="22">
        <v>93231221</v>
      </c>
      <c r="M232" s="26"/>
    </row>
    <row r="233" spans="1:14" s="144" customFormat="1" x14ac:dyDescent="0.25">
      <c r="A233" s="54">
        <v>3804</v>
      </c>
      <c r="B233" s="55" t="s">
        <v>542</v>
      </c>
      <c r="C233" s="56">
        <v>225</v>
      </c>
      <c r="D233" s="57">
        <v>0.3</v>
      </c>
      <c r="E233" s="57">
        <f t="shared" si="6"/>
        <v>67.5</v>
      </c>
      <c r="F233" s="57">
        <v>66.09</v>
      </c>
      <c r="G233" s="57">
        <f t="shared" si="7"/>
        <v>1.4099999999999966</v>
      </c>
      <c r="H233" s="84">
        <v>18102928</v>
      </c>
      <c r="I233" s="60" t="s">
        <v>543</v>
      </c>
      <c r="J233" s="61" t="s">
        <v>17</v>
      </c>
      <c r="K233" s="61" t="s">
        <v>18</v>
      </c>
      <c r="L233" s="54">
        <v>95933733</v>
      </c>
      <c r="M233" s="61" t="s">
        <v>972</v>
      </c>
    </row>
    <row r="234" spans="1:14" s="144" customFormat="1" x14ac:dyDescent="0.25">
      <c r="A234" s="54">
        <v>3805</v>
      </c>
      <c r="B234" s="55" t="s">
        <v>544</v>
      </c>
      <c r="C234" s="56">
        <v>192.6</v>
      </c>
      <c r="D234" s="57">
        <v>0.3</v>
      </c>
      <c r="E234" s="57">
        <f t="shared" si="6"/>
        <v>57.779999999999994</v>
      </c>
      <c r="F234" s="57">
        <f>55.61</f>
        <v>55.61</v>
      </c>
      <c r="G234" s="57">
        <f t="shared" si="7"/>
        <v>2.1699999999999946</v>
      </c>
      <c r="H234" s="71">
        <v>18675553</v>
      </c>
      <c r="I234" s="72" t="s">
        <v>545</v>
      </c>
      <c r="J234" s="58" t="s">
        <v>75</v>
      </c>
      <c r="K234" s="61" t="s">
        <v>76</v>
      </c>
      <c r="L234" s="54">
        <v>77588303</v>
      </c>
      <c r="M234" s="461" t="s">
        <v>965</v>
      </c>
    </row>
    <row r="235" spans="1:14" s="144" customFormat="1" x14ac:dyDescent="0.25">
      <c r="A235" s="54">
        <v>3807</v>
      </c>
      <c r="B235" s="55" t="s">
        <v>546</v>
      </c>
      <c r="C235" s="56">
        <v>174.1</v>
      </c>
      <c r="D235" s="57">
        <v>0.3</v>
      </c>
      <c r="E235" s="57">
        <f t="shared" si="6"/>
        <v>52.23</v>
      </c>
      <c r="F235" s="57">
        <f>2.60000000000001+49.5</f>
        <v>52.100000000000009</v>
      </c>
      <c r="G235" s="57">
        <f t="shared" si="7"/>
        <v>0.12999999999998835</v>
      </c>
      <c r="H235" s="84">
        <v>2110484</v>
      </c>
      <c r="I235" s="60" t="s">
        <v>547</v>
      </c>
      <c r="J235" s="61" t="s">
        <v>17</v>
      </c>
      <c r="K235" s="61" t="s">
        <v>18</v>
      </c>
      <c r="L235" s="54">
        <v>95918256</v>
      </c>
      <c r="M235" s="61" t="s">
        <v>956</v>
      </c>
      <c r="N235" s="61" t="s">
        <v>966</v>
      </c>
    </row>
    <row r="236" spans="1:14" s="144" customFormat="1" x14ac:dyDescent="0.25">
      <c r="A236" s="54">
        <v>3808</v>
      </c>
      <c r="B236" s="55" t="s">
        <v>548</v>
      </c>
      <c r="C236" s="56">
        <v>394.8</v>
      </c>
      <c r="D236" s="57">
        <v>0.3</v>
      </c>
      <c r="E236" s="57">
        <f t="shared" si="6"/>
        <v>118.44</v>
      </c>
      <c r="F236" s="57">
        <v>113.68</v>
      </c>
      <c r="G236" s="57">
        <f t="shared" si="7"/>
        <v>4.7599999999999909</v>
      </c>
      <c r="H236" s="84">
        <v>1366005</v>
      </c>
      <c r="I236" s="60" t="s">
        <v>549</v>
      </c>
      <c r="J236" s="61" t="s">
        <v>17</v>
      </c>
      <c r="K236" s="61" t="s">
        <v>18</v>
      </c>
      <c r="L236" s="54">
        <v>99589981</v>
      </c>
      <c r="M236" s="61" t="s">
        <v>966</v>
      </c>
    </row>
    <row r="237" spans="1:14" x14ac:dyDescent="0.25">
      <c r="A237" s="22">
        <v>3809</v>
      </c>
      <c r="B237" s="33" t="s">
        <v>550</v>
      </c>
      <c r="C237" s="24">
        <v>437</v>
      </c>
      <c r="D237" s="25">
        <v>0.3</v>
      </c>
      <c r="E237" s="25">
        <f t="shared" si="6"/>
        <v>131.1</v>
      </c>
      <c r="F237" s="25">
        <v>127.99</v>
      </c>
      <c r="G237" s="25">
        <f t="shared" si="7"/>
        <v>3.1099999999999994</v>
      </c>
      <c r="H237" s="34">
        <v>10913998</v>
      </c>
      <c r="I237" s="214" t="s">
        <v>551</v>
      </c>
      <c r="J237" s="473" t="s">
        <v>25</v>
      </c>
      <c r="K237" s="474" t="s">
        <v>26</v>
      </c>
      <c r="L237" s="22">
        <v>99080863</v>
      </c>
      <c r="M237" s="461">
        <v>46008</v>
      </c>
    </row>
    <row r="238" spans="1:14" x14ac:dyDescent="0.25">
      <c r="A238" s="22">
        <v>3810</v>
      </c>
      <c r="B238" s="464" t="s">
        <v>553</v>
      </c>
      <c r="C238" s="24">
        <v>181.8</v>
      </c>
      <c r="D238" s="25">
        <v>0.3</v>
      </c>
      <c r="E238" s="25">
        <f t="shared" si="6"/>
        <v>54.54</v>
      </c>
      <c r="F238" s="25"/>
      <c r="G238" s="25">
        <f t="shared" si="7"/>
        <v>54.54</v>
      </c>
      <c r="H238" s="471">
        <v>9442232</v>
      </c>
      <c r="I238" s="481" t="s">
        <v>554</v>
      </c>
      <c r="J238" s="485" t="s">
        <v>25</v>
      </c>
      <c r="K238" s="486" t="s">
        <v>26</v>
      </c>
      <c r="L238" s="465">
        <v>98255338</v>
      </c>
      <c r="M238" s="26"/>
    </row>
    <row r="239" spans="1:14" s="144" customFormat="1" x14ac:dyDescent="0.25">
      <c r="A239" s="54">
        <v>3811</v>
      </c>
      <c r="B239" s="55" t="s">
        <v>555</v>
      </c>
      <c r="C239" s="56">
        <v>212</v>
      </c>
      <c r="D239" s="57">
        <v>0.3</v>
      </c>
      <c r="E239" s="57">
        <f t="shared" si="6"/>
        <v>63.599999999999994</v>
      </c>
      <c r="F239" s="57">
        <v>1.1199999999999897</v>
      </c>
      <c r="G239" s="57">
        <f t="shared" si="7"/>
        <v>62.480000000000004</v>
      </c>
      <c r="H239" s="84">
        <v>6865286</v>
      </c>
      <c r="I239" s="60" t="s">
        <v>556</v>
      </c>
      <c r="J239" s="58" t="s">
        <v>75</v>
      </c>
      <c r="K239" s="61" t="s">
        <v>76</v>
      </c>
      <c r="L239" s="54">
        <v>92441715</v>
      </c>
      <c r="M239" s="461">
        <v>45728</v>
      </c>
      <c r="N239" s="503">
        <v>45728</v>
      </c>
    </row>
    <row r="240" spans="1:14" x14ac:dyDescent="0.25">
      <c r="A240" s="22">
        <v>3812</v>
      </c>
      <c r="B240" s="33" t="s">
        <v>557</v>
      </c>
      <c r="C240" s="24">
        <v>264.10000000000002</v>
      </c>
      <c r="D240" s="25">
        <v>0.3</v>
      </c>
      <c r="E240" s="25">
        <f t="shared" si="6"/>
        <v>79.23</v>
      </c>
      <c r="F240" s="25"/>
      <c r="G240" s="25">
        <f t="shared" si="7"/>
        <v>79.23</v>
      </c>
      <c r="H240" s="34">
        <v>2441718</v>
      </c>
      <c r="I240" s="214" t="s">
        <v>558</v>
      </c>
      <c r="J240" s="473" t="s">
        <v>25</v>
      </c>
      <c r="K240" s="474" t="s">
        <v>26</v>
      </c>
      <c r="L240" s="22"/>
      <c r="M240" s="26"/>
    </row>
    <row r="241" spans="1:15" s="79" customFormat="1" x14ac:dyDescent="0.25">
      <c r="A241" s="22">
        <v>3813</v>
      </c>
      <c r="B241" s="23" t="s">
        <v>559</v>
      </c>
      <c r="C241" s="24">
        <v>173.3</v>
      </c>
      <c r="D241" s="25">
        <v>0.3</v>
      </c>
      <c r="E241" s="25">
        <f t="shared" si="6"/>
        <v>51.99</v>
      </c>
      <c r="F241" s="25"/>
      <c r="G241" s="25">
        <f t="shared" si="7"/>
        <v>51.99</v>
      </c>
      <c r="H241" s="34">
        <v>18842378</v>
      </c>
      <c r="I241" s="214" t="s">
        <v>560</v>
      </c>
      <c r="J241" s="215" t="s">
        <v>25</v>
      </c>
      <c r="K241" s="214" t="s">
        <v>26</v>
      </c>
      <c r="L241" s="22">
        <v>91102135</v>
      </c>
      <c r="M241" s="26"/>
    </row>
    <row r="242" spans="1:15" x14ac:dyDescent="0.25">
      <c r="A242" s="22">
        <v>3814</v>
      </c>
      <c r="B242" s="33" t="s">
        <v>561</v>
      </c>
      <c r="C242" s="24">
        <v>222.9</v>
      </c>
      <c r="D242" s="25">
        <v>0.3</v>
      </c>
      <c r="E242" s="25">
        <f t="shared" si="6"/>
        <v>66.87</v>
      </c>
      <c r="F242" s="25"/>
      <c r="G242" s="25">
        <f t="shared" si="7"/>
        <v>66.87</v>
      </c>
      <c r="H242" s="83">
        <v>6998672</v>
      </c>
      <c r="I242" s="214" t="s">
        <v>562</v>
      </c>
      <c r="J242" s="478" t="s">
        <v>25</v>
      </c>
      <c r="K242" s="483" t="s">
        <v>26</v>
      </c>
      <c r="L242" s="22">
        <v>94051423</v>
      </c>
      <c r="M242" s="26"/>
    </row>
    <row r="243" spans="1:15" s="144" customFormat="1" x14ac:dyDescent="0.25">
      <c r="A243" s="54">
        <v>3815</v>
      </c>
      <c r="B243" s="55" t="s">
        <v>563</v>
      </c>
      <c r="C243" s="56">
        <v>184</v>
      </c>
      <c r="D243" s="57">
        <v>0.3</v>
      </c>
      <c r="E243" s="57">
        <f t="shared" si="6"/>
        <v>55.199999999999996</v>
      </c>
      <c r="F243" s="57">
        <v>53.350000000000009</v>
      </c>
      <c r="G243" s="57">
        <f t="shared" si="7"/>
        <v>1.8499999999999872</v>
      </c>
      <c r="H243" s="71">
        <v>24909353</v>
      </c>
      <c r="I243" s="72" t="s">
        <v>564</v>
      </c>
      <c r="J243" s="59" t="s">
        <v>25</v>
      </c>
      <c r="K243" s="60" t="s">
        <v>26</v>
      </c>
      <c r="L243" s="54">
        <v>97797883</v>
      </c>
      <c r="M243" s="461">
        <v>46008</v>
      </c>
    </row>
    <row r="244" spans="1:15" x14ac:dyDescent="0.25">
      <c r="A244" s="22">
        <v>3816</v>
      </c>
      <c r="B244" s="33" t="s">
        <v>565</v>
      </c>
      <c r="C244" s="24">
        <v>234.5</v>
      </c>
      <c r="D244" s="25">
        <v>0.3</v>
      </c>
      <c r="E244" s="25">
        <f t="shared" si="6"/>
        <v>70.349999999999994</v>
      </c>
      <c r="F244" s="25"/>
      <c r="G244" s="25">
        <f t="shared" si="7"/>
        <v>70.349999999999994</v>
      </c>
      <c r="H244" s="34">
        <v>27389488</v>
      </c>
      <c r="I244" s="214" t="s">
        <v>566</v>
      </c>
      <c r="J244" s="473" t="s">
        <v>25</v>
      </c>
      <c r="K244" s="474" t="s">
        <v>26</v>
      </c>
      <c r="L244" s="22"/>
      <c r="M244" s="26"/>
    </row>
    <row r="245" spans="1:15" s="144" customFormat="1" x14ac:dyDescent="0.25">
      <c r="A245" s="54">
        <v>3817</v>
      </c>
      <c r="B245" s="55" t="s">
        <v>567</v>
      </c>
      <c r="C245" s="56">
        <v>330</v>
      </c>
      <c r="D245" s="57">
        <v>0.3</v>
      </c>
      <c r="E245" s="57">
        <f t="shared" si="6"/>
        <v>99</v>
      </c>
      <c r="F245" s="57">
        <v>94.28</v>
      </c>
      <c r="G245" s="57">
        <f t="shared" si="7"/>
        <v>4.7199999999999989</v>
      </c>
      <c r="H245" s="84">
        <v>7851322</v>
      </c>
      <c r="I245" s="60" t="s">
        <v>568</v>
      </c>
      <c r="J245" s="59" t="s">
        <v>25</v>
      </c>
      <c r="K245" s="60" t="s">
        <v>26</v>
      </c>
      <c r="L245" s="54">
        <v>96288881</v>
      </c>
      <c r="M245" s="461" t="s">
        <v>965</v>
      </c>
    </row>
    <row r="246" spans="1:15" x14ac:dyDescent="0.25">
      <c r="A246" s="22">
        <v>3818</v>
      </c>
      <c r="B246" s="33" t="s">
        <v>569</v>
      </c>
      <c r="C246" s="45">
        <v>521.20000000000005</v>
      </c>
      <c r="D246" s="25">
        <v>0.3</v>
      </c>
      <c r="E246" s="25">
        <f t="shared" si="6"/>
        <v>156.36000000000001</v>
      </c>
      <c r="F246" s="25"/>
      <c r="G246" s="25">
        <f t="shared" si="7"/>
        <v>156.36000000000001</v>
      </c>
      <c r="H246" s="34">
        <v>2520858</v>
      </c>
      <c r="I246" s="214" t="s">
        <v>570</v>
      </c>
      <c r="J246" s="473" t="s">
        <v>25</v>
      </c>
      <c r="K246" s="474" t="s">
        <v>26</v>
      </c>
      <c r="L246" s="22">
        <v>99699976</v>
      </c>
      <c r="M246" s="26"/>
    </row>
    <row r="247" spans="1:15" s="144" customFormat="1" x14ac:dyDescent="0.25">
      <c r="A247" s="54">
        <v>3819</v>
      </c>
      <c r="B247" s="55" t="s">
        <v>571</v>
      </c>
      <c r="C247" s="56">
        <v>523.29999999999995</v>
      </c>
      <c r="D247" s="57">
        <v>0.3</v>
      </c>
      <c r="E247" s="57">
        <f t="shared" si="6"/>
        <v>156.98999999999998</v>
      </c>
      <c r="F247" s="57">
        <f>153.43</f>
        <v>153.43</v>
      </c>
      <c r="G247" s="57">
        <f t="shared" si="7"/>
        <v>3.5599999999999739</v>
      </c>
      <c r="H247" s="84">
        <v>3952839</v>
      </c>
      <c r="I247" s="60" t="s">
        <v>572</v>
      </c>
      <c r="J247" s="61" t="s">
        <v>17</v>
      </c>
      <c r="K247" s="61" t="s">
        <v>18</v>
      </c>
      <c r="L247" s="54">
        <v>98856929</v>
      </c>
      <c r="M247" s="461" t="s">
        <v>965</v>
      </c>
    </row>
    <row r="248" spans="1:15" s="144" customFormat="1" x14ac:dyDescent="0.25">
      <c r="A248" s="54">
        <v>3820</v>
      </c>
      <c r="B248" s="55" t="s">
        <v>573</v>
      </c>
      <c r="C248" s="56">
        <v>204.9</v>
      </c>
      <c r="D248" s="57">
        <v>0.3</v>
      </c>
      <c r="E248" s="57">
        <f t="shared" si="6"/>
        <v>61.47</v>
      </c>
      <c r="F248" s="57">
        <v>54.74</v>
      </c>
      <c r="G248" s="57">
        <f t="shared" si="7"/>
        <v>6.7299999999999969</v>
      </c>
      <c r="H248" s="84">
        <v>20898806</v>
      </c>
      <c r="I248" s="60" t="s">
        <v>574</v>
      </c>
      <c r="J248" s="59" t="s">
        <v>25</v>
      </c>
      <c r="K248" s="60" t="s">
        <v>26</v>
      </c>
      <c r="L248" s="54">
        <v>95855255</v>
      </c>
      <c r="M248" s="61" t="s">
        <v>970</v>
      </c>
    </row>
    <row r="249" spans="1:15" s="556" customFormat="1" x14ac:dyDescent="0.25">
      <c r="A249" s="550">
        <v>3821</v>
      </c>
      <c r="B249" s="551" t="s">
        <v>575</v>
      </c>
      <c r="C249" s="552"/>
      <c r="D249" s="498">
        <v>0.3</v>
      </c>
      <c r="E249" s="498">
        <f t="shared" si="6"/>
        <v>0</v>
      </c>
      <c r="F249" s="498"/>
      <c r="G249" s="498">
        <f t="shared" si="7"/>
        <v>0</v>
      </c>
      <c r="H249" s="553">
        <v>5773746</v>
      </c>
      <c r="I249" s="554" t="s">
        <v>576</v>
      </c>
      <c r="J249" s="555" t="s">
        <v>210</v>
      </c>
      <c r="K249" s="594" t="s">
        <v>211</v>
      </c>
      <c r="L249" s="550">
        <v>96780867</v>
      </c>
      <c r="M249" s="555"/>
    </row>
    <row r="250" spans="1:15" s="144" customFormat="1" x14ac:dyDescent="0.25">
      <c r="A250" s="54">
        <v>3822</v>
      </c>
      <c r="B250" s="55" t="s">
        <v>577</v>
      </c>
      <c r="C250" s="56">
        <v>796.8</v>
      </c>
      <c r="D250" s="57">
        <v>0.3</v>
      </c>
      <c r="E250" s="57">
        <f t="shared" si="6"/>
        <v>239.03999999999996</v>
      </c>
      <c r="F250" s="57">
        <f>0.37+237.25</f>
        <v>237.62</v>
      </c>
      <c r="G250" s="57">
        <f t="shared" si="7"/>
        <v>1.4199999999999591</v>
      </c>
      <c r="H250" s="84">
        <v>1522824</v>
      </c>
      <c r="I250" s="60" t="s">
        <v>578</v>
      </c>
      <c r="J250" s="61" t="s">
        <v>43</v>
      </c>
      <c r="K250" s="60" t="s">
        <v>44</v>
      </c>
      <c r="L250" s="54">
        <v>92733857</v>
      </c>
      <c r="M250" s="61" t="s">
        <v>938</v>
      </c>
      <c r="N250" s="530" t="s">
        <v>939</v>
      </c>
      <c r="O250" s="61" t="s">
        <v>966</v>
      </c>
    </row>
    <row r="251" spans="1:15" s="144" customFormat="1" x14ac:dyDescent="0.25">
      <c r="A251" s="54">
        <v>3823</v>
      </c>
      <c r="B251" s="55" t="s">
        <v>579</v>
      </c>
      <c r="C251" s="56">
        <v>221.8</v>
      </c>
      <c r="D251" s="57">
        <v>0.3</v>
      </c>
      <c r="E251" s="57">
        <f t="shared" si="6"/>
        <v>66.540000000000006</v>
      </c>
      <c r="F251" s="57">
        <v>61.75</v>
      </c>
      <c r="G251" s="57">
        <f t="shared" si="7"/>
        <v>4.7900000000000063</v>
      </c>
      <c r="H251" s="84">
        <v>865789</v>
      </c>
      <c r="I251" s="60" t="s">
        <v>580</v>
      </c>
      <c r="J251" s="59" t="s">
        <v>25</v>
      </c>
      <c r="K251" s="60" t="s">
        <v>26</v>
      </c>
      <c r="L251" s="54">
        <v>99366841</v>
      </c>
      <c r="M251" s="61" t="s">
        <v>966</v>
      </c>
    </row>
    <row r="252" spans="1:15" s="144" customFormat="1" x14ac:dyDescent="0.25">
      <c r="A252" s="54">
        <v>3824</v>
      </c>
      <c r="B252" s="55" t="s">
        <v>914</v>
      </c>
      <c r="C252" s="56">
        <v>343.8</v>
      </c>
      <c r="D252" s="57">
        <v>0.3</v>
      </c>
      <c r="E252" s="57">
        <f t="shared" si="6"/>
        <v>103.14</v>
      </c>
      <c r="F252" s="57">
        <v>101.46000000000001</v>
      </c>
      <c r="G252" s="57">
        <f t="shared" si="7"/>
        <v>1.6799999999999926</v>
      </c>
      <c r="H252" s="84">
        <v>19875796</v>
      </c>
      <c r="I252" s="60" t="s">
        <v>915</v>
      </c>
      <c r="J252" s="59" t="s">
        <v>25</v>
      </c>
      <c r="K252" s="60" t="s">
        <v>26</v>
      </c>
      <c r="L252" s="54">
        <v>97778036</v>
      </c>
      <c r="M252" s="61" t="s">
        <v>973</v>
      </c>
    </row>
    <row r="253" spans="1:15" s="144" customFormat="1" x14ac:dyDescent="0.25">
      <c r="A253" s="54">
        <v>3827</v>
      </c>
      <c r="B253" s="55" t="s">
        <v>583</v>
      </c>
      <c r="C253" s="56">
        <v>688.6</v>
      </c>
      <c r="D253" s="57">
        <v>0.3</v>
      </c>
      <c r="E253" s="57">
        <f t="shared" si="6"/>
        <v>206.58</v>
      </c>
      <c r="F253" s="57">
        <v>205.73</v>
      </c>
      <c r="G253" s="57">
        <f t="shared" si="7"/>
        <v>0.85000000000002274</v>
      </c>
      <c r="H253" s="84">
        <v>19049113</v>
      </c>
      <c r="I253" s="60" t="s">
        <v>584</v>
      </c>
      <c r="J253" s="59" t="s">
        <v>25</v>
      </c>
      <c r="K253" s="60" t="s">
        <v>26</v>
      </c>
      <c r="L253" s="54">
        <v>97778037</v>
      </c>
      <c r="M253" s="61" t="s">
        <v>973</v>
      </c>
    </row>
    <row r="254" spans="1:15" s="144" customFormat="1" x14ac:dyDescent="0.25">
      <c r="A254" s="54">
        <v>3828</v>
      </c>
      <c r="B254" s="55" t="s">
        <v>585</v>
      </c>
      <c r="C254" s="56">
        <v>223.9</v>
      </c>
      <c r="D254" s="57">
        <v>0.3</v>
      </c>
      <c r="E254" s="57">
        <f t="shared" si="6"/>
        <v>67.17</v>
      </c>
      <c r="F254" s="57">
        <v>63.07</v>
      </c>
      <c r="G254" s="57">
        <f t="shared" si="7"/>
        <v>4.1000000000000014</v>
      </c>
      <c r="H254" s="84">
        <v>5520522</v>
      </c>
      <c r="I254" s="60" t="s">
        <v>586</v>
      </c>
      <c r="J254" s="58" t="s">
        <v>75</v>
      </c>
      <c r="K254" s="61" t="s">
        <v>76</v>
      </c>
      <c r="L254" s="54">
        <v>99589277</v>
      </c>
      <c r="M254" s="61" t="s">
        <v>966</v>
      </c>
    </row>
    <row r="255" spans="1:15" x14ac:dyDescent="0.25">
      <c r="A255" s="22">
        <v>3829</v>
      </c>
      <c r="B255" s="33" t="s">
        <v>587</v>
      </c>
      <c r="C255" s="24">
        <v>161.4</v>
      </c>
      <c r="D255" s="25">
        <v>0.3</v>
      </c>
      <c r="E255" s="25">
        <f t="shared" si="6"/>
        <v>48.42</v>
      </c>
      <c r="F255" s="25"/>
      <c r="G255" s="25">
        <f t="shared" si="7"/>
        <v>48.42</v>
      </c>
      <c r="H255" s="34">
        <v>897384</v>
      </c>
      <c r="I255" s="214" t="s">
        <v>588</v>
      </c>
      <c r="J255" s="26" t="s">
        <v>17</v>
      </c>
      <c r="K255" s="26" t="s">
        <v>18</v>
      </c>
      <c r="L255" s="22"/>
      <c r="M255" s="26"/>
    </row>
    <row r="256" spans="1:15" s="144" customFormat="1" x14ac:dyDescent="0.25">
      <c r="A256" s="54">
        <v>3830</v>
      </c>
      <c r="B256" s="55" t="s">
        <v>589</v>
      </c>
      <c r="C256" s="56">
        <v>183</v>
      </c>
      <c r="D256" s="57">
        <v>0.3</v>
      </c>
      <c r="E256" s="57">
        <f t="shared" si="6"/>
        <v>54.9</v>
      </c>
      <c r="F256" s="57">
        <v>53.220000000000006</v>
      </c>
      <c r="G256" s="57">
        <f t="shared" si="7"/>
        <v>1.6799999999999926</v>
      </c>
      <c r="H256" s="84">
        <v>2153706</v>
      </c>
      <c r="I256" s="60" t="s">
        <v>590</v>
      </c>
      <c r="J256" s="59" t="s">
        <v>25</v>
      </c>
      <c r="K256" s="60" t="s">
        <v>26</v>
      </c>
      <c r="L256" s="54">
        <v>92740607</v>
      </c>
      <c r="M256" s="61" t="s">
        <v>966</v>
      </c>
    </row>
    <row r="257" spans="1:13" s="556" customFormat="1" x14ac:dyDescent="0.25">
      <c r="A257" s="550">
        <v>3831</v>
      </c>
      <c r="B257" s="551" t="s">
        <v>591</v>
      </c>
      <c r="C257" s="552"/>
      <c r="D257" s="498">
        <v>0.3</v>
      </c>
      <c r="E257" s="498">
        <f t="shared" si="6"/>
        <v>0</v>
      </c>
      <c r="F257" s="498"/>
      <c r="G257" s="498">
        <f t="shared" si="7"/>
        <v>0</v>
      </c>
      <c r="H257" s="553">
        <v>873604</v>
      </c>
      <c r="I257" s="554" t="s">
        <v>592</v>
      </c>
      <c r="J257" s="555" t="s">
        <v>17</v>
      </c>
      <c r="K257" s="555" t="s">
        <v>18</v>
      </c>
      <c r="L257" s="550">
        <v>98145449</v>
      </c>
      <c r="M257" s="555"/>
    </row>
    <row r="258" spans="1:13" s="144" customFormat="1" x14ac:dyDescent="0.25">
      <c r="A258" s="54">
        <v>3832</v>
      </c>
      <c r="B258" s="55" t="s">
        <v>792</v>
      </c>
      <c r="C258" s="56">
        <v>52.6</v>
      </c>
      <c r="D258" s="57">
        <v>0.3</v>
      </c>
      <c r="E258" s="57">
        <f t="shared" si="6"/>
        <v>15.78</v>
      </c>
      <c r="F258" s="57">
        <v>11.27</v>
      </c>
      <c r="G258" s="57">
        <f t="shared" si="7"/>
        <v>4.51</v>
      </c>
      <c r="H258" s="84">
        <v>1985192</v>
      </c>
      <c r="I258" s="512" t="s">
        <v>840</v>
      </c>
      <c r="J258" s="513" t="s">
        <v>25</v>
      </c>
      <c r="K258" s="512" t="s">
        <v>26</v>
      </c>
      <c r="L258" s="54">
        <v>99695515</v>
      </c>
      <c r="M258" s="61" t="s">
        <v>966</v>
      </c>
    </row>
    <row r="259" spans="1:13" x14ac:dyDescent="0.25">
      <c r="A259" s="22">
        <v>3833</v>
      </c>
      <c r="B259" s="33" t="s">
        <v>593</v>
      </c>
      <c r="C259" s="24">
        <v>209.2</v>
      </c>
      <c r="D259" s="25">
        <v>0.3</v>
      </c>
      <c r="E259" s="25">
        <f t="shared" si="6"/>
        <v>62.759999999999991</v>
      </c>
      <c r="F259" s="25"/>
      <c r="G259" s="25">
        <f t="shared" si="7"/>
        <v>62.759999999999991</v>
      </c>
      <c r="H259" s="34">
        <v>19179619</v>
      </c>
      <c r="I259" s="214" t="s">
        <v>594</v>
      </c>
      <c r="J259" s="26" t="s">
        <v>17</v>
      </c>
      <c r="K259" s="26" t="s">
        <v>18</v>
      </c>
      <c r="L259" s="22">
        <v>91133123</v>
      </c>
      <c r="M259" s="26"/>
    </row>
    <row r="260" spans="1:13" s="144" customFormat="1" x14ac:dyDescent="0.25">
      <c r="A260" s="54">
        <v>3834</v>
      </c>
      <c r="B260" s="55" t="s">
        <v>595</v>
      </c>
      <c r="C260" s="56">
        <v>363.7</v>
      </c>
      <c r="D260" s="57">
        <v>0.3</v>
      </c>
      <c r="E260" s="57">
        <f t="shared" ref="E260:E312" si="8">D260*C260</f>
        <v>109.11</v>
      </c>
      <c r="F260" s="57">
        <v>106.89</v>
      </c>
      <c r="G260" s="57">
        <f t="shared" si="7"/>
        <v>2.2199999999999989</v>
      </c>
      <c r="H260" s="84">
        <v>5544756</v>
      </c>
      <c r="I260" s="60" t="s">
        <v>596</v>
      </c>
      <c r="J260" s="59" t="s">
        <v>25</v>
      </c>
      <c r="K260" s="60" t="s">
        <v>26</v>
      </c>
      <c r="L260" s="54">
        <v>92444788</v>
      </c>
      <c r="M260" s="61" t="s">
        <v>966</v>
      </c>
    </row>
    <row r="261" spans="1:13" x14ac:dyDescent="0.25">
      <c r="A261" s="22">
        <v>3835</v>
      </c>
      <c r="B261" s="33" t="s">
        <v>598</v>
      </c>
      <c r="C261" s="24">
        <v>216.3</v>
      </c>
      <c r="D261" s="25">
        <v>0.3</v>
      </c>
      <c r="E261" s="25">
        <f t="shared" si="8"/>
        <v>64.89</v>
      </c>
      <c r="F261" s="25"/>
      <c r="G261" s="25">
        <f t="shared" ref="G261:G312" si="9">E261-F261</f>
        <v>64.89</v>
      </c>
      <c r="H261" s="34">
        <v>781845</v>
      </c>
      <c r="I261" s="214" t="s">
        <v>599</v>
      </c>
      <c r="J261" s="26" t="s">
        <v>17</v>
      </c>
      <c r="K261" s="26" t="s">
        <v>18</v>
      </c>
      <c r="L261" s="22">
        <v>99297720</v>
      </c>
      <c r="M261" s="26"/>
    </row>
    <row r="262" spans="1:13" s="144" customFormat="1" x14ac:dyDescent="0.25">
      <c r="A262" s="54">
        <v>3836</v>
      </c>
      <c r="B262" s="55" t="s">
        <v>600</v>
      </c>
      <c r="C262" s="56">
        <v>189.1</v>
      </c>
      <c r="D262" s="57">
        <v>0.3</v>
      </c>
      <c r="E262" s="57">
        <f t="shared" si="8"/>
        <v>56.73</v>
      </c>
      <c r="F262" s="57">
        <v>55.290000000000006</v>
      </c>
      <c r="G262" s="57">
        <f t="shared" si="9"/>
        <v>1.4399999999999906</v>
      </c>
      <c r="H262" s="84">
        <v>20264434</v>
      </c>
      <c r="I262" s="60" t="s">
        <v>601</v>
      </c>
      <c r="J262" s="59" t="s">
        <v>25</v>
      </c>
      <c r="K262" s="60" t="s">
        <v>26</v>
      </c>
      <c r="L262" s="54"/>
      <c r="M262" s="61" t="s">
        <v>966</v>
      </c>
    </row>
    <row r="263" spans="1:13" x14ac:dyDescent="0.25">
      <c r="A263" s="22">
        <v>3837</v>
      </c>
      <c r="B263" s="33" t="s">
        <v>602</v>
      </c>
      <c r="C263" s="24">
        <v>265.3</v>
      </c>
      <c r="D263" s="25">
        <v>0.3</v>
      </c>
      <c r="E263" s="25">
        <f t="shared" si="8"/>
        <v>79.59</v>
      </c>
      <c r="F263" s="25"/>
      <c r="G263" s="25">
        <f t="shared" si="9"/>
        <v>79.59</v>
      </c>
      <c r="H263" s="34">
        <v>1935947</v>
      </c>
      <c r="I263" s="214" t="s">
        <v>603</v>
      </c>
      <c r="J263" s="473" t="s">
        <v>25</v>
      </c>
      <c r="K263" s="474" t="s">
        <v>26</v>
      </c>
      <c r="L263" s="22">
        <v>99499566</v>
      </c>
      <c r="M263" s="26"/>
    </row>
    <row r="264" spans="1:13" x14ac:dyDescent="0.25">
      <c r="A264" s="22">
        <v>3838</v>
      </c>
      <c r="B264" s="33" t="s">
        <v>604</v>
      </c>
      <c r="C264" s="24">
        <v>198.7</v>
      </c>
      <c r="D264" s="25">
        <v>0.3</v>
      </c>
      <c r="E264" s="25">
        <f t="shared" si="8"/>
        <v>59.609999999999992</v>
      </c>
      <c r="F264" s="25"/>
      <c r="G264" s="25">
        <f t="shared" si="9"/>
        <v>59.609999999999992</v>
      </c>
      <c r="H264" s="34">
        <v>18553115</v>
      </c>
      <c r="I264" s="214" t="s">
        <v>605</v>
      </c>
      <c r="J264" s="473" t="s">
        <v>25</v>
      </c>
      <c r="K264" s="474" t="s">
        <v>26</v>
      </c>
      <c r="L264" s="22"/>
      <c r="M264" s="26"/>
    </row>
    <row r="265" spans="1:13" s="144" customFormat="1" x14ac:dyDescent="0.25">
      <c r="A265" s="54">
        <v>3839</v>
      </c>
      <c r="B265" s="55" t="s">
        <v>606</v>
      </c>
      <c r="C265" s="56">
        <v>874.9</v>
      </c>
      <c r="D265" s="57">
        <v>0.3</v>
      </c>
      <c r="E265" s="57">
        <f t="shared" si="8"/>
        <v>262.46999999999997</v>
      </c>
      <c r="F265" s="57">
        <f>257.51</f>
        <v>257.51</v>
      </c>
      <c r="G265" s="57">
        <f t="shared" si="9"/>
        <v>4.9599999999999795</v>
      </c>
      <c r="H265" s="84">
        <v>22799311</v>
      </c>
      <c r="I265" s="60" t="s">
        <v>607</v>
      </c>
      <c r="J265" s="59" t="s">
        <v>25</v>
      </c>
      <c r="K265" s="60" t="s">
        <v>26</v>
      </c>
      <c r="L265" s="54"/>
      <c r="M265" s="61" t="s">
        <v>966</v>
      </c>
    </row>
    <row r="266" spans="1:13" s="144" customFormat="1" x14ac:dyDescent="0.25">
      <c r="A266" s="54">
        <v>3840</v>
      </c>
      <c r="B266" s="55" t="s">
        <v>608</v>
      </c>
      <c r="C266" s="56">
        <v>198</v>
      </c>
      <c r="D266" s="57">
        <v>0.3</v>
      </c>
      <c r="E266" s="57">
        <f t="shared" si="8"/>
        <v>59.4</v>
      </c>
      <c r="F266" s="57">
        <v>55.57</v>
      </c>
      <c r="G266" s="57">
        <f t="shared" si="9"/>
        <v>3.8299999999999983</v>
      </c>
      <c r="H266" s="84">
        <v>19777334</v>
      </c>
      <c r="I266" s="60" t="s">
        <v>609</v>
      </c>
      <c r="J266" s="59" t="s">
        <v>25</v>
      </c>
      <c r="K266" s="60" t="s">
        <v>26</v>
      </c>
      <c r="L266" s="54"/>
      <c r="M266" s="461" t="s">
        <v>965</v>
      </c>
    </row>
    <row r="267" spans="1:13" x14ac:dyDescent="0.25">
      <c r="A267" s="22">
        <v>3841</v>
      </c>
      <c r="B267" s="33" t="s">
        <v>610</v>
      </c>
      <c r="C267" s="24">
        <v>418.5</v>
      </c>
      <c r="D267" s="25">
        <v>0.3</v>
      </c>
      <c r="E267" s="25">
        <f t="shared" si="8"/>
        <v>125.55</v>
      </c>
      <c r="F267" s="25"/>
      <c r="G267" s="25">
        <f t="shared" si="9"/>
        <v>125.55</v>
      </c>
      <c r="H267" s="34">
        <v>2538202</v>
      </c>
      <c r="I267" s="214" t="s">
        <v>611</v>
      </c>
      <c r="J267" s="216" t="s">
        <v>75</v>
      </c>
      <c r="K267" s="26" t="s">
        <v>76</v>
      </c>
      <c r="L267" s="22">
        <v>92735668</v>
      </c>
      <c r="M267" s="26"/>
    </row>
    <row r="268" spans="1:13" x14ac:dyDescent="0.25">
      <c r="A268" s="22">
        <v>3843</v>
      </c>
      <c r="B268" s="33" t="s">
        <v>612</v>
      </c>
      <c r="C268" s="24">
        <v>600</v>
      </c>
      <c r="D268" s="25">
        <v>0.3</v>
      </c>
      <c r="E268" s="25">
        <f t="shared" si="8"/>
        <v>180</v>
      </c>
      <c r="F268" s="25"/>
      <c r="G268" s="25">
        <f t="shared" si="9"/>
        <v>180</v>
      </c>
      <c r="H268" s="34">
        <v>19564247</v>
      </c>
      <c r="I268" s="214" t="s">
        <v>613</v>
      </c>
      <c r="J268" s="473" t="s">
        <v>25</v>
      </c>
      <c r="K268" s="474" t="s">
        <v>26</v>
      </c>
      <c r="L268" s="22"/>
      <c r="M268" s="26"/>
    </row>
    <row r="269" spans="1:13" s="144" customFormat="1" x14ac:dyDescent="0.25">
      <c r="A269" s="54">
        <v>3844</v>
      </c>
      <c r="B269" s="55" t="s">
        <v>614</v>
      </c>
      <c r="C269" s="56">
        <v>854.4</v>
      </c>
      <c r="D269" s="57">
        <v>0.3</v>
      </c>
      <c r="E269" s="57">
        <f t="shared" si="8"/>
        <v>256.32</v>
      </c>
      <c r="F269" s="57">
        <v>253.79999999999998</v>
      </c>
      <c r="G269" s="57">
        <f t="shared" si="9"/>
        <v>2.5200000000000102</v>
      </c>
      <c r="H269" s="84">
        <v>1036602</v>
      </c>
      <c r="I269" s="60" t="s">
        <v>615</v>
      </c>
      <c r="J269" s="61" t="s">
        <v>43</v>
      </c>
      <c r="K269" s="60" t="s">
        <v>44</v>
      </c>
      <c r="L269" s="54">
        <v>98112999</v>
      </c>
      <c r="M269" s="61" t="s">
        <v>966</v>
      </c>
    </row>
    <row r="270" spans="1:13" s="144" customFormat="1" x14ac:dyDescent="0.25">
      <c r="A270" s="54">
        <v>3845</v>
      </c>
      <c r="B270" s="55" t="s">
        <v>616</v>
      </c>
      <c r="C270" s="56">
        <v>896.5</v>
      </c>
      <c r="D270" s="57">
        <v>0.3</v>
      </c>
      <c r="E270" s="57">
        <f t="shared" si="8"/>
        <v>268.95</v>
      </c>
      <c r="F270" s="57">
        <v>262.45</v>
      </c>
      <c r="G270" s="57">
        <f t="shared" si="9"/>
        <v>6.5</v>
      </c>
      <c r="H270" s="84">
        <v>1432563</v>
      </c>
      <c r="I270" s="60" t="s">
        <v>617</v>
      </c>
      <c r="J270" s="61" t="s">
        <v>17</v>
      </c>
      <c r="K270" s="61" t="s">
        <v>18</v>
      </c>
      <c r="L270" s="54"/>
      <c r="M270" s="61" t="s">
        <v>966</v>
      </c>
    </row>
    <row r="271" spans="1:13" s="144" customFormat="1" x14ac:dyDescent="0.25">
      <c r="A271" s="54">
        <v>3846</v>
      </c>
      <c r="B271" s="55" t="s">
        <v>618</v>
      </c>
      <c r="C271" s="56">
        <v>210</v>
      </c>
      <c r="D271" s="57">
        <v>0.3</v>
      </c>
      <c r="E271" s="57">
        <f t="shared" si="8"/>
        <v>63</v>
      </c>
      <c r="F271" s="57">
        <v>57.920000000000023</v>
      </c>
      <c r="G271" s="57">
        <f t="shared" si="9"/>
        <v>5.079999999999977</v>
      </c>
      <c r="H271" s="84">
        <v>8115103</v>
      </c>
      <c r="I271" s="60" t="s">
        <v>619</v>
      </c>
      <c r="J271" s="58" t="s">
        <v>75</v>
      </c>
      <c r="K271" s="61" t="s">
        <v>76</v>
      </c>
      <c r="L271" s="54">
        <v>99298488</v>
      </c>
      <c r="M271" s="61" t="s">
        <v>955</v>
      </c>
    </row>
    <row r="272" spans="1:13" x14ac:dyDescent="0.25">
      <c r="A272" s="22">
        <v>3847</v>
      </c>
      <c r="B272" s="33" t="s">
        <v>620</v>
      </c>
      <c r="C272" s="24">
        <v>891.6</v>
      </c>
      <c r="D272" s="25">
        <v>0.3</v>
      </c>
      <c r="E272" s="25">
        <f t="shared" si="8"/>
        <v>267.48</v>
      </c>
      <c r="F272" s="25"/>
      <c r="G272" s="25">
        <f t="shared" si="9"/>
        <v>267.48</v>
      </c>
      <c r="H272" s="34">
        <v>238234</v>
      </c>
      <c r="I272" s="214" t="s">
        <v>621</v>
      </c>
      <c r="J272" s="473" t="s">
        <v>25</v>
      </c>
      <c r="K272" s="474" t="s">
        <v>26</v>
      </c>
      <c r="L272" s="22">
        <v>99495154</v>
      </c>
      <c r="M272" s="26"/>
    </row>
    <row r="273" spans="1:14" s="144" customFormat="1" x14ac:dyDescent="0.25">
      <c r="A273" s="54">
        <v>3848</v>
      </c>
      <c r="B273" s="55" t="s">
        <v>622</v>
      </c>
      <c r="C273" s="56">
        <v>828.4</v>
      </c>
      <c r="D273" s="57">
        <v>0.3</v>
      </c>
      <c r="E273" s="57">
        <f t="shared" si="8"/>
        <v>248.51999999999998</v>
      </c>
      <c r="F273" s="57">
        <f>242.83</f>
        <v>242.83</v>
      </c>
      <c r="G273" s="57">
        <f t="shared" si="9"/>
        <v>5.6899999999999693</v>
      </c>
      <c r="H273" s="84">
        <v>19231852</v>
      </c>
      <c r="I273" s="60" t="s">
        <v>623</v>
      </c>
      <c r="J273" s="61" t="s">
        <v>43</v>
      </c>
      <c r="K273" s="60" t="s">
        <v>44</v>
      </c>
      <c r="L273" s="54">
        <v>92341000</v>
      </c>
      <c r="M273" s="144" t="s">
        <v>968</v>
      </c>
    </row>
    <row r="274" spans="1:14" x14ac:dyDescent="0.25">
      <c r="A274" s="22">
        <v>3849</v>
      </c>
      <c r="B274" s="33" t="s">
        <v>624</v>
      </c>
      <c r="C274" s="24">
        <v>225</v>
      </c>
      <c r="D274" s="25">
        <v>0.3</v>
      </c>
      <c r="E274" s="25">
        <f t="shared" si="8"/>
        <v>67.5</v>
      </c>
      <c r="F274" s="25"/>
      <c r="G274" s="25">
        <f t="shared" si="9"/>
        <v>67.5</v>
      </c>
      <c r="H274" s="470">
        <v>18693727</v>
      </c>
      <c r="I274" s="487" t="s">
        <v>625</v>
      </c>
      <c r="J274" s="26" t="s">
        <v>17</v>
      </c>
      <c r="K274" s="26" t="s">
        <v>18</v>
      </c>
      <c r="L274" s="22">
        <v>93264185</v>
      </c>
      <c r="M274" s="26"/>
    </row>
    <row r="275" spans="1:14" s="144" customFormat="1" x14ac:dyDescent="0.25">
      <c r="A275" s="54">
        <v>3850</v>
      </c>
      <c r="B275" s="55" t="s">
        <v>626</v>
      </c>
      <c r="C275" s="56">
        <v>467.8</v>
      </c>
      <c r="D275" s="57">
        <v>0.3</v>
      </c>
      <c r="E275" s="57">
        <f t="shared" si="8"/>
        <v>140.34</v>
      </c>
      <c r="F275" s="57">
        <f>1.02+137.75</f>
        <v>138.77000000000001</v>
      </c>
      <c r="G275" s="57">
        <f t="shared" si="9"/>
        <v>1.5699999999999932</v>
      </c>
      <c r="H275" s="84">
        <v>5742985</v>
      </c>
      <c r="I275" s="60" t="s">
        <v>627</v>
      </c>
      <c r="J275" s="59" t="s">
        <v>25</v>
      </c>
      <c r="K275" s="60" t="s">
        <v>26</v>
      </c>
      <c r="L275" s="54">
        <v>93693543</v>
      </c>
      <c r="M275" s="461">
        <v>46002</v>
      </c>
      <c r="N275" s="61" t="s">
        <v>966</v>
      </c>
    </row>
    <row r="276" spans="1:14" x14ac:dyDescent="0.25">
      <c r="A276" s="22">
        <v>3851</v>
      </c>
      <c r="B276" s="33" t="s">
        <v>629</v>
      </c>
      <c r="C276" s="24">
        <v>148.5</v>
      </c>
      <c r="D276" s="25">
        <v>0.3</v>
      </c>
      <c r="E276" s="25">
        <f t="shared" si="8"/>
        <v>44.55</v>
      </c>
      <c r="F276" s="25"/>
      <c r="G276" s="25">
        <f t="shared" si="9"/>
        <v>44.55</v>
      </c>
      <c r="H276" s="34">
        <v>22766611</v>
      </c>
      <c r="I276" s="214" t="s">
        <v>630</v>
      </c>
      <c r="J276" s="214" t="s">
        <v>257</v>
      </c>
      <c r="K276" s="214" t="s">
        <v>258</v>
      </c>
      <c r="L276" s="22">
        <v>92688007</v>
      </c>
      <c r="M276" s="26"/>
    </row>
    <row r="277" spans="1:14" x14ac:dyDescent="0.25">
      <c r="A277" s="22">
        <v>3852</v>
      </c>
      <c r="B277" s="33" t="s">
        <v>631</v>
      </c>
      <c r="C277" s="24">
        <v>352.4</v>
      </c>
      <c r="D277" s="25">
        <v>0.3</v>
      </c>
      <c r="E277" s="25">
        <f t="shared" si="8"/>
        <v>105.71999999999998</v>
      </c>
      <c r="F277" s="25"/>
      <c r="G277" s="25">
        <f t="shared" si="9"/>
        <v>105.71999999999998</v>
      </c>
      <c r="H277" s="34">
        <v>8827979</v>
      </c>
      <c r="I277" s="214" t="s">
        <v>632</v>
      </c>
      <c r="J277" s="473" t="s">
        <v>25</v>
      </c>
      <c r="K277" s="474" t="s">
        <v>26</v>
      </c>
      <c r="L277" s="22">
        <v>92698971</v>
      </c>
      <c r="M277" s="26"/>
    </row>
    <row r="278" spans="1:14" x14ac:dyDescent="0.25">
      <c r="A278" s="22">
        <v>3853</v>
      </c>
      <c r="B278" s="33" t="s">
        <v>633</v>
      </c>
      <c r="C278" s="24">
        <v>194.6</v>
      </c>
      <c r="D278" s="25">
        <v>0.3</v>
      </c>
      <c r="E278" s="25">
        <f t="shared" si="8"/>
        <v>58.379999999999995</v>
      </c>
      <c r="F278" s="25"/>
      <c r="G278" s="25">
        <f t="shared" si="9"/>
        <v>58.379999999999995</v>
      </c>
      <c r="H278" s="34">
        <v>5857446</v>
      </c>
      <c r="I278" s="214" t="s">
        <v>634</v>
      </c>
      <c r="J278" s="473" t="s">
        <v>25</v>
      </c>
      <c r="K278" s="474" t="s">
        <v>26</v>
      </c>
      <c r="L278" s="22">
        <v>97799611</v>
      </c>
      <c r="M278" s="26"/>
    </row>
    <row r="279" spans="1:14" x14ac:dyDescent="0.25">
      <c r="A279" s="22">
        <v>3854</v>
      </c>
      <c r="B279" s="33" t="s">
        <v>635</v>
      </c>
      <c r="C279" s="24">
        <v>181.6</v>
      </c>
      <c r="D279" s="25">
        <v>0.3</v>
      </c>
      <c r="E279" s="25">
        <f t="shared" si="8"/>
        <v>54.48</v>
      </c>
      <c r="F279" s="25"/>
      <c r="G279" s="25">
        <f t="shared" si="9"/>
        <v>54.48</v>
      </c>
      <c r="H279" s="34">
        <v>1085838</v>
      </c>
      <c r="I279" s="214" t="s">
        <v>636</v>
      </c>
      <c r="J279" s="214" t="s">
        <v>166</v>
      </c>
      <c r="K279" s="26" t="s">
        <v>129</v>
      </c>
      <c r="L279" s="22">
        <v>92928848</v>
      </c>
      <c r="M279" s="26"/>
    </row>
    <row r="280" spans="1:14" x14ac:dyDescent="0.25">
      <c r="A280" s="22">
        <v>3855</v>
      </c>
      <c r="B280" s="33" t="s">
        <v>637</v>
      </c>
      <c r="C280" s="24">
        <v>251.7</v>
      </c>
      <c r="D280" s="25">
        <v>0.3</v>
      </c>
      <c r="E280" s="25">
        <f t="shared" si="8"/>
        <v>75.509999999999991</v>
      </c>
      <c r="F280" s="25">
        <v>72.570000000000007</v>
      </c>
      <c r="G280" s="25">
        <f t="shared" si="9"/>
        <v>2.9399999999999835</v>
      </c>
      <c r="H280" s="34">
        <v>4948259</v>
      </c>
      <c r="I280" s="214" t="s">
        <v>638</v>
      </c>
      <c r="J280" s="473" t="s">
        <v>25</v>
      </c>
      <c r="K280" s="474" t="s">
        <v>26</v>
      </c>
      <c r="L280" s="22">
        <v>98252880</v>
      </c>
      <c r="M280" s="61" t="s">
        <v>966</v>
      </c>
    </row>
    <row r="281" spans="1:14" x14ac:dyDescent="0.25">
      <c r="A281" s="22">
        <v>3856</v>
      </c>
      <c r="B281" s="33" t="s">
        <v>639</v>
      </c>
      <c r="C281" s="24">
        <v>135.19999999999999</v>
      </c>
      <c r="D281" s="25">
        <v>0.3</v>
      </c>
      <c r="E281" s="25">
        <f t="shared" si="8"/>
        <v>40.559999999999995</v>
      </c>
      <c r="F281" s="25"/>
      <c r="G281" s="25">
        <f t="shared" si="9"/>
        <v>40.559999999999995</v>
      </c>
      <c r="H281" s="34">
        <v>15097631</v>
      </c>
      <c r="I281" s="214" t="s">
        <v>640</v>
      </c>
      <c r="J281" s="473" t="s">
        <v>25</v>
      </c>
      <c r="K281" s="474" t="s">
        <v>26</v>
      </c>
      <c r="L281" s="22">
        <v>93262015</v>
      </c>
      <c r="M281" s="26"/>
    </row>
    <row r="282" spans="1:14" s="79" customFormat="1" x14ac:dyDescent="0.25">
      <c r="A282" s="22">
        <v>3857</v>
      </c>
      <c r="B282" s="23" t="s">
        <v>36</v>
      </c>
      <c r="C282" s="24">
        <v>508.7</v>
      </c>
      <c r="D282" s="25">
        <v>0.3</v>
      </c>
      <c r="E282" s="25">
        <f t="shared" si="8"/>
        <v>152.60999999999999</v>
      </c>
      <c r="F282" s="25">
        <v>151.45000000000002</v>
      </c>
      <c r="G282" s="25">
        <f t="shared" si="9"/>
        <v>1.1599999999999682</v>
      </c>
      <c r="H282" s="34">
        <v>28903474</v>
      </c>
      <c r="I282" s="214" t="s">
        <v>37</v>
      </c>
      <c r="J282" s="26" t="s">
        <v>17</v>
      </c>
      <c r="K282" s="26" t="s">
        <v>18</v>
      </c>
      <c r="L282" s="22">
        <v>77588901</v>
      </c>
      <c r="M282" s="461" t="s">
        <v>965</v>
      </c>
    </row>
    <row r="283" spans="1:14" s="144" customFormat="1" x14ac:dyDescent="0.25">
      <c r="A283" s="54">
        <v>3858</v>
      </c>
      <c r="B283" s="55" t="s">
        <v>641</v>
      </c>
      <c r="C283" s="56">
        <v>225</v>
      </c>
      <c r="D283" s="57">
        <v>0.3</v>
      </c>
      <c r="E283" s="57">
        <f t="shared" si="8"/>
        <v>67.5</v>
      </c>
      <c r="F283" s="57">
        <v>64.900000000000006</v>
      </c>
      <c r="G283" s="57">
        <f t="shared" si="9"/>
        <v>2.5999999999999943</v>
      </c>
      <c r="H283" s="84">
        <v>18451569</v>
      </c>
      <c r="I283" s="60" t="s">
        <v>642</v>
      </c>
      <c r="J283" s="59" t="s">
        <v>25</v>
      </c>
      <c r="K283" s="60" t="s">
        <v>26</v>
      </c>
      <c r="L283" s="54">
        <v>99298699</v>
      </c>
      <c r="M283" s="461">
        <v>46002</v>
      </c>
    </row>
    <row r="284" spans="1:14" x14ac:dyDescent="0.25">
      <c r="A284" s="22">
        <v>3859</v>
      </c>
      <c r="B284" s="33" t="s">
        <v>442</v>
      </c>
      <c r="C284" s="24">
        <v>418</v>
      </c>
      <c r="D284" s="25">
        <v>0.3</v>
      </c>
      <c r="E284" s="25">
        <f t="shared" si="8"/>
        <v>125.39999999999999</v>
      </c>
      <c r="F284" s="25"/>
      <c r="G284" s="25">
        <f t="shared" si="9"/>
        <v>125.39999999999999</v>
      </c>
      <c r="H284" s="34">
        <v>6038764</v>
      </c>
      <c r="I284" s="214" t="s">
        <v>643</v>
      </c>
      <c r="J284" s="26" t="s">
        <v>17</v>
      </c>
      <c r="K284" s="26" t="s">
        <v>18</v>
      </c>
      <c r="L284" s="22">
        <v>98525646</v>
      </c>
      <c r="M284" s="26"/>
    </row>
    <row r="285" spans="1:14" x14ac:dyDescent="0.25">
      <c r="A285" s="22">
        <v>3860</v>
      </c>
      <c r="B285" s="33" t="s">
        <v>644</v>
      </c>
      <c r="C285" s="24">
        <v>227</v>
      </c>
      <c r="D285" s="25">
        <v>0.3</v>
      </c>
      <c r="E285" s="25">
        <f t="shared" si="8"/>
        <v>68.099999999999994</v>
      </c>
      <c r="F285" s="25"/>
      <c r="G285" s="25">
        <f t="shared" si="9"/>
        <v>68.099999999999994</v>
      </c>
      <c r="H285" s="34">
        <v>6132261</v>
      </c>
      <c r="I285" s="214" t="s">
        <v>916</v>
      </c>
      <c r="J285" s="473" t="s">
        <v>25</v>
      </c>
      <c r="K285" s="474" t="s">
        <v>26</v>
      </c>
      <c r="L285" s="22">
        <v>92527857</v>
      </c>
      <c r="M285" s="26"/>
    </row>
    <row r="286" spans="1:14" x14ac:dyDescent="0.25">
      <c r="A286" s="22">
        <v>3861</v>
      </c>
      <c r="B286" s="33" t="s">
        <v>646</v>
      </c>
      <c r="C286" s="24">
        <v>284</v>
      </c>
      <c r="D286" s="25">
        <v>0.3</v>
      </c>
      <c r="E286" s="25">
        <f t="shared" si="8"/>
        <v>85.2</v>
      </c>
      <c r="F286" s="25">
        <v>80.47</v>
      </c>
      <c r="G286" s="25">
        <f t="shared" si="9"/>
        <v>4.730000000000004</v>
      </c>
      <c r="H286" s="34">
        <v>14330506</v>
      </c>
      <c r="I286" s="214" t="s">
        <v>647</v>
      </c>
      <c r="J286" s="26" t="s">
        <v>17</v>
      </c>
      <c r="K286" s="26" t="s">
        <v>18</v>
      </c>
      <c r="L286" s="22">
        <v>98187484</v>
      </c>
      <c r="M286" s="144" t="s">
        <v>968</v>
      </c>
    </row>
    <row r="287" spans="1:14" x14ac:dyDescent="0.25">
      <c r="A287" s="22">
        <v>3862</v>
      </c>
      <c r="B287" s="33" t="s">
        <v>648</v>
      </c>
      <c r="C287" s="24">
        <v>149</v>
      </c>
      <c r="D287" s="25">
        <v>0.3</v>
      </c>
      <c r="E287" s="25">
        <f t="shared" si="8"/>
        <v>44.699999999999996</v>
      </c>
      <c r="F287" s="25">
        <v>41.79</v>
      </c>
      <c r="G287" s="25">
        <f t="shared" si="9"/>
        <v>2.9099999999999966</v>
      </c>
      <c r="H287" s="34">
        <v>5892019</v>
      </c>
      <c r="I287" s="214" t="s">
        <v>649</v>
      </c>
      <c r="J287" s="473" t="s">
        <v>25</v>
      </c>
      <c r="K287" s="474" t="s">
        <v>26</v>
      </c>
      <c r="L287" s="22"/>
      <c r="M287" s="461" t="s">
        <v>965</v>
      </c>
    </row>
    <row r="288" spans="1:14" x14ac:dyDescent="0.25">
      <c r="A288" s="22">
        <v>3863</v>
      </c>
      <c r="B288" s="33" t="s">
        <v>650</v>
      </c>
      <c r="C288" s="24">
        <v>29</v>
      </c>
      <c r="D288" s="25">
        <v>0.3</v>
      </c>
      <c r="E288" s="25">
        <f t="shared" si="8"/>
        <v>8.6999999999999993</v>
      </c>
      <c r="F288" s="25"/>
      <c r="G288" s="25">
        <f t="shared" si="9"/>
        <v>8.6999999999999993</v>
      </c>
      <c r="H288" s="34">
        <v>10772417</v>
      </c>
      <c r="I288" s="214" t="s">
        <v>651</v>
      </c>
      <c r="J288" s="473" t="s">
        <v>25</v>
      </c>
      <c r="K288" s="474" t="s">
        <v>26</v>
      </c>
      <c r="L288" s="22"/>
      <c r="M288" s="26"/>
    </row>
    <row r="289" spans="1:17" x14ac:dyDescent="0.25">
      <c r="A289" s="22">
        <v>3864</v>
      </c>
      <c r="B289" s="33" t="s">
        <v>652</v>
      </c>
      <c r="C289" s="24">
        <v>163.5</v>
      </c>
      <c r="D289" s="25">
        <v>0.3</v>
      </c>
      <c r="E289" s="25">
        <f t="shared" si="8"/>
        <v>49.05</v>
      </c>
      <c r="F289" s="25">
        <v>44.99</v>
      </c>
      <c r="G289" s="25">
        <f t="shared" si="9"/>
        <v>4.0599999999999952</v>
      </c>
      <c r="H289" s="34">
        <v>6493803</v>
      </c>
      <c r="I289" s="214" t="s">
        <v>653</v>
      </c>
      <c r="J289" s="26" t="s">
        <v>17</v>
      </c>
      <c r="K289" s="26" t="s">
        <v>18</v>
      </c>
      <c r="L289" s="22">
        <v>99810408</v>
      </c>
      <c r="M289" s="61" t="s">
        <v>966</v>
      </c>
    </row>
    <row r="290" spans="1:17" s="144" customFormat="1" x14ac:dyDescent="0.25">
      <c r="A290" s="54">
        <v>3865</v>
      </c>
      <c r="B290" s="55" t="s">
        <v>654</v>
      </c>
      <c r="C290" s="56">
        <v>459.4</v>
      </c>
      <c r="D290" s="57">
        <v>0.3</v>
      </c>
      <c r="E290" s="57">
        <f t="shared" si="8"/>
        <v>137.82</v>
      </c>
      <c r="F290" s="57">
        <f>1.81999999999999+135.05</f>
        <v>136.87</v>
      </c>
      <c r="G290" s="57">
        <f t="shared" si="9"/>
        <v>0.94999999999998863</v>
      </c>
      <c r="H290" s="84">
        <v>15219317</v>
      </c>
      <c r="I290" s="60" t="s">
        <v>655</v>
      </c>
      <c r="J290" s="59" t="s">
        <v>25</v>
      </c>
      <c r="K290" s="60" t="s">
        <v>26</v>
      </c>
      <c r="L290" s="54"/>
      <c r="M290" s="461">
        <v>46002</v>
      </c>
      <c r="N290" s="61" t="s">
        <v>970</v>
      </c>
    </row>
    <row r="291" spans="1:17" x14ac:dyDescent="0.25">
      <c r="A291" s="22">
        <v>3866</v>
      </c>
      <c r="B291" s="33" t="s">
        <v>656</v>
      </c>
      <c r="C291" s="24">
        <v>171.7</v>
      </c>
      <c r="D291" s="25">
        <v>0.3</v>
      </c>
      <c r="E291" s="25">
        <f t="shared" si="8"/>
        <v>51.51</v>
      </c>
      <c r="F291" s="25"/>
      <c r="G291" s="25">
        <f t="shared" si="9"/>
        <v>51.51</v>
      </c>
      <c r="H291" s="34">
        <v>11772662</v>
      </c>
      <c r="I291" s="214" t="s">
        <v>657</v>
      </c>
      <c r="J291" s="473" t="s">
        <v>25</v>
      </c>
      <c r="K291" s="474" t="s">
        <v>26</v>
      </c>
      <c r="L291" s="22"/>
      <c r="M291" s="26"/>
    </row>
    <row r="292" spans="1:17" x14ac:dyDescent="0.25">
      <c r="A292" s="22">
        <v>3867</v>
      </c>
      <c r="B292" s="33" t="s">
        <v>658</v>
      </c>
      <c r="C292" s="24">
        <v>225</v>
      </c>
      <c r="D292" s="25">
        <v>0.3</v>
      </c>
      <c r="E292" s="25">
        <f t="shared" si="8"/>
        <v>67.5</v>
      </c>
      <c r="F292" s="25"/>
      <c r="G292" s="25">
        <f t="shared" si="9"/>
        <v>67.5</v>
      </c>
      <c r="H292" s="34">
        <v>18189491</v>
      </c>
      <c r="I292" s="214" t="s">
        <v>659</v>
      </c>
      <c r="J292" s="473" t="s">
        <v>25</v>
      </c>
      <c r="K292" s="474" t="s">
        <v>26</v>
      </c>
      <c r="L292" s="22">
        <v>92236482</v>
      </c>
      <c r="M292" s="26"/>
    </row>
    <row r="293" spans="1:17" x14ac:dyDescent="0.25">
      <c r="A293" s="22">
        <v>3868</v>
      </c>
      <c r="B293" s="33" t="s">
        <v>660</v>
      </c>
      <c r="C293" s="24">
        <v>151.1</v>
      </c>
      <c r="D293" s="25">
        <v>0.3</v>
      </c>
      <c r="E293" s="25">
        <f t="shared" si="8"/>
        <v>45.33</v>
      </c>
      <c r="F293" s="25"/>
      <c r="G293" s="25">
        <f t="shared" si="9"/>
        <v>45.33</v>
      </c>
      <c r="H293" s="34">
        <v>23619706</v>
      </c>
      <c r="I293" s="214" t="s">
        <v>661</v>
      </c>
      <c r="J293" s="473" t="s">
        <v>25</v>
      </c>
      <c r="K293" s="474" t="s">
        <v>26</v>
      </c>
      <c r="L293" s="22">
        <v>93392527</v>
      </c>
      <c r="M293" s="26"/>
    </row>
    <row r="294" spans="1:17" s="144" customFormat="1" x14ac:dyDescent="0.25">
      <c r="A294" s="54">
        <v>3869</v>
      </c>
      <c r="B294" s="55" t="s">
        <v>662</v>
      </c>
      <c r="C294" s="56">
        <v>167.1</v>
      </c>
      <c r="D294" s="57">
        <v>0.3</v>
      </c>
      <c r="E294" s="57">
        <f t="shared" si="8"/>
        <v>50.129999999999995</v>
      </c>
      <c r="F294" s="57">
        <v>47.28</v>
      </c>
      <c r="G294" s="57">
        <f t="shared" si="9"/>
        <v>2.8499999999999943</v>
      </c>
      <c r="H294" s="84">
        <v>1265569</v>
      </c>
      <c r="I294" s="60" t="s">
        <v>663</v>
      </c>
      <c r="J294" s="59" t="s">
        <v>25</v>
      </c>
      <c r="K294" s="60" t="s">
        <v>26</v>
      </c>
      <c r="L294" s="54">
        <v>93392527</v>
      </c>
      <c r="M294" s="461">
        <v>46002</v>
      </c>
    </row>
    <row r="295" spans="1:17" x14ac:dyDescent="0.25">
      <c r="A295" s="22">
        <v>3870</v>
      </c>
      <c r="B295" s="33" t="s">
        <v>664</v>
      </c>
      <c r="C295" s="24">
        <v>657.7</v>
      </c>
      <c r="D295" s="25">
        <v>0.3</v>
      </c>
      <c r="E295" s="25">
        <f t="shared" si="8"/>
        <v>197.31</v>
      </c>
      <c r="F295" s="25">
        <v>195.76</v>
      </c>
      <c r="G295" s="25">
        <f t="shared" si="9"/>
        <v>1.5500000000000114</v>
      </c>
      <c r="H295" s="34">
        <v>7138058</v>
      </c>
      <c r="I295" s="214" t="s">
        <v>665</v>
      </c>
      <c r="J295" s="26" t="s">
        <v>17</v>
      </c>
      <c r="K295" s="26" t="s">
        <v>18</v>
      </c>
      <c r="L295" s="22">
        <v>98187475</v>
      </c>
      <c r="M295" s="26" t="s">
        <v>972</v>
      </c>
    </row>
    <row r="296" spans="1:17" s="144" customFormat="1" x14ac:dyDescent="0.25">
      <c r="A296" s="54">
        <v>3871</v>
      </c>
      <c r="B296" s="55" t="s">
        <v>38</v>
      </c>
      <c r="C296" s="56">
        <v>490.2</v>
      </c>
      <c r="D296" s="57">
        <v>0.3</v>
      </c>
      <c r="E296" s="57">
        <f t="shared" si="8"/>
        <v>147.06</v>
      </c>
      <c r="F296" s="57">
        <v>145.88</v>
      </c>
      <c r="G296" s="57">
        <f t="shared" si="9"/>
        <v>1.1800000000000068</v>
      </c>
      <c r="H296" s="84">
        <v>6920684</v>
      </c>
      <c r="I296" s="60" t="s">
        <v>39</v>
      </c>
      <c r="J296" s="61" t="s">
        <v>17</v>
      </c>
      <c r="K296" s="61" t="s">
        <v>18</v>
      </c>
      <c r="L296" s="54"/>
      <c r="M296" s="461" t="s">
        <v>965</v>
      </c>
    </row>
    <row r="297" spans="1:17" x14ac:dyDescent="0.25">
      <c r="A297" s="22">
        <v>3872</v>
      </c>
      <c r="B297" s="33" t="s">
        <v>666</v>
      </c>
      <c r="C297" s="24">
        <v>374.7</v>
      </c>
      <c r="D297" s="25">
        <v>0.3</v>
      </c>
      <c r="E297" s="25">
        <f t="shared" si="8"/>
        <v>112.41</v>
      </c>
      <c r="F297" s="25">
        <v>112.21</v>
      </c>
      <c r="G297" s="25">
        <f t="shared" si="9"/>
        <v>0.20000000000000284</v>
      </c>
      <c r="H297" s="34">
        <v>5546892</v>
      </c>
      <c r="I297" s="214" t="s">
        <v>667</v>
      </c>
      <c r="J297" s="26" t="s">
        <v>17</v>
      </c>
      <c r="K297" s="26" t="s">
        <v>18</v>
      </c>
      <c r="L297" s="22">
        <v>93117757</v>
      </c>
      <c r="M297" s="461" t="s">
        <v>965</v>
      </c>
    </row>
    <row r="298" spans="1:17" x14ac:dyDescent="0.25">
      <c r="A298" s="22">
        <v>3873</v>
      </c>
      <c r="B298" s="33" t="s">
        <v>668</v>
      </c>
      <c r="C298" s="24">
        <v>401.8</v>
      </c>
      <c r="D298" s="25">
        <v>0.3</v>
      </c>
      <c r="E298" s="25">
        <f t="shared" si="8"/>
        <v>120.53999999999999</v>
      </c>
      <c r="F298" s="25">
        <f>1.89</f>
        <v>1.89</v>
      </c>
      <c r="G298" s="25">
        <f t="shared" si="9"/>
        <v>118.64999999999999</v>
      </c>
      <c r="H298" s="34">
        <v>6560744</v>
      </c>
      <c r="I298" s="214" t="s">
        <v>669</v>
      </c>
      <c r="J298" s="473" t="s">
        <v>25</v>
      </c>
      <c r="K298" s="474" t="s">
        <v>26</v>
      </c>
      <c r="L298" s="22">
        <v>99291997</v>
      </c>
      <c r="M298" s="461">
        <v>45700</v>
      </c>
    </row>
    <row r="299" spans="1:17" x14ac:dyDescent="0.25">
      <c r="A299" s="22">
        <v>3874</v>
      </c>
      <c r="B299" s="33" t="s">
        <v>670</v>
      </c>
      <c r="C299" s="24">
        <v>271</v>
      </c>
      <c r="D299" s="25">
        <v>0.3</v>
      </c>
      <c r="E299" s="25">
        <f t="shared" si="8"/>
        <v>81.3</v>
      </c>
      <c r="F299" s="25"/>
      <c r="G299" s="25">
        <f t="shared" si="9"/>
        <v>81.3</v>
      </c>
      <c r="H299" s="34">
        <v>8105354</v>
      </c>
      <c r="I299" s="214" t="s">
        <v>671</v>
      </c>
      <c r="J299" s="473" t="s">
        <v>25</v>
      </c>
      <c r="K299" s="474" t="s">
        <v>26</v>
      </c>
      <c r="L299" s="22">
        <v>96249000</v>
      </c>
      <c r="M299" s="26"/>
    </row>
    <row r="300" spans="1:17" x14ac:dyDescent="0.25">
      <c r="A300" s="22">
        <v>3875</v>
      </c>
      <c r="B300" s="33" t="s">
        <v>672</v>
      </c>
      <c r="C300" s="24">
        <v>294</v>
      </c>
      <c r="D300" s="25">
        <v>0.3</v>
      </c>
      <c r="E300" s="25">
        <f t="shared" si="8"/>
        <v>88.2</v>
      </c>
      <c r="F300" s="25"/>
      <c r="G300" s="25">
        <f t="shared" si="9"/>
        <v>88.2</v>
      </c>
      <c r="H300" s="34">
        <v>1345289</v>
      </c>
      <c r="I300" s="214" t="s">
        <v>673</v>
      </c>
      <c r="J300" s="473" t="s">
        <v>25</v>
      </c>
      <c r="K300" s="474" t="s">
        <v>26</v>
      </c>
      <c r="L300" s="22">
        <v>99495936</v>
      </c>
      <c r="M300" s="26"/>
    </row>
    <row r="301" spans="1:17" x14ac:dyDescent="0.25">
      <c r="A301" s="22">
        <v>3876</v>
      </c>
      <c r="B301" s="33" t="s">
        <v>674</v>
      </c>
      <c r="C301" s="24">
        <v>315</v>
      </c>
      <c r="D301" s="25">
        <v>0.3</v>
      </c>
      <c r="E301" s="25">
        <f t="shared" si="8"/>
        <v>94.5</v>
      </c>
      <c r="F301" s="25">
        <v>90.97</v>
      </c>
      <c r="G301" s="25">
        <f t="shared" si="9"/>
        <v>3.5300000000000011</v>
      </c>
      <c r="H301" s="34">
        <v>4767948</v>
      </c>
      <c r="I301" s="214" t="s">
        <v>675</v>
      </c>
      <c r="J301" s="26" t="s">
        <v>17</v>
      </c>
      <c r="K301" s="26" t="s">
        <v>18</v>
      </c>
      <c r="L301" s="22"/>
      <c r="M301" s="461" t="s">
        <v>965</v>
      </c>
    </row>
    <row r="302" spans="1:17" s="144" customFormat="1" x14ac:dyDescent="0.25">
      <c r="A302" s="54">
        <v>3877</v>
      </c>
      <c r="B302" s="55" t="s">
        <v>41</v>
      </c>
      <c r="C302" s="56">
        <v>224.7</v>
      </c>
      <c r="D302" s="57">
        <v>0.3</v>
      </c>
      <c r="E302" s="57">
        <f t="shared" si="8"/>
        <v>67.41</v>
      </c>
      <c r="F302" s="57">
        <f>1.67999999999998+62.05</f>
        <v>63.729999999999976</v>
      </c>
      <c r="G302" s="57">
        <f t="shared" si="9"/>
        <v>3.680000000000021</v>
      </c>
      <c r="H302" s="84">
        <v>14897254</v>
      </c>
      <c r="I302" s="60" t="s">
        <v>42</v>
      </c>
      <c r="J302" s="61" t="s">
        <v>43</v>
      </c>
      <c r="K302" s="60" t="s">
        <v>44</v>
      </c>
      <c r="L302" s="54">
        <v>92226297</v>
      </c>
      <c r="M302" s="461">
        <v>45971</v>
      </c>
      <c r="N302" s="61" t="s">
        <v>966</v>
      </c>
    </row>
    <row r="303" spans="1:17" x14ac:dyDescent="0.25">
      <c r="A303" s="22">
        <v>3878</v>
      </c>
      <c r="B303" s="33" t="s">
        <v>676</v>
      </c>
      <c r="C303" s="24">
        <v>221</v>
      </c>
      <c r="D303" s="25">
        <v>0.3</v>
      </c>
      <c r="E303" s="25">
        <f t="shared" si="8"/>
        <v>66.3</v>
      </c>
      <c r="F303" s="25"/>
      <c r="G303" s="25">
        <f t="shared" si="9"/>
        <v>66.3</v>
      </c>
      <c r="H303" s="34">
        <v>22687078</v>
      </c>
      <c r="I303" s="214" t="s">
        <v>677</v>
      </c>
      <c r="J303" s="216" t="s">
        <v>75</v>
      </c>
      <c r="K303" s="26" t="s">
        <v>76</v>
      </c>
      <c r="L303" s="22">
        <v>92338070</v>
      </c>
      <c r="M303" s="26"/>
    </row>
    <row r="304" spans="1:17" s="144" customFormat="1" x14ac:dyDescent="0.25">
      <c r="A304" s="54">
        <v>3879</v>
      </c>
      <c r="B304" s="55" t="s">
        <v>678</v>
      </c>
      <c r="C304" s="56">
        <v>89.8</v>
      </c>
      <c r="D304" s="57">
        <v>0.3</v>
      </c>
      <c r="E304" s="57">
        <f t="shared" si="8"/>
        <v>26.939999999999998</v>
      </c>
      <c r="F304" s="57">
        <f>9.86+14.85</f>
        <v>24.71</v>
      </c>
      <c r="G304" s="57">
        <f t="shared" si="9"/>
        <v>2.2299999999999969</v>
      </c>
      <c r="H304" s="84">
        <v>23178497</v>
      </c>
      <c r="I304" s="60" t="s">
        <v>679</v>
      </c>
      <c r="J304" s="59" t="s">
        <v>25</v>
      </c>
      <c r="K304" s="60" t="s">
        <v>26</v>
      </c>
      <c r="L304" s="54"/>
      <c r="M304" s="61" t="s">
        <v>928</v>
      </c>
      <c r="N304" s="530" t="s">
        <v>945</v>
      </c>
      <c r="O304" s="530"/>
      <c r="P304" s="530"/>
      <c r="Q304" s="503">
        <v>45759</v>
      </c>
    </row>
    <row r="305" spans="1:13" x14ac:dyDescent="0.25">
      <c r="A305" s="22">
        <v>3880</v>
      </c>
      <c r="B305" s="33" t="s">
        <v>680</v>
      </c>
      <c r="C305" s="24">
        <v>596.5</v>
      </c>
      <c r="D305" s="25">
        <v>0.3</v>
      </c>
      <c r="E305" s="25">
        <f t="shared" si="8"/>
        <v>178.95</v>
      </c>
      <c r="F305" s="25"/>
      <c r="G305" s="25">
        <f t="shared" si="9"/>
        <v>178.95</v>
      </c>
      <c r="H305" s="34">
        <v>6370697</v>
      </c>
      <c r="I305" s="214" t="s">
        <v>681</v>
      </c>
      <c r="J305" s="473" t="s">
        <v>25</v>
      </c>
      <c r="K305" s="474" t="s">
        <v>26</v>
      </c>
      <c r="L305" s="22">
        <v>99239896</v>
      </c>
      <c r="M305" s="26"/>
    </row>
    <row r="306" spans="1:13" s="144" customFormat="1" x14ac:dyDescent="0.25">
      <c r="A306" s="54">
        <v>3882</v>
      </c>
      <c r="B306" s="55" t="s">
        <v>684</v>
      </c>
      <c r="C306" s="56">
        <v>252.5</v>
      </c>
      <c r="D306" s="57">
        <v>0.3</v>
      </c>
      <c r="E306" s="57">
        <f t="shared" si="8"/>
        <v>75.75</v>
      </c>
      <c r="F306" s="57">
        <v>71.83</v>
      </c>
      <c r="G306" s="57">
        <f t="shared" si="9"/>
        <v>3.9200000000000017</v>
      </c>
      <c r="H306" s="84">
        <v>26752992</v>
      </c>
      <c r="I306" s="60" t="s">
        <v>685</v>
      </c>
      <c r="J306" s="59" t="s">
        <v>210</v>
      </c>
      <c r="K306" s="60" t="s">
        <v>211</v>
      </c>
      <c r="L306" s="54"/>
      <c r="M306" s="61" t="s">
        <v>970</v>
      </c>
    </row>
    <row r="307" spans="1:13" x14ac:dyDescent="0.25">
      <c r="A307" s="22">
        <v>3884</v>
      </c>
      <c r="B307" s="33" t="s">
        <v>688</v>
      </c>
      <c r="C307" s="24">
        <v>122.8</v>
      </c>
      <c r="D307" s="25">
        <v>0.3</v>
      </c>
      <c r="E307" s="25">
        <f t="shared" si="8"/>
        <v>36.839999999999996</v>
      </c>
      <c r="F307" s="25"/>
      <c r="G307" s="25">
        <f t="shared" si="9"/>
        <v>36.839999999999996</v>
      </c>
      <c r="H307" s="34">
        <v>22716378</v>
      </c>
      <c r="I307" s="214" t="s">
        <v>689</v>
      </c>
      <c r="J307" s="473" t="s">
        <v>25</v>
      </c>
      <c r="K307" s="474" t="s">
        <v>26</v>
      </c>
      <c r="L307" s="22"/>
      <c r="M307" s="26"/>
    </row>
    <row r="308" spans="1:13" x14ac:dyDescent="0.25">
      <c r="A308" s="22">
        <v>3885</v>
      </c>
      <c r="B308" s="33" t="s">
        <v>690</v>
      </c>
      <c r="C308" s="24">
        <v>155.69999999999999</v>
      </c>
      <c r="D308" s="25">
        <v>0.3</v>
      </c>
      <c r="E308" s="25">
        <f t="shared" si="8"/>
        <v>46.709999999999994</v>
      </c>
      <c r="F308" s="25"/>
      <c r="G308" s="25">
        <f t="shared" si="9"/>
        <v>46.709999999999994</v>
      </c>
      <c r="H308" s="34">
        <v>9920479</v>
      </c>
      <c r="I308" s="214" t="s">
        <v>691</v>
      </c>
      <c r="J308" s="473" t="s">
        <v>326</v>
      </c>
      <c r="K308" s="474" t="s">
        <v>327</v>
      </c>
      <c r="L308" s="22"/>
      <c r="M308" s="26"/>
    </row>
    <row r="309" spans="1:13" x14ac:dyDescent="0.25">
      <c r="A309" s="22">
        <v>3886</v>
      </c>
      <c r="B309" s="33" t="s">
        <v>692</v>
      </c>
      <c r="C309" s="24">
        <v>263</v>
      </c>
      <c r="D309" s="25">
        <v>0.3</v>
      </c>
      <c r="E309" s="25">
        <f t="shared" si="8"/>
        <v>78.899999999999991</v>
      </c>
      <c r="F309" s="25"/>
      <c r="G309" s="25">
        <f t="shared" si="9"/>
        <v>78.899999999999991</v>
      </c>
      <c r="H309" s="34">
        <v>21941594</v>
      </c>
      <c r="I309" s="214" t="s">
        <v>693</v>
      </c>
      <c r="J309" s="473" t="s">
        <v>25</v>
      </c>
      <c r="K309" s="474" t="s">
        <v>26</v>
      </c>
      <c r="L309" s="22">
        <v>92094818</v>
      </c>
      <c r="M309" s="26"/>
    </row>
    <row r="310" spans="1:13" s="144" customFormat="1" x14ac:dyDescent="0.25">
      <c r="A310" s="54">
        <v>3887</v>
      </c>
      <c r="B310" s="55" t="s">
        <v>694</v>
      </c>
      <c r="C310" s="56">
        <v>124.2</v>
      </c>
      <c r="D310" s="57">
        <v>0.3</v>
      </c>
      <c r="E310" s="57">
        <f t="shared" si="8"/>
        <v>37.26</v>
      </c>
      <c r="F310" s="57">
        <v>36.700000000000003</v>
      </c>
      <c r="G310" s="57">
        <f t="shared" si="9"/>
        <v>0.55999999999999517</v>
      </c>
      <c r="H310" s="84">
        <v>13204809</v>
      </c>
      <c r="I310" s="60" t="s">
        <v>695</v>
      </c>
      <c r="J310" s="59" t="s">
        <v>25</v>
      </c>
      <c r="K310" s="60" t="s">
        <v>26</v>
      </c>
      <c r="L310" s="54">
        <v>93332329</v>
      </c>
      <c r="M310" s="461">
        <v>46002</v>
      </c>
    </row>
    <row r="311" spans="1:13" x14ac:dyDescent="0.25">
      <c r="A311" s="22">
        <v>3888</v>
      </c>
      <c r="B311" s="33" t="s">
        <v>696</v>
      </c>
      <c r="C311" s="24">
        <v>297.5</v>
      </c>
      <c r="D311" s="25">
        <v>0.3</v>
      </c>
      <c r="E311" s="25">
        <f t="shared" si="8"/>
        <v>89.25</v>
      </c>
      <c r="F311" s="25"/>
      <c r="G311" s="25">
        <f t="shared" si="9"/>
        <v>89.25</v>
      </c>
      <c r="H311" s="34">
        <v>1808869</v>
      </c>
      <c r="I311" s="214" t="s">
        <v>697</v>
      </c>
      <c r="J311" s="26" t="s">
        <v>17</v>
      </c>
      <c r="K311" s="26" t="s">
        <v>18</v>
      </c>
      <c r="L311" s="22">
        <v>98003381</v>
      </c>
      <c r="M311" s="26"/>
    </row>
    <row r="312" spans="1:13" s="144" customFormat="1" x14ac:dyDescent="0.25">
      <c r="A312" s="54">
        <v>3889</v>
      </c>
      <c r="B312" s="55" t="s">
        <v>698</v>
      </c>
      <c r="C312" s="56">
        <v>291.5</v>
      </c>
      <c r="D312" s="57">
        <v>0.3</v>
      </c>
      <c r="E312" s="57">
        <f t="shared" si="8"/>
        <v>87.45</v>
      </c>
      <c r="F312" s="57">
        <f>83.95</f>
        <v>83.95</v>
      </c>
      <c r="G312" s="57">
        <f t="shared" si="9"/>
        <v>3.5</v>
      </c>
      <c r="H312" s="84">
        <v>6499103</v>
      </c>
      <c r="I312" s="60" t="s">
        <v>699</v>
      </c>
      <c r="J312" s="59" t="s">
        <v>25</v>
      </c>
      <c r="K312" s="60" t="s">
        <v>26</v>
      </c>
      <c r="L312" s="54">
        <v>98200299</v>
      </c>
      <c r="M312" s="461" t="s">
        <v>965</v>
      </c>
    </row>
    <row r="313" spans="1:13" x14ac:dyDescent="0.25">
      <c r="A313" s="38"/>
      <c r="B313" s="39" t="s">
        <v>45</v>
      </c>
      <c r="C313" s="42">
        <f>SUM(C4:C312)</f>
        <v>90219.899999999951</v>
      </c>
      <c r="D313" s="41"/>
      <c r="E313" s="42">
        <f>SUM(E4:E312)</f>
        <v>27065.97</v>
      </c>
      <c r="F313" s="42">
        <f t="shared" ref="F313:G313" si="10">SUM(F4:F312)</f>
        <v>14860.094000000003</v>
      </c>
      <c r="G313" s="42">
        <f t="shared" si="10"/>
        <v>12205.876</v>
      </c>
      <c r="H313" s="42" t="s">
        <v>719</v>
      </c>
      <c r="I313" s="43"/>
      <c r="J313" s="43"/>
      <c r="K313" s="43"/>
      <c r="L313" s="44"/>
      <c r="M313" s="44"/>
    </row>
    <row r="314" spans="1:13" x14ac:dyDescent="0.25">
      <c r="C314" s="472"/>
    </row>
    <row r="315" spans="1:13" x14ac:dyDescent="0.25">
      <c r="C315" s="150"/>
    </row>
  </sheetData>
  <autoFilter ref="A3:M313" xr:uid="{83701BBE-2B53-418C-8B7D-AB685A5CA84B}"/>
  <conditionalFormatting sqref="I24">
    <cfRule type="duplicateValues" dxfId="55" priority="17"/>
  </conditionalFormatting>
  <conditionalFormatting sqref="I31">
    <cfRule type="duplicateValues" dxfId="54" priority="18"/>
  </conditionalFormatting>
  <conditionalFormatting sqref="I37">
    <cfRule type="duplicateValues" dxfId="53" priority="19"/>
  </conditionalFormatting>
  <conditionalFormatting sqref="I47">
    <cfRule type="duplicateValues" dxfId="52" priority="10"/>
  </conditionalFormatting>
  <conditionalFormatting sqref="I48">
    <cfRule type="duplicateValues" dxfId="51" priority="11"/>
  </conditionalFormatting>
  <conditionalFormatting sqref="I49">
    <cfRule type="duplicateValues" dxfId="50" priority="12"/>
  </conditionalFormatting>
  <conditionalFormatting sqref="I56">
    <cfRule type="duplicateValues" dxfId="49" priority="13"/>
  </conditionalFormatting>
  <conditionalFormatting sqref="I59">
    <cfRule type="duplicateValues" dxfId="48" priority="14"/>
  </conditionalFormatting>
  <conditionalFormatting sqref="I69">
    <cfRule type="duplicateValues" dxfId="47" priority="15"/>
  </conditionalFormatting>
  <conditionalFormatting sqref="I95">
    <cfRule type="duplicateValues" dxfId="46" priority="16"/>
  </conditionalFormatting>
  <conditionalFormatting sqref="I105">
    <cfRule type="duplicateValues" dxfId="45" priority="1"/>
  </conditionalFormatting>
  <conditionalFormatting sqref="I106">
    <cfRule type="duplicateValues" dxfId="44" priority="2"/>
  </conditionalFormatting>
  <conditionalFormatting sqref="I112">
    <cfRule type="duplicateValues" dxfId="43" priority="3"/>
  </conditionalFormatting>
  <conditionalFormatting sqref="I131">
    <cfRule type="duplicateValues" dxfId="42" priority="4"/>
  </conditionalFormatting>
  <conditionalFormatting sqref="I132">
    <cfRule type="duplicateValues" dxfId="41" priority="5"/>
  </conditionalFormatting>
  <conditionalFormatting sqref="J60">
    <cfRule type="duplicateValues" dxfId="40" priority="6"/>
  </conditionalFormatting>
  <conditionalFormatting sqref="J96">
    <cfRule type="duplicateValues" dxfId="39" priority="8"/>
  </conditionalFormatting>
  <conditionalFormatting sqref="L60">
    <cfRule type="duplicateValues" dxfId="38" priority="7"/>
  </conditionalFormatting>
  <pageMargins left="0.7" right="0.7" top="0.75" bottom="0.75" header="0.3" footer="0.3"/>
  <pageSetup paperSize="9" scale="4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800C-DF34-473F-9F51-A11C6F0A2398}">
  <dimension ref="A1:Q315"/>
  <sheetViews>
    <sheetView view="pageBreakPreview" zoomScaleNormal="100" zoomScaleSheetLayoutView="100" workbookViewId="0">
      <pane xSplit="1" topLeftCell="B1" activePane="topRight" state="frozen"/>
      <selection pane="topRight" activeCell="G3" sqref="G3"/>
    </sheetView>
  </sheetViews>
  <sheetFormatPr defaultRowHeight="15" x14ac:dyDescent="0.25"/>
  <cols>
    <col min="1" max="1" width="60.42578125" bestFit="1" customWidth="1"/>
    <col min="2" max="2" width="38.42578125" bestFit="1" customWidth="1"/>
    <col min="3" max="3" width="12.140625" customWidth="1"/>
    <col min="4" max="4" width="9.28515625" bestFit="1" customWidth="1"/>
    <col min="5" max="7" width="13.5703125" customWidth="1"/>
    <col min="8" max="8" width="13" bestFit="1" customWidth="1"/>
    <col min="9" max="9" width="19" hidden="1" customWidth="1"/>
    <col min="10" max="10" width="18.140625" hidden="1" customWidth="1"/>
    <col min="11" max="11" width="13.42578125" hidden="1" customWidth="1"/>
    <col min="12" max="12" width="13" hidden="1" customWidth="1"/>
  </cols>
  <sheetData>
    <row r="1" spans="1:13" x14ac:dyDescent="0.25">
      <c r="A1" s="142" t="s">
        <v>969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7" x14ac:dyDescent="0.25">
      <c r="A3" s="14" t="s">
        <v>2</v>
      </c>
      <c r="B3" s="15" t="s">
        <v>3</v>
      </c>
      <c r="C3" s="16" t="s">
        <v>4</v>
      </c>
      <c r="D3" s="14" t="s">
        <v>5</v>
      </c>
      <c r="E3" s="14" t="s">
        <v>6</v>
      </c>
      <c r="F3" s="14"/>
      <c r="G3" s="14" t="s">
        <v>704</v>
      </c>
      <c r="H3" s="17" t="s">
        <v>9</v>
      </c>
      <c r="I3" s="18" t="s">
        <v>10</v>
      </c>
      <c r="J3" s="18" t="s">
        <v>11</v>
      </c>
      <c r="K3" s="19" t="s">
        <v>12</v>
      </c>
      <c r="L3" s="20" t="s">
        <v>13</v>
      </c>
      <c r="M3" s="21" t="s">
        <v>14</v>
      </c>
    </row>
    <row r="4" spans="1:13" x14ac:dyDescent="0.25">
      <c r="A4" s="457">
        <v>1108</v>
      </c>
      <c r="B4" s="33" t="s">
        <v>49</v>
      </c>
      <c r="C4" s="45">
        <v>519.5</v>
      </c>
      <c r="D4" s="25">
        <v>0.3</v>
      </c>
      <c r="E4" s="25">
        <f t="shared" ref="E4:E67" si="0">D4*C4</f>
        <v>155.85</v>
      </c>
      <c r="F4" s="25"/>
      <c r="G4" s="25">
        <f>E4-F4</f>
        <v>155.85</v>
      </c>
      <c r="H4" s="458">
        <v>15218386</v>
      </c>
      <c r="I4" s="473" t="s">
        <v>50</v>
      </c>
      <c r="J4" s="473" t="s">
        <v>25</v>
      </c>
      <c r="K4" s="214" t="s">
        <v>26</v>
      </c>
      <c r="L4" s="458">
        <v>92776884</v>
      </c>
      <c r="M4" s="26"/>
    </row>
    <row r="5" spans="1:13" s="144" customFormat="1" x14ac:dyDescent="0.25">
      <c r="A5" s="54">
        <v>1390</v>
      </c>
      <c r="B5" s="55" t="s">
        <v>51</v>
      </c>
      <c r="C5" s="56">
        <v>27.5</v>
      </c>
      <c r="D5" s="57">
        <v>0.3</v>
      </c>
      <c r="E5" s="57">
        <f t="shared" si="0"/>
        <v>8.25</v>
      </c>
      <c r="F5" s="57">
        <f>E5</f>
        <v>8.25</v>
      </c>
      <c r="G5" s="57">
        <f t="shared" ref="G5:G68" si="1">E5-F5</f>
        <v>0</v>
      </c>
      <c r="H5" s="54">
        <v>12181822</v>
      </c>
      <c r="I5" s="59" t="s">
        <v>52</v>
      </c>
      <c r="J5" s="59" t="s">
        <v>25</v>
      </c>
      <c r="K5" s="60" t="s">
        <v>26</v>
      </c>
      <c r="L5" s="54">
        <v>92442060</v>
      </c>
      <c r="M5" s="61"/>
    </row>
    <row r="6" spans="1:13" s="79" customFormat="1" x14ac:dyDescent="0.25">
      <c r="A6" s="22">
        <v>1399</v>
      </c>
      <c r="B6" s="23" t="s">
        <v>53</v>
      </c>
      <c r="C6" s="24">
        <v>37.1</v>
      </c>
      <c r="D6" s="25">
        <v>0.3</v>
      </c>
      <c r="E6" s="25">
        <f t="shared" si="0"/>
        <v>11.13</v>
      </c>
      <c r="F6" s="25"/>
      <c r="G6" s="25">
        <f t="shared" si="1"/>
        <v>11.13</v>
      </c>
      <c r="H6" s="34">
        <v>10065546</v>
      </c>
      <c r="I6" s="214" t="s">
        <v>54</v>
      </c>
      <c r="J6" s="215" t="s">
        <v>43</v>
      </c>
      <c r="K6" s="214" t="s">
        <v>44</v>
      </c>
      <c r="L6" s="22"/>
      <c r="M6" s="26"/>
    </row>
    <row r="7" spans="1:13" s="79" customFormat="1" x14ac:dyDescent="0.25">
      <c r="A7" s="22">
        <v>1422</v>
      </c>
      <c r="B7" s="23" t="s">
        <v>56</v>
      </c>
      <c r="C7" s="29"/>
      <c r="D7" s="25">
        <v>0.3</v>
      </c>
      <c r="E7" s="25">
        <f t="shared" si="0"/>
        <v>0</v>
      </c>
      <c r="F7" s="25"/>
      <c r="G7" s="25">
        <f t="shared" si="1"/>
        <v>0</v>
      </c>
      <c r="H7" s="46">
        <v>3280016</v>
      </c>
      <c r="I7" s="215" t="s">
        <v>57</v>
      </c>
      <c r="J7" s="215" t="s">
        <v>25</v>
      </c>
      <c r="K7" s="214" t="s">
        <v>26</v>
      </c>
      <c r="L7" s="46"/>
      <c r="M7" s="26" t="s">
        <v>719</v>
      </c>
    </row>
    <row r="8" spans="1:13" s="79" customFormat="1" x14ac:dyDescent="0.25">
      <c r="A8" s="22">
        <v>1424</v>
      </c>
      <c r="B8" s="23" t="s">
        <v>58</v>
      </c>
      <c r="C8" s="29"/>
      <c r="D8" s="25">
        <v>0.3</v>
      </c>
      <c r="E8" s="25">
        <f t="shared" si="0"/>
        <v>0</v>
      </c>
      <c r="F8" s="25"/>
      <c r="G8" s="25">
        <f t="shared" si="1"/>
        <v>0</v>
      </c>
      <c r="H8" s="46">
        <v>748395</v>
      </c>
      <c r="I8" s="216" t="s">
        <v>59</v>
      </c>
      <c r="J8" s="26" t="s">
        <v>17</v>
      </c>
      <c r="K8" s="26" t="s">
        <v>18</v>
      </c>
      <c r="L8" s="46">
        <v>93011211</v>
      </c>
      <c r="M8" s="26"/>
    </row>
    <row r="9" spans="1:13" s="79" customFormat="1" x14ac:dyDescent="0.25">
      <c r="A9" s="22">
        <v>1429</v>
      </c>
      <c r="B9" s="23" t="s">
        <v>60</v>
      </c>
      <c r="C9" s="29"/>
      <c r="D9" s="25">
        <v>0.3</v>
      </c>
      <c r="E9" s="25">
        <f t="shared" si="0"/>
        <v>0</v>
      </c>
      <c r="F9" s="25"/>
      <c r="G9" s="25">
        <f t="shared" si="1"/>
        <v>0</v>
      </c>
      <c r="H9" s="34">
        <v>339725</v>
      </c>
      <c r="I9" s="214" t="s">
        <v>61</v>
      </c>
      <c r="J9" s="215" t="s">
        <v>25</v>
      </c>
      <c r="K9" s="214" t="s">
        <v>26</v>
      </c>
      <c r="L9" s="22"/>
      <c r="M9" s="26"/>
    </row>
    <row r="10" spans="1:13" s="79" customFormat="1" x14ac:dyDescent="0.25">
      <c r="A10" s="22">
        <v>1431</v>
      </c>
      <c r="B10" s="23" t="s">
        <v>62</v>
      </c>
      <c r="C10" s="24">
        <v>37.6</v>
      </c>
      <c r="D10" s="25">
        <v>0.3</v>
      </c>
      <c r="E10" s="25">
        <f t="shared" si="0"/>
        <v>11.28</v>
      </c>
      <c r="F10" s="25"/>
      <c r="G10" s="25">
        <f t="shared" si="1"/>
        <v>11.28</v>
      </c>
      <c r="H10" s="46">
        <v>721445</v>
      </c>
      <c r="I10" s="215" t="s">
        <v>63</v>
      </c>
      <c r="J10" s="26" t="s">
        <v>17</v>
      </c>
      <c r="K10" s="26" t="s">
        <v>18</v>
      </c>
      <c r="L10" s="46">
        <v>99291700</v>
      </c>
      <c r="M10" s="26"/>
    </row>
    <row r="11" spans="1:13" s="79" customFormat="1" x14ac:dyDescent="0.25">
      <c r="A11" s="22">
        <v>1443</v>
      </c>
      <c r="B11" s="23" t="s">
        <v>65</v>
      </c>
      <c r="C11" s="24">
        <v>168.6</v>
      </c>
      <c r="D11" s="25">
        <v>0.3</v>
      </c>
      <c r="E11" s="25">
        <f t="shared" si="0"/>
        <v>50.58</v>
      </c>
      <c r="F11" s="25"/>
      <c r="G11" s="25">
        <f t="shared" si="1"/>
        <v>50.58</v>
      </c>
      <c r="H11" s="46">
        <v>6026992</v>
      </c>
      <c r="I11" s="215" t="s">
        <v>66</v>
      </c>
      <c r="J11" s="215" t="s">
        <v>25</v>
      </c>
      <c r="K11" s="214" t="s">
        <v>26</v>
      </c>
      <c r="L11" s="46">
        <v>95863774</v>
      </c>
      <c r="M11" s="26"/>
    </row>
    <row r="12" spans="1:13" s="79" customFormat="1" x14ac:dyDescent="0.25">
      <c r="A12" s="22">
        <v>1452</v>
      </c>
      <c r="B12" s="23" t="s">
        <v>67</v>
      </c>
      <c r="C12" s="24">
        <v>64.8</v>
      </c>
      <c r="D12" s="25">
        <v>0.3</v>
      </c>
      <c r="E12" s="25">
        <f t="shared" si="0"/>
        <v>19.439999999999998</v>
      </c>
      <c r="F12" s="25"/>
      <c r="G12" s="25">
        <f t="shared" si="1"/>
        <v>19.439999999999998</v>
      </c>
      <c r="H12" s="140">
        <v>20917176</v>
      </c>
      <c r="I12" s="538" t="s">
        <v>68</v>
      </c>
      <c r="J12" s="460" t="s">
        <v>25</v>
      </c>
      <c r="K12" s="538" t="s">
        <v>26</v>
      </c>
      <c r="L12" s="140">
        <v>95863774</v>
      </c>
      <c r="M12" s="460"/>
    </row>
    <row r="13" spans="1:13" s="79" customFormat="1" x14ac:dyDescent="0.25">
      <c r="A13" s="22">
        <v>1458</v>
      </c>
      <c r="B13" s="23" t="s">
        <v>69</v>
      </c>
      <c r="C13" s="24">
        <v>146.80000000000001</v>
      </c>
      <c r="D13" s="25">
        <v>0.3</v>
      </c>
      <c r="E13" s="25">
        <f t="shared" si="0"/>
        <v>44.04</v>
      </c>
      <c r="F13" s="25"/>
      <c r="G13" s="25">
        <f t="shared" si="1"/>
        <v>44.04</v>
      </c>
      <c r="H13" s="46">
        <v>77628</v>
      </c>
      <c r="I13" s="215" t="s">
        <v>70</v>
      </c>
      <c r="J13" s="26" t="s">
        <v>17</v>
      </c>
      <c r="K13" s="26" t="s">
        <v>18</v>
      </c>
      <c r="L13" s="46">
        <v>99275608</v>
      </c>
      <c r="M13" s="26"/>
    </row>
    <row r="14" spans="1:13" s="79" customFormat="1" x14ac:dyDescent="0.25">
      <c r="A14" s="22">
        <v>1461</v>
      </c>
      <c r="B14" s="23" t="s">
        <v>71</v>
      </c>
      <c r="C14" s="29"/>
      <c r="D14" s="25">
        <v>0.3</v>
      </c>
      <c r="E14" s="25">
        <f t="shared" si="0"/>
        <v>0</v>
      </c>
      <c r="F14" s="25"/>
      <c r="G14" s="25">
        <f t="shared" si="1"/>
        <v>0</v>
      </c>
      <c r="H14" s="46">
        <v>6828806</v>
      </c>
      <c r="I14" s="215" t="s">
        <v>72</v>
      </c>
      <c r="J14" s="215" t="s">
        <v>25</v>
      </c>
      <c r="K14" s="214" t="s">
        <v>26</v>
      </c>
      <c r="L14" s="46">
        <v>92330321</v>
      </c>
      <c r="M14" s="26"/>
    </row>
    <row r="15" spans="1:13" s="79" customFormat="1" x14ac:dyDescent="0.25">
      <c r="A15" s="22">
        <v>1465</v>
      </c>
      <c r="B15" s="23" t="s">
        <v>73</v>
      </c>
      <c r="C15" s="29"/>
      <c r="D15" s="25">
        <v>0.3</v>
      </c>
      <c r="E15" s="25">
        <f t="shared" si="0"/>
        <v>0</v>
      </c>
      <c r="F15" s="25"/>
      <c r="G15" s="25">
        <f t="shared" si="1"/>
        <v>0</v>
      </c>
      <c r="H15" s="22">
        <v>757601</v>
      </c>
      <c r="I15" s="214" t="s">
        <v>74</v>
      </c>
      <c r="J15" s="216" t="s">
        <v>75</v>
      </c>
      <c r="K15" s="26" t="s">
        <v>76</v>
      </c>
      <c r="L15" s="22">
        <v>99892131</v>
      </c>
      <c r="M15" s="26"/>
    </row>
    <row r="16" spans="1:13" s="79" customFormat="1" x14ac:dyDescent="0.25">
      <c r="A16" s="22">
        <v>1474</v>
      </c>
      <c r="B16" s="23" t="s">
        <v>15</v>
      </c>
      <c r="C16" s="29"/>
      <c r="D16" s="25">
        <v>0.3</v>
      </c>
      <c r="E16" s="25">
        <f t="shared" si="0"/>
        <v>0</v>
      </c>
      <c r="F16" s="25"/>
      <c r="G16" s="25">
        <f t="shared" si="1"/>
        <v>0</v>
      </c>
      <c r="H16" s="22">
        <v>4603773</v>
      </c>
      <c r="I16" s="26" t="s">
        <v>16</v>
      </c>
      <c r="J16" s="26" t="s">
        <v>17</v>
      </c>
      <c r="K16" s="26" t="s">
        <v>18</v>
      </c>
      <c r="L16" s="22">
        <v>98820843</v>
      </c>
      <c r="M16" s="26"/>
    </row>
    <row r="17" spans="1:13" s="79" customFormat="1" x14ac:dyDescent="0.25">
      <c r="A17" s="22">
        <v>1479</v>
      </c>
      <c r="B17" s="519" t="s">
        <v>77</v>
      </c>
      <c r="C17" s="24">
        <v>127.3</v>
      </c>
      <c r="D17" s="25">
        <v>0.3</v>
      </c>
      <c r="E17" s="25">
        <f t="shared" si="0"/>
        <v>38.19</v>
      </c>
      <c r="F17" s="25"/>
      <c r="G17" s="25">
        <f t="shared" si="1"/>
        <v>38.19</v>
      </c>
      <c r="H17" s="518">
        <v>5217726</v>
      </c>
      <c r="I17" s="475" t="s">
        <v>78</v>
      </c>
      <c r="J17" s="517" t="s">
        <v>25</v>
      </c>
      <c r="K17" s="517" t="s">
        <v>26</v>
      </c>
      <c r="L17" s="518">
        <v>92610234</v>
      </c>
      <c r="M17" s="540"/>
    </row>
    <row r="18" spans="1:13" s="79" customFormat="1" x14ac:dyDescent="0.25">
      <c r="A18" s="22">
        <v>1483</v>
      </c>
      <c r="B18" s="23" t="s">
        <v>79</v>
      </c>
      <c r="C18" s="24">
        <v>202.5</v>
      </c>
      <c r="D18" s="25">
        <v>0.3</v>
      </c>
      <c r="E18" s="25">
        <f t="shared" si="0"/>
        <v>60.75</v>
      </c>
      <c r="F18" s="25"/>
      <c r="G18" s="25">
        <f t="shared" si="1"/>
        <v>60.75</v>
      </c>
      <c r="H18" s="22">
        <v>1567826</v>
      </c>
      <c r="I18" s="216" t="s">
        <v>80</v>
      </c>
      <c r="J18" s="26" t="s">
        <v>75</v>
      </c>
      <c r="K18" s="214" t="s">
        <v>76</v>
      </c>
      <c r="L18" s="22">
        <v>98532884</v>
      </c>
      <c r="M18" s="26"/>
    </row>
    <row r="19" spans="1:13" s="79" customFormat="1" x14ac:dyDescent="0.25">
      <c r="A19" s="22">
        <v>1486</v>
      </c>
      <c r="B19" s="23" t="s">
        <v>714</v>
      </c>
      <c r="C19" s="29"/>
      <c r="D19" s="25">
        <v>0.3</v>
      </c>
      <c r="E19" s="25">
        <f t="shared" si="0"/>
        <v>0</v>
      </c>
      <c r="F19" s="25"/>
      <c r="G19" s="25">
        <f t="shared" si="1"/>
        <v>0</v>
      </c>
      <c r="H19" s="22">
        <v>22792564</v>
      </c>
      <c r="I19" s="216" t="s">
        <v>715</v>
      </c>
      <c r="J19" s="517" t="s">
        <v>25</v>
      </c>
      <c r="K19" s="517" t="s">
        <v>26</v>
      </c>
      <c r="L19" s="22"/>
      <c r="M19" s="26"/>
    </row>
    <row r="20" spans="1:13" s="79" customFormat="1" x14ac:dyDescent="0.25">
      <c r="A20" s="22">
        <v>1762</v>
      </c>
      <c r="B20" s="23" t="s">
        <v>82</v>
      </c>
      <c r="C20" s="24">
        <v>55</v>
      </c>
      <c r="D20" s="25">
        <v>0.3</v>
      </c>
      <c r="E20" s="25">
        <f t="shared" si="0"/>
        <v>16.5</v>
      </c>
      <c r="F20" s="25"/>
      <c r="G20" s="25">
        <f t="shared" si="1"/>
        <v>16.5</v>
      </c>
      <c r="H20" s="34">
        <v>1409527</v>
      </c>
      <c r="I20" s="214" t="s">
        <v>83</v>
      </c>
      <c r="J20" s="215" t="s">
        <v>84</v>
      </c>
      <c r="K20" s="214" t="s">
        <v>26</v>
      </c>
      <c r="L20" s="22"/>
      <c r="M20" s="26"/>
    </row>
    <row r="21" spans="1:13" s="79" customFormat="1" x14ac:dyDescent="0.25">
      <c r="A21" s="22">
        <v>1792</v>
      </c>
      <c r="B21" s="23" t="s">
        <v>85</v>
      </c>
      <c r="C21" s="24">
        <v>31.2</v>
      </c>
      <c r="D21" s="25">
        <v>0.3</v>
      </c>
      <c r="E21" s="25">
        <f t="shared" si="0"/>
        <v>9.36</v>
      </c>
      <c r="F21" s="25"/>
      <c r="G21" s="25">
        <f t="shared" si="1"/>
        <v>9.36</v>
      </c>
      <c r="H21" s="141">
        <v>9545556</v>
      </c>
      <c r="I21" s="480" t="s">
        <v>86</v>
      </c>
      <c r="J21" s="26" t="s">
        <v>17</v>
      </c>
      <c r="K21" s="480" t="s">
        <v>18</v>
      </c>
      <c r="L21" s="22"/>
      <c r="M21" s="26"/>
    </row>
    <row r="22" spans="1:13" s="79" customFormat="1" x14ac:dyDescent="0.25">
      <c r="A22" s="22">
        <v>3009</v>
      </c>
      <c r="B22" s="23" t="s">
        <v>87</v>
      </c>
      <c r="C22" s="24">
        <v>13.4</v>
      </c>
      <c r="D22" s="25">
        <v>0.3</v>
      </c>
      <c r="E22" s="25">
        <f t="shared" si="0"/>
        <v>4.0199999999999996</v>
      </c>
      <c r="F22" s="25"/>
      <c r="G22" s="25">
        <f t="shared" si="1"/>
        <v>4.0199999999999996</v>
      </c>
      <c r="H22" s="22">
        <v>1448391</v>
      </c>
      <c r="I22" s="477" t="s">
        <v>88</v>
      </c>
      <c r="J22" s="26" t="s">
        <v>43</v>
      </c>
      <c r="K22" s="26" t="s">
        <v>44</v>
      </c>
      <c r="L22" s="22">
        <v>99100144</v>
      </c>
      <c r="M22" s="26"/>
    </row>
    <row r="23" spans="1:13" s="79" customFormat="1" x14ac:dyDescent="0.25">
      <c r="A23" s="22">
        <v>3012</v>
      </c>
      <c r="B23" s="23" t="s">
        <v>90</v>
      </c>
      <c r="C23" s="24">
        <v>95.6</v>
      </c>
      <c r="D23" s="25">
        <v>0.3</v>
      </c>
      <c r="E23" s="25">
        <f t="shared" si="0"/>
        <v>28.679999999999996</v>
      </c>
      <c r="F23" s="25"/>
      <c r="G23" s="25">
        <f t="shared" si="1"/>
        <v>28.679999999999996</v>
      </c>
      <c r="H23" s="22">
        <v>5634422</v>
      </c>
      <c r="I23" s="216" t="s">
        <v>91</v>
      </c>
      <c r="J23" s="215" t="s">
        <v>25</v>
      </c>
      <c r="K23" s="214" t="s">
        <v>26</v>
      </c>
      <c r="L23" s="22">
        <v>96922118</v>
      </c>
      <c r="M23" s="26"/>
    </row>
    <row r="24" spans="1:13" s="79" customFormat="1" x14ac:dyDescent="0.25">
      <c r="A24" s="22">
        <v>3014</v>
      </c>
      <c r="B24" s="23" t="s">
        <v>92</v>
      </c>
      <c r="C24" s="29"/>
      <c r="D24" s="25">
        <v>0.3</v>
      </c>
      <c r="E24" s="25">
        <f t="shared" si="0"/>
        <v>0</v>
      </c>
      <c r="F24" s="25"/>
      <c r="G24" s="25">
        <f t="shared" si="1"/>
        <v>0</v>
      </c>
      <c r="H24" s="22">
        <v>648421</v>
      </c>
      <c r="I24" s="216" t="s">
        <v>93</v>
      </c>
      <c r="J24" s="26" t="s">
        <v>43</v>
      </c>
      <c r="K24" s="26" t="s">
        <v>44</v>
      </c>
      <c r="L24" s="22">
        <v>98815665</v>
      </c>
      <c r="M24" s="26"/>
    </row>
    <row r="25" spans="1:13" s="79" customFormat="1" x14ac:dyDescent="0.25">
      <c r="A25" s="22">
        <v>3015</v>
      </c>
      <c r="B25" s="23" t="s">
        <v>94</v>
      </c>
      <c r="C25" s="29"/>
      <c r="D25" s="25">
        <v>0.3</v>
      </c>
      <c r="E25" s="25">
        <f t="shared" si="0"/>
        <v>0</v>
      </c>
      <c r="F25" s="25"/>
      <c r="G25" s="25">
        <f t="shared" si="1"/>
        <v>0</v>
      </c>
      <c r="H25" s="22">
        <v>5753033</v>
      </c>
      <c r="I25" s="216" t="s">
        <v>95</v>
      </c>
      <c r="J25" s="215" t="s">
        <v>25</v>
      </c>
      <c r="K25" s="214" t="s">
        <v>26</v>
      </c>
      <c r="L25" s="22">
        <v>92838405</v>
      </c>
      <c r="M25" s="26"/>
    </row>
    <row r="26" spans="1:13" s="79" customFormat="1" x14ac:dyDescent="0.25">
      <c r="A26" s="22">
        <v>3018</v>
      </c>
      <c r="B26" s="23" t="s">
        <v>96</v>
      </c>
      <c r="C26" s="29"/>
      <c r="D26" s="25">
        <v>0.3</v>
      </c>
      <c r="E26" s="25">
        <f t="shared" si="0"/>
        <v>0</v>
      </c>
      <c r="F26" s="25"/>
      <c r="G26" s="25">
        <f t="shared" si="1"/>
        <v>0</v>
      </c>
      <c r="H26" s="34">
        <v>1528087</v>
      </c>
      <c r="I26" s="480" t="s">
        <v>97</v>
      </c>
      <c r="J26" s="215" t="s">
        <v>25</v>
      </c>
      <c r="K26" s="214" t="s">
        <v>26</v>
      </c>
      <c r="L26" s="22"/>
      <c r="M26" s="53"/>
    </row>
    <row r="27" spans="1:13" s="79" customFormat="1" x14ac:dyDescent="0.25">
      <c r="A27" s="22">
        <v>3020</v>
      </c>
      <c r="B27" s="23" t="s">
        <v>98</v>
      </c>
      <c r="C27" s="24">
        <v>11.2</v>
      </c>
      <c r="D27" s="25">
        <v>0.3</v>
      </c>
      <c r="E27" s="25">
        <f t="shared" si="0"/>
        <v>3.36</v>
      </c>
      <c r="F27" s="25"/>
      <c r="G27" s="25">
        <f t="shared" si="1"/>
        <v>3.36</v>
      </c>
      <c r="H27" s="22">
        <v>5418422</v>
      </c>
      <c r="I27" s="216" t="s">
        <v>99</v>
      </c>
      <c r="J27" s="215" t="s">
        <v>25</v>
      </c>
      <c r="K27" s="214" t="s">
        <v>26</v>
      </c>
      <c r="L27" s="22">
        <v>99495434</v>
      </c>
      <c r="M27" s="26"/>
    </row>
    <row r="28" spans="1:13" s="79" customFormat="1" x14ac:dyDescent="0.25">
      <c r="A28" s="22">
        <v>3022</v>
      </c>
      <c r="B28" s="23" t="s">
        <v>100</v>
      </c>
      <c r="C28" s="29"/>
      <c r="D28" s="25">
        <v>0.3</v>
      </c>
      <c r="E28" s="25">
        <f t="shared" si="0"/>
        <v>0</v>
      </c>
      <c r="F28" s="25"/>
      <c r="G28" s="25">
        <f t="shared" si="1"/>
        <v>0</v>
      </c>
      <c r="H28" s="22">
        <v>5360253</v>
      </c>
      <c r="I28" s="216" t="s">
        <v>101</v>
      </c>
      <c r="J28" s="26" t="s">
        <v>75</v>
      </c>
      <c r="K28" s="214" t="s">
        <v>76</v>
      </c>
      <c r="L28" s="22">
        <v>99257989</v>
      </c>
      <c r="M28" s="26"/>
    </row>
    <row r="29" spans="1:13" s="79" customFormat="1" x14ac:dyDescent="0.25">
      <c r="A29" s="22">
        <v>3025</v>
      </c>
      <c r="B29" s="23" t="s">
        <v>102</v>
      </c>
      <c r="C29" s="29"/>
      <c r="D29" s="25">
        <v>0.3</v>
      </c>
      <c r="E29" s="25">
        <f t="shared" si="0"/>
        <v>0</v>
      </c>
      <c r="F29" s="25"/>
      <c r="G29" s="25">
        <f t="shared" si="1"/>
        <v>0</v>
      </c>
      <c r="H29" s="22">
        <v>7542172</v>
      </c>
      <c r="I29" s="216" t="s">
        <v>103</v>
      </c>
      <c r="J29" s="215" t="s">
        <v>25</v>
      </c>
      <c r="K29" s="214" t="s">
        <v>26</v>
      </c>
      <c r="L29" s="22"/>
      <c r="M29" s="26"/>
    </row>
    <row r="30" spans="1:13" s="79" customFormat="1" x14ac:dyDescent="0.25">
      <c r="A30" s="22">
        <v>3026</v>
      </c>
      <c r="B30" s="23" t="s">
        <v>105</v>
      </c>
      <c r="C30" s="24">
        <v>12.6</v>
      </c>
      <c r="D30" s="25">
        <v>0.3</v>
      </c>
      <c r="E30" s="25">
        <f t="shared" si="0"/>
        <v>3.78</v>
      </c>
      <c r="F30" s="25"/>
      <c r="G30" s="25">
        <f t="shared" si="1"/>
        <v>3.78</v>
      </c>
      <c r="H30" s="22">
        <v>7033819</v>
      </c>
      <c r="I30" s="216" t="s">
        <v>106</v>
      </c>
      <c r="J30" s="215" t="s">
        <v>25</v>
      </c>
      <c r="K30" s="214" t="s">
        <v>26</v>
      </c>
      <c r="L30" s="22">
        <v>92256918</v>
      </c>
      <c r="M30" s="26"/>
    </row>
    <row r="31" spans="1:13" s="79" customFormat="1" x14ac:dyDescent="0.25">
      <c r="A31" s="22">
        <v>3027</v>
      </c>
      <c r="B31" s="23" t="s">
        <v>107</v>
      </c>
      <c r="C31" s="24">
        <v>316</v>
      </c>
      <c r="D31" s="25">
        <v>0.3</v>
      </c>
      <c r="E31" s="25">
        <f t="shared" si="0"/>
        <v>94.8</v>
      </c>
      <c r="F31" s="25"/>
      <c r="G31" s="25">
        <f t="shared" si="1"/>
        <v>94.8</v>
      </c>
      <c r="H31" s="22">
        <v>6420643</v>
      </c>
      <c r="I31" s="216" t="s">
        <v>108</v>
      </c>
      <c r="J31" s="215" t="s">
        <v>17</v>
      </c>
      <c r="K31" s="214" t="s">
        <v>18</v>
      </c>
      <c r="L31" s="22">
        <v>92288434</v>
      </c>
      <c r="M31" s="26"/>
    </row>
    <row r="32" spans="1:13" s="79" customFormat="1" x14ac:dyDescent="0.25">
      <c r="A32" s="22">
        <v>3030</v>
      </c>
      <c r="B32" s="23" t="s">
        <v>109</v>
      </c>
      <c r="C32" s="24">
        <v>161</v>
      </c>
      <c r="D32" s="25">
        <v>0.3</v>
      </c>
      <c r="E32" s="25">
        <f t="shared" si="0"/>
        <v>48.3</v>
      </c>
      <c r="F32" s="25"/>
      <c r="G32" s="25">
        <f t="shared" si="1"/>
        <v>48.3</v>
      </c>
      <c r="H32" s="22">
        <v>6021175</v>
      </c>
      <c r="I32" s="216" t="s">
        <v>110</v>
      </c>
      <c r="J32" s="215" t="s">
        <v>25</v>
      </c>
      <c r="K32" s="214" t="s">
        <v>26</v>
      </c>
      <c r="L32" s="22">
        <v>91716888</v>
      </c>
      <c r="M32" s="26"/>
    </row>
    <row r="33" spans="1:13" s="79" customFormat="1" x14ac:dyDescent="0.25">
      <c r="A33" s="22">
        <v>3038</v>
      </c>
      <c r="B33" s="23" t="s">
        <v>111</v>
      </c>
      <c r="C33" s="24">
        <v>472.9</v>
      </c>
      <c r="D33" s="25">
        <v>0.3</v>
      </c>
      <c r="E33" s="25">
        <f t="shared" si="0"/>
        <v>141.86999999999998</v>
      </c>
      <c r="F33" s="25"/>
      <c r="G33" s="25">
        <f t="shared" si="1"/>
        <v>141.86999999999998</v>
      </c>
      <c r="H33" s="22">
        <v>7976</v>
      </c>
      <c r="I33" s="216" t="s">
        <v>112</v>
      </c>
      <c r="J33" s="26" t="s">
        <v>43</v>
      </c>
      <c r="K33" s="26" t="s">
        <v>44</v>
      </c>
      <c r="L33" s="22">
        <v>98920007</v>
      </c>
      <c r="M33" s="26"/>
    </row>
    <row r="34" spans="1:13" s="79" customFormat="1" x14ac:dyDescent="0.25">
      <c r="A34" s="22">
        <v>3043</v>
      </c>
      <c r="B34" s="23" t="s">
        <v>113</v>
      </c>
      <c r="C34" s="24">
        <v>131.30000000000001</v>
      </c>
      <c r="D34" s="25">
        <v>0.3</v>
      </c>
      <c r="E34" s="25">
        <f t="shared" si="0"/>
        <v>39.39</v>
      </c>
      <c r="F34" s="25"/>
      <c r="G34" s="25">
        <f t="shared" si="1"/>
        <v>39.39</v>
      </c>
      <c r="H34" s="22">
        <v>396336</v>
      </c>
      <c r="I34" s="216" t="s">
        <v>114</v>
      </c>
      <c r="J34" s="215" t="s">
        <v>25</v>
      </c>
      <c r="K34" s="214" t="s">
        <v>26</v>
      </c>
      <c r="L34" s="22">
        <v>99498844</v>
      </c>
      <c r="M34" s="26"/>
    </row>
    <row r="35" spans="1:13" s="79" customFormat="1" x14ac:dyDescent="0.25">
      <c r="A35" s="22">
        <v>3058</v>
      </c>
      <c r="B35" s="23" t="s">
        <v>115</v>
      </c>
      <c r="C35" s="29"/>
      <c r="D35" s="25">
        <v>0.3</v>
      </c>
      <c r="E35" s="25">
        <f t="shared" si="0"/>
        <v>0</v>
      </c>
      <c r="F35" s="25"/>
      <c r="G35" s="25">
        <f t="shared" si="1"/>
        <v>0</v>
      </c>
      <c r="H35" s="22">
        <v>965148</v>
      </c>
      <c r="I35" s="216" t="s">
        <v>116</v>
      </c>
      <c r="J35" s="26" t="s">
        <v>43</v>
      </c>
      <c r="K35" s="26" t="s">
        <v>44</v>
      </c>
      <c r="L35" s="22">
        <v>90980121</v>
      </c>
      <c r="M35" s="26"/>
    </row>
    <row r="36" spans="1:13" s="79" customFormat="1" x14ac:dyDescent="0.25">
      <c r="A36" s="22">
        <v>3070</v>
      </c>
      <c r="B36" s="23" t="s">
        <v>117</v>
      </c>
      <c r="C36" s="29"/>
      <c r="D36" s="25">
        <v>0.3</v>
      </c>
      <c r="E36" s="25">
        <f t="shared" si="0"/>
        <v>0</v>
      </c>
      <c r="F36" s="25"/>
      <c r="G36" s="25">
        <f t="shared" si="1"/>
        <v>0</v>
      </c>
      <c r="H36" s="46">
        <v>1918001</v>
      </c>
      <c r="I36" s="216" t="s">
        <v>118</v>
      </c>
      <c r="J36" s="215" t="s">
        <v>25</v>
      </c>
      <c r="K36" s="214" t="s">
        <v>26</v>
      </c>
      <c r="L36" s="46">
        <v>92863640</v>
      </c>
      <c r="M36" s="26"/>
    </row>
    <row r="37" spans="1:13" s="79" customFormat="1" x14ac:dyDescent="0.25">
      <c r="A37" s="22">
        <v>3072</v>
      </c>
      <c r="B37" s="23" t="s">
        <v>119</v>
      </c>
      <c r="C37" s="24">
        <v>106.2</v>
      </c>
      <c r="D37" s="25">
        <v>0.3</v>
      </c>
      <c r="E37" s="25">
        <f t="shared" si="0"/>
        <v>31.86</v>
      </c>
      <c r="F37" s="25"/>
      <c r="G37" s="25">
        <f t="shared" si="1"/>
        <v>31.86</v>
      </c>
      <c r="H37" s="22">
        <v>993077</v>
      </c>
      <c r="I37" s="216" t="s">
        <v>120</v>
      </c>
      <c r="J37" s="26" t="s">
        <v>121</v>
      </c>
      <c r="K37" s="26" t="s">
        <v>122</v>
      </c>
      <c r="L37" s="22">
        <v>92252981</v>
      </c>
      <c r="M37" s="26"/>
    </row>
    <row r="38" spans="1:13" s="79" customFormat="1" x14ac:dyDescent="0.25">
      <c r="A38" s="22">
        <v>3077</v>
      </c>
      <c r="B38" s="23" t="s">
        <v>123</v>
      </c>
      <c r="C38" s="29"/>
      <c r="D38" s="25">
        <v>0.3</v>
      </c>
      <c r="E38" s="25">
        <f t="shared" si="0"/>
        <v>0</v>
      </c>
      <c r="F38" s="25"/>
      <c r="G38" s="25">
        <f t="shared" si="1"/>
        <v>0</v>
      </c>
      <c r="H38" s="22">
        <v>21978752</v>
      </c>
      <c r="I38" s="216" t="s">
        <v>124</v>
      </c>
      <c r="J38" s="215" t="s">
        <v>25</v>
      </c>
      <c r="K38" s="214" t="s">
        <v>26</v>
      </c>
      <c r="L38" s="22">
        <v>90833336</v>
      </c>
      <c r="M38" s="26"/>
    </row>
    <row r="39" spans="1:13" s="79" customFormat="1" x14ac:dyDescent="0.25">
      <c r="A39" s="22">
        <v>3081</v>
      </c>
      <c r="B39" s="23" t="s">
        <v>126</v>
      </c>
      <c r="C39" s="29"/>
      <c r="D39" s="25">
        <v>0.3</v>
      </c>
      <c r="E39" s="25">
        <f t="shared" si="0"/>
        <v>0</v>
      </c>
      <c r="F39" s="25"/>
      <c r="G39" s="25">
        <f t="shared" si="1"/>
        <v>0</v>
      </c>
      <c r="H39" s="22">
        <v>21219868</v>
      </c>
      <c r="I39" s="477" t="s">
        <v>127</v>
      </c>
      <c r="J39" s="26" t="s">
        <v>128</v>
      </c>
      <c r="K39" s="507" t="s">
        <v>129</v>
      </c>
      <c r="L39" s="22">
        <v>93288777</v>
      </c>
      <c r="M39" s="26"/>
    </row>
    <row r="40" spans="1:13" s="79" customFormat="1" x14ac:dyDescent="0.25">
      <c r="A40" s="22">
        <v>3089</v>
      </c>
      <c r="B40" s="23" t="s">
        <v>130</v>
      </c>
      <c r="C40" s="29"/>
      <c r="D40" s="25">
        <v>0.3</v>
      </c>
      <c r="E40" s="25">
        <f t="shared" si="0"/>
        <v>0</v>
      </c>
      <c r="F40" s="25"/>
      <c r="G40" s="25">
        <f t="shared" si="1"/>
        <v>0</v>
      </c>
      <c r="H40" s="22">
        <v>18790484</v>
      </c>
      <c r="I40" s="216" t="s">
        <v>131</v>
      </c>
      <c r="J40" s="215" t="s">
        <v>25</v>
      </c>
      <c r="K40" s="214" t="s">
        <v>26</v>
      </c>
      <c r="L40" s="22"/>
      <c r="M40" s="53"/>
    </row>
    <row r="41" spans="1:13" s="79" customFormat="1" x14ac:dyDescent="0.25">
      <c r="A41" s="22">
        <v>3093</v>
      </c>
      <c r="B41" s="23" t="s">
        <v>132</v>
      </c>
      <c r="C41" s="24">
        <v>209</v>
      </c>
      <c r="D41" s="25">
        <v>0.3</v>
      </c>
      <c r="E41" s="25">
        <f t="shared" si="0"/>
        <v>62.699999999999996</v>
      </c>
      <c r="F41" s="25"/>
      <c r="G41" s="25">
        <f t="shared" si="1"/>
        <v>62.699999999999996</v>
      </c>
      <c r="H41" s="22">
        <v>6361035</v>
      </c>
      <c r="I41" s="216" t="s">
        <v>133</v>
      </c>
      <c r="J41" s="26" t="s">
        <v>134</v>
      </c>
      <c r="K41" s="214" t="s">
        <v>135</v>
      </c>
      <c r="L41" s="22">
        <v>99497919</v>
      </c>
      <c r="M41" s="26"/>
    </row>
    <row r="42" spans="1:13" s="79" customFormat="1" x14ac:dyDescent="0.25">
      <c r="A42" s="22">
        <v>3094</v>
      </c>
      <c r="B42" s="23" t="s">
        <v>136</v>
      </c>
      <c r="C42" s="29"/>
      <c r="D42" s="25">
        <v>0.3</v>
      </c>
      <c r="E42" s="25">
        <f t="shared" si="0"/>
        <v>0</v>
      </c>
      <c r="F42" s="25"/>
      <c r="G42" s="25">
        <f t="shared" si="1"/>
        <v>0</v>
      </c>
      <c r="H42" s="22">
        <v>26343985</v>
      </c>
      <c r="I42" s="216" t="s">
        <v>137</v>
      </c>
      <c r="J42" s="215" t="s">
        <v>25</v>
      </c>
      <c r="K42" s="214" t="s">
        <v>26</v>
      </c>
      <c r="L42" s="22">
        <v>93327740</v>
      </c>
      <c r="M42" s="26"/>
    </row>
    <row r="43" spans="1:13" s="79" customFormat="1" x14ac:dyDescent="0.25">
      <c r="A43" s="22">
        <v>3100</v>
      </c>
      <c r="B43" s="23" t="s">
        <v>138</v>
      </c>
      <c r="C43" s="29"/>
      <c r="D43" s="25">
        <v>0.3</v>
      </c>
      <c r="E43" s="25">
        <f t="shared" si="0"/>
        <v>0</v>
      </c>
      <c r="F43" s="25"/>
      <c r="G43" s="25">
        <f t="shared" si="1"/>
        <v>0</v>
      </c>
      <c r="H43" s="22">
        <v>1278615</v>
      </c>
      <c r="I43" s="216" t="s">
        <v>139</v>
      </c>
      <c r="J43" s="26" t="s">
        <v>75</v>
      </c>
      <c r="K43" s="214" t="s">
        <v>26</v>
      </c>
      <c r="L43" s="22">
        <v>99806386</v>
      </c>
      <c r="M43" s="26"/>
    </row>
    <row r="44" spans="1:13" s="79" customFormat="1" x14ac:dyDescent="0.25">
      <c r="A44" s="22">
        <v>3101</v>
      </c>
      <c r="B44" s="23" t="s">
        <v>140</v>
      </c>
      <c r="C44" s="24">
        <v>96</v>
      </c>
      <c r="D44" s="25">
        <v>0.3</v>
      </c>
      <c r="E44" s="25">
        <f t="shared" si="0"/>
        <v>28.799999999999997</v>
      </c>
      <c r="F44" s="25"/>
      <c r="G44" s="25">
        <f t="shared" si="1"/>
        <v>28.799999999999997</v>
      </c>
      <c r="H44" s="22">
        <v>6767598</v>
      </c>
      <c r="I44" s="216" t="s">
        <v>141</v>
      </c>
      <c r="J44" s="215" t="s">
        <v>25</v>
      </c>
      <c r="K44" s="214" t="s">
        <v>26</v>
      </c>
      <c r="L44" s="22">
        <v>99100344</v>
      </c>
      <c r="M44" s="26"/>
    </row>
    <row r="45" spans="1:13" s="79" customFormat="1" x14ac:dyDescent="0.25">
      <c r="A45" s="22">
        <v>3102</v>
      </c>
      <c r="B45" s="23" t="s">
        <v>142</v>
      </c>
      <c r="C45" s="24">
        <v>34</v>
      </c>
      <c r="D45" s="25">
        <v>0.3</v>
      </c>
      <c r="E45" s="25">
        <f t="shared" si="0"/>
        <v>10.199999999999999</v>
      </c>
      <c r="F45" s="25"/>
      <c r="G45" s="25">
        <f t="shared" si="1"/>
        <v>10.199999999999999</v>
      </c>
      <c r="H45" s="22">
        <v>5916838</v>
      </c>
      <c r="I45" s="214" t="s">
        <v>143</v>
      </c>
      <c r="J45" s="215" t="s">
        <v>25</v>
      </c>
      <c r="K45" s="214" t="s">
        <v>26</v>
      </c>
      <c r="L45" s="22">
        <v>91917520</v>
      </c>
      <c r="M45" s="26"/>
    </row>
    <row r="46" spans="1:13" s="79" customFormat="1" x14ac:dyDescent="0.25">
      <c r="A46" s="22">
        <v>3119</v>
      </c>
      <c r="B46" s="23" t="s">
        <v>144</v>
      </c>
      <c r="C46" s="24">
        <v>29.9</v>
      </c>
      <c r="D46" s="25">
        <v>0.3</v>
      </c>
      <c r="E46" s="25">
        <f t="shared" si="0"/>
        <v>8.9699999999999989</v>
      </c>
      <c r="F46" s="25"/>
      <c r="G46" s="25">
        <f t="shared" si="1"/>
        <v>8.9699999999999989</v>
      </c>
      <c r="H46" s="22">
        <v>5903061</v>
      </c>
      <c r="I46" s="216" t="s">
        <v>145</v>
      </c>
      <c r="J46" s="215" t="s">
        <v>25</v>
      </c>
      <c r="K46" s="214" t="s">
        <v>26</v>
      </c>
      <c r="L46" s="22">
        <v>91904279</v>
      </c>
      <c r="M46" s="26"/>
    </row>
    <row r="47" spans="1:13" s="79" customFormat="1" x14ac:dyDescent="0.25">
      <c r="A47" s="22">
        <v>3122</v>
      </c>
      <c r="B47" s="23" t="s">
        <v>146</v>
      </c>
      <c r="C47" s="24">
        <v>161</v>
      </c>
      <c r="D47" s="25">
        <v>0.3</v>
      </c>
      <c r="E47" s="25">
        <f t="shared" si="0"/>
        <v>48.3</v>
      </c>
      <c r="F47" s="25"/>
      <c r="G47" s="25">
        <f t="shared" si="1"/>
        <v>48.3</v>
      </c>
      <c r="H47" s="22">
        <v>12415718</v>
      </c>
      <c r="I47" s="216" t="s">
        <v>110</v>
      </c>
      <c r="J47" s="215" t="s">
        <v>25</v>
      </c>
      <c r="K47" s="214" t="s">
        <v>26</v>
      </c>
      <c r="L47" s="22">
        <v>99481799</v>
      </c>
      <c r="M47" s="26"/>
    </row>
    <row r="48" spans="1:13" s="79" customFormat="1" x14ac:dyDescent="0.25">
      <c r="A48" s="22">
        <v>3136</v>
      </c>
      <c r="B48" s="23" t="s">
        <v>20</v>
      </c>
      <c r="C48" s="24">
        <v>182.3</v>
      </c>
      <c r="D48" s="25">
        <v>0.3</v>
      </c>
      <c r="E48" s="25">
        <f t="shared" si="0"/>
        <v>54.690000000000005</v>
      </c>
      <c r="F48" s="25"/>
      <c r="G48" s="25">
        <f t="shared" si="1"/>
        <v>54.690000000000005</v>
      </c>
      <c r="H48" s="22">
        <v>183498</v>
      </c>
      <c r="I48" s="216" t="s">
        <v>21</v>
      </c>
      <c r="J48" s="215" t="s">
        <v>17</v>
      </c>
      <c r="K48" s="214" t="s">
        <v>18</v>
      </c>
      <c r="L48" s="22">
        <v>99481314</v>
      </c>
      <c r="M48" s="26"/>
    </row>
    <row r="49" spans="1:13" s="79" customFormat="1" x14ac:dyDescent="0.25">
      <c r="A49" s="22">
        <v>3178</v>
      </c>
      <c r="B49" s="23" t="s">
        <v>147</v>
      </c>
      <c r="C49" s="24">
        <v>965.6</v>
      </c>
      <c r="D49" s="25">
        <v>0.3</v>
      </c>
      <c r="E49" s="25">
        <f t="shared" si="0"/>
        <v>289.68</v>
      </c>
      <c r="F49" s="25"/>
      <c r="G49" s="25">
        <f t="shared" si="1"/>
        <v>289.68</v>
      </c>
      <c r="H49" s="22">
        <v>1511754</v>
      </c>
      <c r="I49" s="216" t="s">
        <v>148</v>
      </c>
      <c r="J49" s="26" t="s">
        <v>43</v>
      </c>
      <c r="K49" s="26" t="s">
        <v>44</v>
      </c>
      <c r="L49" s="22">
        <v>99495933</v>
      </c>
      <c r="M49" s="26"/>
    </row>
    <row r="50" spans="1:13" s="79" customFormat="1" x14ac:dyDescent="0.25">
      <c r="A50" s="22">
        <v>3199</v>
      </c>
      <c r="B50" s="23" t="s">
        <v>149</v>
      </c>
      <c r="C50" s="29"/>
      <c r="D50" s="25">
        <v>0.3</v>
      </c>
      <c r="E50" s="25">
        <f t="shared" si="0"/>
        <v>0</v>
      </c>
      <c r="F50" s="25"/>
      <c r="G50" s="25">
        <f t="shared" si="1"/>
        <v>0</v>
      </c>
      <c r="H50" s="22">
        <v>5168327</v>
      </c>
      <c r="I50" s="216" t="s">
        <v>150</v>
      </c>
      <c r="J50" s="215" t="s">
        <v>25</v>
      </c>
      <c r="K50" s="214" t="s">
        <v>26</v>
      </c>
      <c r="L50" s="22">
        <v>98066833</v>
      </c>
      <c r="M50" s="26"/>
    </row>
    <row r="51" spans="1:13" s="79" customFormat="1" x14ac:dyDescent="0.25">
      <c r="A51" s="22">
        <v>3200</v>
      </c>
      <c r="B51" s="23" t="s">
        <v>151</v>
      </c>
      <c r="C51" s="29"/>
      <c r="D51" s="25">
        <v>0.3</v>
      </c>
      <c r="E51" s="25">
        <f t="shared" si="0"/>
        <v>0</v>
      </c>
      <c r="F51" s="25"/>
      <c r="G51" s="25">
        <f t="shared" si="1"/>
        <v>0</v>
      </c>
      <c r="H51" s="34">
        <v>21947578</v>
      </c>
      <c r="I51" s="214" t="s">
        <v>152</v>
      </c>
      <c r="J51" s="215" t="s">
        <v>25</v>
      </c>
      <c r="K51" s="214" t="s">
        <v>26</v>
      </c>
      <c r="L51" s="22"/>
      <c r="M51" s="26"/>
    </row>
    <row r="52" spans="1:13" s="79" customFormat="1" x14ac:dyDescent="0.25">
      <c r="A52" s="22">
        <v>3201</v>
      </c>
      <c r="B52" s="23" t="s">
        <v>153</v>
      </c>
      <c r="C52" s="24">
        <v>74</v>
      </c>
      <c r="D52" s="25">
        <v>0.3</v>
      </c>
      <c r="E52" s="25">
        <f t="shared" si="0"/>
        <v>22.2</v>
      </c>
      <c r="F52" s="25"/>
      <c r="G52" s="25">
        <f t="shared" si="1"/>
        <v>22.2</v>
      </c>
      <c r="H52" s="22">
        <v>7048401</v>
      </c>
      <c r="I52" s="216" t="s">
        <v>154</v>
      </c>
      <c r="J52" s="26" t="s">
        <v>17</v>
      </c>
      <c r="K52" s="26" t="s">
        <v>18</v>
      </c>
      <c r="L52" s="22"/>
      <c r="M52" s="26"/>
    </row>
    <row r="53" spans="1:13" s="79" customFormat="1" x14ac:dyDescent="0.25">
      <c r="A53" s="22">
        <v>3202</v>
      </c>
      <c r="B53" s="23" t="s">
        <v>155</v>
      </c>
      <c r="C53" s="29"/>
      <c r="D53" s="25">
        <v>0.3</v>
      </c>
      <c r="E53" s="25">
        <f t="shared" si="0"/>
        <v>0</v>
      </c>
      <c r="F53" s="25"/>
      <c r="G53" s="25">
        <f t="shared" si="1"/>
        <v>0</v>
      </c>
      <c r="H53" s="22">
        <v>5197371</v>
      </c>
      <c r="I53" s="216" t="s">
        <v>156</v>
      </c>
      <c r="J53" s="215" t="s">
        <v>25</v>
      </c>
      <c r="K53" s="214" t="s">
        <v>26</v>
      </c>
      <c r="L53" s="22">
        <v>93889732</v>
      </c>
      <c r="M53" s="26"/>
    </row>
    <row r="54" spans="1:13" s="79" customFormat="1" x14ac:dyDescent="0.25">
      <c r="A54" s="22">
        <v>3203</v>
      </c>
      <c r="B54" s="23" t="s">
        <v>157</v>
      </c>
      <c r="C54" s="24">
        <v>19.600000000000001</v>
      </c>
      <c r="D54" s="25">
        <v>0.3</v>
      </c>
      <c r="E54" s="25">
        <f t="shared" si="0"/>
        <v>5.88</v>
      </c>
      <c r="F54" s="25"/>
      <c r="G54" s="25">
        <f t="shared" si="1"/>
        <v>5.88</v>
      </c>
      <c r="H54" s="22">
        <v>23215097</v>
      </c>
      <c r="I54" s="216" t="s">
        <v>158</v>
      </c>
      <c r="J54" s="215" t="s">
        <v>25</v>
      </c>
      <c r="K54" s="214" t="s">
        <v>26</v>
      </c>
      <c r="L54" s="22"/>
      <c r="M54" s="26"/>
    </row>
    <row r="55" spans="1:13" s="79" customFormat="1" x14ac:dyDescent="0.25">
      <c r="A55" s="22">
        <v>3204</v>
      </c>
      <c r="B55" s="23" t="s">
        <v>159</v>
      </c>
      <c r="C55" s="29"/>
      <c r="D55" s="25">
        <v>0.3</v>
      </c>
      <c r="E55" s="25">
        <f t="shared" si="0"/>
        <v>0</v>
      </c>
      <c r="F55" s="25"/>
      <c r="G55" s="25">
        <f t="shared" si="1"/>
        <v>0</v>
      </c>
      <c r="H55" s="22">
        <v>24958926</v>
      </c>
      <c r="I55" s="216" t="s">
        <v>160</v>
      </c>
      <c r="J55" s="215" t="s">
        <v>25</v>
      </c>
      <c r="K55" s="214" t="s">
        <v>26</v>
      </c>
      <c r="L55" s="22">
        <v>99312225</v>
      </c>
      <c r="M55" s="26"/>
    </row>
    <row r="56" spans="1:13" s="79" customFormat="1" x14ac:dyDescent="0.25">
      <c r="A56" s="22">
        <v>3207</v>
      </c>
      <c r="B56" s="23" t="s">
        <v>162</v>
      </c>
      <c r="C56" s="24">
        <v>307.39999999999998</v>
      </c>
      <c r="D56" s="25">
        <v>0.3</v>
      </c>
      <c r="E56" s="25">
        <f t="shared" si="0"/>
        <v>92.219999999999985</v>
      </c>
      <c r="F56" s="25"/>
      <c r="G56" s="25">
        <f t="shared" si="1"/>
        <v>92.219999999999985</v>
      </c>
      <c r="H56" s="22">
        <v>11940175</v>
      </c>
      <c r="I56" s="216" t="s">
        <v>163</v>
      </c>
      <c r="J56" s="215" t="s">
        <v>25</v>
      </c>
      <c r="K56" s="214" t="s">
        <v>26</v>
      </c>
      <c r="L56" s="22">
        <v>98138748</v>
      </c>
      <c r="M56" s="26"/>
    </row>
    <row r="57" spans="1:13" s="79" customFormat="1" x14ac:dyDescent="0.25">
      <c r="A57" s="22">
        <v>3208</v>
      </c>
      <c r="B57" s="23" t="s">
        <v>164</v>
      </c>
      <c r="C57" s="24">
        <v>263.60000000000002</v>
      </c>
      <c r="D57" s="25">
        <v>0.3</v>
      </c>
      <c r="E57" s="25">
        <f t="shared" si="0"/>
        <v>79.08</v>
      </c>
      <c r="F57" s="25"/>
      <c r="G57" s="25">
        <f t="shared" si="1"/>
        <v>79.08</v>
      </c>
      <c r="H57" s="22">
        <v>1742664</v>
      </c>
      <c r="I57" s="216" t="s">
        <v>165</v>
      </c>
      <c r="J57" s="26" t="s">
        <v>166</v>
      </c>
      <c r="K57" s="26" t="s">
        <v>129</v>
      </c>
      <c r="L57" s="22">
        <v>99482598</v>
      </c>
      <c r="M57" s="26"/>
    </row>
    <row r="58" spans="1:13" s="79" customFormat="1" x14ac:dyDescent="0.25">
      <c r="A58" s="22">
        <v>3209</v>
      </c>
      <c r="B58" s="23" t="s">
        <v>169</v>
      </c>
      <c r="C58" s="24">
        <v>146.19999999999999</v>
      </c>
      <c r="D58" s="25">
        <v>0.3</v>
      </c>
      <c r="E58" s="25">
        <f t="shared" si="0"/>
        <v>43.859999999999992</v>
      </c>
      <c r="F58" s="25"/>
      <c r="G58" s="25">
        <f t="shared" si="1"/>
        <v>43.859999999999992</v>
      </c>
      <c r="H58" s="22">
        <v>5634328</v>
      </c>
      <c r="I58" s="216" t="s">
        <v>170</v>
      </c>
      <c r="J58" s="215" t="s">
        <v>25</v>
      </c>
      <c r="K58" s="214" t="s">
        <v>26</v>
      </c>
      <c r="L58" s="22">
        <v>92283227</v>
      </c>
      <c r="M58" s="26"/>
    </row>
    <row r="59" spans="1:13" s="79" customFormat="1" x14ac:dyDescent="0.25">
      <c r="A59" s="22">
        <v>3210</v>
      </c>
      <c r="B59" s="23" t="s">
        <v>171</v>
      </c>
      <c r="C59" s="24">
        <v>150.4</v>
      </c>
      <c r="D59" s="25">
        <v>0.3</v>
      </c>
      <c r="E59" s="25">
        <f t="shared" si="0"/>
        <v>45.12</v>
      </c>
      <c r="F59" s="25"/>
      <c r="G59" s="25">
        <f t="shared" si="1"/>
        <v>45.12</v>
      </c>
      <c r="H59" s="22">
        <v>45419</v>
      </c>
      <c r="I59" s="216" t="s">
        <v>172</v>
      </c>
      <c r="J59" s="215" t="s">
        <v>25</v>
      </c>
      <c r="K59" s="214" t="s">
        <v>26</v>
      </c>
      <c r="L59" s="22">
        <v>90101070</v>
      </c>
      <c r="M59" s="26"/>
    </row>
    <row r="60" spans="1:13" s="79" customFormat="1" x14ac:dyDescent="0.25">
      <c r="A60" s="22">
        <v>3211</v>
      </c>
      <c r="B60" s="23" t="s">
        <v>173</v>
      </c>
      <c r="C60" s="29"/>
      <c r="D60" s="25">
        <v>0.3</v>
      </c>
      <c r="E60" s="25">
        <f t="shared" si="0"/>
        <v>0</v>
      </c>
      <c r="F60" s="25"/>
      <c r="G60" s="25">
        <f t="shared" si="1"/>
        <v>0</v>
      </c>
      <c r="H60" s="463">
        <v>9927207</v>
      </c>
      <c r="I60" s="460" t="s">
        <v>174</v>
      </c>
      <c r="J60" s="460" t="s">
        <v>17</v>
      </c>
      <c r="K60" s="460" t="s">
        <v>18</v>
      </c>
      <c r="L60" s="463"/>
      <c r="M60" s="62">
        <v>44986</v>
      </c>
    </row>
    <row r="61" spans="1:13" s="79" customFormat="1" x14ac:dyDescent="0.25">
      <c r="A61" s="22">
        <v>3212</v>
      </c>
      <c r="B61" s="23" t="s">
        <v>175</v>
      </c>
      <c r="C61" s="24">
        <v>225.7</v>
      </c>
      <c r="D61" s="25">
        <v>0.3</v>
      </c>
      <c r="E61" s="25">
        <f t="shared" si="0"/>
        <v>67.709999999999994</v>
      </c>
      <c r="F61" s="25"/>
      <c r="G61" s="25">
        <f t="shared" si="1"/>
        <v>67.709999999999994</v>
      </c>
      <c r="H61" s="22">
        <v>804443</v>
      </c>
      <c r="I61" s="216" t="s">
        <v>176</v>
      </c>
      <c r="J61" s="26" t="s">
        <v>121</v>
      </c>
      <c r="K61" s="26" t="s">
        <v>122</v>
      </c>
      <c r="L61" s="22">
        <v>99483202</v>
      </c>
      <c r="M61" s="26"/>
    </row>
    <row r="62" spans="1:13" s="79" customFormat="1" x14ac:dyDescent="0.25">
      <c r="A62" s="22">
        <v>3213</v>
      </c>
      <c r="B62" s="23" t="s">
        <v>177</v>
      </c>
      <c r="C62" s="29"/>
      <c r="D62" s="25">
        <v>0.3</v>
      </c>
      <c r="E62" s="25">
        <f t="shared" si="0"/>
        <v>0</v>
      </c>
      <c r="F62" s="25"/>
      <c r="G62" s="25">
        <f t="shared" si="1"/>
        <v>0</v>
      </c>
      <c r="H62" s="22">
        <v>2594336</v>
      </c>
      <c r="I62" s="216" t="s">
        <v>178</v>
      </c>
      <c r="J62" s="215" t="s">
        <v>25</v>
      </c>
      <c r="K62" s="214" t="s">
        <v>26</v>
      </c>
      <c r="L62" s="22">
        <v>71773005</v>
      </c>
      <c r="M62" s="26"/>
    </row>
    <row r="63" spans="1:13" s="79" customFormat="1" x14ac:dyDescent="0.25">
      <c r="A63" s="22">
        <v>3214</v>
      </c>
      <c r="B63" s="23" t="s">
        <v>179</v>
      </c>
      <c r="C63" s="29"/>
      <c r="D63" s="25">
        <v>0.3</v>
      </c>
      <c r="E63" s="25">
        <f t="shared" si="0"/>
        <v>0</v>
      </c>
      <c r="F63" s="25"/>
      <c r="G63" s="25">
        <f t="shared" si="1"/>
        <v>0</v>
      </c>
      <c r="H63" s="22">
        <v>5168262</v>
      </c>
      <c r="I63" s="216" t="s">
        <v>180</v>
      </c>
      <c r="J63" s="26" t="s">
        <v>17</v>
      </c>
      <c r="K63" s="26" t="s">
        <v>18</v>
      </c>
      <c r="L63" s="22">
        <v>99895383</v>
      </c>
      <c r="M63" s="26"/>
    </row>
    <row r="64" spans="1:13" s="79" customFormat="1" x14ac:dyDescent="0.25">
      <c r="A64" s="22">
        <v>3215</v>
      </c>
      <c r="B64" s="23" t="s">
        <v>181</v>
      </c>
      <c r="C64" s="29"/>
      <c r="D64" s="25">
        <v>0.3</v>
      </c>
      <c r="E64" s="25">
        <f t="shared" si="0"/>
        <v>0</v>
      </c>
      <c r="F64" s="25"/>
      <c r="G64" s="25">
        <f t="shared" si="1"/>
        <v>0</v>
      </c>
      <c r="H64" s="34">
        <v>11684091</v>
      </c>
      <c r="I64" s="214" t="s">
        <v>182</v>
      </c>
      <c r="J64" s="26" t="s">
        <v>17</v>
      </c>
      <c r="K64" s="26" t="s">
        <v>18</v>
      </c>
      <c r="L64" s="22"/>
      <c r="M64" s="62"/>
    </row>
    <row r="65" spans="1:17" s="79" customFormat="1" x14ac:dyDescent="0.25">
      <c r="A65" s="22">
        <v>3216</v>
      </c>
      <c r="B65" s="23" t="s">
        <v>23</v>
      </c>
      <c r="C65" s="24">
        <v>226.8</v>
      </c>
      <c r="D65" s="25">
        <v>0.3</v>
      </c>
      <c r="E65" s="25">
        <f t="shared" si="0"/>
        <v>68.040000000000006</v>
      </c>
      <c r="F65" s="25"/>
      <c r="G65" s="25">
        <f t="shared" si="1"/>
        <v>68.040000000000006</v>
      </c>
      <c r="H65" s="141">
        <v>18715567</v>
      </c>
      <c r="I65" s="480" t="s">
        <v>24</v>
      </c>
      <c r="J65" s="460" t="s">
        <v>25</v>
      </c>
      <c r="K65" s="480" t="s">
        <v>26</v>
      </c>
      <c r="L65" s="22">
        <v>77279900</v>
      </c>
      <c r="M65" s="62"/>
    </row>
    <row r="66" spans="1:17" s="79" customFormat="1" x14ac:dyDescent="0.25">
      <c r="A66" s="22">
        <v>3217</v>
      </c>
      <c r="B66" s="23" t="s">
        <v>183</v>
      </c>
      <c r="C66" s="24">
        <v>15</v>
      </c>
      <c r="D66" s="25">
        <v>0.3</v>
      </c>
      <c r="E66" s="25">
        <f t="shared" si="0"/>
        <v>4.5</v>
      </c>
      <c r="F66" s="25"/>
      <c r="G66" s="25">
        <f t="shared" si="1"/>
        <v>4.5</v>
      </c>
      <c r="H66" s="22">
        <v>1568196</v>
      </c>
      <c r="I66" s="216" t="s">
        <v>184</v>
      </c>
      <c r="J66" s="26" t="s">
        <v>134</v>
      </c>
      <c r="K66" s="214" t="s">
        <v>135</v>
      </c>
      <c r="L66" s="22">
        <v>99494635</v>
      </c>
      <c r="M66" s="26"/>
    </row>
    <row r="67" spans="1:17" s="79" customFormat="1" x14ac:dyDescent="0.25">
      <c r="A67" s="22">
        <v>3219</v>
      </c>
      <c r="B67" s="23" t="s">
        <v>185</v>
      </c>
      <c r="C67" s="29"/>
      <c r="D67" s="25">
        <v>0.3</v>
      </c>
      <c r="E67" s="25">
        <f t="shared" si="0"/>
        <v>0</v>
      </c>
      <c r="F67" s="25"/>
      <c r="G67" s="25">
        <f t="shared" si="1"/>
        <v>0</v>
      </c>
      <c r="H67" s="141">
        <v>12398617</v>
      </c>
      <c r="I67" s="480" t="s">
        <v>186</v>
      </c>
      <c r="J67" s="460" t="s">
        <v>25</v>
      </c>
      <c r="K67" s="480" t="s">
        <v>26</v>
      </c>
      <c r="L67" s="22"/>
      <c r="M67" s="26"/>
    </row>
    <row r="68" spans="1:17" s="79" customFormat="1" x14ac:dyDescent="0.25">
      <c r="A68" s="22">
        <v>3220</v>
      </c>
      <c r="B68" s="23" t="s">
        <v>187</v>
      </c>
      <c r="C68" s="24">
        <v>302.89999999999998</v>
      </c>
      <c r="D68" s="25">
        <v>0.3</v>
      </c>
      <c r="E68" s="25">
        <f t="shared" ref="E68:E131" si="2">D68*C68</f>
        <v>90.86999999999999</v>
      </c>
      <c r="F68" s="25"/>
      <c r="G68" s="25">
        <f t="shared" si="1"/>
        <v>90.86999999999999</v>
      </c>
      <c r="H68" s="22">
        <v>5348311</v>
      </c>
      <c r="I68" s="216" t="s">
        <v>188</v>
      </c>
      <c r="J68" s="26" t="s">
        <v>17</v>
      </c>
      <c r="K68" s="26" t="s">
        <v>18</v>
      </c>
      <c r="L68" s="22">
        <v>96313636</v>
      </c>
      <c r="M68" s="26"/>
    </row>
    <row r="69" spans="1:17" s="79" customFormat="1" x14ac:dyDescent="0.25">
      <c r="A69" s="22">
        <v>3221</v>
      </c>
      <c r="B69" s="23" t="s">
        <v>189</v>
      </c>
      <c r="C69" s="24">
        <v>111.1</v>
      </c>
      <c r="D69" s="25">
        <v>0.3</v>
      </c>
      <c r="E69" s="25">
        <f t="shared" si="2"/>
        <v>33.33</v>
      </c>
      <c r="F69" s="25"/>
      <c r="G69" s="25">
        <f t="shared" ref="G69:G132" si="3">E69-F69</f>
        <v>33.33</v>
      </c>
      <c r="H69" s="22">
        <v>13362673</v>
      </c>
      <c r="I69" s="216" t="s">
        <v>190</v>
      </c>
      <c r="J69" s="215" t="s">
        <v>25</v>
      </c>
      <c r="K69" s="214" t="s">
        <v>26</v>
      </c>
      <c r="L69" s="22">
        <v>92665337</v>
      </c>
      <c r="M69" s="26"/>
    </row>
    <row r="70" spans="1:17" s="79" customFormat="1" x14ac:dyDescent="0.25">
      <c r="A70" s="22">
        <v>3222</v>
      </c>
      <c r="B70" s="23" t="s">
        <v>191</v>
      </c>
      <c r="C70" s="29"/>
      <c r="D70" s="25">
        <v>0.3</v>
      </c>
      <c r="E70" s="25">
        <f t="shared" si="2"/>
        <v>0</v>
      </c>
      <c r="F70" s="25"/>
      <c r="G70" s="25">
        <f t="shared" si="3"/>
        <v>0</v>
      </c>
      <c r="H70" s="22">
        <v>18091329</v>
      </c>
      <c r="I70" s="216" t="s">
        <v>192</v>
      </c>
      <c r="J70" s="26" t="s">
        <v>17</v>
      </c>
      <c r="K70" s="26" t="s">
        <v>18</v>
      </c>
      <c r="L70" s="22">
        <v>92197820</v>
      </c>
      <c r="M70" s="26"/>
    </row>
    <row r="71" spans="1:17" s="79" customFormat="1" x14ac:dyDescent="0.25">
      <c r="A71" s="22">
        <v>3223</v>
      </c>
      <c r="B71" s="23" t="s">
        <v>193</v>
      </c>
      <c r="C71" s="24">
        <v>148.5</v>
      </c>
      <c r="D71" s="25">
        <v>0.3</v>
      </c>
      <c r="E71" s="25">
        <f t="shared" si="2"/>
        <v>44.55</v>
      </c>
      <c r="F71" s="25"/>
      <c r="G71" s="25">
        <f t="shared" si="3"/>
        <v>44.55</v>
      </c>
      <c r="H71" s="22">
        <v>5334914</v>
      </c>
      <c r="I71" s="216" t="s">
        <v>194</v>
      </c>
      <c r="J71" s="26" t="s">
        <v>134</v>
      </c>
      <c r="K71" s="214" t="s">
        <v>135</v>
      </c>
      <c r="L71" s="22">
        <v>98800996</v>
      </c>
      <c r="M71" s="26"/>
    </row>
    <row r="72" spans="1:17" s="79" customFormat="1" x14ac:dyDescent="0.25">
      <c r="A72" s="22">
        <v>3224</v>
      </c>
      <c r="B72" s="23" t="s">
        <v>195</v>
      </c>
      <c r="C72" s="29"/>
      <c r="D72" s="25">
        <v>0.3</v>
      </c>
      <c r="E72" s="25">
        <f t="shared" si="2"/>
        <v>0</v>
      </c>
      <c r="F72" s="25"/>
      <c r="G72" s="25">
        <f t="shared" si="3"/>
        <v>0</v>
      </c>
      <c r="H72" s="22">
        <v>2066756</v>
      </c>
      <c r="I72" s="477" t="s">
        <v>196</v>
      </c>
      <c r="J72" s="26" t="s">
        <v>25</v>
      </c>
      <c r="K72" s="214" t="s">
        <v>26</v>
      </c>
      <c r="L72" s="22">
        <v>95316025</v>
      </c>
      <c r="M72" s="26"/>
      <c r="N72" s="144">
        <f>97.84-53.85</f>
        <v>43.99</v>
      </c>
      <c r="O72" s="144" t="s">
        <v>952</v>
      </c>
      <c r="P72" s="144"/>
      <c r="Q72" s="144"/>
    </row>
    <row r="73" spans="1:17" s="79" customFormat="1" x14ac:dyDescent="0.25">
      <c r="A73" s="22">
        <v>3225</v>
      </c>
      <c r="B73" s="23" t="s">
        <v>197</v>
      </c>
      <c r="C73" s="24">
        <v>159.6</v>
      </c>
      <c r="D73" s="25">
        <v>0.3</v>
      </c>
      <c r="E73" s="25">
        <f t="shared" si="2"/>
        <v>47.879999999999995</v>
      </c>
      <c r="F73" s="25"/>
      <c r="G73" s="25">
        <f t="shared" si="3"/>
        <v>47.879999999999995</v>
      </c>
      <c r="H73" s="141">
        <v>798637</v>
      </c>
      <c r="I73" s="480" t="s">
        <v>198</v>
      </c>
      <c r="J73" s="460" t="s">
        <v>25</v>
      </c>
      <c r="K73" s="480" t="s">
        <v>26</v>
      </c>
      <c r="L73" s="22"/>
      <c r="M73" s="26"/>
    </row>
    <row r="74" spans="1:17" s="79" customFormat="1" x14ac:dyDescent="0.25">
      <c r="A74" s="22">
        <v>3227</v>
      </c>
      <c r="B74" s="23" t="s">
        <v>790</v>
      </c>
      <c r="C74" s="29"/>
      <c r="D74" s="25">
        <v>0.3</v>
      </c>
      <c r="E74" s="25">
        <f t="shared" si="2"/>
        <v>0</v>
      </c>
      <c r="F74" s="25"/>
      <c r="G74" s="25">
        <f t="shared" si="3"/>
        <v>0</v>
      </c>
      <c r="H74" s="141">
        <v>15214649</v>
      </c>
      <c r="I74" s="479" t="s">
        <v>199</v>
      </c>
      <c r="J74" s="460" t="s">
        <v>25</v>
      </c>
      <c r="K74" s="480" t="s">
        <v>26</v>
      </c>
      <c r="L74" s="22">
        <v>92171914</v>
      </c>
      <c r="M74" s="26"/>
    </row>
    <row r="75" spans="1:17" s="79" customFormat="1" x14ac:dyDescent="0.25">
      <c r="A75" s="22">
        <v>3228</v>
      </c>
      <c r="B75" s="23" t="s">
        <v>200</v>
      </c>
      <c r="C75" s="24">
        <v>229</v>
      </c>
      <c r="D75" s="25">
        <v>0.3</v>
      </c>
      <c r="E75" s="25">
        <f t="shared" si="2"/>
        <v>68.7</v>
      </c>
      <c r="F75" s="25"/>
      <c r="G75" s="25">
        <f t="shared" si="3"/>
        <v>68.7</v>
      </c>
      <c r="H75" s="22">
        <v>1307775</v>
      </c>
      <c r="I75" s="216" t="s">
        <v>201</v>
      </c>
      <c r="J75" s="26" t="s">
        <v>17</v>
      </c>
      <c r="K75" s="26" t="s">
        <v>18</v>
      </c>
      <c r="L75" s="22">
        <v>99484101</v>
      </c>
      <c r="M75" s="26"/>
    </row>
    <row r="76" spans="1:17" s="79" customFormat="1" x14ac:dyDescent="0.25">
      <c r="A76" s="22">
        <v>3229</v>
      </c>
      <c r="B76" s="23" t="s">
        <v>202</v>
      </c>
      <c r="C76" s="24">
        <v>192</v>
      </c>
      <c r="D76" s="25">
        <v>0.3</v>
      </c>
      <c r="E76" s="25">
        <f t="shared" si="2"/>
        <v>57.599999999999994</v>
      </c>
      <c r="F76" s="25"/>
      <c r="G76" s="25">
        <f t="shared" si="3"/>
        <v>57.599999999999994</v>
      </c>
      <c r="H76" s="22">
        <v>6370978</v>
      </c>
      <c r="I76" s="216" t="s">
        <v>203</v>
      </c>
      <c r="J76" s="215" t="s">
        <v>25</v>
      </c>
      <c r="K76" s="214" t="s">
        <v>26</v>
      </c>
      <c r="L76" s="22">
        <v>99485611</v>
      </c>
      <c r="M76" s="26"/>
    </row>
    <row r="77" spans="1:17" s="79" customFormat="1" x14ac:dyDescent="0.25">
      <c r="A77" s="22">
        <v>3230</v>
      </c>
      <c r="B77" s="23" t="s">
        <v>204</v>
      </c>
      <c r="C77" s="29"/>
      <c r="D77" s="25">
        <v>0.3</v>
      </c>
      <c r="E77" s="25">
        <f t="shared" si="2"/>
        <v>0</v>
      </c>
      <c r="F77" s="25"/>
      <c r="G77" s="25">
        <f t="shared" si="3"/>
        <v>0</v>
      </c>
      <c r="H77" s="22">
        <v>1968755</v>
      </c>
      <c r="I77" s="214" t="s">
        <v>205</v>
      </c>
      <c r="J77" s="215" t="s">
        <v>25</v>
      </c>
      <c r="K77" s="214" t="s">
        <v>26</v>
      </c>
      <c r="L77" s="22"/>
      <c r="M77" s="26"/>
    </row>
    <row r="78" spans="1:17" s="79" customFormat="1" x14ac:dyDescent="0.25">
      <c r="A78" s="22">
        <v>3231</v>
      </c>
      <c r="B78" s="23" t="s">
        <v>206</v>
      </c>
      <c r="C78" s="29"/>
      <c r="D78" s="25">
        <v>0.3</v>
      </c>
      <c r="E78" s="25">
        <f t="shared" si="2"/>
        <v>0</v>
      </c>
      <c r="F78" s="25"/>
      <c r="G78" s="25">
        <f t="shared" si="3"/>
        <v>0</v>
      </c>
      <c r="H78" s="22">
        <v>6203903</v>
      </c>
      <c r="I78" s="216" t="s">
        <v>207</v>
      </c>
      <c r="J78" s="26" t="s">
        <v>17</v>
      </c>
      <c r="K78" s="26" t="s">
        <v>18</v>
      </c>
      <c r="L78" s="22">
        <v>92535588</v>
      </c>
      <c r="M78" s="26"/>
    </row>
    <row r="79" spans="1:17" s="79" customFormat="1" x14ac:dyDescent="0.25">
      <c r="A79" s="22">
        <v>3232</v>
      </c>
      <c r="B79" s="23" t="s">
        <v>208</v>
      </c>
      <c r="C79" s="24">
        <v>147.30000000000001</v>
      </c>
      <c r="D79" s="25">
        <v>0.3</v>
      </c>
      <c r="E79" s="25">
        <f t="shared" si="2"/>
        <v>44.190000000000005</v>
      </c>
      <c r="F79" s="25"/>
      <c r="G79" s="25">
        <f t="shared" si="3"/>
        <v>44.190000000000005</v>
      </c>
      <c r="H79" s="22">
        <v>6387264</v>
      </c>
      <c r="I79" s="480" t="s">
        <v>209</v>
      </c>
      <c r="J79" s="215" t="s">
        <v>210</v>
      </c>
      <c r="K79" s="480" t="s">
        <v>211</v>
      </c>
      <c r="L79" s="22">
        <v>96661076</v>
      </c>
      <c r="M79" s="26"/>
    </row>
    <row r="80" spans="1:17" s="79" customFormat="1" x14ac:dyDescent="0.25">
      <c r="A80" s="22">
        <v>3234</v>
      </c>
      <c r="B80" s="23" t="s">
        <v>212</v>
      </c>
      <c r="C80" s="24">
        <v>51.9</v>
      </c>
      <c r="D80" s="25">
        <v>0.3</v>
      </c>
      <c r="E80" s="25">
        <f t="shared" si="2"/>
        <v>15.569999999999999</v>
      </c>
      <c r="F80" s="25"/>
      <c r="G80" s="25">
        <f t="shared" si="3"/>
        <v>15.569999999999999</v>
      </c>
      <c r="H80" s="22">
        <v>21834239</v>
      </c>
      <c r="I80" s="216" t="s">
        <v>213</v>
      </c>
      <c r="J80" s="215" t="s">
        <v>25</v>
      </c>
      <c r="K80" s="214" t="s">
        <v>26</v>
      </c>
      <c r="L80" s="22">
        <v>98135444</v>
      </c>
      <c r="M80" s="26"/>
    </row>
    <row r="81" spans="1:13" s="79" customFormat="1" x14ac:dyDescent="0.25">
      <c r="A81" s="22">
        <v>3235</v>
      </c>
      <c r="B81" s="23" t="s">
        <v>214</v>
      </c>
      <c r="C81" s="24">
        <v>318</v>
      </c>
      <c r="D81" s="25">
        <v>0.3</v>
      </c>
      <c r="E81" s="25">
        <f t="shared" si="2"/>
        <v>95.399999999999991</v>
      </c>
      <c r="F81" s="25"/>
      <c r="G81" s="25">
        <f t="shared" si="3"/>
        <v>95.399999999999991</v>
      </c>
      <c r="H81" s="22">
        <v>1234245</v>
      </c>
      <c r="I81" s="216" t="s">
        <v>215</v>
      </c>
      <c r="J81" s="26" t="s">
        <v>75</v>
      </c>
      <c r="K81" s="214" t="s">
        <v>76</v>
      </c>
      <c r="L81" s="22">
        <v>99487759</v>
      </c>
      <c r="M81" s="26"/>
    </row>
    <row r="82" spans="1:13" s="79" customFormat="1" x14ac:dyDescent="0.25">
      <c r="A82" s="22">
        <v>3236</v>
      </c>
      <c r="B82" s="23" t="s">
        <v>216</v>
      </c>
      <c r="C82" s="24">
        <v>30.3</v>
      </c>
      <c r="D82" s="25">
        <v>0.3</v>
      </c>
      <c r="E82" s="25">
        <f t="shared" si="2"/>
        <v>9.09</v>
      </c>
      <c r="F82" s="25"/>
      <c r="G82" s="25">
        <f t="shared" si="3"/>
        <v>9.09</v>
      </c>
      <c r="H82" s="141">
        <v>6733333</v>
      </c>
      <c r="I82" s="480" t="s">
        <v>217</v>
      </c>
      <c r="J82" s="215" t="s">
        <v>25</v>
      </c>
      <c r="K82" s="480" t="s">
        <v>26</v>
      </c>
      <c r="L82" s="22"/>
      <c r="M82" s="53"/>
    </row>
    <row r="83" spans="1:13" s="79" customFormat="1" x14ac:dyDescent="0.25">
      <c r="A83" s="22">
        <v>3237</v>
      </c>
      <c r="B83" s="23" t="s">
        <v>218</v>
      </c>
      <c r="C83" s="29"/>
      <c r="D83" s="25">
        <v>0.3</v>
      </c>
      <c r="E83" s="25">
        <f t="shared" si="2"/>
        <v>0</v>
      </c>
      <c r="F83" s="25"/>
      <c r="G83" s="25">
        <f t="shared" si="3"/>
        <v>0</v>
      </c>
      <c r="H83" s="22">
        <v>873637</v>
      </c>
      <c r="I83" s="214" t="s">
        <v>219</v>
      </c>
      <c r="J83" s="26" t="s">
        <v>43</v>
      </c>
      <c r="K83" s="214" t="s">
        <v>44</v>
      </c>
      <c r="L83" s="22">
        <v>97659667</v>
      </c>
      <c r="M83" s="26"/>
    </row>
    <row r="84" spans="1:13" s="79" customFormat="1" x14ac:dyDescent="0.25">
      <c r="A84" s="22">
        <v>3238</v>
      </c>
      <c r="B84" s="23" t="s">
        <v>220</v>
      </c>
      <c r="C84" s="29"/>
      <c r="D84" s="25">
        <v>0.3</v>
      </c>
      <c r="E84" s="25">
        <f t="shared" si="2"/>
        <v>0</v>
      </c>
      <c r="F84" s="25"/>
      <c r="G84" s="25">
        <f t="shared" si="3"/>
        <v>0</v>
      </c>
      <c r="H84" s="141">
        <v>5361082</v>
      </c>
      <c r="I84" s="479" t="s">
        <v>221</v>
      </c>
      <c r="J84" s="460" t="s">
        <v>25</v>
      </c>
      <c r="K84" s="480" t="s">
        <v>26</v>
      </c>
      <c r="L84" s="22"/>
      <c r="M84" s="62">
        <v>44621</v>
      </c>
    </row>
    <row r="85" spans="1:13" s="79" customFormat="1" x14ac:dyDescent="0.25">
      <c r="A85" s="22">
        <v>3239</v>
      </c>
      <c r="B85" s="23" t="s">
        <v>222</v>
      </c>
      <c r="C85" s="29"/>
      <c r="D85" s="25">
        <v>0.3</v>
      </c>
      <c r="E85" s="25">
        <f t="shared" si="2"/>
        <v>0</v>
      </c>
      <c r="F85" s="25"/>
      <c r="G85" s="25">
        <f t="shared" si="3"/>
        <v>0</v>
      </c>
      <c r="H85" s="22">
        <v>14379226</v>
      </c>
      <c r="I85" s="216" t="s">
        <v>223</v>
      </c>
      <c r="J85" s="215" t="s">
        <v>25</v>
      </c>
      <c r="K85" s="214" t="s">
        <v>26</v>
      </c>
      <c r="L85" s="22">
        <v>92385524</v>
      </c>
      <c r="M85" s="26"/>
    </row>
    <row r="86" spans="1:13" s="79" customFormat="1" x14ac:dyDescent="0.25">
      <c r="A86" s="22">
        <v>3240</v>
      </c>
      <c r="B86" s="23" t="s">
        <v>224</v>
      </c>
      <c r="C86" s="24">
        <v>55.1</v>
      </c>
      <c r="D86" s="25">
        <v>0.3</v>
      </c>
      <c r="E86" s="25">
        <f t="shared" si="2"/>
        <v>16.53</v>
      </c>
      <c r="F86" s="25"/>
      <c r="G86" s="25">
        <f t="shared" si="3"/>
        <v>16.53</v>
      </c>
      <c r="H86" s="22">
        <v>5622856</v>
      </c>
      <c r="I86" s="216" t="s">
        <v>225</v>
      </c>
      <c r="J86" s="26" t="s">
        <v>134</v>
      </c>
      <c r="K86" s="214" t="s">
        <v>135</v>
      </c>
      <c r="L86" s="22">
        <v>92400553</v>
      </c>
      <c r="M86" s="26"/>
    </row>
    <row r="87" spans="1:13" s="79" customFormat="1" x14ac:dyDescent="0.25">
      <c r="A87" s="22">
        <v>3241</v>
      </c>
      <c r="B87" s="23" t="s">
        <v>227</v>
      </c>
      <c r="C87" s="29"/>
      <c r="D87" s="25">
        <v>0.3</v>
      </c>
      <c r="E87" s="25">
        <f t="shared" si="2"/>
        <v>0</v>
      </c>
      <c r="F87" s="25"/>
      <c r="G87" s="25">
        <f t="shared" si="3"/>
        <v>0</v>
      </c>
      <c r="H87" s="22">
        <v>21125518</v>
      </c>
      <c r="I87" s="216" t="s">
        <v>228</v>
      </c>
      <c r="J87" s="215" t="s">
        <v>25</v>
      </c>
      <c r="K87" s="214" t="s">
        <v>26</v>
      </c>
      <c r="L87" s="22">
        <v>99508853</v>
      </c>
      <c r="M87" s="26"/>
    </row>
    <row r="88" spans="1:13" s="79" customFormat="1" x14ac:dyDescent="0.25">
      <c r="A88" s="22">
        <v>3243</v>
      </c>
      <c r="B88" s="23" t="s">
        <v>229</v>
      </c>
      <c r="C88" s="24">
        <v>10.8</v>
      </c>
      <c r="D88" s="25">
        <v>0.3</v>
      </c>
      <c r="E88" s="25">
        <f t="shared" si="2"/>
        <v>3.24</v>
      </c>
      <c r="F88" s="25"/>
      <c r="G88" s="25">
        <f t="shared" si="3"/>
        <v>3.24</v>
      </c>
      <c r="H88" s="22">
        <v>25887256</v>
      </c>
      <c r="I88" s="216" t="s">
        <v>230</v>
      </c>
      <c r="J88" s="215" t="s">
        <v>25</v>
      </c>
      <c r="K88" s="214" t="s">
        <v>26</v>
      </c>
      <c r="L88" s="22">
        <v>93271871</v>
      </c>
      <c r="M88" s="26"/>
    </row>
    <row r="89" spans="1:13" s="79" customFormat="1" x14ac:dyDescent="0.25">
      <c r="A89" s="22">
        <v>3244</v>
      </c>
      <c r="B89" s="23" t="s">
        <v>232</v>
      </c>
      <c r="C89" s="29"/>
      <c r="D89" s="25">
        <v>0.3</v>
      </c>
      <c r="E89" s="25">
        <f t="shared" si="2"/>
        <v>0</v>
      </c>
      <c r="F89" s="25"/>
      <c r="G89" s="25">
        <f t="shared" si="3"/>
        <v>0</v>
      </c>
      <c r="H89" s="22">
        <v>19340943</v>
      </c>
      <c r="I89" s="216" t="s">
        <v>233</v>
      </c>
      <c r="J89" s="215" t="s">
        <v>25</v>
      </c>
      <c r="K89" s="214" t="s">
        <v>26</v>
      </c>
      <c r="L89" s="22">
        <v>92594446</v>
      </c>
      <c r="M89" s="26"/>
    </row>
    <row r="90" spans="1:13" s="79" customFormat="1" x14ac:dyDescent="0.25">
      <c r="A90" s="22">
        <v>3245</v>
      </c>
      <c r="B90" s="23" t="s">
        <v>234</v>
      </c>
      <c r="C90" s="29"/>
      <c r="D90" s="25">
        <v>0.3</v>
      </c>
      <c r="E90" s="25">
        <f t="shared" si="2"/>
        <v>0</v>
      </c>
      <c r="F90" s="25"/>
      <c r="G90" s="25">
        <f t="shared" si="3"/>
        <v>0</v>
      </c>
      <c r="H90" s="80" t="s">
        <v>235</v>
      </c>
      <c r="I90" s="214" t="s">
        <v>236</v>
      </c>
      <c r="J90" s="26" t="s">
        <v>43</v>
      </c>
      <c r="K90" s="214" t="s">
        <v>44</v>
      </c>
      <c r="L90" s="22">
        <v>99699068</v>
      </c>
      <c r="M90" s="26"/>
    </row>
    <row r="91" spans="1:13" s="79" customFormat="1" x14ac:dyDescent="0.25">
      <c r="A91" s="22">
        <v>3246</v>
      </c>
      <c r="B91" s="23" t="s">
        <v>237</v>
      </c>
      <c r="C91" s="24">
        <v>136</v>
      </c>
      <c r="D91" s="25">
        <v>0.3</v>
      </c>
      <c r="E91" s="25">
        <f t="shared" si="2"/>
        <v>40.799999999999997</v>
      </c>
      <c r="F91" s="25"/>
      <c r="G91" s="25">
        <f t="shared" si="3"/>
        <v>40.799999999999997</v>
      </c>
      <c r="H91" s="22">
        <v>662648</v>
      </c>
      <c r="I91" s="216" t="s">
        <v>238</v>
      </c>
      <c r="J91" s="215" t="s">
        <v>25</v>
      </c>
      <c r="K91" s="214" t="s">
        <v>26</v>
      </c>
      <c r="L91" s="22">
        <v>99498382</v>
      </c>
      <c r="M91" s="26"/>
    </row>
    <row r="92" spans="1:13" s="79" customFormat="1" x14ac:dyDescent="0.25">
      <c r="A92" s="22">
        <v>3247</v>
      </c>
      <c r="B92" s="23" t="s">
        <v>239</v>
      </c>
      <c r="C92" s="24">
        <v>142.4</v>
      </c>
      <c r="D92" s="25">
        <v>0.3</v>
      </c>
      <c r="E92" s="25">
        <f t="shared" si="2"/>
        <v>42.72</v>
      </c>
      <c r="F92" s="25"/>
      <c r="G92" s="25">
        <f t="shared" si="3"/>
        <v>42.72</v>
      </c>
      <c r="H92" s="22">
        <v>6457783</v>
      </c>
      <c r="I92" s="214" t="s">
        <v>240</v>
      </c>
      <c r="J92" s="215" t="s">
        <v>25</v>
      </c>
      <c r="K92" s="214" t="s">
        <v>26</v>
      </c>
      <c r="L92" s="22">
        <v>92594442</v>
      </c>
      <c r="M92" s="26"/>
    </row>
    <row r="93" spans="1:13" s="79" customFormat="1" x14ac:dyDescent="0.25">
      <c r="A93" s="22">
        <v>3248</v>
      </c>
      <c r="B93" s="23" t="s">
        <v>241</v>
      </c>
      <c r="C93" s="24">
        <v>124.9</v>
      </c>
      <c r="D93" s="25">
        <v>0.3</v>
      </c>
      <c r="E93" s="25">
        <f t="shared" si="2"/>
        <v>37.47</v>
      </c>
      <c r="F93" s="25"/>
      <c r="G93" s="25">
        <f t="shared" si="3"/>
        <v>37.47</v>
      </c>
      <c r="H93" s="22">
        <v>18811851</v>
      </c>
      <c r="I93" s="216" t="s">
        <v>242</v>
      </c>
      <c r="J93" s="215" t="s">
        <v>25</v>
      </c>
      <c r="K93" s="214" t="s">
        <v>26</v>
      </c>
      <c r="L93" s="22">
        <v>92597556</v>
      </c>
      <c r="M93" s="26"/>
    </row>
    <row r="94" spans="1:13" s="79" customFormat="1" x14ac:dyDescent="0.25">
      <c r="A94" s="22">
        <v>3249</v>
      </c>
      <c r="B94" s="23" t="s">
        <v>243</v>
      </c>
      <c r="C94" s="29"/>
      <c r="D94" s="25">
        <v>0.3</v>
      </c>
      <c r="E94" s="25">
        <f t="shared" si="2"/>
        <v>0</v>
      </c>
      <c r="F94" s="25"/>
      <c r="G94" s="25">
        <f t="shared" si="3"/>
        <v>0</v>
      </c>
      <c r="H94" s="22">
        <v>24540784</v>
      </c>
      <c r="I94" s="507" t="s">
        <v>244</v>
      </c>
      <c r="J94" s="26" t="s">
        <v>25</v>
      </c>
      <c r="K94" s="214" t="s">
        <v>26</v>
      </c>
      <c r="L94" s="22">
        <v>99693301</v>
      </c>
      <c r="M94" s="26"/>
    </row>
    <row r="95" spans="1:13" s="79" customFormat="1" x14ac:dyDescent="0.25">
      <c r="A95" s="22">
        <v>3251</v>
      </c>
      <c r="B95" s="23" t="s">
        <v>245</v>
      </c>
      <c r="C95" s="24">
        <v>180</v>
      </c>
      <c r="D95" s="25">
        <v>0.3</v>
      </c>
      <c r="E95" s="25">
        <f t="shared" si="2"/>
        <v>54</v>
      </c>
      <c r="F95" s="25"/>
      <c r="G95" s="25">
        <f t="shared" si="3"/>
        <v>54</v>
      </c>
      <c r="H95" s="22">
        <v>6420681</v>
      </c>
      <c r="I95" s="216" t="s">
        <v>246</v>
      </c>
      <c r="J95" s="215" t="s">
        <v>25</v>
      </c>
      <c r="K95" s="214" t="s">
        <v>26</v>
      </c>
      <c r="L95" s="22">
        <v>99588744</v>
      </c>
      <c r="M95" s="26"/>
    </row>
    <row r="96" spans="1:13" s="79" customFormat="1" x14ac:dyDescent="0.25">
      <c r="A96" s="22">
        <v>3252</v>
      </c>
      <c r="B96" s="23" t="s">
        <v>247</v>
      </c>
      <c r="C96" s="24">
        <v>19</v>
      </c>
      <c r="D96" s="25">
        <v>0.3</v>
      </c>
      <c r="E96" s="25">
        <f t="shared" si="2"/>
        <v>5.7</v>
      </c>
      <c r="F96" s="25"/>
      <c r="G96" s="25">
        <f t="shared" si="3"/>
        <v>5.7</v>
      </c>
      <c r="H96" s="22">
        <v>460074</v>
      </c>
      <c r="I96" s="507" t="s">
        <v>248</v>
      </c>
      <c r="J96" s="507" t="s">
        <v>25</v>
      </c>
      <c r="K96" s="214" t="s">
        <v>26</v>
      </c>
      <c r="L96" s="22">
        <v>99292354</v>
      </c>
      <c r="M96" s="507"/>
    </row>
    <row r="97" spans="1:13" s="79" customFormat="1" x14ac:dyDescent="0.25">
      <c r="A97" s="22">
        <v>3253</v>
      </c>
      <c r="B97" s="23" t="s">
        <v>249</v>
      </c>
      <c r="C97" s="24">
        <v>41</v>
      </c>
      <c r="D97" s="25">
        <v>0.3</v>
      </c>
      <c r="E97" s="25">
        <f t="shared" si="2"/>
        <v>12.299999999999999</v>
      </c>
      <c r="F97" s="25"/>
      <c r="G97" s="25">
        <f t="shared" si="3"/>
        <v>12.299999999999999</v>
      </c>
      <c r="H97" s="22">
        <v>25887589</v>
      </c>
      <c r="I97" s="216" t="s">
        <v>250</v>
      </c>
      <c r="J97" s="215" t="s">
        <v>25</v>
      </c>
      <c r="K97" s="214" t="s">
        <v>26</v>
      </c>
      <c r="L97" s="22">
        <v>93995997</v>
      </c>
      <c r="M97" s="26"/>
    </row>
    <row r="98" spans="1:13" s="79" customFormat="1" x14ac:dyDescent="0.25">
      <c r="A98" s="22">
        <v>3254</v>
      </c>
      <c r="B98" s="23" t="s">
        <v>251</v>
      </c>
      <c r="C98" s="24">
        <v>220</v>
      </c>
      <c r="D98" s="25">
        <v>0.3</v>
      </c>
      <c r="E98" s="25">
        <f t="shared" si="2"/>
        <v>66</v>
      </c>
      <c r="F98" s="25"/>
      <c r="G98" s="25">
        <f t="shared" si="3"/>
        <v>66</v>
      </c>
      <c r="H98" s="22">
        <v>6668983</v>
      </c>
      <c r="I98" s="216" t="s">
        <v>252</v>
      </c>
      <c r="J98" s="215" t="s">
        <v>25</v>
      </c>
      <c r="K98" s="214" t="s">
        <v>26</v>
      </c>
      <c r="L98" s="22">
        <v>92321002</v>
      </c>
      <c r="M98" s="26"/>
    </row>
    <row r="99" spans="1:13" s="79" customFormat="1" x14ac:dyDescent="0.25">
      <c r="A99" s="22">
        <v>3255</v>
      </c>
      <c r="B99" s="23" t="s">
        <v>253</v>
      </c>
      <c r="C99" s="24">
        <v>92</v>
      </c>
      <c r="D99" s="25">
        <v>0.3</v>
      </c>
      <c r="E99" s="25">
        <f t="shared" si="2"/>
        <v>27.599999999999998</v>
      </c>
      <c r="F99" s="25"/>
      <c r="G99" s="25">
        <f t="shared" si="3"/>
        <v>27.599999999999998</v>
      </c>
      <c r="H99" s="22">
        <v>5851949</v>
      </c>
      <c r="I99" s="214" t="s">
        <v>254</v>
      </c>
      <c r="J99" s="215" t="s">
        <v>75</v>
      </c>
      <c r="K99" s="214" t="s">
        <v>76</v>
      </c>
      <c r="L99" s="22"/>
      <c r="M99" s="26"/>
    </row>
    <row r="100" spans="1:13" s="79" customFormat="1" x14ac:dyDescent="0.25">
      <c r="A100" s="22">
        <v>3256</v>
      </c>
      <c r="B100" s="23" t="s">
        <v>255</v>
      </c>
      <c r="C100" s="24">
        <v>1069.0999999999999</v>
      </c>
      <c r="D100" s="25">
        <v>0.3</v>
      </c>
      <c r="E100" s="25">
        <f t="shared" si="2"/>
        <v>320.72999999999996</v>
      </c>
      <c r="F100" s="25"/>
      <c r="G100" s="25">
        <f t="shared" si="3"/>
        <v>320.72999999999996</v>
      </c>
      <c r="H100" s="22">
        <v>6147152</v>
      </c>
      <c r="I100" s="216" t="s">
        <v>256</v>
      </c>
      <c r="J100" s="26" t="s">
        <v>257</v>
      </c>
      <c r="K100" s="214" t="s">
        <v>258</v>
      </c>
      <c r="L100" s="22">
        <v>99889778</v>
      </c>
      <c r="M100" s="26"/>
    </row>
    <row r="101" spans="1:13" s="79" customFormat="1" x14ac:dyDescent="0.25">
      <c r="A101" s="22">
        <v>3258</v>
      </c>
      <c r="B101" s="23" t="s">
        <v>259</v>
      </c>
      <c r="C101" s="29"/>
      <c r="D101" s="25">
        <v>0.3</v>
      </c>
      <c r="E101" s="25">
        <f t="shared" si="2"/>
        <v>0</v>
      </c>
      <c r="F101" s="25"/>
      <c r="G101" s="25">
        <f t="shared" si="3"/>
        <v>0</v>
      </c>
      <c r="H101" s="22">
        <v>15335306</v>
      </c>
      <c r="I101" s="216" t="s">
        <v>260</v>
      </c>
      <c r="J101" s="26" t="s">
        <v>75</v>
      </c>
      <c r="K101" s="214" t="s">
        <v>76</v>
      </c>
      <c r="L101" s="22">
        <v>99772646</v>
      </c>
      <c r="M101" s="26"/>
    </row>
    <row r="102" spans="1:13" s="79" customFormat="1" x14ac:dyDescent="0.25">
      <c r="A102" s="22">
        <v>3260</v>
      </c>
      <c r="B102" s="23" t="s">
        <v>261</v>
      </c>
      <c r="C102" s="29"/>
      <c r="D102" s="25">
        <v>0.3</v>
      </c>
      <c r="E102" s="25">
        <f t="shared" si="2"/>
        <v>0</v>
      </c>
      <c r="F102" s="25"/>
      <c r="G102" s="25">
        <f t="shared" si="3"/>
        <v>0</v>
      </c>
      <c r="H102" s="22">
        <v>19361936</v>
      </c>
      <c r="I102" s="480" t="s">
        <v>262</v>
      </c>
      <c r="J102" s="26" t="s">
        <v>25</v>
      </c>
      <c r="K102" s="480" t="s">
        <v>26</v>
      </c>
      <c r="L102" s="22">
        <v>99550633</v>
      </c>
      <c r="M102" s="26"/>
    </row>
    <row r="103" spans="1:13" s="79" customFormat="1" x14ac:dyDescent="0.25">
      <c r="A103" s="22">
        <v>3261</v>
      </c>
      <c r="B103" s="23" t="s">
        <v>263</v>
      </c>
      <c r="C103" s="29"/>
      <c r="D103" s="25">
        <v>0.3</v>
      </c>
      <c r="E103" s="25">
        <f t="shared" si="2"/>
        <v>0</v>
      </c>
      <c r="F103" s="25"/>
      <c r="G103" s="25">
        <f t="shared" si="3"/>
        <v>0</v>
      </c>
      <c r="H103" s="22">
        <v>8124516</v>
      </c>
      <c r="I103" s="216" t="s">
        <v>264</v>
      </c>
      <c r="J103" s="215" t="s">
        <v>25</v>
      </c>
      <c r="K103" s="214" t="s">
        <v>26</v>
      </c>
      <c r="L103" s="22">
        <v>92661167</v>
      </c>
      <c r="M103" s="26"/>
    </row>
    <row r="104" spans="1:13" s="537" customFormat="1" x14ac:dyDescent="0.25">
      <c r="A104" s="140">
        <v>3262</v>
      </c>
      <c r="B104" s="532" t="s">
        <v>265</v>
      </c>
      <c r="C104" s="29"/>
      <c r="D104" s="25">
        <v>0.3</v>
      </c>
      <c r="E104" s="533">
        <f t="shared" si="2"/>
        <v>0</v>
      </c>
      <c r="F104" s="533"/>
      <c r="G104" s="25">
        <f t="shared" si="3"/>
        <v>0</v>
      </c>
      <c r="H104" s="140">
        <v>1483142</v>
      </c>
      <c r="I104" s="477" t="s">
        <v>266</v>
      </c>
      <c r="J104" s="538" t="s">
        <v>43</v>
      </c>
      <c r="K104" s="507" t="s">
        <v>44</v>
      </c>
      <c r="L104" s="140">
        <v>99499613</v>
      </c>
      <c r="M104" s="538"/>
    </row>
    <row r="105" spans="1:13" s="79" customFormat="1" x14ac:dyDescent="0.25">
      <c r="A105" s="22">
        <v>3263</v>
      </c>
      <c r="B105" s="23" t="s">
        <v>267</v>
      </c>
      <c r="C105" s="29"/>
      <c r="D105" s="25">
        <v>0.3</v>
      </c>
      <c r="E105" s="25">
        <f t="shared" si="2"/>
        <v>0</v>
      </c>
      <c r="F105" s="25"/>
      <c r="G105" s="25">
        <f t="shared" si="3"/>
        <v>0</v>
      </c>
      <c r="H105" s="22">
        <v>986981</v>
      </c>
      <c r="I105" s="214" t="s">
        <v>268</v>
      </c>
      <c r="J105" s="26" t="s">
        <v>75</v>
      </c>
      <c r="K105" s="214" t="s">
        <v>76</v>
      </c>
      <c r="L105" s="22">
        <v>99667979</v>
      </c>
      <c r="M105" s="26"/>
    </row>
    <row r="106" spans="1:13" s="79" customFormat="1" x14ac:dyDescent="0.25">
      <c r="A106" s="22">
        <v>3266</v>
      </c>
      <c r="B106" s="23" t="s">
        <v>269</v>
      </c>
      <c r="C106" s="24">
        <v>319</v>
      </c>
      <c r="D106" s="25">
        <v>0.3</v>
      </c>
      <c r="E106" s="25">
        <f t="shared" si="2"/>
        <v>95.7</v>
      </c>
      <c r="F106" s="25"/>
      <c r="G106" s="25">
        <f t="shared" si="3"/>
        <v>95.7</v>
      </c>
      <c r="H106" s="22">
        <v>25891616</v>
      </c>
      <c r="I106" s="216" t="s">
        <v>270</v>
      </c>
      <c r="J106" s="215" t="s">
        <v>25</v>
      </c>
      <c r="K106" s="214" t="s">
        <v>26</v>
      </c>
      <c r="L106" s="22">
        <v>99157779</v>
      </c>
      <c r="M106" s="26"/>
    </row>
    <row r="107" spans="1:13" s="79" customFormat="1" x14ac:dyDescent="0.25">
      <c r="A107" s="22">
        <v>3268</v>
      </c>
      <c r="B107" s="23" t="s">
        <v>271</v>
      </c>
      <c r="C107" s="29"/>
      <c r="D107" s="25">
        <v>0.3</v>
      </c>
      <c r="E107" s="25">
        <f t="shared" si="2"/>
        <v>0</v>
      </c>
      <c r="F107" s="25"/>
      <c r="G107" s="25">
        <f t="shared" si="3"/>
        <v>0</v>
      </c>
      <c r="H107" s="141">
        <v>22373123</v>
      </c>
      <c r="I107" s="480" t="s">
        <v>272</v>
      </c>
      <c r="J107" s="460" t="s">
        <v>25</v>
      </c>
      <c r="K107" s="480" t="s">
        <v>26</v>
      </c>
      <c r="L107" s="22"/>
      <c r="M107" s="26"/>
    </row>
    <row r="108" spans="1:13" s="144" customFormat="1" x14ac:dyDescent="0.25">
      <c r="A108" s="54">
        <v>3269</v>
      </c>
      <c r="B108" s="55" t="s">
        <v>273</v>
      </c>
      <c r="C108" s="56">
        <v>56.9</v>
      </c>
      <c r="D108" s="57">
        <v>0.3</v>
      </c>
      <c r="E108" s="57">
        <f t="shared" si="2"/>
        <v>17.07</v>
      </c>
      <c r="F108" s="57">
        <v>0.18000000000000008</v>
      </c>
      <c r="G108" s="57">
        <f t="shared" si="3"/>
        <v>16.89</v>
      </c>
      <c r="H108" s="71">
        <v>14052947</v>
      </c>
      <c r="I108" s="72" t="s">
        <v>274</v>
      </c>
      <c r="J108" s="59" t="s">
        <v>210</v>
      </c>
      <c r="K108" s="72" t="s">
        <v>211</v>
      </c>
      <c r="L108" s="54">
        <v>92203300</v>
      </c>
      <c r="M108" s="61" t="s">
        <v>970</v>
      </c>
    </row>
    <row r="109" spans="1:13" s="79" customFormat="1" x14ac:dyDescent="0.25">
      <c r="A109" s="22">
        <v>3270</v>
      </c>
      <c r="B109" s="23" t="s">
        <v>275</v>
      </c>
      <c r="C109" s="24">
        <v>122.1</v>
      </c>
      <c r="D109" s="25">
        <v>0.3</v>
      </c>
      <c r="E109" s="25">
        <f t="shared" si="2"/>
        <v>36.629999999999995</v>
      </c>
      <c r="F109" s="25"/>
      <c r="G109" s="25">
        <f t="shared" si="3"/>
        <v>36.629999999999995</v>
      </c>
      <c r="H109" s="22">
        <v>11242698</v>
      </c>
      <c r="I109" s="216" t="s">
        <v>276</v>
      </c>
      <c r="J109" s="26" t="s">
        <v>17</v>
      </c>
      <c r="K109" s="26" t="s">
        <v>18</v>
      </c>
      <c r="L109" s="22">
        <v>93839955</v>
      </c>
      <c r="M109" s="26"/>
    </row>
    <row r="110" spans="1:13" s="79" customFormat="1" ht="13.7" customHeight="1" x14ac:dyDescent="0.25">
      <c r="A110" s="22">
        <v>3271</v>
      </c>
      <c r="B110" s="464" t="s">
        <v>277</v>
      </c>
      <c r="C110" s="29"/>
      <c r="D110" s="25">
        <v>0.3</v>
      </c>
      <c r="E110" s="25">
        <f t="shared" si="2"/>
        <v>0</v>
      </c>
      <c r="F110" s="25"/>
      <c r="G110" s="25">
        <f t="shared" si="3"/>
        <v>0</v>
      </c>
      <c r="H110" s="465">
        <v>24503986</v>
      </c>
      <c r="I110" s="536" t="s">
        <v>278</v>
      </c>
      <c r="J110" s="464" t="s">
        <v>17</v>
      </c>
      <c r="K110" s="481" t="s">
        <v>18</v>
      </c>
      <c r="L110" s="465">
        <v>92235243</v>
      </c>
      <c r="M110" s="466"/>
    </row>
    <row r="111" spans="1:13" s="79" customFormat="1" x14ac:dyDescent="0.25">
      <c r="A111" s="22">
        <v>3272</v>
      </c>
      <c r="B111" s="464" t="s">
        <v>279</v>
      </c>
      <c r="C111" s="29"/>
      <c r="D111" s="25">
        <v>0.3</v>
      </c>
      <c r="E111" s="25">
        <f t="shared" si="2"/>
        <v>0</v>
      </c>
      <c r="F111" s="25"/>
      <c r="G111" s="25">
        <f t="shared" si="3"/>
        <v>0</v>
      </c>
      <c r="H111" s="465">
        <v>22977225</v>
      </c>
      <c r="I111" s="475" t="s">
        <v>280</v>
      </c>
      <c r="J111" s="464" t="s">
        <v>25</v>
      </c>
      <c r="K111" s="481" t="s">
        <v>26</v>
      </c>
      <c r="L111" s="482"/>
      <c r="M111" s="466"/>
    </row>
    <row r="112" spans="1:13" s="79" customFormat="1" x14ac:dyDescent="0.25">
      <c r="A112" s="22">
        <v>3273</v>
      </c>
      <c r="B112" s="23" t="s">
        <v>281</v>
      </c>
      <c r="C112" s="24">
        <v>281</v>
      </c>
      <c r="D112" s="25">
        <v>0.3</v>
      </c>
      <c r="E112" s="25">
        <f t="shared" si="2"/>
        <v>84.3</v>
      </c>
      <c r="F112" s="25"/>
      <c r="G112" s="25">
        <f t="shared" si="3"/>
        <v>84.3</v>
      </c>
      <c r="H112" s="22">
        <v>7047221</v>
      </c>
      <c r="I112" s="216" t="s">
        <v>282</v>
      </c>
      <c r="J112" s="26" t="s">
        <v>17</v>
      </c>
      <c r="K112" s="26" t="s">
        <v>18</v>
      </c>
      <c r="L112" s="22">
        <v>92152241</v>
      </c>
      <c r="M112" s="26"/>
    </row>
    <row r="113" spans="1:13" s="79" customFormat="1" x14ac:dyDescent="0.25">
      <c r="A113" s="22">
        <v>3277</v>
      </c>
      <c r="B113" s="23" t="s">
        <v>283</v>
      </c>
      <c r="C113" s="24">
        <v>140.4</v>
      </c>
      <c r="D113" s="25">
        <v>0.3</v>
      </c>
      <c r="E113" s="25">
        <f t="shared" si="2"/>
        <v>42.12</v>
      </c>
      <c r="F113" s="25"/>
      <c r="G113" s="25">
        <f t="shared" si="3"/>
        <v>42.12</v>
      </c>
      <c r="H113" s="22">
        <v>14277741</v>
      </c>
      <c r="I113" s="216" t="s">
        <v>284</v>
      </c>
      <c r="J113" s="215" t="s">
        <v>25</v>
      </c>
      <c r="K113" s="214" t="s">
        <v>26</v>
      </c>
      <c r="L113" s="22">
        <v>92160872</v>
      </c>
      <c r="M113" s="26"/>
    </row>
    <row r="114" spans="1:13" s="79" customFormat="1" x14ac:dyDescent="0.25">
      <c r="A114" s="22">
        <v>3278</v>
      </c>
      <c r="B114" s="23" t="s">
        <v>285</v>
      </c>
      <c r="C114" s="29"/>
      <c r="D114" s="25">
        <v>0.3</v>
      </c>
      <c r="E114" s="25">
        <f t="shared" si="2"/>
        <v>0</v>
      </c>
      <c r="F114" s="25"/>
      <c r="G114" s="25">
        <f t="shared" si="3"/>
        <v>0</v>
      </c>
      <c r="H114" s="22">
        <v>27713998</v>
      </c>
      <c r="I114" s="216" t="s">
        <v>286</v>
      </c>
      <c r="J114" s="26" t="s">
        <v>75</v>
      </c>
      <c r="K114" s="214" t="s">
        <v>76</v>
      </c>
      <c r="L114" s="22">
        <v>99257989</v>
      </c>
      <c r="M114" s="26"/>
    </row>
    <row r="115" spans="1:13" s="79" customFormat="1" x14ac:dyDescent="0.25">
      <c r="A115" s="22">
        <v>3279</v>
      </c>
      <c r="B115" s="23" t="s">
        <v>287</v>
      </c>
      <c r="C115" s="29"/>
      <c r="D115" s="25">
        <v>0.3</v>
      </c>
      <c r="E115" s="25">
        <f t="shared" si="2"/>
        <v>0</v>
      </c>
      <c r="F115" s="25"/>
      <c r="G115" s="25">
        <f t="shared" si="3"/>
        <v>0</v>
      </c>
      <c r="H115" s="586">
        <v>20468811</v>
      </c>
      <c r="I115" s="214" t="s">
        <v>244</v>
      </c>
      <c r="J115" s="215" t="s">
        <v>25</v>
      </c>
      <c r="K115" s="214" t="s">
        <v>26</v>
      </c>
      <c r="L115" s="22"/>
      <c r="M115" s="26"/>
    </row>
    <row r="116" spans="1:13" s="79" customFormat="1" x14ac:dyDescent="0.25">
      <c r="A116" s="22">
        <v>3280</v>
      </c>
      <c r="B116" s="23" t="s">
        <v>288</v>
      </c>
      <c r="C116" s="24">
        <v>49.9</v>
      </c>
      <c r="D116" s="25">
        <v>0.3</v>
      </c>
      <c r="E116" s="25">
        <f t="shared" si="2"/>
        <v>14.969999999999999</v>
      </c>
      <c r="F116" s="25"/>
      <c r="G116" s="25">
        <f t="shared" si="3"/>
        <v>14.969999999999999</v>
      </c>
      <c r="H116" s="22">
        <v>25887523</v>
      </c>
      <c r="I116" s="216" t="s">
        <v>289</v>
      </c>
      <c r="J116" s="26" t="s">
        <v>290</v>
      </c>
      <c r="K116" s="214" t="s">
        <v>291</v>
      </c>
      <c r="L116" s="22">
        <v>91774010</v>
      </c>
      <c r="M116" s="26"/>
    </row>
    <row r="117" spans="1:13" s="79" customFormat="1" x14ac:dyDescent="0.25">
      <c r="A117" s="22">
        <v>3281</v>
      </c>
      <c r="B117" s="23" t="s">
        <v>292</v>
      </c>
      <c r="C117" s="24">
        <v>28.5</v>
      </c>
      <c r="D117" s="25">
        <v>0.3</v>
      </c>
      <c r="E117" s="25">
        <f t="shared" si="2"/>
        <v>8.5499999999999989</v>
      </c>
      <c r="F117" s="25"/>
      <c r="G117" s="25">
        <f t="shared" si="3"/>
        <v>8.5499999999999989</v>
      </c>
      <c r="H117" s="22">
        <v>1045575</v>
      </c>
      <c r="I117" s="216" t="s">
        <v>293</v>
      </c>
      <c r="J117" s="26" t="s">
        <v>134</v>
      </c>
      <c r="K117" s="214" t="s">
        <v>135</v>
      </c>
      <c r="L117" s="22">
        <v>99841917</v>
      </c>
      <c r="M117" s="26"/>
    </row>
    <row r="118" spans="1:13" s="79" customFormat="1" x14ac:dyDescent="0.25">
      <c r="A118" s="22">
        <v>3286</v>
      </c>
      <c r="B118" s="23" t="s">
        <v>295</v>
      </c>
      <c r="C118" s="24">
        <v>173.6</v>
      </c>
      <c r="D118" s="25">
        <v>0.3</v>
      </c>
      <c r="E118" s="25">
        <f t="shared" si="2"/>
        <v>52.08</v>
      </c>
      <c r="F118" s="25"/>
      <c r="G118" s="25">
        <f t="shared" si="3"/>
        <v>52.08</v>
      </c>
      <c r="H118" s="22">
        <v>23232841</v>
      </c>
      <c r="I118" s="216" t="s">
        <v>296</v>
      </c>
      <c r="J118" s="215" t="s">
        <v>25</v>
      </c>
      <c r="K118" s="214" t="s">
        <v>26</v>
      </c>
      <c r="L118" s="22"/>
      <c r="M118" s="26"/>
    </row>
    <row r="119" spans="1:13" s="79" customFormat="1" x14ac:dyDescent="0.25">
      <c r="A119" s="22">
        <v>3287</v>
      </c>
      <c r="B119" s="23" t="s">
        <v>297</v>
      </c>
      <c r="C119" s="29"/>
      <c r="D119" s="25">
        <v>0.3</v>
      </c>
      <c r="E119" s="25">
        <f t="shared" si="2"/>
        <v>0</v>
      </c>
      <c r="F119" s="25"/>
      <c r="G119" s="25">
        <f t="shared" si="3"/>
        <v>0</v>
      </c>
      <c r="H119" s="22">
        <v>6504554</v>
      </c>
      <c r="I119" s="216" t="s">
        <v>298</v>
      </c>
      <c r="J119" s="215" t="s">
        <v>25</v>
      </c>
      <c r="K119" s="214" t="s">
        <v>26</v>
      </c>
      <c r="L119" s="22">
        <v>95606029</v>
      </c>
      <c r="M119" s="26"/>
    </row>
    <row r="120" spans="1:13" s="79" customFormat="1" x14ac:dyDescent="0.25">
      <c r="A120" s="22">
        <v>3288</v>
      </c>
      <c r="B120" s="23" t="s">
        <v>300</v>
      </c>
      <c r="C120" s="24">
        <v>18</v>
      </c>
      <c r="D120" s="25">
        <v>0.3</v>
      </c>
      <c r="E120" s="25">
        <f t="shared" si="2"/>
        <v>5.3999999999999995</v>
      </c>
      <c r="F120" s="25"/>
      <c r="G120" s="25">
        <f t="shared" si="3"/>
        <v>5.3999999999999995</v>
      </c>
      <c r="H120" s="34">
        <v>1460824</v>
      </c>
      <c r="I120" s="214" t="s">
        <v>301</v>
      </c>
      <c r="J120" s="215" t="s">
        <v>302</v>
      </c>
      <c r="K120" s="214" t="s">
        <v>18</v>
      </c>
      <c r="L120" s="22"/>
      <c r="M120" s="62"/>
    </row>
    <row r="121" spans="1:13" s="79" customFormat="1" x14ac:dyDescent="0.25">
      <c r="A121" s="22">
        <v>3291</v>
      </c>
      <c r="B121" s="23" t="s">
        <v>303</v>
      </c>
      <c r="C121" s="24">
        <v>221.6</v>
      </c>
      <c r="D121" s="25">
        <v>0.3</v>
      </c>
      <c r="E121" s="25">
        <f t="shared" si="2"/>
        <v>66.47999999999999</v>
      </c>
      <c r="F121" s="25"/>
      <c r="G121" s="25">
        <f t="shared" si="3"/>
        <v>66.47999999999999</v>
      </c>
      <c r="H121" s="22">
        <v>1974735</v>
      </c>
      <c r="I121" s="216" t="s">
        <v>304</v>
      </c>
      <c r="J121" s="214" t="s">
        <v>75</v>
      </c>
      <c r="K121" s="216" t="s">
        <v>76</v>
      </c>
      <c r="L121" s="22">
        <v>99085848</v>
      </c>
      <c r="M121" s="26"/>
    </row>
    <row r="122" spans="1:13" s="79" customFormat="1" x14ac:dyDescent="0.25">
      <c r="A122" s="22">
        <v>3292</v>
      </c>
      <c r="B122" s="23" t="s">
        <v>305</v>
      </c>
      <c r="C122" s="29"/>
      <c r="D122" s="25">
        <v>0.3</v>
      </c>
      <c r="E122" s="25">
        <f t="shared" si="2"/>
        <v>0</v>
      </c>
      <c r="F122" s="25"/>
      <c r="G122" s="25">
        <f t="shared" si="3"/>
        <v>0</v>
      </c>
      <c r="H122" s="141">
        <v>13282353</v>
      </c>
      <c r="I122" s="480" t="s">
        <v>306</v>
      </c>
      <c r="J122" s="26" t="s">
        <v>17</v>
      </c>
      <c r="K122" s="480" t="s">
        <v>18</v>
      </c>
      <c r="L122" s="22"/>
      <c r="M122" s="26"/>
    </row>
    <row r="123" spans="1:13" s="79" customFormat="1" x14ac:dyDescent="0.25">
      <c r="A123" s="22">
        <v>3293</v>
      </c>
      <c r="B123" s="23" t="s">
        <v>307</v>
      </c>
      <c r="C123" s="24">
        <v>14</v>
      </c>
      <c r="D123" s="25">
        <v>0.3</v>
      </c>
      <c r="E123" s="25">
        <f t="shared" si="2"/>
        <v>4.2</v>
      </c>
      <c r="F123" s="25"/>
      <c r="G123" s="25">
        <f t="shared" si="3"/>
        <v>4.2</v>
      </c>
      <c r="H123" s="22">
        <v>4048259</v>
      </c>
      <c r="I123" s="214" t="s">
        <v>308</v>
      </c>
      <c r="J123" s="26" t="s">
        <v>75</v>
      </c>
      <c r="K123" s="214" t="s">
        <v>76</v>
      </c>
      <c r="L123" s="22">
        <v>92970078</v>
      </c>
      <c r="M123" s="26"/>
    </row>
    <row r="124" spans="1:13" s="79" customFormat="1" x14ac:dyDescent="0.25">
      <c r="A124" s="22">
        <v>3294</v>
      </c>
      <c r="B124" s="23" t="s">
        <v>309</v>
      </c>
      <c r="C124" s="24">
        <v>19.3</v>
      </c>
      <c r="D124" s="25">
        <v>0.3</v>
      </c>
      <c r="E124" s="25">
        <f t="shared" si="2"/>
        <v>5.79</v>
      </c>
      <c r="F124" s="25"/>
      <c r="G124" s="25">
        <f t="shared" si="3"/>
        <v>5.79</v>
      </c>
      <c r="H124" s="22">
        <v>19263029</v>
      </c>
      <c r="I124" s="216" t="s">
        <v>310</v>
      </c>
      <c r="J124" s="215" t="s">
        <v>25</v>
      </c>
      <c r="K124" s="214" t="s">
        <v>26</v>
      </c>
      <c r="L124" s="22">
        <v>92387034</v>
      </c>
      <c r="M124" s="26"/>
    </row>
    <row r="125" spans="1:13" s="79" customFormat="1" x14ac:dyDescent="0.25">
      <c r="A125" s="22">
        <v>3295</v>
      </c>
      <c r="B125" s="23" t="s">
        <v>311</v>
      </c>
      <c r="C125" s="29"/>
      <c r="D125" s="25">
        <v>0.3</v>
      </c>
      <c r="E125" s="25">
        <f t="shared" si="2"/>
        <v>0</v>
      </c>
      <c r="F125" s="25"/>
      <c r="G125" s="25">
        <f t="shared" si="3"/>
        <v>0</v>
      </c>
      <c r="H125" s="22">
        <v>20378353</v>
      </c>
      <c r="I125" s="216" t="s">
        <v>312</v>
      </c>
      <c r="J125" s="26" t="s">
        <v>17</v>
      </c>
      <c r="K125" s="26" t="s">
        <v>18</v>
      </c>
      <c r="L125" s="22">
        <v>99489171</v>
      </c>
      <c r="M125" s="26"/>
    </row>
    <row r="126" spans="1:13" s="79" customFormat="1" x14ac:dyDescent="0.25">
      <c r="A126" s="22">
        <v>3297</v>
      </c>
      <c r="B126" s="23" t="s">
        <v>313</v>
      </c>
      <c r="C126" s="29"/>
      <c r="D126" s="25">
        <v>0.3</v>
      </c>
      <c r="E126" s="25">
        <f t="shared" si="2"/>
        <v>0</v>
      </c>
      <c r="F126" s="25"/>
      <c r="G126" s="25">
        <f t="shared" si="3"/>
        <v>0</v>
      </c>
      <c r="H126" s="22">
        <v>5359682</v>
      </c>
      <c r="I126" s="214" t="s">
        <v>314</v>
      </c>
      <c r="J126" s="26" t="s">
        <v>25</v>
      </c>
      <c r="K126" s="26" t="s">
        <v>26</v>
      </c>
      <c r="L126" s="22">
        <v>93240442</v>
      </c>
      <c r="M126" s="26"/>
    </row>
    <row r="127" spans="1:13" s="79" customFormat="1" x14ac:dyDescent="0.25">
      <c r="A127" s="22">
        <v>3298</v>
      </c>
      <c r="B127" s="23" t="s">
        <v>315</v>
      </c>
      <c r="C127" s="29"/>
      <c r="D127" s="25">
        <v>0.3</v>
      </c>
      <c r="E127" s="25">
        <f t="shared" si="2"/>
        <v>0</v>
      </c>
      <c r="F127" s="25"/>
      <c r="G127" s="25">
        <f t="shared" si="3"/>
        <v>0</v>
      </c>
      <c r="H127" s="34">
        <v>6160236</v>
      </c>
      <c r="I127" s="480" t="s">
        <v>316</v>
      </c>
      <c r="J127" s="215" t="s">
        <v>25</v>
      </c>
      <c r="K127" s="480" t="s">
        <v>26</v>
      </c>
      <c r="L127" s="22"/>
      <c r="M127" s="26"/>
    </row>
    <row r="128" spans="1:13" s="79" customFormat="1" x14ac:dyDescent="0.25">
      <c r="A128" s="22">
        <v>3302</v>
      </c>
      <c r="B128" s="23" t="s">
        <v>317</v>
      </c>
      <c r="C128" s="29"/>
      <c r="D128" s="25">
        <v>0.3</v>
      </c>
      <c r="E128" s="25">
        <f t="shared" si="2"/>
        <v>0</v>
      </c>
      <c r="F128" s="25"/>
      <c r="G128" s="25">
        <f t="shared" si="3"/>
        <v>0</v>
      </c>
      <c r="H128" s="22">
        <v>71004483</v>
      </c>
      <c r="I128" s="510" t="s">
        <v>318</v>
      </c>
      <c r="J128" s="215" t="s">
        <v>25</v>
      </c>
      <c r="K128" s="214" t="s">
        <v>26</v>
      </c>
      <c r="L128" s="22">
        <v>92557761</v>
      </c>
      <c r="M128" s="26"/>
    </row>
    <row r="129" spans="1:13" s="79" customFormat="1" x14ac:dyDescent="0.25">
      <c r="A129" s="22">
        <v>3303</v>
      </c>
      <c r="B129" s="23" t="s">
        <v>319</v>
      </c>
      <c r="C129" s="29"/>
      <c r="D129" s="25">
        <v>0.3</v>
      </c>
      <c r="E129" s="25">
        <f t="shared" si="2"/>
        <v>0</v>
      </c>
      <c r="F129" s="25"/>
      <c r="G129" s="25">
        <f t="shared" si="3"/>
        <v>0</v>
      </c>
      <c r="H129" s="34">
        <v>3172781</v>
      </c>
      <c r="I129" s="214" t="s">
        <v>320</v>
      </c>
      <c r="J129" s="215" t="s">
        <v>17</v>
      </c>
      <c r="K129" s="214" t="s">
        <v>18</v>
      </c>
      <c r="L129" s="22">
        <v>99282770</v>
      </c>
      <c r="M129" s="26"/>
    </row>
    <row r="130" spans="1:13" s="79" customFormat="1" x14ac:dyDescent="0.25">
      <c r="A130" s="22">
        <v>3309</v>
      </c>
      <c r="B130" s="23" t="s">
        <v>321</v>
      </c>
      <c r="C130" s="24">
        <v>19.5</v>
      </c>
      <c r="D130" s="25">
        <v>0.3</v>
      </c>
      <c r="E130" s="25">
        <f t="shared" si="2"/>
        <v>5.85</v>
      </c>
      <c r="F130" s="25"/>
      <c r="G130" s="25">
        <f t="shared" si="3"/>
        <v>5.85</v>
      </c>
      <c r="H130" s="34">
        <v>21453611</v>
      </c>
      <c r="I130" s="480" t="s">
        <v>322</v>
      </c>
      <c r="J130" s="215" t="s">
        <v>25</v>
      </c>
      <c r="K130" s="214" t="s">
        <v>26</v>
      </c>
      <c r="L130" s="22">
        <v>93389969</v>
      </c>
      <c r="M130" s="26"/>
    </row>
    <row r="131" spans="1:13" s="79" customFormat="1" x14ac:dyDescent="0.25">
      <c r="A131" s="22">
        <v>3311</v>
      </c>
      <c r="B131" s="23" t="s">
        <v>323</v>
      </c>
      <c r="C131" s="24">
        <v>16</v>
      </c>
      <c r="D131" s="25">
        <v>0.3</v>
      </c>
      <c r="E131" s="25">
        <f t="shared" si="2"/>
        <v>4.8</v>
      </c>
      <c r="F131" s="25"/>
      <c r="G131" s="25">
        <f t="shared" si="3"/>
        <v>4.8</v>
      </c>
      <c r="H131" s="22" t="s">
        <v>324</v>
      </c>
      <c r="I131" s="216" t="s">
        <v>325</v>
      </c>
      <c r="J131" s="215" t="s">
        <v>326</v>
      </c>
      <c r="K131" s="216" t="s">
        <v>327</v>
      </c>
      <c r="L131" s="22">
        <v>92817378</v>
      </c>
      <c r="M131" s="26"/>
    </row>
    <row r="132" spans="1:13" s="79" customFormat="1" x14ac:dyDescent="0.25">
      <c r="A132" s="22">
        <v>3312</v>
      </c>
      <c r="B132" s="23" t="s">
        <v>328</v>
      </c>
      <c r="C132" s="24">
        <v>305</v>
      </c>
      <c r="D132" s="25">
        <v>0.3</v>
      </c>
      <c r="E132" s="25">
        <f t="shared" ref="E132:E195" si="4">D132*C132</f>
        <v>91.5</v>
      </c>
      <c r="F132" s="25"/>
      <c r="G132" s="25">
        <f t="shared" si="3"/>
        <v>91.5</v>
      </c>
      <c r="H132" s="22">
        <v>881326</v>
      </c>
      <c r="I132" s="216" t="s">
        <v>329</v>
      </c>
      <c r="J132" s="26" t="s">
        <v>121</v>
      </c>
      <c r="K132" s="26" t="s">
        <v>122</v>
      </c>
      <c r="L132" s="22">
        <v>99481799</v>
      </c>
      <c r="M132" s="26"/>
    </row>
    <row r="133" spans="1:13" s="79" customFormat="1" x14ac:dyDescent="0.25">
      <c r="A133" s="22">
        <v>3314</v>
      </c>
      <c r="B133" s="23" t="s">
        <v>330</v>
      </c>
      <c r="C133" s="29"/>
      <c r="D133" s="25">
        <v>0.3</v>
      </c>
      <c r="E133" s="25">
        <f t="shared" si="4"/>
        <v>0</v>
      </c>
      <c r="F133" s="25"/>
      <c r="G133" s="25">
        <f t="shared" ref="G133:G196" si="5">E133-F133</f>
        <v>0</v>
      </c>
      <c r="H133" s="22">
        <v>766893</v>
      </c>
      <c r="I133" s="216" t="s">
        <v>331</v>
      </c>
      <c r="J133" s="215" t="s">
        <v>25</v>
      </c>
      <c r="K133" s="214" t="s">
        <v>26</v>
      </c>
      <c r="L133" s="22">
        <v>99257989</v>
      </c>
      <c r="M133" s="26"/>
    </row>
    <row r="134" spans="1:13" s="79" customFormat="1" x14ac:dyDescent="0.25">
      <c r="A134" s="22">
        <v>3315</v>
      </c>
      <c r="B134" s="23" t="s">
        <v>333</v>
      </c>
      <c r="C134" s="24">
        <v>15</v>
      </c>
      <c r="D134" s="25">
        <v>0.3</v>
      </c>
      <c r="E134" s="25">
        <f t="shared" si="4"/>
        <v>4.5</v>
      </c>
      <c r="F134" s="25"/>
      <c r="G134" s="25">
        <f t="shared" si="5"/>
        <v>4.5</v>
      </c>
      <c r="H134" s="22">
        <v>23957422</v>
      </c>
      <c r="I134" s="216" t="s">
        <v>334</v>
      </c>
      <c r="J134" s="26" t="s">
        <v>25</v>
      </c>
      <c r="K134" s="507" t="s">
        <v>26</v>
      </c>
      <c r="L134" s="22">
        <v>99601665</v>
      </c>
      <c r="M134" s="26"/>
    </row>
    <row r="135" spans="1:13" s="79" customFormat="1" x14ac:dyDescent="0.25">
      <c r="A135" s="22">
        <v>3316</v>
      </c>
      <c r="B135" s="23" t="s">
        <v>335</v>
      </c>
      <c r="C135" s="24">
        <v>20</v>
      </c>
      <c r="D135" s="25">
        <v>0.3</v>
      </c>
      <c r="E135" s="25">
        <f t="shared" si="4"/>
        <v>6</v>
      </c>
      <c r="F135" s="25"/>
      <c r="G135" s="25">
        <f t="shared" si="5"/>
        <v>6</v>
      </c>
      <c r="H135" s="22">
        <v>26159748</v>
      </c>
      <c r="I135" s="214" t="s">
        <v>336</v>
      </c>
      <c r="J135" s="26" t="s">
        <v>25</v>
      </c>
      <c r="K135" s="507" t="s">
        <v>26</v>
      </c>
      <c r="L135" s="22">
        <v>99601665</v>
      </c>
      <c r="M135" s="26"/>
    </row>
    <row r="136" spans="1:13" s="79" customFormat="1" x14ac:dyDescent="0.25">
      <c r="A136" s="22">
        <v>3320</v>
      </c>
      <c r="B136" s="23" t="s">
        <v>337</v>
      </c>
      <c r="C136" s="24">
        <v>143.80000000000001</v>
      </c>
      <c r="D136" s="25">
        <v>0.3</v>
      </c>
      <c r="E136" s="25">
        <f t="shared" si="4"/>
        <v>43.14</v>
      </c>
      <c r="F136" s="25"/>
      <c r="G136" s="25">
        <f t="shared" si="5"/>
        <v>43.14</v>
      </c>
      <c r="H136" s="22">
        <v>2096234</v>
      </c>
      <c r="I136" s="216" t="s">
        <v>338</v>
      </c>
      <c r="J136" s="215" t="s">
        <v>25</v>
      </c>
      <c r="K136" s="214" t="s">
        <v>26</v>
      </c>
      <c r="L136" s="22">
        <v>99495933</v>
      </c>
      <c r="M136" s="26"/>
    </row>
    <row r="137" spans="1:13" s="79" customFormat="1" x14ac:dyDescent="0.25">
      <c r="A137" s="22">
        <v>3321</v>
      </c>
      <c r="B137" s="23" t="s">
        <v>339</v>
      </c>
      <c r="C137" s="29"/>
      <c r="D137" s="25">
        <v>0.3</v>
      </c>
      <c r="E137" s="25">
        <f t="shared" si="4"/>
        <v>0</v>
      </c>
      <c r="F137" s="25"/>
      <c r="G137" s="25">
        <f t="shared" si="5"/>
        <v>0</v>
      </c>
      <c r="H137" s="22">
        <v>10721505</v>
      </c>
      <c r="I137" s="216" t="s">
        <v>340</v>
      </c>
      <c r="J137" s="215" t="s">
        <v>25</v>
      </c>
      <c r="K137" s="214" t="s">
        <v>26</v>
      </c>
      <c r="L137" s="22">
        <v>93955800</v>
      </c>
      <c r="M137" s="26"/>
    </row>
    <row r="138" spans="1:13" s="79" customFormat="1" x14ac:dyDescent="0.25">
      <c r="A138" s="22">
        <v>3322</v>
      </c>
      <c r="B138" s="23" t="s">
        <v>341</v>
      </c>
      <c r="C138" s="29"/>
      <c r="D138" s="25">
        <v>0.3</v>
      </c>
      <c r="E138" s="25">
        <f t="shared" si="4"/>
        <v>0</v>
      </c>
      <c r="F138" s="25"/>
      <c r="G138" s="25">
        <f t="shared" si="5"/>
        <v>0</v>
      </c>
      <c r="H138" s="22">
        <v>6047858</v>
      </c>
      <c r="I138" s="216" t="s">
        <v>342</v>
      </c>
      <c r="J138" s="26" t="s">
        <v>43</v>
      </c>
      <c r="K138" s="214" t="s">
        <v>44</v>
      </c>
      <c r="L138" s="22"/>
      <c r="M138" s="26"/>
    </row>
    <row r="139" spans="1:13" s="79" customFormat="1" x14ac:dyDescent="0.25">
      <c r="A139" s="22">
        <v>3325</v>
      </c>
      <c r="B139" s="23" t="s">
        <v>153</v>
      </c>
      <c r="C139" s="29"/>
      <c r="D139" s="25">
        <v>0.3</v>
      </c>
      <c r="E139" s="25">
        <f t="shared" si="4"/>
        <v>0</v>
      </c>
      <c r="F139" s="25"/>
      <c r="G139" s="25">
        <f t="shared" si="5"/>
        <v>0</v>
      </c>
      <c r="H139" s="22">
        <v>21849398</v>
      </c>
      <c r="I139" s="216" t="s">
        <v>343</v>
      </c>
      <c r="J139" s="215" t="s">
        <v>25</v>
      </c>
      <c r="K139" s="214" t="s">
        <v>26</v>
      </c>
      <c r="L139" s="22">
        <v>93233323</v>
      </c>
      <c r="M139" s="26"/>
    </row>
    <row r="140" spans="1:13" s="79" customFormat="1" x14ac:dyDescent="0.25">
      <c r="A140" s="22">
        <v>3326</v>
      </c>
      <c r="B140" s="23" t="s">
        <v>344</v>
      </c>
      <c r="C140" s="29"/>
      <c r="D140" s="25">
        <v>0.3</v>
      </c>
      <c r="E140" s="25">
        <f t="shared" si="4"/>
        <v>0</v>
      </c>
      <c r="F140" s="25"/>
      <c r="G140" s="25">
        <f t="shared" si="5"/>
        <v>0</v>
      </c>
      <c r="H140" s="22">
        <v>1466865</v>
      </c>
      <c r="I140" s="216" t="s">
        <v>345</v>
      </c>
      <c r="J140" s="26" t="s">
        <v>17</v>
      </c>
      <c r="K140" s="26" t="s">
        <v>18</v>
      </c>
      <c r="L140" s="22"/>
      <c r="M140" s="26"/>
    </row>
    <row r="141" spans="1:13" s="79" customFormat="1" x14ac:dyDescent="0.25">
      <c r="A141" s="22">
        <v>3328</v>
      </c>
      <c r="B141" s="23" t="s">
        <v>346</v>
      </c>
      <c r="C141" s="24">
        <v>132.80000000000001</v>
      </c>
      <c r="D141" s="25">
        <v>0.3</v>
      </c>
      <c r="E141" s="25">
        <f t="shared" si="4"/>
        <v>39.840000000000003</v>
      </c>
      <c r="F141" s="25"/>
      <c r="G141" s="25">
        <f t="shared" si="5"/>
        <v>39.840000000000003</v>
      </c>
      <c r="H141" s="22">
        <v>1934204</v>
      </c>
      <c r="I141" s="214" t="s">
        <v>347</v>
      </c>
      <c r="J141" s="215" t="s">
        <v>25</v>
      </c>
      <c r="K141" s="214" t="s">
        <v>26</v>
      </c>
      <c r="L141" s="22"/>
      <c r="M141" s="26"/>
    </row>
    <row r="142" spans="1:13" s="79" customFormat="1" x14ac:dyDescent="0.25">
      <c r="A142" s="22">
        <v>3329</v>
      </c>
      <c r="B142" s="23" t="s">
        <v>348</v>
      </c>
      <c r="C142" s="24">
        <v>31.8</v>
      </c>
      <c r="D142" s="25">
        <v>0.3</v>
      </c>
      <c r="E142" s="25">
        <f t="shared" si="4"/>
        <v>9.5399999999999991</v>
      </c>
      <c r="F142" s="25"/>
      <c r="G142" s="25">
        <f t="shared" si="5"/>
        <v>9.5399999999999991</v>
      </c>
      <c r="H142" s="22">
        <v>9086292</v>
      </c>
      <c r="I142" s="214" t="s">
        <v>349</v>
      </c>
      <c r="J142" s="26" t="s">
        <v>75</v>
      </c>
      <c r="K142" s="214" t="s">
        <v>76</v>
      </c>
      <c r="L142" s="22">
        <v>95976260</v>
      </c>
      <c r="M142" s="26"/>
    </row>
    <row r="143" spans="1:13" s="79" customFormat="1" x14ac:dyDescent="0.25">
      <c r="A143" s="22">
        <v>3331</v>
      </c>
      <c r="B143" s="23" t="s">
        <v>350</v>
      </c>
      <c r="C143" s="24">
        <v>320.60000000000002</v>
      </c>
      <c r="D143" s="25">
        <v>0.3</v>
      </c>
      <c r="E143" s="25">
        <f t="shared" si="4"/>
        <v>96.18</v>
      </c>
      <c r="F143" s="25"/>
      <c r="G143" s="25">
        <f t="shared" si="5"/>
        <v>96.18</v>
      </c>
      <c r="H143" s="22">
        <v>18048861</v>
      </c>
      <c r="I143" s="216" t="s">
        <v>351</v>
      </c>
      <c r="J143" s="26" t="s">
        <v>352</v>
      </c>
      <c r="K143" s="214" t="s">
        <v>129</v>
      </c>
      <c r="L143" s="22"/>
      <c r="M143" s="26"/>
    </row>
    <row r="144" spans="1:13" s="79" customFormat="1" x14ac:dyDescent="0.25">
      <c r="A144" s="22">
        <v>3332</v>
      </c>
      <c r="B144" s="23" t="s">
        <v>721</v>
      </c>
      <c r="C144" s="24">
        <v>52.5</v>
      </c>
      <c r="D144" s="25">
        <v>0.3</v>
      </c>
      <c r="E144" s="25">
        <f t="shared" si="4"/>
        <v>15.75</v>
      </c>
      <c r="F144" s="25"/>
      <c r="G144" s="25">
        <f t="shared" si="5"/>
        <v>15.75</v>
      </c>
      <c r="H144" s="22">
        <v>1320775</v>
      </c>
      <c r="I144" s="216"/>
      <c r="J144" s="26"/>
      <c r="K144" s="214"/>
      <c r="L144" s="22">
        <v>99490105</v>
      </c>
      <c r="M144" s="26"/>
    </row>
    <row r="145" spans="1:13" s="79" customFormat="1" x14ac:dyDescent="0.25">
      <c r="A145" s="22">
        <v>3334</v>
      </c>
      <c r="B145" s="23" t="s">
        <v>353</v>
      </c>
      <c r="C145" s="24">
        <v>200.4</v>
      </c>
      <c r="D145" s="25">
        <v>0.3</v>
      </c>
      <c r="E145" s="25">
        <f t="shared" si="4"/>
        <v>60.12</v>
      </c>
      <c r="F145" s="25"/>
      <c r="G145" s="25">
        <f t="shared" si="5"/>
        <v>60.12</v>
      </c>
      <c r="H145" s="22">
        <v>1176211</v>
      </c>
      <c r="I145" s="216" t="s">
        <v>354</v>
      </c>
      <c r="J145" s="26" t="s">
        <v>17</v>
      </c>
      <c r="K145" s="26" t="s">
        <v>18</v>
      </c>
      <c r="L145" s="22">
        <v>99480111</v>
      </c>
      <c r="M145" s="26"/>
    </row>
    <row r="146" spans="1:13" s="79" customFormat="1" x14ac:dyDescent="0.25">
      <c r="A146" s="22">
        <v>3335</v>
      </c>
      <c r="B146" s="23" t="s">
        <v>355</v>
      </c>
      <c r="C146" s="29"/>
      <c r="D146" s="25">
        <v>0.3</v>
      </c>
      <c r="E146" s="25">
        <f t="shared" si="4"/>
        <v>0</v>
      </c>
      <c r="F146" s="25"/>
      <c r="G146" s="25">
        <f t="shared" si="5"/>
        <v>0</v>
      </c>
      <c r="H146" s="22">
        <v>2022545</v>
      </c>
      <c r="I146" s="216" t="s">
        <v>356</v>
      </c>
      <c r="J146" s="215" t="s">
        <v>25</v>
      </c>
      <c r="K146" s="214" t="s">
        <v>26</v>
      </c>
      <c r="L146" s="22">
        <v>99489989</v>
      </c>
      <c r="M146" s="26"/>
    </row>
    <row r="147" spans="1:13" s="79" customFormat="1" x14ac:dyDescent="0.25">
      <c r="A147" s="22">
        <v>3336</v>
      </c>
      <c r="B147" s="23" t="s">
        <v>357</v>
      </c>
      <c r="C147" s="24">
        <v>135.6</v>
      </c>
      <c r="D147" s="25">
        <v>0.3</v>
      </c>
      <c r="E147" s="25">
        <f t="shared" si="4"/>
        <v>40.68</v>
      </c>
      <c r="F147" s="25"/>
      <c r="G147" s="25">
        <f t="shared" si="5"/>
        <v>40.68</v>
      </c>
      <c r="H147" s="22">
        <v>905756</v>
      </c>
      <c r="I147" s="216" t="s">
        <v>358</v>
      </c>
      <c r="J147" s="215" t="s">
        <v>25</v>
      </c>
      <c r="K147" s="214" t="s">
        <v>26</v>
      </c>
      <c r="L147" s="22">
        <v>92321799</v>
      </c>
      <c r="M147" s="26"/>
    </row>
    <row r="148" spans="1:13" s="79" customFormat="1" x14ac:dyDescent="0.25">
      <c r="A148" s="22">
        <v>3337</v>
      </c>
      <c r="B148" s="23" t="s">
        <v>359</v>
      </c>
      <c r="C148" s="29"/>
      <c r="D148" s="25">
        <v>0.3</v>
      </c>
      <c r="E148" s="25">
        <f t="shared" si="4"/>
        <v>0</v>
      </c>
      <c r="F148" s="25"/>
      <c r="G148" s="25">
        <f t="shared" si="5"/>
        <v>0</v>
      </c>
      <c r="H148" s="22">
        <v>19344361</v>
      </c>
      <c r="I148" s="216" t="s">
        <v>360</v>
      </c>
      <c r="J148" s="215" t="s">
        <v>25</v>
      </c>
      <c r="K148" s="214" t="s">
        <v>26</v>
      </c>
      <c r="L148" s="22"/>
      <c r="M148" s="26"/>
    </row>
    <row r="149" spans="1:13" s="79" customFormat="1" x14ac:dyDescent="0.25">
      <c r="A149" s="22">
        <v>3338</v>
      </c>
      <c r="B149" s="23" t="s">
        <v>361</v>
      </c>
      <c r="C149" s="29"/>
      <c r="D149" s="25">
        <v>0.3</v>
      </c>
      <c r="E149" s="25">
        <f t="shared" si="4"/>
        <v>0</v>
      </c>
      <c r="F149" s="25"/>
      <c r="G149" s="25">
        <f t="shared" si="5"/>
        <v>0</v>
      </c>
      <c r="H149" s="22">
        <v>1078791</v>
      </c>
      <c r="I149" s="216" t="s">
        <v>362</v>
      </c>
      <c r="J149" s="26" t="s">
        <v>17</v>
      </c>
      <c r="K149" s="26" t="s">
        <v>18</v>
      </c>
      <c r="L149" s="22"/>
      <c r="M149" s="26"/>
    </row>
    <row r="150" spans="1:13" s="144" customFormat="1" x14ac:dyDescent="0.25">
      <c r="A150" s="54">
        <v>3340</v>
      </c>
      <c r="B150" s="55" t="s">
        <v>363</v>
      </c>
      <c r="C150" s="56">
        <v>133.1</v>
      </c>
      <c r="D150" s="57">
        <v>0.3</v>
      </c>
      <c r="E150" s="57">
        <f t="shared" si="4"/>
        <v>39.93</v>
      </c>
      <c r="F150" s="57">
        <f>0.66</f>
        <v>0.66</v>
      </c>
      <c r="G150" s="57">
        <f t="shared" si="5"/>
        <v>39.270000000000003</v>
      </c>
      <c r="H150" s="54">
        <v>906355</v>
      </c>
      <c r="I150" s="58" t="s">
        <v>364</v>
      </c>
      <c r="J150" s="59" t="s">
        <v>25</v>
      </c>
      <c r="K150" s="60" t="s">
        <v>26</v>
      </c>
      <c r="L150" s="54">
        <v>95333933</v>
      </c>
      <c r="M150" s="144" t="s">
        <v>974</v>
      </c>
    </row>
    <row r="151" spans="1:13" s="79" customFormat="1" x14ac:dyDescent="0.25">
      <c r="A151" s="22">
        <v>3342</v>
      </c>
      <c r="B151" s="23" t="s">
        <v>366</v>
      </c>
      <c r="C151" s="24">
        <v>177.3</v>
      </c>
      <c r="D151" s="25">
        <v>0.3</v>
      </c>
      <c r="E151" s="25">
        <f t="shared" si="4"/>
        <v>53.190000000000005</v>
      </c>
      <c r="F151" s="25"/>
      <c r="G151" s="25">
        <f t="shared" si="5"/>
        <v>53.190000000000005</v>
      </c>
      <c r="H151" s="22">
        <v>1779485</v>
      </c>
      <c r="I151" s="216" t="s">
        <v>367</v>
      </c>
      <c r="J151" s="26" t="s">
        <v>17</v>
      </c>
      <c r="K151" s="26" t="s">
        <v>18</v>
      </c>
      <c r="L151" s="22"/>
      <c r="M151" s="26"/>
    </row>
    <row r="152" spans="1:13" s="79" customFormat="1" x14ac:dyDescent="0.25">
      <c r="A152" s="22">
        <v>3346</v>
      </c>
      <c r="B152" s="23" t="s">
        <v>368</v>
      </c>
      <c r="C152" s="24">
        <v>184.1</v>
      </c>
      <c r="D152" s="25">
        <v>0.3</v>
      </c>
      <c r="E152" s="25">
        <f t="shared" si="4"/>
        <v>55.23</v>
      </c>
      <c r="F152" s="25"/>
      <c r="G152" s="25">
        <f t="shared" si="5"/>
        <v>55.23</v>
      </c>
      <c r="H152" s="22">
        <v>1586848</v>
      </c>
      <c r="I152" s="216" t="s">
        <v>369</v>
      </c>
      <c r="J152" s="26" t="s">
        <v>166</v>
      </c>
      <c r="K152" s="26" t="s">
        <v>129</v>
      </c>
      <c r="L152" s="22">
        <v>92930610</v>
      </c>
      <c r="M152" s="26"/>
    </row>
    <row r="153" spans="1:13" s="79" customFormat="1" x14ac:dyDescent="0.25">
      <c r="A153" s="22">
        <v>3700</v>
      </c>
      <c r="B153" s="23" t="s">
        <v>27</v>
      </c>
      <c r="C153" s="24">
        <v>431.5</v>
      </c>
      <c r="D153" s="25">
        <v>0.3</v>
      </c>
      <c r="E153" s="25">
        <f t="shared" si="4"/>
        <v>129.44999999999999</v>
      </c>
      <c r="F153" s="25"/>
      <c r="G153" s="25">
        <f t="shared" si="5"/>
        <v>129.44999999999999</v>
      </c>
      <c r="H153" s="22">
        <v>19729836</v>
      </c>
      <c r="I153" s="214" t="s">
        <v>28</v>
      </c>
      <c r="J153" s="215" t="s">
        <v>25</v>
      </c>
      <c r="K153" s="26" t="s">
        <v>26</v>
      </c>
      <c r="L153" s="22">
        <v>99633838</v>
      </c>
      <c r="M153" s="26"/>
    </row>
    <row r="154" spans="1:13" s="79" customFormat="1" x14ac:dyDescent="0.25">
      <c r="A154" s="22">
        <v>3702</v>
      </c>
      <c r="B154" s="23" t="s">
        <v>370</v>
      </c>
      <c r="C154" s="24">
        <v>29</v>
      </c>
      <c r="D154" s="25">
        <v>0.3</v>
      </c>
      <c r="E154" s="25">
        <f t="shared" si="4"/>
        <v>8.6999999999999993</v>
      </c>
      <c r="F154" s="25"/>
      <c r="G154" s="25">
        <f t="shared" si="5"/>
        <v>8.6999999999999993</v>
      </c>
      <c r="H154" s="80" t="s">
        <v>371</v>
      </c>
      <c r="I154" s="214" t="s">
        <v>372</v>
      </c>
      <c r="J154" s="26" t="s">
        <v>17</v>
      </c>
      <c r="K154" s="26" t="s">
        <v>18</v>
      </c>
      <c r="L154" s="22">
        <v>90939111</v>
      </c>
      <c r="M154" s="26"/>
    </row>
    <row r="155" spans="1:13" s="79" customFormat="1" x14ac:dyDescent="0.25">
      <c r="A155" s="22">
        <v>3703</v>
      </c>
      <c r="B155" s="23" t="s">
        <v>373</v>
      </c>
      <c r="C155" s="24">
        <v>216.4</v>
      </c>
      <c r="D155" s="25">
        <v>0.3</v>
      </c>
      <c r="E155" s="25">
        <f t="shared" si="4"/>
        <v>64.92</v>
      </c>
      <c r="F155" s="25"/>
      <c r="G155" s="25">
        <f t="shared" si="5"/>
        <v>64.92</v>
      </c>
      <c r="H155" s="22">
        <v>6332137</v>
      </c>
      <c r="I155" s="214" t="s">
        <v>374</v>
      </c>
      <c r="J155" s="26" t="s">
        <v>121</v>
      </c>
      <c r="K155" s="26" t="s">
        <v>122</v>
      </c>
      <c r="L155" s="22">
        <v>98239666</v>
      </c>
      <c r="M155" s="26"/>
    </row>
    <row r="156" spans="1:13" s="79" customFormat="1" x14ac:dyDescent="0.25">
      <c r="A156" s="22">
        <v>3704</v>
      </c>
      <c r="B156" s="23" t="s">
        <v>375</v>
      </c>
      <c r="C156" s="24">
        <v>75.5</v>
      </c>
      <c r="D156" s="25">
        <v>0.3</v>
      </c>
      <c r="E156" s="25">
        <f t="shared" si="4"/>
        <v>22.65</v>
      </c>
      <c r="F156" s="25"/>
      <c r="G156" s="25">
        <f t="shared" si="5"/>
        <v>22.65</v>
      </c>
      <c r="H156" s="22">
        <v>730722</v>
      </c>
      <c r="I156" s="216" t="s">
        <v>376</v>
      </c>
      <c r="J156" s="26" t="s">
        <v>25</v>
      </c>
      <c r="K156" s="214" t="s">
        <v>26</v>
      </c>
      <c r="L156" s="22">
        <v>92499000</v>
      </c>
      <c r="M156" s="26"/>
    </row>
    <row r="157" spans="1:13" s="79" customFormat="1" x14ac:dyDescent="0.25">
      <c r="A157" s="22">
        <v>3705</v>
      </c>
      <c r="B157" s="23" t="s">
        <v>377</v>
      </c>
      <c r="C157" s="24">
        <v>23.7</v>
      </c>
      <c r="D157" s="25">
        <v>0.3</v>
      </c>
      <c r="E157" s="25">
        <f t="shared" si="4"/>
        <v>7.1099999999999994</v>
      </c>
      <c r="F157" s="25"/>
      <c r="G157" s="25">
        <f t="shared" si="5"/>
        <v>7.1099999999999994</v>
      </c>
      <c r="H157" s="22">
        <v>738486</v>
      </c>
      <c r="I157" s="216" t="s">
        <v>378</v>
      </c>
      <c r="J157" s="26" t="s">
        <v>25</v>
      </c>
      <c r="K157" s="214" t="s">
        <v>26</v>
      </c>
      <c r="L157" s="22">
        <v>99486030</v>
      </c>
      <c r="M157" s="26"/>
    </row>
    <row r="158" spans="1:13" s="79" customFormat="1" x14ac:dyDescent="0.25">
      <c r="A158" s="22">
        <v>3706</v>
      </c>
      <c r="B158" s="23" t="s">
        <v>379</v>
      </c>
      <c r="C158" s="24">
        <v>35.200000000000003</v>
      </c>
      <c r="D158" s="25">
        <v>0.3</v>
      </c>
      <c r="E158" s="25">
        <f t="shared" si="4"/>
        <v>10.56</v>
      </c>
      <c r="F158" s="25"/>
      <c r="G158" s="25">
        <f t="shared" si="5"/>
        <v>10.56</v>
      </c>
      <c r="H158" s="22">
        <v>8098795</v>
      </c>
      <c r="I158" s="216" t="s">
        <v>380</v>
      </c>
      <c r="J158" s="26" t="s">
        <v>25</v>
      </c>
      <c r="K158" s="214" t="s">
        <v>26</v>
      </c>
      <c r="L158" s="22">
        <v>93567000</v>
      </c>
      <c r="M158" s="26"/>
    </row>
    <row r="159" spans="1:13" s="79" customFormat="1" x14ac:dyDescent="0.25">
      <c r="A159" s="22">
        <v>3708</v>
      </c>
      <c r="B159" s="23" t="s">
        <v>381</v>
      </c>
      <c r="C159" s="24">
        <v>168.4</v>
      </c>
      <c r="D159" s="25">
        <v>0.3</v>
      </c>
      <c r="E159" s="25">
        <f t="shared" si="4"/>
        <v>50.52</v>
      </c>
      <c r="F159" s="25"/>
      <c r="G159" s="25">
        <f t="shared" si="5"/>
        <v>50.52</v>
      </c>
      <c r="H159" s="25">
        <v>5304255</v>
      </c>
      <c r="I159" s="214" t="s">
        <v>383</v>
      </c>
      <c r="J159" s="215" t="s">
        <v>25</v>
      </c>
      <c r="K159" s="214" t="s">
        <v>26</v>
      </c>
      <c r="L159" s="22">
        <v>98822655</v>
      </c>
      <c r="M159" s="26"/>
    </row>
    <row r="160" spans="1:13" s="79" customFormat="1" x14ac:dyDescent="0.25">
      <c r="A160" s="22">
        <v>3709</v>
      </c>
      <c r="B160" s="23" t="s">
        <v>912</v>
      </c>
      <c r="C160" s="29"/>
      <c r="D160" s="25">
        <v>0.3</v>
      </c>
      <c r="E160" s="25">
        <f t="shared" si="4"/>
        <v>0</v>
      </c>
      <c r="F160" s="25"/>
      <c r="G160" s="25">
        <f t="shared" si="5"/>
        <v>0</v>
      </c>
      <c r="H160" s="80" t="s">
        <v>913</v>
      </c>
      <c r="I160" s="214" t="s">
        <v>911</v>
      </c>
      <c r="J160" s="215" t="s">
        <v>25</v>
      </c>
      <c r="K160" s="214" t="s">
        <v>26</v>
      </c>
      <c r="L160" s="22">
        <v>99693314</v>
      </c>
      <c r="M160" s="26"/>
    </row>
    <row r="161" spans="1:13" s="79" customFormat="1" x14ac:dyDescent="0.25">
      <c r="A161" s="22">
        <v>3711</v>
      </c>
      <c r="B161" s="23" t="s">
        <v>387</v>
      </c>
      <c r="C161" s="29"/>
      <c r="D161" s="25">
        <v>0.3</v>
      </c>
      <c r="E161" s="25">
        <f t="shared" si="4"/>
        <v>0</v>
      </c>
      <c r="F161" s="25"/>
      <c r="G161" s="25">
        <f t="shared" si="5"/>
        <v>0</v>
      </c>
      <c r="H161" s="80" t="s">
        <v>388</v>
      </c>
      <c r="I161" s="214" t="s">
        <v>389</v>
      </c>
      <c r="J161" s="26" t="s">
        <v>17</v>
      </c>
      <c r="K161" s="26" t="s">
        <v>18</v>
      </c>
      <c r="L161" s="22">
        <v>99590400</v>
      </c>
      <c r="M161" s="26"/>
    </row>
    <row r="162" spans="1:13" s="79" customFormat="1" x14ac:dyDescent="0.25">
      <c r="A162" s="22">
        <v>3712</v>
      </c>
      <c r="B162" s="23" t="s">
        <v>390</v>
      </c>
      <c r="C162" s="29"/>
      <c r="D162" s="25">
        <v>0.3</v>
      </c>
      <c r="E162" s="25">
        <f t="shared" si="4"/>
        <v>0</v>
      </c>
      <c r="F162" s="25"/>
      <c r="G162" s="25">
        <f t="shared" si="5"/>
        <v>0</v>
      </c>
      <c r="H162" s="80" t="s">
        <v>391</v>
      </c>
      <c r="I162" s="214" t="s">
        <v>392</v>
      </c>
      <c r="J162" s="215" t="s">
        <v>25</v>
      </c>
      <c r="K162" s="214" t="s">
        <v>26</v>
      </c>
      <c r="L162" s="22">
        <v>99586643</v>
      </c>
      <c r="M162" s="26"/>
    </row>
    <row r="163" spans="1:13" s="79" customFormat="1" x14ac:dyDescent="0.25">
      <c r="A163" s="22">
        <v>3713</v>
      </c>
      <c r="B163" s="23" t="s">
        <v>393</v>
      </c>
      <c r="C163" s="29"/>
      <c r="D163" s="25">
        <v>0.3</v>
      </c>
      <c r="E163" s="25">
        <f t="shared" si="4"/>
        <v>0</v>
      </c>
      <c r="F163" s="25"/>
      <c r="G163" s="25">
        <f t="shared" si="5"/>
        <v>0</v>
      </c>
      <c r="H163" s="80" t="s">
        <v>394</v>
      </c>
      <c r="I163" s="26" t="s">
        <v>395</v>
      </c>
      <c r="J163" s="26" t="s">
        <v>121</v>
      </c>
      <c r="K163" s="26" t="s">
        <v>122</v>
      </c>
      <c r="L163" s="22">
        <v>99490438</v>
      </c>
      <c r="M163" s="26"/>
    </row>
    <row r="164" spans="1:13" s="79" customFormat="1" x14ac:dyDescent="0.25">
      <c r="A164" s="22">
        <v>3716</v>
      </c>
      <c r="B164" s="23" t="s">
        <v>396</v>
      </c>
      <c r="C164" s="24">
        <v>47</v>
      </c>
      <c r="D164" s="25">
        <v>0.3</v>
      </c>
      <c r="E164" s="25">
        <f t="shared" si="4"/>
        <v>14.1</v>
      </c>
      <c r="F164" s="25"/>
      <c r="G164" s="25">
        <f t="shared" si="5"/>
        <v>14.1</v>
      </c>
      <c r="H164" s="34" t="s">
        <v>397</v>
      </c>
      <c r="I164" s="214" t="s">
        <v>398</v>
      </c>
      <c r="J164" s="215" t="s">
        <v>25</v>
      </c>
      <c r="K164" s="214" t="s">
        <v>26</v>
      </c>
      <c r="L164" s="22"/>
      <c r="M164" s="26"/>
    </row>
    <row r="165" spans="1:13" s="79" customFormat="1" x14ac:dyDescent="0.25">
      <c r="A165" s="22">
        <v>3717</v>
      </c>
      <c r="B165" s="23" t="s">
        <v>399</v>
      </c>
      <c r="C165" s="29"/>
      <c r="D165" s="25">
        <v>0.3</v>
      </c>
      <c r="E165" s="25">
        <f t="shared" si="4"/>
        <v>0</v>
      </c>
      <c r="F165" s="25"/>
      <c r="G165" s="25">
        <f t="shared" si="5"/>
        <v>0</v>
      </c>
      <c r="H165" s="34" t="s">
        <v>400</v>
      </c>
      <c r="I165" s="214" t="s">
        <v>401</v>
      </c>
      <c r="J165" s="215" t="s">
        <v>25</v>
      </c>
      <c r="K165" s="214" t="s">
        <v>26</v>
      </c>
      <c r="L165" s="22"/>
      <c r="M165" s="26"/>
    </row>
    <row r="166" spans="1:13" s="79" customFormat="1" x14ac:dyDescent="0.25">
      <c r="A166" s="22">
        <v>3718</v>
      </c>
      <c r="B166" s="23" t="s">
        <v>403</v>
      </c>
      <c r="C166" s="24">
        <v>29.5</v>
      </c>
      <c r="D166" s="25">
        <v>0.3</v>
      </c>
      <c r="E166" s="25">
        <f t="shared" si="4"/>
        <v>8.85</v>
      </c>
      <c r="F166" s="25"/>
      <c r="G166" s="25">
        <f t="shared" si="5"/>
        <v>8.85</v>
      </c>
      <c r="H166" s="80" t="s">
        <v>404</v>
      </c>
      <c r="I166" s="214" t="s">
        <v>405</v>
      </c>
      <c r="J166" s="26" t="s">
        <v>43</v>
      </c>
      <c r="K166" s="214" t="s">
        <v>44</v>
      </c>
      <c r="L166" s="22">
        <v>92955331</v>
      </c>
      <c r="M166" s="26"/>
    </row>
    <row r="167" spans="1:13" s="79" customFormat="1" x14ac:dyDescent="0.25">
      <c r="A167" s="22">
        <v>3719</v>
      </c>
      <c r="B167" s="23" t="s">
        <v>406</v>
      </c>
      <c r="C167" s="24">
        <v>162.9</v>
      </c>
      <c r="D167" s="25">
        <v>0.3</v>
      </c>
      <c r="E167" s="25">
        <f t="shared" si="4"/>
        <v>48.87</v>
      </c>
      <c r="F167" s="25"/>
      <c r="G167" s="25">
        <f t="shared" si="5"/>
        <v>48.87</v>
      </c>
      <c r="H167" s="80" t="s">
        <v>407</v>
      </c>
      <c r="I167" s="214" t="s">
        <v>408</v>
      </c>
      <c r="J167" s="216" t="s">
        <v>75</v>
      </c>
      <c r="K167" s="26" t="s">
        <v>76</v>
      </c>
      <c r="L167" s="22">
        <v>99083559</v>
      </c>
      <c r="M167" s="26"/>
    </row>
    <row r="168" spans="1:13" s="79" customFormat="1" x14ac:dyDescent="0.25">
      <c r="A168" s="22">
        <v>3720</v>
      </c>
      <c r="B168" s="23" t="s">
        <v>409</v>
      </c>
      <c r="C168" s="24">
        <v>21.8</v>
      </c>
      <c r="D168" s="25">
        <v>0.3</v>
      </c>
      <c r="E168" s="25">
        <f t="shared" si="4"/>
        <v>6.54</v>
      </c>
      <c r="F168" s="25"/>
      <c r="G168" s="25">
        <f t="shared" si="5"/>
        <v>6.54</v>
      </c>
      <c r="H168" s="80" t="s">
        <v>410</v>
      </c>
      <c r="I168" s="214" t="s">
        <v>411</v>
      </c>
      <c r="J168" s="26" t="s">
        <v>17</v>
      </c>
      <c r="K168" s="26" t="s">
        <v>18</v>
      </c>
      <c r="L168" s="22">
        <v>91731345</v>
      </c>
      <c r="M168" s="26"/>
    </row>
    <row r="169" spans="1:13" s="79" customFormat="1" x14ac:dyDescent="0.25">
      <c r="A169" s="22">
        <v>3722</v>
      </c>
      <c r="B169" s="23" t="s">
        <v>412</v>
      </c>
      <c r="C169" s="29"/>
      <c r="D169" s="25">
        <v>0.3</v>
      </c>
      <c r="E169" s="25">
        <f t="shared" si="4"/>
        <v>0</v>
      </c>
      <c r="F169" s="25"/>
      <c r="G169" s="25">
        <f t="shared" si="5"/>
        <v>0</v>
      </c>
      <c r="H169" s="467" t="s">
        <v>413</v>
      </c>
      <c r="I169" s="214" t="s">
        <v>414</v>
      </c>
      <c r="J169" s="477" t="s">
        <v>75</v>
      </c>
      <c r="K169" s="26" t="s">
        <v>76</v>
      </c>
      <c r="L169" s="22">
        <v>96912200</v>
      </c>
      <c r="M169" s="26"/>
    </row>
    <row r="170" spans="1:13" s="79" customFormat="1" x14ac:dyDescent="0.25">
      <c r="A170" s="22">
        <v>3723</v>
      </c>
      <c r="B170" s="23" t="s">
        <v>415</v>
      </c>
      <c r="C170" s="24">
        <v>19</v>
      </c>
      <c r="D170" s="25">
        <v>0.3</v>
      </c>
      <c r="E170" s="25">
        <f t="shared" si="4"/>
        <v>5.7</v>
      </c>
      <c r="F170" s="25"/>
      <c r="G170" s="25">
        <f t="shared" si="5"/>
        <v>5.7</v>
      </c>
      <c r="H170" s="22">
        <v>993752</v>
      </c>
      <c r="I170" s="507" t="s">
        <v>416</v>
      </c>
      <c r="J170" s="460" t="s">
        <v>25</v>
      </c>
      <c r="K170" s="507" t="s">
        <v>26</v>
      </c>
      <c r="L170" s="22">
        <v>99100344</v>
      </c>
      <c r="M170" s="26"/>
    </row>
    <row r="171" spans="1:13" s="79" customFormat="1" x14ac:dyDescent="0.25">
      <c r="A171" s="22">
        <v>3725</v>
      </c>
      <c r="B171" s="23" t="s">
        <v>297</v>
      </c>
      <c r="C171" s="24">
        <v>47</v>
      </c>
      <c r="D171" s="25">
        <v>0.3</v>
      </c>
      <c r="E171" s="25">
        <f t="shared" si="4"/>
        <v>14.1</v>
      </c>
      <c r="F171" s="25"/>
      <c r="G171" s="25">
        <f t="shared" si="5"/>
        <v>14.1</v>
      </c>
      <c r="H171" s="141">
        <v>1648248</v>
      </c>
      <c r="I171" s="479" t="s">
        <v>417</v>
      </c>
      <c r="J171" s="460" t="s">
        <v>25</v>
      </c>
      <c r="K171" s="507" t="s">
        <v>26</v>
      </c>
      <c r="L171" s="22">
        <v>99497550</v>
      </c>
      <c r="M171" s="53">
        <v>45558</v>
      </c>
    </row>
    <row r="172" spans="1:13" s="79" customFormat="1" x14ac:dyDescent="0.25">
      <c r="A172" s="22">
        <v>3727</v>
      </c>
      <c r="B172" s="23" t="s">
        <v>419</v>
      </c>
      <c r="C172" s="29"/>
      <c r="D172" s="25">
        <v>0.3</v>
      </c>
      <c r="E172" s="25">
        <f t="shared" si="4"/>
        <v>0</v>
      </c>
      <c r="F172" s="25"/>
      <c r="G172" s="25">
        <f t="shared" si="5"/>
        <v>0</v>
      </c>
      <c r="H172" s="80" t="s">
        <v>420</v>
      </c>
      <c r="I172" s="214" t="s">
        <v>421</v>
      </c>
      <c r="J172" s="215" t="s">
        <v>25</v>
      </c>
      <c r="K172" s="214" t="s">
        <v>26</v>
      </c>
      <c r="L172" s="22">
        <v>99679943</v>
      </c>
      <c r="M172" s="26"/>
    </row>
    <row r="173" spans="1:13" s="79" customFormat="1" x14ac:dyDescent="0.25">
      <c r="A173" s="22">
        <v>3728</v>
      </c>
      <c r="B173" s="23" t="s">
        <v>422</v>
      </c>
      <c r="C173" s="29"/>
      <c r="D173" s="25">
        <v>0.3</v>
      </c>
      <c r="E173" s="25">
        <f t="shared" si="4"/>
        <v>0</v>
      </c>
      <c r="F173" s="25"/>
      <c r="G173" s="25">
        <f t="shared" si="5"/>
        <v>0</v>
      </c>
      <c r="H173" s="141">
        <v>25886784</v>
      </c>
      <c r="I173" s="479" t="s">
        <v>423</v>
      </c>
      <c r="J173" s="460" t="s">
        <v>25</v>
      </c>
      <c r="K173" s="507" t="s">
        <v>26</v>
      </c>
      <c r="L173" s="22">
        <v>99564153</v>
      </c>
      <c r="M173" s="53">
        <v>45558</v>
      </c>
    </row>
    <row r="174" spans="1:13" s="79" customFormat="1" x14ac:dyDescent="0.25">
      <c r="A174" s="22">
        <v>3729</v>
      </c>
      <c r="B174" s="23" t="s">
        <v>424</v>
      </c>
      <c r="C174" s="29"/>
      <c r="D174" s="25">
        <v>0.3</v>
      </c>
      <c r="E174" s="25">
        <f t="shared" si="4"/>
        <v>0</v>
      </c>
      <c r="F174" s="25"/>
      <c r="G174" s="25">
        <f t="shared" si="5"/>
        <v>0</v>
      </c>
      <c r="H174" s="467" t="s">
        <v>425</v>
      </c>
      <c r="I174" s="214" t="s">
        <v>426</v>
      </c>
      <c r="J174" s="460" t="s">
        <v>25</v>
      </c>
      <c r="K174" s="507" t="s">
        <v>26</v>
      </c>
      <c r="L174" s="22">
        <v>91288200</v>
      </c>
      <c r="M174" s="26"/>
    </row>
    <row r="175" spans="1:13" s="79" customFormat="1" x14ac:dyDescent="0.25">
      <c r="A175" s="22">
        <v>3730</v>
      </c>
      <c r="B175" s="23" t="s">
        <v>427</v>
      </c>
      <c r="C175" s="29"/>
      <c r="D175" s="25">
        <v>0.3</v>
      </c>
      <c r="E175" s="25">
        <f t="shared" si="4"/>
        <v>0</v>
      </c>
      <c r="F175" s="25"/>
      <c r="G175" s="25">
        <f t="shared" si="5"/>
        <v>0</v>
      </c>
      <c r="H175" s="80" t="s">
        <v>428</v>
      </c>
      <c r="I175" s="214" t="s">
        <v>429</v>
      </c>
      <c r="J175" s="215" t="s">
        <v>25</v>
      </c>
      <c r="K175" s="214" t="s">
        <v>26</v>
      </c>
      <c r="L175" s="22">
        <v>93504408</v>
      </c>
      <c r="M175" s="26"/>
    </row>
    <row r="176" spans="1:13" s="79" customFormat="1" x14ac:dyDescent="0.25">
      <c r="A176" s="22">
        <v>3731</v>
      </c>
      <c r="B176" s="23" t="s">
        <v>430</v>
      </c>
      <c r="C176" s="24">
        <v>319.7</v>
      </c>
      <c r="D176" s="25">
        <v>0.3</v>
      </c>
      <c r="E176" s="25">
        <f t="shared" si="4"/>
        <v>95.91</v>
      </c>
      <c r="F176" s="25"/>
      <c r="G176" s="25">
        <f t="shared" si="5"/>
        <v>95.91</v>
      </c>
      <c r="H176" s="470">
        <v>4640285</v>
      </c>
      <c r="I176" s="214" t="s">
        <v>431</v>
      </c>
      <c r="J176" s="215" t="s">
        <v>25</v>
      </c>
      <c r="K176" s="214" t="s">
        <v>26</v>
      </c>
      <c r="L176" s="22">
        <v>99493301</v>
      </c>
      <c r="M176" s="26"/>
    </row>
    <row r="177" spans="1:13" s="79" customFormat="1" x14ac:dyDescent="0.25">
      <c r="A177" s="22">
        <v>3732</v>
      </c>
      <c r="B177" s="464" t="s">
        <v>791</v>
      </c>
      <c r="C177" s="29"/>
      <c r="D177" s="25">
        <v>0.3</v>
      </c>
      <c r="E177" s="25">
        <f t="shared" si="4"/>
        <v>0</v>
      </c>
      <c r="F177" s="25"/>
      <c r="G177" s="25">
        <f t="shared" si="5"/>
        <v>0</v>
      </c>
      <c r="H177" s="469">
        <v>194498</v>
      </c>
      <c r="I177" s="481" t="s">
        <v>841</v>
      </c>
      <c r="J177" s="562" t="s">
        <v>17</v>
      </c>
      <c r="K177" s="481" t="s">
        <v>18</v>
      </c>
      <c r="L177" s="22"/>
      <c r="M177" s="26"/>
    </row>
    <row r="178" spans="1:13" s="79" customFormat="1" x14ac:dyDescent="0.25">
      <c r="A178" s="22">
        <v>3733</v>
      </c>
      <c r="B178" s="23" t="s">
        <v>432</v>
      </c>
      <c r="C178" s="29"/>
      <c r="D178" s="25">
        <v>0.3</v>
      </c>
      <c r="E178" s="25">
        <f t="shared" si="4"/>
        <v>0</v>
      </c>
      <c r="F178" s="25"/>
      <c r="G178" s="25">
        <f t="shared" si="5"/>
        <v>0</v>
      </c>
      <c r="H178" s="83">
        <v>23270163</v>
      </c>
      <c r="I178" s="214" t="s">
        <v>433</v>
      </c>
      <c r="J178" s="460" t="s">
        <v>25</v>
      </c>
      <c r="K178" s="507" t="s">
        <v>26</v>
      </c>
      <c r="L178" s="22">
        <v>92212553</v>
      </c>
      <c r="M178" s="53">
        <v>45558</v>
      </c>
    </row>
    <row r="179" spans="1:13" s="79" customFormat="1" x14ac:dyDescent="0.25">
      <c r="A179" s="22">
        <v>3734</v>
      </c>
      <c r="B179" s="23" t="s">
        <v>434</v>
      </c>
      <c r="C179" s="24">
        <v>25.2</v>
      </c>
      <c r="D179" s="25">
        <v>0.3</v>
      </c>
      <c r="E179" s="25">
        <f t="shared" si="4"/>
        <v>7.56</v>
      </c>
      <c r="F179" s="25"/>
      <c r="G179" s="25">
        <f t="shared" si="5"/>
        <v>7.56</v>
      </c>
      <c r="H179" s="34">
        <v>6680216</v>
      </c>
      <c r="I179" s="214" t="s">
        <v>435</v>
      </c>
      <c r="J179" s="26" t="s">
        <v>17</v>
      </c>
      <c r="K179" s="26" t="s">
        <v>18</v>
      </c>
      <c r="L179" s="22">
        <v>92333311</v>
      </c>
      <c r="M179" s="26"/>
    </row>
    <row r="180" spans="1:13" s="79" customFormat="1" x14ac:dyDescent="0.25">
      <c r="A180" s="22">
        <v>3735</v>
      </c>
      <c r="B180" s="23" t="s">
        <v>436</v>
      </c>
      <c r="C180" s="24">
        <v>101.2</v>
      </c>
      <c r="D180" s="25">
        <v>0.3</v>
      </c>
      <c r="E180" s="25">
        <f t="shared" si="4"/>
        <v>30.36</v>
      </c>
      <c r="F180" s="25"/>
      <c r="G180" s="25">
        <f t="shared" si="5"/>
        <v>30.36</v>
      </c>
      <c r="H180" s="34">
        <v>19952467</v>
      </c>
      <c r="I180" s="214" t="s">
        <v>437</v>
      </c>
      <c r="J180" s="215" t="s">
        <v>25</v>
      </c>
      <c r="K180" s="214" t="s">
        <v>26</v>
      </c>
      <c r="L180" s="22">
        <v>91222276</v>
      </c>
      <c r="M180" s="26"/>
    </row>
    <row r="181" spans="1:13" s="79" customFormat="1" x14ac:dyDescent="0.25">
      <c r="A181" s="22">
        <v>3739</v>
      </c>
      <c r="B181" s="44" t="s">
        <v>438</v>
      </c>
      <c r="C181" s="24">
        <v>50</v>
      </c>
      <c r="D181" s="25">
        <v>0.3</v>
      </c>
      <c r="E181" s="25">
        <f t="shared" si="4"/>
        <v>15</v>
      </c>
      <c r="F181" s="25"/>
      <c r="G181" s="25">
        <f t="shared" si="5"/>
        <v>15</v>
      </c>
      <c r="H181" s="469">
        <v>22187694</v>
      </c>
      <c r="I181" s="481" t="s">
        <v>439</v>
      </c>
      <c r="J181" s="562" t="s">
        <v>25</v>
      </c>
      <c r="K181" s="481" t="s">
        <v>26</v>
      </c>
      <c r="L181" s="465">
        <v>93000079</v>
      </c>
      <c r="M181" s="26"/>
    </row>
    <row r="182" spans="1:13" s="79" customFormat="1" x14ac:dyDescent="0.25">
      <c r="A182" s="22">
        <v>3740</v>
      </c>
      <c r="B182" s="23" t="s">
        <v>440</v>
      </c>
      <c r="C182" s="24">
        <v>47</v>
      </c>
      <c r="D182" s="25">
        <v>0.3</v>
      </c>
      <c r="E182" s="25">
        <f t="shared" si="4"/>
        <v>14.1</v>
      </c>
      <c r="F182" s="25"/>
      <c r="G182" s="25">
        <f t="shared" si="5"/>
        <v>14.1</v>
      </c>
      <c r="H182" s="34">
        <v>25472616</v>
      </c>
      <c r="I182" s="214" t="s">
        <v>441</v>
      </c>
      <c r="J182" s="26" t="s">
        <v>17</v>
      </c>
      <c r="K182" s="26" t="s">
        <v>18</v>
      </c>
      <c r="L182" s="22">
        <v>93318821</v>
      </c>
      <c r="M182" s="26"/>
    </row>
    <row r="183" spans="1:13" s="79" customFormat="1" x14ac:dyDescent="0.25">
      <c r="A183" s="22">
        <v>3742</v>
      </c>
      <c r="B183" s="23" t="s">
        <v>442</v>
      </c>
      <c r="C183" s="24">
        <v>9.6999999999999993</v>
      </c>
      <c r="D183" s="25">
        <v>0.3</v>
      </c>
      <c r="E183" s="25">
        <f t="shared" si="4"/>
        <v>2.9099999999999997</v>
      </c>
      <c r="F183" s="25"/>
      <c r="G183" s="25">
        <f t="shared" si="5"/>
        <v>2.9099999999999997</v>
      </c>
      <c r="H183" s="83">
        <v>1930281</v>
      </c>
      <c r="I183" s="214" t="s">
        <v>443</v>
      </c>
      <c r="J183" s="214" t="s">
        <v>418</v>
      </c>
      <c r="K183" s="480" t="s">
        <v>258</v>
      </c>
      <c r="L183" s="22">
        <v>99330095</v>
      </c>
      <c r="M183" s="26"/>
    </row>
    <row r="184" spans="1:13" s="79" customFormat="1" x14ac:dyDescent="0.25">
      <c r="A184" s="22">
        <v>3743</v>
      </c>
      <c r="B184" s="23" t="s">
        <v>444</v>
      </c>
      <c r="C184" s="29"/>
      <c r="D184" s="25">
        <v>0.3</v>
      </c>
      <c r="E184" s="25">
        <f t="shared" si="4"/>
        <v>0</v>
      </c>
      <c r="F184" s="25"/>
      <c r="G184" s="25">
        <f t="shared" si="5"/>
        <v>0</v>
      </c>
      <c r="H184" s="34">
        <v>599336</v>
      </c>
      <c r="I184" s="214" t="s">
        <v>445</v>
      </c>
      <c r="J184" s="215" t="s">
        <v>25</v>
      </c>
      <c r="K184" s="214" t="s">
        <v>26</v>
      </c>
      <c r="L184" s="22">
        <v>99497544</v>
      </c>
      <c r="M184" s="26"/>
    </row>
    <row r="185" spans="1:13" s="79" customFormat="1" x14ac:dyDescent="0.25">
      <c r="A185" s="22">
        <v>3745</v>
      </c>
      <c r="B185" s="23" t="s">
        <v>446</v>
      </c>
      <c r="C185" s="24">
        <v>104</v>
      </c>
      <c r="D185" s="25">
        <v>0.3</v>
      </c>
      <c r="E185" s="25">
        <f t="shared" si="4"/>
        <v>31.2</v>
      </c>
      <c r="F185" s="25"/>
      <c r="G185" s="25">
        <f t="shared" si="5"/>
        <v>31.2</v>
      </c>
      <c r="H185" s="34">
        <v>2199772</v>
      </c>
      <c r="I185" s="214" t="s">
        <v>447</v>
      </c>
      <c r="J185" s="215" t="s">
        <v>25</v>
      </c>
      <c r="K185" s="214" t="s">
        <v>26</v>
      </c>
      <c r="L185" s="22">
        <v>72556787</v>
      </c>
      <c r="M185" s="26"/>
    </row>
    <row r="186" spans="1:13" s="79" customFormat="1" x14ac:dyDescent="0.25">
      <c r="A186" s="22">
        <v>3746</v>
      </c>
      <c r="B186" s="23" t="s">
        <v>448</v>
      </c>
      <c r="C186" s="29"/>
      <c r="D186" s="25">
        <v>0.3</v>
      </c>
      <c r="E186" s="25">
        <f t="shared" si="4"/>
        <v>0</v>
      </c>
      <c r="F186" s="25"/>
      <c r="G186" s="25">
        <f t="shared" si="5"/>
        <v>0</v>
      </c>
      <c r="H186" s="34">
        <v>21973713</v>
      </c>
      <c r="I186" s="214" t="s">
        <v>449</v>
      </c>
      <c r="J186" s="215" t="s">
        <v>25</v>
      </c>
      <c r="K186" s="214" t="s">
        <v>26</v>
      </c>
      <c r="L186" s="22">
        <v>95710331</v>
      </c>
      <c r="M186" s="26"/>
    </row>
    <row r="187" spans="1:13" s="79" customFormat="1" x14ac:dyDescent="0.25">
      <c r="A187" s="22">
        <v>3748</v>
      </c>
      <c r="B187" s="23" t="s">
        <v>450</v>
      </c>
      <c r="C187" s="24">
        <v>72.900000000000006</v>
      </c>
      <c r="D187" s="25">
        <v>0.3</v>
      </c>
      <c r="E187" s="25">
        <f t="shared" si="4"/>
        <v>21.87</v>
      </c>
      <c r="F187" s="25"/>
      <c r="G187" s="25">
        <f t="shared" si="5"/>
        <v>21.87</v>
      </c>
      <c r="H187" s="34">
        <v>18620918</v>
      </c>
      <c r="I187" s="214" t="s">
        <v>451</v>
      </c>
      <c r="J187" s="215" t="s">
        <v>25</v>
      </c>
      <c r="K187" s="214" t="s">
        <v>26</v>
      </c>
      <c r="L187" s="22">
        <v>91222276</v>
      </c>
      <c r="M187" s="26"/>
    </row>
    <row r="188" spans="1:13" s="79" customFormat="1" x14ac:dyDescent="0.25">
      <c r="A188" s="22">
        <v>3750</v>
      </c>
      <c r="B188" s="23" t="s">
        <v>452</v>
      </c>
      <c r="C188" s="24">
        <v>106</v>
      </c>
      <c r="D188" s="25">
        <v>0.3</v>
      </c>
      <c r="E188" s="25">
        <f t="shared" si="4"/>
        <v>31.799999999999997</v>
      </c>
      <c r="F188" s="25"/>
      <c r="G188" s="25">
        <f t="shared" si="5"/>
        <v>31.799999999999997</v>
      </c>
      <c r="H188" s="34">
        <v>939641</v>
      </c>
      <c r="I188" s="214" t="s">
        <v>453</v>
      </c>
      <c r="J188" s="215" t="s">
        <v>25</v>
      </c>
      <c r="K188" s="214" t="s">
        <v>26</v>
      </c>
      <c r="L188" s="22">
        <v>99588609</v>
      </c>
      <c r="M188" s="26"/>
    </row>
    <row r="189" spans="1:13" s="79" customFormat="1" x14ac:dyDescent="0.25">
      <c r="A189" s="22">
        <v>3751</v>
      </c>
      <c r="B189" s="23" t="s">
        <v>454</v>
      </c>
      <c r="C189" s="24">
        <v>54</v>
      </c>
      <c r="D189" s="25">
        <v>0.3</v>
      </c>
      <c r="E189" s="25">
        <f t="shared" si="4"/>
        <v>16.2</v>
      </c>
      <c r="F189" s="25"/>
      <c r="G189" s="25">
        <f t="shared" si="5"/>
        <v>16.2</v>
      </c>
      <c r="H189" s="22">
        <v>2116627</v>
      </c>
      <c r="I189" s="214" t="s">
        <v>455</v>
      </c>
      <c r="J189" s="215" t="s">
        <v>25</v>
      </c>
      <c r="K189" s="214" t="s">
        <v>26</v>
      </c>
      <c r="L189" s="22">
        <v>99493880</v>
      </c>
      <c r="M189" s="26"/>
    </row>
    <row r="190" spans="1:13" s="79" customFormat="1" x14ac:dyDescent="0.25">
      <c r="A190" s="22">
        <v>3752</v>
      </c>
      <c r="B190" s="23" t="s">
        <v>456</v>
      </c>
      <c r="C190" s="24">
        <v>172.7</v>
      </c>
      <c r="D190" s="25">
        <v>0.3</v>
      </c>
      <c r="E190" s="25">
        <f t="shared" si="4"/>
        <v>51.809999999999995</v>
      </c>
      <c r="F190" s="25"/>
      <c r="G190" s="25">
        <f t="shared" si="5"/>
        <v>51.809999999999995</v>
      </c>
      <c r="H190" s="34">
        <v>2789493</v>
      </c>
      <c r="I190" s="214" t="s">
        <v>457</v>
      </c>
      <c r="J190" s="215" t="s">
        <v>25</v>
      </c>
      <c r="K190" s="214" t="s">
        <v>26</v>
      </c>
      <c r="L190" s="22">
        <v>97884330</v>
      </c>
      <c r="M190" s="26"/>
    </row>
    <row r="191" spans="1:13" s="79" customFormat="1" x14ac:dyDescent="0.25">
      <c r="A191" s="22">
        <v>3753</v>
      </c>
      <c r="B191" s="23" t="s">
        <v>458</v>
      </c>
      <c r="C191" s="24">
        <v>28.1</v>
      </c>
      <c r="D191" s="25">
        <v>0.3</v>
      </c>
      <c r="E191" s="25">
        <f t="shared" si="4"/>
        <v>8.43</v>
      </c>
      <c r="F191" s="25"/>
      <c r="G191" s="25">
        <f t="shared" si="5"/>
        <v>8.43</v>
      </c>
      <c r="H191" s="34">
        <v>13938302</v>
      </c>
      <c r="I191" s="214" t="s">
        <v>459</v>
      </c>
      <c r="J191" s="26" t="s">
        <v>17</v>
      </c>
      <c r="K191" s="26" t="s">
        <v>18</v>
      </c>
      <c r="L191" s="22">
        <v>99054621</v>
      </c>
      <c r="M191" s="26"/>
    </row>
    <row r="192" spans="1:13" s="79" customFormat="1" x14ac:dyDescent="0.25">
      <c r="A192" s="22">
        <v>3754</v>
      </c>
      <c r="B192" s="23" t="s">
        <v>460</v>
      </c>
      <c r="C192" s="29"/>
      <c r="D192" s="25">
        <v>0.3</v>
      </c>
      <c r="E192" s="25">
        <f t="shared" si="4"/>
        <v>0</v>
      </c>
      <c r="F192" s="25"/>
      <c r="G192" s="25">
        <f t="shared" si="5"/>
        <v>0</v>
      </c>
      <c r="H192" s="34">
        <v>443075</v>
      </c>
      <c r="I192" s="214" t="s">
        <v>461</v>
      </c>
      <c r="J192" s="26" t="s">
        <v>210</v>
      </c>
      <c r="K192" s="216" t="s">
        <v>211</v>
      </c>
      <c r="L192" s="22">
        <v>90937047</v>
      </c>
      <c r="M192" s="26"/>
    </row>
    <row r="193" spans="1:13" s="79" customFormat="1" x14ac:dyDescent="0.25">
      <c r="A193" s="22">
        <v>3755</v>
      </c>
      <c r="B193" s="23" t="s">
        <v>462</v>
      </c>
      <c r="C193" s="24">
        <v>201.2</v>
      </c>
      <c r="D193" s="25">
        <v>0.3</v>
      </c>
      <c r="E193" s="25">
        <f t="shared" si="4"/>
        <v>60.359999999999992</v>
      </c>
      <c r="F193" s="25"/>
      <c r="G193" s="25">
        <f t="shared" si="5"/>
        <v>60.359999999999992</v>
      </c>
      <c r="H193" s="34">
        <v>15536654</v>
      </c>
      <c r="I193" s="214" t="s">
        <v>463</v>
      </c>
      <c r="J193" s="215" t="s">
        <v>25</v>
      </c>
      <c r="K193" s="214" t="s">
        <v>26</v>
      </c>
      <c r="L193" s="22">
        <v>92826690</v>
      </c>
      <c r="M193" s="26"/>
    </row>
    <row r="194" spans="1:13" s="79" customFormat="1" x14ac:dyDescent="0.25">
      <c r="A194" s="22">
        <v>3756</v>
      </c>
      <c r="B194" s="23" t="s">
        <v>464</v>
      </c>
      <c r="C194" s="24">
        <v>26</v>
      </c>
      <c r="D194" s="25">
        <v>0.3</v>
      </c>
      <c r="E194" s="25">
        <f t="shared" si="4"/>
        <v>7.8</v>
      </c>
      <c r="F194" s="25"/>
      <c r="G194" s="25">
        <f t="shared" si="5"/>
        <v>7.8</v>
      </c>
      <c r="H194" s="34">
        <v>630458</v>
      </c>
      <c r="I194" s="214" t="s">
        <v>465</v>
      </c>
      <c r="J194" s="215" t="s">
        <v>25</v>
      </c>
      <c r="K194" s="214" t="s">
        <v>26</v>
      </c>
      <c r="L194" s="22"/>
      <c r="M194" s="26"/>
    </row>
    <row r="195" spans="1:13" s="79" customFormat="1" x14ac:dyDescent="0.25">
      <c r="A195" s="22">
        <v>3757</v>
      </c>
      <c r="B195" s="23" t="s">
        <v>466</v>
      </c>
      <c r="C195" s="24">
        <v>105.4</v>
      </c>
      <c r="D195" s="25">
        <v>0.3</v>
      </c>
      <c r="E195" s="25">
        <f t="shared" si="4"/>
        <v>31.62</v>
      </c>
      <c r="F195" s="25"/>
      <c r="G195" s="25">
        <f t="shared" si="5"/>
        <v>31.62</v>
      </c>
      <c r="H195" s="34">
        <v>729973</v>
      </c>
      <c r="I195" s="214" t="s">
        <v>467</v>
      </c>
      <c r="J195" s="214" t="s">
        <v>121</v>
      </c>
      <c r="K195" s="26" t="s">
        <v>122</v>
      </c>
      <c r="L195" s="22">
        <v>92283227</v>
      </c>
      <c r="M195" s="26"/>
    </row>
    <row r="196" spans="1:13" s="79" customFormat="1" x14ac:dyDescent="0.25">
      <c r="A196" s="22">
        <v>3758</v>
      </c>
      <c r="B196" s="23" t="s">
        <v>468</v>
      </c>
      <c r="C196" s="24">
        <v>134.4</v>
      </c>
      <c r="D196" s="25">
        <v>0.3</v>
      </c>
      <c r="E196" s="25">
        <f t="shared" ref="E196:E259" si="6">D196*C196</f>
        <v>40.32</v>
      </c>
      <c r="F196" s="25"/>
      <c r="G196" s="25">
        <f t="shared" si="5"/>
        <v>40.32</v>
      </c>
      <c r="H196" s="34">
        <v>18899068</v>
      </c>
      <c r="I196" s="214" t="s">
        <v>469</v>
      </c>
      <c r="J196" s="215" t="s">
        <v>25</v>
      </c>
      <c r="K196" s="214" t="s">
        <v>26</v>
      </c>
      <c r="L196" s="22">
        <v>92672061</v>
      </c>
      <c r="M196" s="26"/>
    </row>
    <row r="197" spans="1:13" s="79" customFormat="1" x14ac:dyDescent="0.25">
      <c r="A197" s="22">
        <v>3759</v>
      </c>
      <c r="B197" s="23" t="s">
        <v>774</v>
      </c>
      <c r="C197" s="24">
        <v>145.1</v>
      </c>
      <c r="D197" s="25">
        <v>0.3</v>
      </c>
      <c r="E197" s="25">
        <f t="shared" si="6"/>
        <v>43.529999999999994</v>
      </c>
      <c r="F197" s="25"/>
      <c r="G197" s="25">
        <f t="shared" ref="G197:G260" si="7">E197-F197</f>
        <v>43.529999999999994</v>
      </c>
      <c r="H197" s="34">
        <v>5634282</v>
      </c>
      <c r="I197" s="214" t="s">
        <v>30</v>
      </c>
      <c r="J197" s="215" t="s">
        <v>25</v>
      </c>
      <c r="K197" s="214" t="s">
        <v>26</v>
      </c>
      <c r="L197" s="22">
        <v>99293745</v>
      </c>
      <c r="M197" s="26"/>
    </row>
    <row r="198" spans="1:13" s="79" customFormat="1" x14ac:dyDescent="0.25">
      <c r="A198" s="22">
        <v>3760</v>
      </c>
      <c r="B198" s="23" t="s">
        <v>470</v>
      </c>
      <c r="C198" s="24">
        <v>151.1</v>
      </c>
      <c r="D198" s="25">
        <v>0.3</v>
      </c>
      <c r="E198" s="25">
        <f t="shared" si="6"/>
        <v>45.33</v>
      </c>
      <c r="F198" s="25"/>
      <c r="G198" s="25">
        <f t="shared" si="7"/>
        <v>45.33</v>
      </c>
      <c r="H198" s="34">
        <v>19531566</v>
      </c>
      <c r="I198" s="214" t="s">
        <v>471</v>
      </c>
      <c r="J198" s="26" t="s">
        <v>17</v>
      </c>
      <c r="K198" s="26" t="s">
        <v>18</v>
      </c>
      <c r="L198" s="22">
        <v>90988855</v>
      </c>
      <c r="M198" s="26"/>
    </row>
    <row r="199" spans="1:13" s="79" customFormat="1" x14ac:dyDescent="0.25">
      <c r="A199" s="22">
        <v>3762</v>
      </c>
      <c r="B199" s="23" t="s">
        <v>472</v>
      </c>
      <c r="C199" s="29"/>
      <c r="D199" s="25">
        <v>0.3</v>
      </c>
      <c r="E199" s="25">
        <f t="shared" si="6"/>
        <v>0</v>
      </c>
      <c r="F199" s="25"/>
      <c r="G199" s="25">
        <f t="shared" si="7"/>
        <v>0</v>
      </c>
      <c r="H199" s="34">
        <v>15664101</v>
      </c>
      <c r="I199" s="214" t="s">
        <v>473</v>
      </c>
      <c r="J199" s="215" t="s">
        <v>25</v>
      </c>
      <c r="K199" s="214" t="s">
        <v>26</v>
      </c>
      <c r="L199" s="22"/>
      <c r="M199" s="26"/>
    </row>
    <row r="200" spans="1:13" s="79" customFormat="1" x14ac:dyDescent="0.25">
      <c r="A200" s="22">
        <v>3764</v>
      </c>
      <c r="B200" s="23" t="s">
        <v>474</v>
      </c>
      <c r="C200" s="24">
        <v>183.8</v>
      </c>
      <c r="D200" s="25">
        <v>0.3</v>
      </c>
      <c r="E200" s="25">
        <f t="shared" si="6"/>
        <v>55.14</v>
      </c>
      <c r="F200" s="25"/>
      <c r="G200" s="25">
        <f t="shared" si="7"/>
        <v>55.14</v>
      </c>
      <c r="H200" s="34">
        <v>1996843</v>
      </c>
      <c r="I200" s="214" t="s">
        <v>475</v>
      </c>
      <c r="J200" s="215" t="s">
        <v>25</v>
      </c>
      <c r="K200" s="214" t="s">
        <v>26</v>
      </c>
      <c r="L200" s="22">
        <v>91918493</v>
      </c>
      <c r="M200" s="26"/>
    </row>
    <row r="201" spans="1:13" s="79" customFormat="1" x14ac:dyDescent="0.25">
      <c r="A201" s="22">
        <v>3765</v>
      </c>
      <c r="B201" s="23" t="s">
        <v>31</v>
      </c>
      <c r="C201" s="24">
        <v>32.5</v>
      </c>
      <c r="D201" s="25">
        <v>0.3</v>
      </c>
      <c r="E201" s="25">
        <f t="shared" si="6"/>
        <v>9.75</v>
      </c>
      <c r="F201" s="25"/>
      <c r="G201" s="25">
        <f t="shared" si="7"/>
        <v>9.75</v>
      </c>
      <c r="H201" s="34">
        <v>19752023</v>
      </c>
      <c r="I201" s="214" t="s">
        <v>32</v>
      </c>
      <c r="J201" s="215" t="s">
        <v>25</v>
      </c>
      <c r="K201" s="214" t="s">
        <v>26</v>
      </c>
      <c r="L201" s="22">
        <v>99499894</v>
      </c>
      <c r="M201" s="26"/>
    </row>
    <row r="202" spans="1:13" s="79" customFormat="1" x14ac:dyDescent="0.25">
      <c r="A202" s="22">
        <v>3766</v>
      </c>
      <c r="B202" s="23" t="s">
        <v>476</v>
      </c>
      <c r="C202" s="24">
        <v>133.30000000000001</v>
      </c>
      <c r="D202" s="25">
        <v>0.3</v>
      </c>
      <c r="E202" s="25">
        <f t="shared" si="6"/>
        <v>39.99</v>
      </c>
      <c r="F202" s="25"/>
      <c r="G202" s="25">
        <f t="shared" si="7"/>
        <v>39.99</v>
      </c>
      <c r="H202" s="34">
        <v>5729117</v>
      </c>
      <c r="I202" s="214" t="s">
        <v>477</v>
      </c>
      <c r="J202" s="26" t="s">
        <v>17</v>
      </c>
      <c r="K202" s="26" t="s">
        <v>18</v>
      </c>
      <c r="L202" s="22">
        <v>97297211</v>
      </c>
      <c r="M202" s="26"/>
    </row>
    <row r="203" spans="1:13" s="79" customFormat="1" x14ac:dyDescent="0.25">
      <c r="A203" s="22">
        <v>3767</v>
      </c>
      <c r="B203" s="23" t="s">
        <v>478</v>
      </c>
      <c r="C203" s="24">
        <v>475.6</v>
      </c>
      <c r="D203" s="25">
        <v>0.3</v>
      </c>
      <c r="E203" s="25">
        <f t="shared" si="6"/>
        <v>142.68</v>
      </c>
      <c r="F203" s="25"/>
      <c r="G203" s="25">
        <f t="shared" si="7"/>
        <v>142.68</v>
      </c>
      <c r="H203" s="34">
        <v>971428</v>
      </c>
      <c r="I203" s="214" t="s">
        <v>479</v>
      </c>
      <c r="J203" s="215" t="s">
        <v>25</v>
      </c>
      <c r="K203" s="214" t="s">
        <v>26</v>
      </c>
      <c r="L203" s="22">
        <v>92214819</v>
      </c>
      <c r="M203" s="26"/>
    </row>
    <row r="204" spans="1:13" s="79" customFormat="1" x14ac:dyDescent="0.25">
      <c r="A204" s="22">
        <v>3768</v>
      </c>
      <c r="B204" s="23" t="s">
        <v>480</v>
      </c>
      <c r="C204" s="24">
        <v>62.6</v>
      </c>
      <c r="D204" s="25">
        <v>0.3</v>
      </c>
      <c r="E204" s="25">
        <f t="shared" si="6"/>
        <v>18.78</v>
      </c>
      <c r="F204" s="25"/>
      <c r="G204" s="25">
        <f t="shared" si="7"/>
        <v>18.78</v>
      </c>
      <c r="H204" s="34">
        <v>21349024</v>
      </c>
      <c r="I204" s="214" t="s">
        <v>481</v>
      </c>
      <c r="J204" s="215" t="s">
        <v>25</v>
      </c>
      <c r="K204" s="214" t="s">
        <v>26</v>
      </c>
      <c r="L204" s="22">
        <v>71536935</v>
      </c>
      <c r="M204" s="26"/>
    </row>
    <row r="205" spans="1:13" s="79" customFormat="1" x14ac:dyDescent="0.25">
      <c r="A205" s="22">
        <v>3769</v>
      </c>
      <c r="B205" s="23" t="s">
        <v>482</v>
      </c>
      <c r="C205" s="24">
        <v>57.5</v>
      </c>
      <c r="D205" s="25">
        <v>0.3</v>
      </c>
      <c r="E205" s="25">
        <f t="shared" si="6"/>
        <v>17.25</v>
      </c>
      <c r="F205" s="25"/>
      <c r="G205" s="25">
        <f t="shared" si="7"/>
        <v>17.25</v>
      </c>
      <c r="H205" s="34">
        <v>24915633</v>
      </c>
      <c r="I205" s="214" t="s">
        <v>483</v>
      </c>
      <c r="J205" s="26" t="s">
        <v>43</v>
      </c>
      <c r="K205" s="214" t="s">
        <v>44</v>
      </c>
      <c r="L205" s="22">
        <v>99605319</v>
      </c>
      <c r="M205" s="26"/>
    </row>
    <row r="206" spans="1:13" s="79" customFormat="1" x14ac:dyDescent="0.25">
      <c r="A206" s="22">
        <v>3770</v>
      </c>
      <c r="B206" s="23" t="s">
        <v>33</v>
      </c>
      <c r="C206" s="24">
        <v>117.6</v>
      </c>
      <c r="D206" s="25">
        <v>0.3</v>
      </c>
      <c r="E206" s="25">
        <f t="shared" si="6"/>
        <v>35.279999999999994</v>
      </c>
      <c r="F206" s="25"/>
      <c r="G206" s="25">
        <f t="shared" si="7"/>
        <v>35.279999999999994</v>
      </c>
      <c r="H206" s="34">
        <v>7198036</v>
      </c>
      <c r="I206" s="214" t="s">
        <v>34</v>
      </c>
      <c r="J206" s="215" t="s">
        <v>25</v>
      </c>
      <c r="K206" s="214" t="s">
        <v>26</v>
      </c>
      <c r="L206" s="22">
        <v>92321799</v>
      </c>
      <c r="M206" s="26"/>
    </row>
    <row r="207" spans="1:13" s="79" customFormat="1" x14ac:dyDescent="0.25">
      <c r="A207" s="22">
        <v>3771</v>
      </c>
      <c r="B207" s="23" t="s">
        <v>484</v>
      </c>
      <c r="C207" s="24">
        <v>402.5</v>
      </c>
      <c r="D207" s="25">
        <v>0.3</v>
      </c>
      <c r="E207" s="25">
        <f t="shared" si="6"/>
        <v>120.75</v>
      </c>
      <c r="F207" s="25"/>
      <c r="G207" s="25">
        <f t="shared" si="7"/>
        <v>120.75</v>
      </c>
      <c r="H207" s="34">
        <v>1977962</v>
      </c>
      <c r="I207" s="214" t="s">
        <v>485</v>
      </c>
      <c r="J207" s="215" t="s">
        <v>25</v>
      </c>
      <c r="K207" s="214" t="s">
        <v>26</v>
      </c>
      <c r="L207" s="22">
        <v>99488815</v>
      </c>
      <c r="M207" s="26"/>
    </row>
    <row r="208" spans="1:13" s="79" customFormat="1" x14ac:dyDescent="0.25">
      <c r="A208" s="22">
        <v>3772</v>
      </c>
      <c r="B208" s="23" t="s">
        <v>486</v>
      </c>
      <c r="C208" s="29"/>
      <c r="D208" s="25">
        <v>0.3</v>
      </c>
      <c r="E208" s="25">
        <f t="shared" si="6"/>
        <v>0</v>
      </c>
      <c r="F208" s="25"/>
      <c r="G208" s="25">
        <f t="shared" si="7"/>
        <v>0</v>
      </c>
      <c r="H208" s="34">
        <v>6419804</v>
      </c>
      <c r="I208" s="214" t="s">
        <v>487</v>
      </c>
      <c r="J208" s="215" t="s">
        <v>25</v>
      </c>
      <c r="K208" s="214" t="s">
        <v>26</v>
      </c>
      <c r="L208" s="22"/>
      <c r="M208" s="26"/>
    </row>
    <row r="209" spans="1:13" s="79" customFormat="1" x14ac:dyDescent="0.25">
      <c r="A209" s="22">
        <v>3773</v>
      </c>
      <c r="B209" s="23" t="s">
        <v>488</v>
      </c>
      <c r="C209" s="29"/>
      <c r="D209" s="25">
        <v>0.3</v>
      </c>
      <c r="E209" s="25">
        <f t="shared" si="6"/>
        <v>0</v>
      </c>
      <c r="F209" s="25"/>
      <c r="G209" s="25">
        <f t="shared" si="7"/>
        <v>0</v>
      </c>
      <c r="H209" s="34">
        <v>2023936</v>
      </c>
      <c r="I209" s="214" t="s">
        <v>489</v>
      </c>
      <c r="J209" s="215" t="s">
        <v>210</v>
      </c>
      <c r="K209" s="214" t="s">
        <v>211</v>
      </c>
      <c r="L209" s="22"/>
      <c r="M209" s="26"/>
    </row>
    <row r="210" spans="1:13" s="79" customFormat="1" x14ac:dyDescent="0.25">
      <c r="A210" s="22">
        <v>3774</v>
      </c>
      <c r="B210" s="23" t="s">
        <v>490</v>
      </c>
      <c r="C210" s="29"/>
      <c r="D210" s="25">
        <v>0.3</v>
      </c>
      <c r="E210" s="25">
        <f t="shared" si="6"/>
        <v>0</v>
      </c>
      <c r="F210" s="25"/>
      <c r="G210" s="25">
        <f t="shared" si="7"/>
        <v>0</v>
      </c>
      <c r="H210" s="34">
        <v>889849</v>
      </c>
      <c r="I210" s="214" t="s">
        <v>491</v>
      </c>
      <c r="J210" s="26" t="s">
        <v>17</v>
      </c>
      <c r="K210" s="26" t="s">
        <v>18</v>
      </c>
      <c r="L210" s="22">
        <v>93011211</v>
      </c>
      <c r="M210" s="26"/>
    </row>
    <row r="211" spans="1:13" s="144" customFormat="1" x14ac:dyDescent="0.25">
      <c r="A211" s="54">
        <v>3775</v>
      </c>
      <c r="B211" s="55" t="s">
        <v>492</v>
      </c>
      <c r="C211" s="56">
        <v>116.9</v>
      </c>
      <c r="D211" s="57">
        <v>0.3</v>
      </c>
      <c r="E211" s="57">
        <f t="shared" si="6"/>
        <v>35.07</v>
      </c>
      <c r="F211" s="57">
        <f>3.31</f>
        <v>3.31</v>
      </c>
      <c r="G211" s="57">
        <f t="shared" si="7"/>
        <v>31.76</v>
      </c>
      <c r="H211" s="84">
        <v>7198074</v>
      </c>
      <c r="I211" s="60" t="s">
        <v>493</v>
      </c>
      <c r="J211" s="61" t="s">
        <v>210</v>
      </c>
      <c r="K211" s="58" t="s">
        <v>211</v>
      </c>
      <c r="L211" s="54">
        <v>98182322</v>
      </c>
      <c r="M211" s="461">
        <v>46008</v>
      </c>
    </row>
    <row r="212" spans="1:13" s="79" customFormat="1" x14ac:dyDescent="0.25">
      <c r="A212" s="22">
        <v>3776</v>
      </c>
      <c r="B212" s="23" t="s">
        <v>494</v>
      </c>
      <c r="C212" s="24">
        <v>31</v>
      </c>
      <c r="D212" s="25">
        <v>0.3</v>
      </c>
      <c r="E212" s="25">
        <f t="shared" si="6"/>
        <v>9.2999999999999989</v>
      </c>
      <c r="F212" s="25"/>
      <c r="G212" s="25">
        <f t="shared" si="7"/>
        <v>9.2999999999999989</v>
      </c>
      <c r="H212" s="34">
        <v>5530783</v>
      </c>
      <c r="I212" s="214" t="s">
        <v>495</v>
      </c>
      <c r="J212" s="215" t="s">
        <v>25</v>
      </c>
      <c r="K212" s="214" t="s">
        <v>26</v>
      </c>
      <c r="L212" s="22">
        <v>97170030</v>
      </c>
      <c r="M212" s="26"/>
    </row>
    <row r="213" spans="1:13" s="79" customFormat="1" x14ac:dyDescent="0.25">
      <c r="A213" s="22">
        <v>3777</v>
      </c>
      <c r="B213" s="23" t="s">
        <v>496</v>
      </c>
      <c r="C213" s="24">
        <v>152.6</v>
      </c>
      <c r="D213" s="25">
        <v>0.3</v>
      </c>
      <c r="E213" s="25">
        <f t="shared" si="6"/>
        <v>45.779999999999994</v>
      </c>
      <c r="F213" s="25"/>
      <c r="G213" s="25">
        <f t="shared" si="7"/>
        <v>45.779999999999994</v>
      </c>
      <c r="H213" s="34">
        <v>6538875</v>
      </c>
      <c r="I213" s="214" t="s">
        <v>497</v>
      </c>
      <c r="J213" s="215" t="s">
        <v>25</v>
      </c>
      <c r="K213" s="214" t="s">
        <v>26</v>
      </c>
      <c r="L213" s="22">
        <v>91750033</v>
      </c>
      <c r="M213" s="26"/>
    </row>
    <row r="214" spans="1:13" s="79" customFormat="1" x14ac:dyDescent="0.25">
      <c r="A214" s="22">
        <v>3778</v>
      </c>
      <c r="B214" s="23" t="s">
        <v>498</v>
      </c>
      <c r="C214" s="24">
        <v>40</v>
      </c>
      <c r="D214" s="25">
        <v>0.3</v>
      </c>
      <c r="E214" s="25">
        <f t="shared" si="6"/>
        <v>12</v>
      </c>
      <c r="F214" s="25"/>
      <c r="G214" s="25">
        <f t="shared" si="7"/>
        <v>12</v>
      </c>
      <c r="H214" s="34">
        <v>1481822</v>
      </c>
      <c r="I214" s="214" t="s">
        <v>499</v>
      </c>
      <c r="J214" s="26" t="s">
        <v>17</v>
      </c>
      <c r="K214" s="26" t="s">
        <v>18</v>
      </c>
      <c r="L214" s="22">
        <v>92951944</v>
      </c>
      <c r="M214" s="26"/>
    </row>
    <row r="215" spans="1:13" s="79" customFormat="1" x14ac:dyDescent="0.25">
      <c r="A215" s="22">
        <v>3782</v>
      </c>
      <c r="B215" s="23" t="s">
        <v>505</v>
      </c>
      <c r="C215" s="24">
        <v>105.3</v>
      </c>
      <c r="D215" s="25">
        <v>0.3</v>
      </c>
      <c r="E215" s="25">
        <f t="shared" si="6"/>
        <v>31.589999999999996</v>
      </c>
      <c r="F215" s="25"/>
      <c r="G215" s="25">
        <f t="shared" si="7"/>
        <v>31.589999999999996</v>
      </c>
      <c r="H215" s="34">
        <v>8467003</v>
      </c>
      <c r="I215" s="214" t="s">
        <v>506</v>
      </c>
      <c r="J215" s="215" t="s">
        <v>17</v>
      </c>
      <c r="K215" s="214" t="s">
        <v>18</v>
      </c>
      <c r="L215" s="22">
        <v>96138831</v>
      </c>
      <c r="M215" s="26"/>
    </row>
    <row r="216" spans="1:13" s="79" customFormat="1" x14ac:dyDescent="0.25">
      <c r="A216" s="22">
        <v>3783</v>
      </c>
      <c r="B216" s="23" t="s">
        <v>507</v>
      </c>
      <c r="C216" s="24">
        <v>26.7</v>
      </c>
      <c r="D216" s="25">
        <v>0.3</v>
      </c>
      <c r="E216" s="25">
        <f t="shared" si="6"/>
        <v>8.01</v>
      </c>
      <c r="F216" s="25"/>
      <c r="G216" s="25">
        <f t="shared" si="7"/>
        <v>8.01</v>
      </c>
      <c r="H216" s="34">
        <v>25019867</v>
      </c>
      <c r="I216" s="214" t="s">
        <v>508</v>
      </c>
      <c r="J216" s="26" t="s">
        <v>17</v>
      </c>
      <c r="K216" s="26" t="s">
        <v>18</v>
      </c>
      <c r="L216" s="22">
        <v>97264292</v>
      </c>
      <c r="M216" s="26"/>
    </row>
    <row r="217" spans="1:13" s="79" customFormat="1" x14ac:dyDescent="0.25">
      <c r="A217" s="22">
        <v>3784</v>
      </c>
      <c r="B217" s="23" t="s">
        <v>509</v>
      </c>
      <c r="C217" s="29"/>
      <c r="D217" s="25">
        <v>0.3</v>
      </c>
      <c r="E217" s="25">
        <f t="shared" si="6"/>
        <v>0</v>
      </c>
      <c r="F217" s="25"/>
      <c r="G217" s="25">
        <f t="shared" si="7"/>
        <v>0</v>
      </c>
      <c r="H217" s="34">
        <v>19870884</v>
      </c>
      <c r="I217" s="214" t="s">
        <v>510</v>
      </c>
      <c r="J217" s="215" t="s">
        <v>25</v>
      </c>
      <c r="K217" s="214" t="s">
        <v>26</v>
      </c>
      <c r="L217" s="22">
        <v>94847877</v>
      </c>
      <c r="M217" s="26"/>
    </row>
    <row r="218" spans="1:13" s="79" customFormat="1" x14ac:dyDescent="0.25">
      <c r="A218" s="22">
        <v>3786</v>
      </c>
      <c r="B218" s="23" t="s">
        <v>511</v>
      </c>
      <c r="C218" s="29"/>
      <c r="D218" s="25">
        <v>0.3</v>
      </c>
      <c r="E218" s="25">
        <f t="shared" si="6"/>
        <v>0</v>
      </c>
      <c r="F218" s="25"/>
      <c r="G218" s="25">
        <f t="shared" si="7"/>
        <v>0</v>
      </c>
      <c r="H218" s="34">
        <v>941209</v>
      </c>
      <c r="I218" s="214" t="s">
        <v>512</v>
      </c>
      <c r="J218" s="26" t="s">
        <v>290</v>
      </c>
      <c r="K218" s="214" t="s">
        <v>291</v>
      </c>
      <c r="L218" s="22">
        <v>92975256</v>
      </c>
      <c r="M218" s="26"/>
    </row>
    <row r="219" spans="1:13" s="79" customFormat="1" x14ac:dyDescent="0.25">
      <c r="A219" s="22">
        <v>3787</v>
      </c>
      <c r="B219" s="23" t="s">
        <v>513</v>
      </c>
      <c r="C219" s="29"/>
      <c r="D219" s="25">
        <v>0.3</v>
      </c>
      <c r="E219" s="25">
        <f t="shared" si="6"/>
        <v>0</v>
      </c>
      <c r="F219" s="25"/>
      <c r="G219" s="25">
        <f t="shared" si="7"/>
        <v>0</v>
      </c>
      <c r="H219" s="34">
        <v>813786</v>
      </c>
      <c r="I219" s="214" t="s">
        <v>514</v>
      </c>
      <c r="J219" s="215" t="s">
        <v>25</v>
      </c>
      <c r="K219" s="214" t="s">
        <v>26</v>
      </c>
      <c r="L219" s="22">
        <v>99293129</v>
      </c>
      <c r="M219" s="26"/>
    </row>
    <row r="220" spans="1:13" s="79" customFormat="1" x14ac:dyDescent="0.25">
      <c r="A220" s="22">
        <v>3789</v>
      </c>
      <c r="B220" s="23" t="s">
        <v>515</v>
      </c>
      <c r="C220" s="24">
        <v>38.200000000000003</v>
      </c>
      <c r="D220" s="25">
        <v>0.3</v>
      </c>
      <c r="E220" s="25">
        <f t="shared" si="6"/>
        <v>11.46</v>
      </c>
      <c r="F220" s="25"/>
      <c r="G220" s="25">
        <f t="shared" si="7"/>
        <v>11.46</v>
      </c>
      <c r="H220" s="34">
        <v>22338686</v>
      </c>
      <c r="I220" s="214" t="s">
        <v>516</v>
      </c>
      <c r="J220" s="215" t="s">
        <v>25</v>
      </c>
      <c r="K220" s="214" t="s">
        <v>26</v>
      </c>
      <c r="L220" s="22">
        <v>92552232</v>
      </c>
      <c r="M220" s="26"/>
    </row>
    <row r="221" spans="1:13" s="79" customFormat="1" x14ac:dyDescent="0.25">
      <c r="A221" s="22">
        <v>3791</v>
      </c>
      <c r="B221" s="23" t="s">
        <v>517</v>
      </c>
      <c r="C221" s="29"/>
      <c r="D221" s="25">
        <v>0.3</v>
      </c>
      <c r="E221" s="25">
        <f t="shared" si="6"/>
        <v>0</v>
      </c>
      <c r="F221" s="25"/>
      <c r="G221" s="25">
        <f t="shared" si="7"/>
        <v>0</v>
      </c>
      <c r="H221" s="34">
        <v>20365611</v>
      </c>
      <c r="I221" s="214" t="s">
        <v>518</v>
      </c>
      <c r="J221" s="215" t="s">
        <v>25</v>
      </c>
      <c r="K221" s="214" t="s">
        <v>26</v>
      </c>
      <c r="L221" s="22">
        <v>9257761</v>
      </c>
      <c r="M221" s="26"/>
    </row>
    <row r="222" spans="1:13" s="79" customFormat="1" x14ac:dyDescent="0.25">
      <c r="A222" s="22">
        <v>3792</v>
      </c>
      <c r="B222" s="464" t="s">
        <v>519</v>
      </c>
      <c r="C222" s="29"/>
      <c r="D222" s="25">
        <v>0.3</v>
      </c>
      <c r="E222" s="25">
        <f t="shared" si="6"/>
        <v>0</v>
      </c>
      <c r="F222" s="25"/>
      <c r="G222" s="25">
        <f t="shared" si="7"/>
        <v>0</v>
      </c>
      <c r="H222" s="471">
        <v>23169608</v>
      </c>
      <c r="I222" s="481" t="s">
        <v>520</v>
      </c>
      <c r="J222" s="464" t="s">
        <v>290</v>
      </c>
      <c r="K222" s="481" t="s">
        <v>291</v>
      </c>
      <c r="L222" s="465">
        <v>93380506</v>
      </c>
      <c r="M222" s="26"/>
    </row>
    <row r="223" spans="1:13" s="79" customFormat="1" x14ac:dyDescent="0.25">
      <c r="A223" s="22">
        <v>3793</v>
      </c>
      <c r="B223" s="23" t="s">
        <v>521</v>
      </c>
      <c r="C223" s="24">
        <v>62</v>
      </c>
      <c r="D223" s="25">
        <v>0.3</v>
      </c>
      <c r="E223" s="25">
        <f t="shared" si="6"/>
        <v>18.599999999999998</v>
      </c>
      <c r="F223" s="25"/>
      <c r="G223" s="25">
        <f t="shared" si="7"/>
        <v>18.599999999999998</v>
      </c>
      <c r="H223" s="34">
        <v>1283875</v>
      </c>
      <c r="I223" s="214" t="s">
        <v>522</v>
      </c>
      <c r="J223" s="26" t="s">
        <v>43</v>
      </c>
      <c r="K223" s="214" t="s">
        <v>44</v>
      </c>
      <c r="L223" s="22">
        <v>92348115</v>
      </c>
      <c r="M223" s="26"/>
    </row>
    <row r="224" spans="1:13" s="79" customFormat="1" x14ac:dyDescent="0.25">
      <c r="A224" s="22">
        <v>3794</v>
      </c>
      <c r="B224" s="23" t="s">
        <v>523</v>
      </c>
      <c r="C224" s="24">
        <v>22.7</v>
      </c>
      <c r="D224" s="25">
        <v>0.3</v>
      </c>
      <c r="E224" s="25">
        <f t="shared" si="6"/>
        <v>6.81</v>
      </c>
      <c r="F224" s="25"/>
      <c r="G224" s="25">
        <f t="shared" si="7"/>
        <v>6.81</v>
      </c>
      <c r="H224" s="34">
        <v>8222931</v>
      </c>
      <c r="I224" s="214" t="s">
        <v>524</v>
      </c>
      <c r="J224" s="215" t="s">
        <v>25</v>
      </c>
      <c r="K224" s="214" t="s">
        <v>26</v>
      </c>
      <c r="L224" s="22">
        <v>93377666</v>
      </c>
      <c r="M224" s="26"/>
    </row>
    <row r="225" spans="1:13" s="79" customFormat="1" x14ac:dyDescent="0.25">
      <c r="A225" s="22">
        <v>3795</v>
      </c>
      <c r="B225" s="23" t="s">
        <v>525</v>
      </c>
      <c r="C225" s="24">
        <v>151.80000000000001</v>
      </c>
      <c r="D225" s="25">
        <v>0.3</v>
      </c>
      <c r="E225" s="25">
        <f t="shared" si="6"/>
        <v>45.54</v>
      </c>
      <c r="F225" s="25"/>
      <c r="G225" s="25">
        <f t="shared" si="7"/>
        <v>45.54</v>
      </c>
      <c r="H225" s="34">
        <v>2331658</v>
      </c>
      <c r="I225" s="214" t="s">
        <v>526</v>
      </c>
      <c r="J225" s="26" t="s">
        <v>17</v>
      </c>
      <c r="K225" s="26" t="s">
        <v>18</v>
      </c>
      <c r="L225" s="22">
        <v>91790440</v>
      </c>
      <c r="M225" s="26"/>
    </row>
    <row r="226" spans="1:13" s="79" customFormat="1" x14ac:dyDescent="0.25">
      <c r="A226" s="22">
        <v>3796</v>
      </c>
      <c r="B226" s="23" t="s">
        <v>527</v>
      </c>
      <c r="C226" s="29"/>
      <c r="D226" s="25">
        <v>0.3</v>
      </c>
      <c r="E226" s="25">
        <f t="shared" si="6"/>
        <v>0</v>
      </c>
      <c r="F226" s="25"/>
      <c r="G226" s="25">
        <f t="shared" si="7"/>
        <v>0</v>
      </c>
      <c r="H226" s="34">
        <v>6455206</v>
      </c>
      <c r="I226" s="214" t="s">
        <v>528</v>
      </c>
      <c r="J226" s="215" t="s">
        <v>25</v>
      </c>
      <c r="K226" s="214" t="s">
        <v>26</v>
      </c>
      <c r="L226" s="22">
        <v>97312444</v>
      </c>
      <c r="M226" s="26"/>
    </row>
    <row r="227" spans="1:13" s="79" customFormat="1" x14ac:dyDescent="0.25">
      <c r="A227" s="22">
        <v>3798</v>
      </c>
      <c r="B227" s="23" t="s">
        <v>529</v>
      </c>
      <c r="C227" s="24">
        <v>31.8</v>
      </c>
      <c r="D227" s="25">
        <v>0.3</v>
      </c>
      <c r="E227" s="25">
        <f t="shared" si="6"/>
        <v>9.5399999999999991</v>
      </c>
      <c r="F227" s="25"/>
      <c r="G227" s="25">
        <f t="shared" si="7"/>
        <v>9.5399999999999991</v>
      </c>
      <c r="H227" s="34">
        <v>6048954</v>
      </c>
      <c r="I227" s="214" t="s">
        <v>530</v>
      </c>
      <c r="J227" s="215" t="s">
        <v>25</v>
      </c>
      <c r="K227" s="214" t="s">
        <v>26</v>
      </c>
      <c r="L227" s="22">
        <v>92833445</v>
      </c>
      <c r="M227" s="26"/>
    </row>
    <row r="228" spans="1:13" s="79" customFormat="1" x14ac:dyDescent="0.25">
      <c r="A228" s="22">
        <v>3799</v>
      </c>
      <c r="B228" s="23" t="s">
        <v>531</v>
      </c>
      <c r="C228" s="29"/>
      <c r="D228" s="25">
        <v>0.3</v>
      </c>
      <c r="E228" s="25">
        <f t="shared" si="6"/>
        <v>0</v>
      </c>
      <c r="F228" s="25"/>
      <c r="G228" s="25">
        <f t="shared" si="7"/>
        <v>0</v>
      </c>
      <c r="H228" s="34">
        <v>12494672</v>
      </c>
      <c r="I228" s="214" t="s">
        <v>532</v>
      </c>
      <c r="J228" s="26" t="s">
        <v>17</v>
      </c>
      <c r="K228" s="26" t="s">
        <v>18</v>
      </c>
      <c r="L228" s="22">
        <v>98872720</v>
      </c>
      <c r="M228" s="26"/>
    </row>
    <row r="229" spans="1:13" s="79" customFormat="1" x14ac:dyDescent="0.25">
      <c r="A229" s="22">
        <v>3800</v>
      </c>
      <c r="B229" s="23" t="s">
        <v>534</v>
      </c>
      <c r="C229" s="24">
        <v>105.2</v>
      </c>
      <c r="D229" s="25">
        <v>0.3</v>
      </c>
      <c r="E229" s="25">
        <f t="shared" si="6"/>
        <v>31.56</v>
      </c>
      <c r="F229" s="25"/>
      <c r="G229" s="25">
        <f t="shared" si="7"/>
        <v>31.56</v>
      </c>
      <c r="H229" s="34">
        <v>11566758</v>
      </c>
      <c r="I229" s="214" t="s">
        <v>535</v>
      </c>
      <c r="J229" s="215" t="s">
        <v>25</v>
      </c>
      <c r="K229" s="214" t="s">
        <v>26</v>
      </c>
      <c r="L229" s="22"/>
      <c r="M229" s="26"/>
    </row>
    <row r="230" spans="1:13" s="79" customFormat="1" x14ac:dyDescent="0.25">
      <c r="A230" s="22">
        <v>3801</v>
      </c>
      <c r="B230" s="23" t="s">
        <v>536</v>
      </c>
      <c r="C230" s="29"/>
      <c r="D230" s="25">
        <v>0.3</v>
      </c>
      <c r="E230" s="25">
        <f t="shared" si="6"/>
        <v>0</v>
      </c>
      <c r="F230" s="25"/>
      <c r="G230" s="25">
        <f t="shared" si="7"/>
        <v>0</v>
      </c>
      <c r="H230" s="34">
        <v>19559588</v>
      </c>
      <c r="I230" s="480" t="s">
        <v>537</v>
      </c>
      <c r="J230" s="215" t="s">
        <v>75</v>
      </c>
      <c r="K230" s="480" t="s">
        <v>76</v>
      </c>
      <c r="L230" s="22">
        <v>93200888</v>
      </c>
      <c r="M230" s="26"/>
    </row>
    <row r="231" spans="1:13" s="79" customFormat="1" x14ac:dyDescent="0.25">
      <c r="A231" s="22">
        <v>3802</v>
      </c>
      <c r="B231" s="23" t="s">
        <v>538</v>
      </c>
      <c r="C231" s="24">
        <v>24</v>
      </c>
      <c r="D231" s="25">
        <v>0.3</v>
      </c>
      <c r="E231" s="25">
        <f t="shared" si="6"/>
        <v>7.1999999999999993</v>
      </c>
      <c r="F231" s="25"/>
      <c r="G231" s="25">
        <f t="shared" si="7"/>
        <v>7.1999999999999993</v>
      </c>
      <c r="H231" s="34">
        <v>1260268</v>
      </c>
      <c r="I231" s="214" t="s">
        <v>539</v>
      </c>
      <c r="J231" s="215" t="s">
        <v>25</v>
      </c>
      <c r="K231" s="214" t="s">
        <v>26</v>
      </c>
      <c r="L231" s="22">
        <v>99692231</v>
      </c>
      <c r="M231" s="26"/>
    </row>
    <row r="232" spans="1:13" s="79" customFormat="1" x14ac:dyDescent="0.25">
      <c r="A232" s="22">
        <v>3803</v>
      </c>
      <c r="B232" s="23" t="s">
        <v>540</v>
      </c>
      <c r="C232" s="29"/>
      <c r="D232" s="25">
        <v>0.3</v>
      </c>
      <c r="E232" s="25">
        <f t="shared" si="6"/>
        <v>0</v>
      </c>
      <c r="F232" s="25"/>
      <c r="G232" s="25">
        <f t="shared" si="7"/>
        <v>0</v>
      </c>
      <c r="H232" s="34">
        <v>4890484</v>
      </c>
      <c r="I232" s="214" t="s">
        <v>541</v>
      </c>
      <c r="J232" s="26" t="s">
        <v>17</v>
      </c>
      <c r="K232" s="26" t="s">
        <v>18</v>
      </c>
      <c r="L232" s="22">
        <v>93231221</v>
      </c>
      <c r="M232" s="26"/>
    </row>
    <row r="233" spans="1:13" s="79" customFormat="1" x14ac:dyDescent="0.25">
      <c r="A233" s="22">
        <v>3804</v>
      </c>
      <c r="B233" s="23" t="s">
        <v>542</v>
      </c>
      <c r="C233" s="24">
        <v>130.19999999999999</v>
      </c>
      <c r="D233" s="25">
        <v>0.3</v>
      </c>
      <c r="E233" s="25">
        <f t="shared" si="6"/>
        <v>39.059999999999995</v>
      </c>
      <c r="F233" s="25"/>
      <c r="G233" s="25">
        <f t="shared" si="7"/>
        <v>39.059999999999995</v>
      </c>
      <c r="H233" s="34">
        <v>18102928</v>
      </c>
      <c r="I233" s="214" t="s">
        <v>543</v>
      </c>
      <c r="J233" s="26" t="s">
        <v>17</v>
      </c>
      <c r="K233" s="26" t="s">
        <v>18</v>
      </c>
      <c r="L233" s="22">
        <v>95933733</v>
      </c>
      <c r="M233" s="26"/>
    </row>
    <row r="234" spans="1:13" s="79" customFormat="1" x14ac:dyDescent="0.25">
      <c r="A234" s="22">
        <v>3805</v>
      </c>
      <c r="B234" s="23" t="s">
        <v>544</v>
      </c>
      <c r="C234" s="29"/>
      <c r="D234" s="25">
        <v>0.3</v>
      </c>
      <c r="E234" s="25">
        <f t="shared" si="6"/>
        <v>0</v>
      </c>
      <c r="F234" s="25"/>
      <c r="G234" s="25">
        <f t="shared" si="7"/>
        <v>0</v>
      </c>
      <c r="H234" s="141">
        <v>18675553</v>
      </c>
      <c r="I234" s="480" t="s">
        <v>545</v>
      </c>
      <c r="J234" s="216" t="s">
        <v>75</v>
      </c>
      <c r="K234" s="26" t="s">
        <v>76</v>
      </c>
      <c r="L234" s="22">
        <v>77588303</v>
      </c>
      <c r="M234" s="26"/>
    </row>
    <row r="235" spans="1:13" s="79" customFormat="1" x14ac:dyDescent="0.25">
      <c r="A235" s="22">
        <v>3807</v>
      </c>
      <c r="B235" s="23" t="s">
        <v>546</v>
      </c>
      <c r="C235" s="29"/>
      <c r="D235" s="25">
        <v>0.3</v>
      </c>
      <c r="E235" s="25">
        <f t="shared" si="6"/>
        <v>0</v>
      </c>
      <c r="F235" s="25"/>
      <c r="G235" s="25">
        <f t="shared" si="7"/>
        <v>0</v>
      </c>
      <c r="H235" s="34">
        <v>2110484</v>
      </c>
      <c r="I235" s="214" t="s">
        <v>547</v>
      </c>
      <c r="J235" s="26" t="s">
        <v>17</v>
      </c>
      <c r="K235" s="26" t="s">
        <v>18</v>
      </c>
      <c r="L235" s="22">
        <v>95918256</v>
      </c>
      <c r="M235" s="26"/>
    </row>
    <row r="236" spans="1:13" s="79" customFormat="1" x14ac:dyDescent="0.25">
      <c r="A236" s="22">
        <v>3808</v>
      </c>
      <c r="B236" s="23" t="s">
        <v>548</v>
      </c>
      <c r="C236" s="29"/>
      <c r="D236" s="25">
        <v>0.3</v>
      </c>
      <c r="E236" s="25">
        <f t="shared" si="6"/>
        <v>0</v>
      </c>
      <c r="F236" s="25"/>
      <c r="G236" s="25">
        <f t="shared" si="7"/>
        <v>0</v>
      </c>
      <c r="H236" s="34">
        <v>1366005</v>
      </c>
      <c r="I236" s="214" t="s">
        <v>549</v>
      </c>
      <c r="J236" s="26" t="s">
        <v>17</v>
      </c>
      <c r="K236" s="26" t="s">
        <v>18</v>
      </c>
      <c r="L236" s="22">
        <v>99589981</v>
      </c>
      <c r="M236" s="26"/>
    </row>
    <row r="237" spans="1:13" s="79" customFormat="1" x14ac:dyDescent="0.25">
      <c r="A237" s="22">
        <v>3809</v>
      </c>
      <c r="B237" s="23" t="s">
        <v>550</v>
      </c>
      <c r="C237" s="24">
        <v>310.89999999999998</v>
      </c>
      <c r="D237" s="25">
        <v>0.3</v>
      </c>
      <c r="E237" s="25">
        <f t="shared" si="6"/>
        <v>93.27</v>
      </c>
      <c r="F237" s="25"/>
      <c r="G237" s="25">
        <f t="shared" si="7"/>
        <v>93.27</v>
      </c>
      <c r="H237" s="34">
        <v>10913998</v>
      </c>
      <c r="I237" s="214" t="s">
        <v>551</v>
      </c>
      <c r="J237" s="215" t="s">
        <v>25</v>
      </c>
      <c r="K237" s="214" t="s">
        <v>26</v>
      </c>
      <c r="L237" s="22">
        <v>99080863</v>
      </c>
      <c r="M237" s="26"/>
    </row>
    <row r="238" spans="1:13" s="79" customFormat="1" x14ac:dyDescent="0.25">
      <c r="A238" s="22">
        <v>3810</v>
      </c>
      <c r="B238" s="464" t="s">
        <v>553</v>
      </c>
      <c r="C238" s="29"/>
      <c r="D238" s="25">
        <v>0.3</v>
      </c>
      <c r="E238" s="25">
        <f t="shared" si="6"/>
        <v>0</v>
      </c>
      <c r="F238" s="25"/>
      <c r="G238" s="25">
        <f t="shared" si="7"/>
        <v>0</v>
      </c>
      <c r="H238" s="471">
        <v>9442232</v>
      </c>
      <c r="I238" s="481" t="s">
        <v>554</v>
      </c>
      <c r="J238" s="517" t="s">
        <v>25</v>
      </c>
      <c r="K238" s="536" t="s">
        <v>26</v>
      </c>
      <c r="L238" s="465">
        <v>98255338</v>
      </c>
      <c r="M238" s="26"/>
    </row>
    <row r="239" spans="1:13" s="79" customFormat="1" x14ac:dyDescent="0.25">
      <c r="A239" s="22">
        <v>3811</v>
      </c>
      <c r="B239" s="23" t="s">
        <v>555</v>
      </c>
      <c r="C239" s="24">
        <v>18.5</v>
      </c>
      <c r="D239" s="25">
        <v>0.3</v>
      </c>
      <c r="E239" s="25">
        <f t="shared" si="6"/>
        <v>5.55</v>
      </c>
      <c r="F239" s="25"/>
      <c r="G239" s="25">
        <f t="shared" si="7"/>
        <v>5.55</v>
      </c>
      <c r="H239" s="34">
        <v>6865286</v>
      </c>
      <c r="I239" s="214" t="s">
        <v>556</v>
      </c>
      <c r="J239" s="216" t="s">
        <v>75</v>
      </c>
      <c r="K239" s="26" t="s">
        <v>76</v>
      </c>
      <c r="L239" s="22">
        <v>92441715</v>
      </c>
      <c r="M239" s="26"/>
    </row>
    <row r="240" spans="1:13" s="79" customFormat="1" x14ac:dyDescent="0.25">
      <c r="A240" s="22">
        <v>3812</v>
      </c>
      <c r="B240" s="23" t="s">
        <v>557</v>
      </c>
      <c r="C240" s="24">
        <v>30.5</v>
      </c>
      <c r="D240" s="25">
        <v>0.3</v>
      </c>
      <c r="E240" s="25">
        <f t="shared" si="6"/>
        <v>9.15</v>
      </c>
      <c r="F240" s="25"/>
      <c r="G240" s="25">
        <f t="shared" si="7"/>
        <v>9.15</v>
      </c>
      <c r="H240" s="34">
        <v>2441718</v>
      </c>
      <c r="I240" s="214" t="s">
        <v>558</v>
      </c>
      <c r="J240" s="215" t="s">
        <v>25</v>
      </c>
      <c r="K240" s="214" t="s">
        <v>26</v>
      </c>
      <c r="L240" s="22"/>
      <c r="M240" s="26"/>
    </row>
    <row r="241" spans="1:13" s="79" customFormat="1" x14ac:dyDescent="0.25">
      <c r="A241" s="22">
        <v>3813</v>
      </c>
      <c r="B241" s="23" t="s">
        <v>559</v>
      </c>
      <c r="C241" s="24">
        <v>138.19999999999999</v>
      </c>
      <c r="D241" s="25">
        <v>0.3</v>
      </c>
      <c r="E241" s="25">
        <f t="shared" si="6"/>
        <v>41.459999999999994</v>
      </c>
      <c r="F241" s="25"/>
      <c r="G241" s="25">
        <f t="shared" si="7"/>
        <v>41.459999999999994</v>
      </c>
      <c r="H241" s="34">
        <v>18842378</v>
      </c>
      <c r="I241" s="214" t="s">
        <v>560</v>
      </c>
      <c r="J241" s="215" t="s">
        <v>25</v>
      </c>
      <c r="K241" s="214" t="s">
        <v>26</v>
      </c>
      <c r="L241" s="22">
        <v>91102135</v>
      </c>
      <c r="M241" s="26"/>
    </row>
    <row r="242" spans="1:13" s="79" customFormat="1" x14ac:dyDescent="0.25">
      <c r="A242" s="22">
        <v>3814</v>
      </c>
      <c r="B242" s="23" t="s">
        <v>561</v>
      </c>
      <c r="C242" s="24">
        <v>20</v>
      </c>
      <c r="D242" s="25">
        <v>0.3</v>
      </c>
      <c r="E242" s="25">
        <f t="shared" si="6"/>
        <v>6</v>
      </c>
      <c r="F242" s="25"/>
      <c r="G242" s="25">
        <f t="shared" si="7"/>
        <v>6</v>
      </c>
      <c r="H242" s="83">
        <v>6998672</v>
      </c>
      <c r="I242" s="214" t="s">
        <v>562</v>
      </c>
      <c r="J242" s="460" t="s">
        <v>25</v>
      </c>
      <c r="K242" s="507" t="s">
        <v>26</v>
      </c>
      <c r="L242" s="22">
        <v>94051423</v>
      </c>
      <c r="M242" s="26"/>
    </row>
    <row r="243" spans="1:13" s="79" customFormat="1" x14ac:dyDescent="0.25">
      <c r="A243" s="22">
        <v>3815</v>
      </c>
      <c r="B243" s="23" t="s">
        <v>563</v>
      </c>
      <c r="C243" s="24">
        <v>26.5</v>
      </c>
      <c r="D243" s="25">
        <v>0.3</v>
      </c>
      <c r="E243" s="25">
        <f t="shared" si="6"/>
        <v>7.9499999999999993</v>
      </c>
      <c r="F243" s="25"/>
      <c r="G243" s="25">
        <f t="shared" si="7"/>
        <v>7.9499999999999993</v>
      </c>
      <c r="H243" s="141">
        <v>24909353</v>
      </c>
      <c r="I243" s="480" t="s">
        <v>564</v>
      </c>
      <c r="J243" s="215" t="s">
        <v>25</v>
      </c>
      <c r="K243" s="214" t="s">
        <v>26</v>
      </c>
      <c r="L243" s="22">
        <v>97797883</v>
      </c>
      <c r="M243" s="26"/>
    </row>
    <row r="244" spans="1:13" s="79" customFormat="1" x14ac:dyDescent="0.25">
      <c r="A244" s="22">
        <v>3816</v>
      </c>
      <c r="B244" s="23" t="s">
        <v>565</v>
      </c>
      <c r="C244" s="29"/>
      <c r="D244" s="25">
        <v>0.3</v>
      </c>
      <c r="E244" s="25">
        <f t="shared" si="6"/>
        <v>0</v>
      </c>
      <c r="F244" s="25"/>
      <c r="G244" s="25">
        <f t="shared" si="7"/>
        <v>0</v>
      </c>
      <c r="H244" s="34">
        <v>27389488</v>
      </c>
      <c r="I244" s="214" t="s">
        <v>566</v>
      </c>
      <c r="J244" s="215" t="s">
        <v>25</v>
      </c>
      <c r="K244" s="214" t="s">
        <v>26</v>
      </c>
      <c r="L244" s="22"/>
      <c r="M244" s="26"/>
    </row>
    <row r="245" spans="1:13" s="79" customFormat="1" x14ac:dyDescent="0.25">
      <c r="A245" s="22">
        <v>3817</v>
      </c>
      <c r="B245" s="23" t="s">
        <v>567</v>
      </c>
      <c r="C245" s="29"/>
      <c r="D245" s="25">
        <v>0.3</v>
      </c>
      <c r="E245" s="25">
        <f t="shared" si="6"/>
        <v>0</v>
      </c>
      <c r="F245" s="25"/>
      <c r="G245" s="25">
        <f t="shared" si="7"/>
        <v>0</v>
      </c>
      <c r="H245" s="34">
        <v>7851322</v>
      </c>
      <c r="I245" s="214" t="s">
        <v>568</v>
      </c>
      <c r="J245" s="215" t="s">
        <v>25</v>
      </c>
      <c r="K245" s="214" t="s">
        <v>26</v>
      </c>
      <c r="L245" s="22">
        <v>96288881</v>
      </c>
      <c r="M245" s="26"/>
    </row>
    <row r="246" spans="1:13" s="79" customFormat="1" x14ac:dyDescent="0.25">
      <c r="A246" s="22">
        <v>3818</v>
      </c>
      <c r="B246" s="23" t="s">
        <v>569</v>
      </c>
      <c r="C246" s="29"/>
      <c r="D246" s="25">
        <v>0.3</v>
      </c>
      <c r="E246" s="25">
        <f t="shared" si="6"/>
        <v>0</v>
      </c>
      <c r="F246" s="25"/>
      <c r="G246" s="25">
        <f t="shared" si="7"/>
        <v>0</v>
      </c>
      <c r="H246" s="34">
        <v>2520858</v>
      </c>
      <c r="I246" s="214" t="s">
        <v>570</v>
      </c>
      <c r="J246" s="215" t="s">
        <v>25</v>
      </c>
      <c r="K246" s="214" t="s">
        <v>26</v>
      </c>
      <c r="L246" s="22">
        <v>99699976</v>
      </c>
      <c r="M246" s="26"/>
    </row>
    <row r="247" spans="1:13" s="79" customFormat="1" x14ac:dyDescent="0.25">
      <c r="A247" s="22">
        <v>3819</v>
      </c>
      <c r="B247" s="23" t="s">
        <v>571</v>
      </c>
      <c r="C247" s="29"/>
      <c r="D247" s="25">
        <v>0.3</v>
      </c>
      <c r="E247" s="25">
        <f t="shared" si="6"/>
        <v>0</v>
      </c>
      <c r="F247" s="25"/>
      <c r="G247" s="25">
        <f t="shared" si="7"/>
        <v>0</v>
      </c>
      <c r="H247" s="34">
        <v>3952839</v>
      </c>
      <c r="I247" s="214" t="s">
        <v>572</v>
      </c>
      <c r="J247" s="26" t="s">
        <v>17</v>
      </c>
      <c r="K247" s="26" t="s">
        <v>18</v>
      </c>
      <c r="L247" s="22">
        <v>98856929</v>
      </c>
      <c r="M247" s="26"/>
    </row>
    <row r="248" spans="1:13" s="79" customFormat="1" x14ac:dyDescent="0.25">
      <c r="A248" s="22">
        <v>3820</v>
      </c>
      <c r="B248" s="23" t="s">
        <v>573</v>
      </c>
      <c r="C248" s="24">
        <v>139</v>
      </c>
      <c r="D248" s="25">
        <v>0.3</v>
      </c>
      <c r="E248" s="25">
        <f t="shared" si="6"/>
        <v>41.699999999999996</v>
      </c>
      <c r="F248" s="25"/>
      <c r="G248" s="25">
        <f t="shared" si="7"/>
        <v>41.699999999999996</v>
      </c>
      <c r="H248" s="34">
        <v>20898806</v>
      </c>
      <c r="I248" s="214" t="s">
        <v>574</v>
      </c>
      <c r="J248" s="215" t="s">
        <v>25</v>
      </c>
      <c r="K248" s="214" t="s">
        <v>26</v>
      </c>
      <c r="L248" s="22">
        <v>95855255</v>
      </c>
      <c r="M248" s="26"/>
    </row>
    <row r="249" spans="1:13" s="79" customFormat="1" x14ac:dyDescent="0.25">
      <c r="A249" s="22">
        <v>3821</v>
      </c>
      <c r="B249" s="23" t="s">
        <v>575</v>
      </c>
      <c r="C249" s="29"/>
      <c r="D249" s="25">
        <v>0.3</v>
      </c>
      <c r="E249" s="25">
        <f t="shared" si="6"/>
        <v>0</v>
      </c>
      <c r="F249" s="25"/>
      <c r="G249" s="25">
        <f t="shared" si="7"/>
        <v>0</v>
      </c>
      <c r="H249" s="34">
        <v>5773746</v>
      </c>
      <c r="I249" s="214" t="s">
        <v>576</v>
      </c>
      <c r="J249" s="26" t="s">
        <v>210</v>
      </c>
      <c r="K249" s="216" t="s">
        <v>211</v>
      </c>
      <c r="L249" s="22">
        <v>96780867</v>
      </c>
      <c r="M249" s="26"/>
    </row>
    <row r="250" spans="1:13" s="79" customFormat="1" x14ac:dyDescent="0.25">
      <c r="A250" s="22">
        <v>3822</v>
      </c>
      <c r="B250" s="23" t="s">
        <v>577</v>
      </c>
      <c r="C250" s="29"/>
      <c r="D250" s="25">
        <v>0.3</v>
      </c>
      <c r="E250" s="25">
        <f t="shared" si="6"/>
        <v>0</v>
      </c>
      <c r="F250" s="25"/>
      <c r="G250" s="25">
        <f t="shared" si="7"/>
        <v>0</v>
      </c>
      <c r="H250" s="34">
        <v>1522824</v>
      </c>
      <c r="I250" s="214" t="s">
        <v>578</v>
      </c>
      <c r="J250" s="26" t="s">
        <v>43</v>
      </c>
      <c r="K250" s="214" t="s">
        <v>44</v>
      </c>
      <c r="L250" s="22">
        <v>92733857</v>
      </c>
      <c r="M250" s="26"/>
    </row>
    <row r="251" spans="1:13" s="79" customFormat="1" x14ac:dyDescent="0.25">
      <c r="A251" s="22">
        <v>3823</v>
      </c>
      <c r="B251" s="23" t="s">
        <v>579</v>
      </c>
      <c r="C251" s="24">
        <v>175.2</v>
      </c>
      <c r="D251" s="25">
        <v>0.3</v>
      </c>
      <c r="E251" s="25">
        <f t="shared" si="6"/>
        <v>52.559999999999995</v>
      </c>
      <c r="F251" s="25"/>
      <c r="G251" s="25">
        <f t="shared" si="7"/>
        <v>52.559999999999995</v>
      </c>
      <c r="H251" s="34">
        <v>865789</v>
      </c>
      <c r="I251" s="214" t="s">
        <v>580</v>
      </c>
      <c r="J251" s="215" t="s">
        <v>25</v>
      </c>
      <c r="K251" s="214" t="s">
        <v>26</v>
      </c>
      <c r="L251" s="22">
        <v>99366841</v>
      </c>
      <c r="M251" s="26"/>
    </row>
    <row r="252" spans="1:13" s="79" customFormat="1" x14ac:dyDescent="0.25">
      <c r="A252" s="22">
        <v>3824</v>
      </c>
      <c r="B252" s="23" t="s">
        <v>914</v>
      </c>
      <c r="C252" s="29"/>
      <c r="D252" s="25">
        <v>0.3</v>
      </c>
      <c r="E252" s="25">
        <f t="shared" si="6"/>
        <v>0</v>
      </c>
      <c r="F252" s="25"/>
      <c r="G252" s="25">
        <f t="shared" si="7"/>
        <v>0</v>
      </c>
      <c r="H252" s="34">
        <v>19875796</v>
      </c>
      <c r="I252" s="214" t="s">
        <v>915</v>
      </c>
      <c r="J252" s="215" t="s">
        <v>25</v>
      </c>
      <c r="K252" s="214" t="s">
        <v>26</v>
      </c>
      <c r="L252" s="22">
        <v>97778036</v>
      </c>
      <c r="M252" s="26"/>
    </row>
    <row r="253" spans="1:13" s="79" customFormat="1" x14ac:dyDescent="0.25">
      <c r="A253" s="22">
        <v>3827</v>
      </c>
      <c r="B253" s="23" t="s">
        <v>583</v>
      </c>
      <c r="C253" s="29"/>
      <c r="D253" s="25">
        <v>0.3</v>
      </c>
      <c r="E253" s="25">
        <f t="shared" si="6"/>
        <v>0</v>
      </c>
      <c r="F253" s="25"/>
      <c r="G253" s="25">
        <f t="shared" si="7"/>
        <v>0</v>
      </c>
      <c r="H253" s="34">
        <v>19049113</v>
      </c>
      <c r="I253" s="214" t="s">
        <v>584</v>
      </c>
      <c r="J253" s="215" t="s">
        <v>25</v>
      </c>
      <c r="K253" s="214" t="s">
        <v>26</v>
      </c>
      <c r="L253" s="22">
        <v>97778037</v>
      </c>
      <c r="M253" s="26"/>
    </row>
    <row r="254" spans="1:13" s="79" customFormat="1" x14ac:dyDescent="0.25">
      <c r="A254" s="22">
        <v>3828</v>
      </c>
      <c r="B254" s="23" t="s">
        <v>585</v>
      </c>
      <c r="C254" s="29"/>
      <c r="D254" s="25">
        <v>0.3</v>
      </c>
      <c r="E254" s="25">
        <f t="shared" si="6"/>
        <v>0</v>
      </c>
      <c r="F254" s="25"/>
      <c r="G254" s="25">
        <f t="shared" si="7"/>
        <v>0</v>
      </c>
      <c r="H254" s="34">
        <v>5520522</v>
      </c>
      <c r="I254" s="214" t="s">
        <v>586</v>
      </c>
      <c r="J254" s="216" t="s">
        <v>75</v>
      </c>
      <c r="K254" s="26" t="s">
        <v>76</v>
      </c>
      <c r="L254" s="22">
        <v>99589277</v>
      </c>
      <c r="M254" s="26"/>
    </row>
    <row r="255" spans="1:13" s="79" customFormat="1" x14ac:dyDescent="0.25">
      <c r="A255" s="22">
        <v>3829</v>
      </c>
      <c r="B255" s="23" t="s">
        <v>587</v>
      </c>
      <c r="C255" s="24">
        <v>127.5</v>
      </c>
      <c r="D255" s="25">
        <v>0.3</v>
      </c>
      <c r="E255" s="25">
        <f t="shared" si="6"/>
        <v>38.25</v>
      </c>
      <c r="F255" s="25"/>
      <c r="G255" s="25">
        <f t="shared" si="7"/>
        <v>38.25</v>
      </c>
      <c r="H255" s="34">
        <v>897384</v>
      </c>
      <c r="I255" s="214" t="s">
        <v>588</v>
      </c>
      <c r="J255" s="26" t="s">
        <v>17</v>
      </c>
      <c r="K255" s="26" t="s">
        <v>18</v>
      </c>
      <c r="L255" s="22"/>
      <c r="M255" s="26"/>
    </row>
    <row r="256" spans="1:13" s="79" customFormat="1" x14ac:dyDescent="0.25">
      <c r="A256" s="22">
        <v>3830</v>
      </c>
      <c r="B256" s="23" t="s">
        <v>589</v>
      </c>
      <c r="C256" s="29"/>
      <c r="D256" s="25">
        <v>0.3</v>
      </c>
      <c r="E256" s="25">
        <f t="shared" si="6"/>
        <v>0</v>
      </c>
      <c r="F256" s="25"/>
      <c r="G256" s="25">
        <f t="shared" si="7"/>
        <v>0</v>
      </c>
      <c r="H256" s="34">
        <v>2153706</v>
      </c>
      <c r="I256" s="214" t="s">
        <v>590</v>
      </c>
      <c r="J256" s="215" t="s">
        <v>25</v>
      </c>
      <c r="K256" s="214" t="s">
        <v>26</v>
      </c>
      <c r="L256" s="22">
        <v>92740607</v>
      </c>
      <c r="M256" s="26"/>
    </row>
    <row r="257" spans="1:13" s="79" customFormat="1" x14ac:dyDescent="0.25">
      <c r="A257" s="22">
        <v>3831</v>
      </c>
      <c r="B257" s="23" t="s">
        <v>591</v>
      </c>
      <c r="C257" s="29"/>
      <c r="D257" s="25">
        <v>0.3</v>
      </c>
      <c r="E257" s="25">
        <f t="shared" si="6"/>
        <v>0</v>
      </c>
      <c r="F257" s="25"/>
      <c r="G257" s="25">
        <f t="shared" si="7"/>
        <v>0</v>
      </c>
      <c r="H257" s="34">
        <v>873604</v>
      </c>
      <c r="I257" s="214" t="s">
        <v>592</v>
      </c>
      <c r="J257" s="26" t="s">
        <v>17</v>
      </c>
      <c r="K257" s="26" t="s">
        <v>18</v>
      </c>
      <c r="L257" s="22">
        <v>98145449</v>
      </c>
      <c r="M257" s="26"/>
    </row>
    <row r="258" spans="1:13" s="79" customFormat="1" x14ac:dyDescent="0.25">
      <c r="A258" s="22">
        <v>3832</v>
      </c>
      <c r="B258" s="23" t="s">
        <v>792</v>
      </c>
      <c r="C258" s="29"/>
      <c r="D258" s="25">
        <v>0.3</v>
      </c>
      <c r="E258" s="25">
        <f t="shared" si="6"/>
        <v>0</v>
      </c>
      <c r="F258" s="25"/>
      <c r="G258" s="25">
        <f t="shared" si="7"/>
        <v>0</v>
      </c>
      <c r="H258" s="34">
        <v>1985192</v>
      </c>
      <c r="I258" s="534" t="s">
        <v>840</v>
      </c>
      <c r="J258" s="535" t="s">
        <v>25</v>
      </c>
      <c r="K258" s="534" t="s">
        <v>26</v>
      </c>
      <c r="L258" s="22">
        <v>99695515</v>
      </c>
      <c r="M258" s="26"/>
    </row>
    <row r="259" spans="1:13" s="79" customFormat="1" x14ac:dyDescent="0.25">
      <c r="A259" s="22">
        <v>3833</v>
      </c>
      <c r="B259" s="23" t="s">
        <v>593</v>
      </c>
      <c r="C259" s="24">
        <v>166.3</v>
      </c>
      <c r="D259" s="25">
        <v>0.3</v>
      </c>
      <c r="E259" s="25">
        <f t="shared" si="6"/>
        <v>49.89</v>
      </c>
      <c r="F259" s="25"/>
      <c r="G259" s="25">
        <f t="shared" si="7"/>
        <v>49.89</v>
      </c>
      <c r="H259" s="34">
        <v>19179619</v>
      </c>
      <c r="I259" s="214" t="s">
        <v>594</v>
      </c>
      <c r="J259" s="26" t="s">
        <v>17</v>
      </c>
      <c r="K259" s="26" t="s">
        <v>18</v>
      </c>
      <c r="L259" s="22">
        <v>91133123</v>
      </c>
      <c r="M259" s="26"/>
    </row>
    <row r="260" spans="1:13" s="79" customFormat="1" x14ac:dyDescent="0.25">
      <c r="A260" s="22">
        <v>3834</v>
      </c>
      <c r="B260" s="23" t="s">
        <v>595</v>
      </c>
      <c r="C260" s="29"/>
      <c r="D260" s="25">
        <v>0.3</v>
      </c>
      <c r="E260" s="25">
        <f t="shared" ref="E260:E312" si="8">D260*C260</f>
        <v>0</v>
      </c>
      <c r="F260" s="25"/>
      <c r="G260" s="25">
        <f t="shared" si="7"/>
        <v>0</v>
      </c>
      <c r="H260" s="34">
        <v>5544756</v>
      </c>
      <c r="I260" s="214" t="s">
        <v>596</v>
      </c>
      <c r="J260" s="215" t="s">
        <v>25</v>
      </c>
      <c r="K260" s="214" t="s">
        <v>26</v>
      </c>
      <c r="L260" s="22">
        <v>92444788</v>
      </c>
      <c r="M260" s="26"/>
    </row>
    <row r="261" spans="1:13" s="79" customFormat="1" x14ac:dyDescent="0.25">
      <c r="A261" s="22">
        <v>3835</v>
      </c>
      <c r="B261" s="23" t="s">
        <v>598</v>
      </c>
      <c r="C261" s="24">
        <v>77</v>
      </c>
      <c r="D261" s="25">
        <v>0.3</v>
      </c>
      <c r="E261" s="25">
        <f t="shared" si="8"/>
        <v>23.099999999999998</v>
      </c>
      <c r="F261" s="25"/>
      <c r="G261" s="25">
        <f t="shared" ref="G261:G312" si="9">E261-F261</f>
        <v>23.099999999999998</v>
      </c>
      <c r="H261" s="34">
        <v>781845</v>
      </c>
      <c r="I261" s="214" t="s">
        <v>599</v>
      </c>
      <c r="J261" s="26" t="s">
        <v>17</v>
      </c>
      <c r="K261" s="26" t="s">
        <v>18</v>
      </c>
      <c r="L261" s="22">
        <v>99297720</v>
      </c>
      <c r="M261" s="26"/>
    </row>
    <row r="262" spans="1:13" s="79" customFormat="1" x14ac:dyDescent="0.25">
      <c r="A262" s="22">
        <v>3836</v>
      </c>
      <c r="B262" s="23" t="s">
        <v>600</v>
      </c>
      <c r="C262" s="29"/>
      <c r="D262" s="25">
        <v>0.3</v>
      </c>
      <c r="E262" s="25">
        <f t="shared" si="8"/>
        <v>0</v>
      </c>
      <c r="F262" s="25"/>
      <c r="G262" s="25">
        <f t="shared" si="9"/>
        <v>0</v>
      </c>
      <c r="H262" s="34">
        <v>20264434</v>
      </c>
      <c r="I262" s="214" t="s">
        <v>601</v>
      </c>
      <c r="J262" s="215" t="s">
        <v>25</v>
      </c>
      <c r="K262" s="214" t="s">
        <v>26</v>
      </c>
      <c r="L262" s="22"/>
      <c r="M262" s="26"/>
    </row>
    <row r="263" spans="1:13" s="79" customFormat="1" x14ac:dyDescent="0.25">
      <c r="A263" s="22">
        <v>3837</v>
      </c>
      <c r="B263" s="23" t="s">
        <v>602</v>
      </c>
      <c r="C263" s="24">
        <v>118</v>
      </c>
      <c r="D263" s="25">
        <v>0.3</v>
      </c>
      <c r="E263" s="25">
        <f t="shared" si="8"/>
        <v>35.4</v>
      </c>
      <c r="F263" s="25"/>
      <c r="G263" s="25">
        <f t="shared" si="9"/>
        <v>35.4</v>
      </c>
      <c r="H263" s="34">
        <v>1935947</v>
      </c>
      <c r="I263" s="214" t="s">
        <v>603</v>
      </c>
      <c r="J263" s="215" t="s">
        <v>25</v>
      </c>
      <c r="K263" s="214" t="s">
        <v>26</v>
      </c>
      <c r="L263" s="22">
        <v>99499566</v>
      </c>
      <c r="M263" s="26"/>
    </row>
    <row r="264" spans="1:13" s="79" customFormat="1" x14ac:dyDescent="0.25">
      <c r="A264" s="22">
        <v>3838</v>
      </c>
      <c r="B264" s="23" t="s">
        <v>604</v>
      </c>
      <c r="C264" s="29"/>
      <c r="D264" s="25">
        <v>0.3</v>
      </c>
      <c r="E264" s="25">
        <f t="shared" si="8"/>
        <v>0</v>
      </c>
      <c r="F264" s="25"/>
      <c r="G264" s="25">
        <f t="shared" si="9"/>
        <v>0</v>
      </c>
      <c r="H264" s="34">
        <v>18553115</v>
      </c>
      <c r="I264" s="214" t="s">
        <v>605</v>
      </c>
      <c r="J264" s="215" t="s">
        <v>25</v>
      </c>
      <c r="K264" s="214" t="s">
        <v>26</v>
      </c>
      <c r="L264" s="22"/>
      <c r="M264" s="26"/>
    </row>
    <row r="265" spans="1:13" s="79" customFormat="1" x14ac:dyDescent="0.25">
      <c r="A265" s="22">
        <v>3839</v>
      </c>
      <c r="B265" s="23" t="s">
        <v>606</v>
      </c>
      <c r="C265" s="29"/>
      <c r="D265" s="25">
        <v>0.3</v>
      </c>
      <c r="E265" s="25">
        <f t="shared" si="8"/>
        <v>0</v>
      </c>
      <c r="F265" s="25"/>
      <c r="G265" s="25">
        <f t="shared" si="9"/>
        <v>0</v>
      </c>
      <c r="H265" s="34">
        <v>22799311</v>
      </c>
      <c r="I265" s="214" t="s">
        <v>607</v>
      </c>
      <c r="J265" s="215" t="s">
        <v>25</v>
      </c>
      <c r="K265" s="214" t="s">
        <v>26</v>
      </c>
      <c r="L265" s="22"/>
      <c r="M265" s="26"/>
    </row>
    <row r="266" spans="1:13" s="79" customFormat="1" x14ac:dyDescent="0.25">
      <c r="A266" s="22">
        <v>3840</v>
      </c>
      <c r="B266" s="23" t="s">
        <v>608</v>
      </c>
      <c r="C266" s="29"/>
      <c r="D266" s="25">
        <v>0.3</v>
      </c>
      <c r="E266" s="25">
        <f t="shared" si="8"/>
        <v>0</v>
      </c>
      <c r="F266" s="25"/>
      <c r="G266" s="25">
        <f t="shared" si="9"/>
        <v>0</v>
      </c>
      <c r="H266" s="34">
        <v>19777334</v>
      </c>
      <c r="I266" s="214" t="s">
        <v>609</v>
      </c>
      <c r="J266" s="215" t="s">
        <v>25</v>
      </c>
      <c r="K266" s="214" t="s">
        <v>26</v>
      </c>
      <c r="L266" s="22"/>
      <c r="M266" s="26"/>
    </row>
    <row r="267" spans="1:13" s="79" customFormat="1" x14ac:dyDescent="0.25">
      <c r="A267" s="22">
        <v>3841</v>
      </c>
      <c r="B267" s="23" t="s">
        <v>610</v>
      </c>
      <c r="C267" s="29"/>
      <c r="D267" s="25">
        <v>0.3</v>
      </c>
      <c r="E267" s="25">
        <f t="shared" si="8"/>
        <v>0</v>
      </c>
      <c r="F267" s="25"/>
      <c r="G267" s="25">
        <f t="shared" si="9"/>
        <v>0</v>
      </c>
      <c r="H267" s="34">
        <v>2538202</v>
      </c>
      <c r="I267" s="214" t="s">
        <v>611</v>
      </c>
      <c r="J267" s="216" t="s">
        <v>75</v>
      </c>
      <c r="K267" s="26" t="s">
        <v>76</v>
      </c>
      <c r="L267" s="22">
        <v>92735668</v>
      </c>
      <c r="M267" s="26"/>
    </row>
    <row r="268" spans="1:13" s="79" customFormat="1" x14ac:dyDescent="0.25">
      <c r="A268" s="22">
        <v>3843</v>
      </c>
      <c r="B268" s="23" t="s">
        <v>612</v>
      </c>
      <c r="C268" s="29"/>
      <c r="D268" s="25">
        <v>0.3</v>
      </c>
      <c r="E268" s="25">
        <f t="shared" si="8"/>
        <v>0</v>
      </c>
      <c r="F268" s="25"/>
      <c r="G268" s="25">
        <f t="shared" si="9"/>
        <v>0</v>
      </c>
      <c r="H268" s="34">
        <v>19564247</v>
      </c>
      <c r="I268" s="214" t="s">
        <v>613</v>
      </c>
      <c r="J268" s="215" t="s">
        <v>25</v>
      </c>
      <c r="K268" s="214" t="s">
        <v>26</v>
      </c>
      <c r="L268" s="22"/>
      <c r="M268" s="26"/>
    </row>
    <row r="269" spans="1:13" s="79" customFormat="1" x14ac:dyDescent="0.25">
      <c r="A269" s="22">
        <v>3844</v>
      </c>
      <c r="B269" s="23" t="s">
        <v>614</v>
      </c>
      <c r="C269" s="29"/>
      <c r="D269" s="25">
        <v>0.3</v>
      </c>
      <c r="E269" s="25">
        <f t="shared" si="8"/>
        <v>0</v>
      </c>
      <c r="F269" s="25"/>
      <c r="G269" s="25">
        <f t="shared" si="9"/>
        <v>0</v>
      </c>
      <c r="H269" s="34">
        <v>1036602</v>
      </c>
      <c r="I269" s="214" t="s">
        <v>615</v>
      </c>
      <c r="J269" s="26" t="s">
        <v>43</v>
      </c>
      <c r="K269" s="214" t="s">
        <v>44</v>
      </c>
      <c r="L269" s="22">
        <v>98112999</v>
      </c>
      <c r="M269" s="26"/>
    </row>
    <row r="270" spans="1:13" s="79" customFormat="1" x14ac:dyDescent="0.25">
      <c r="A270" s="22">
        <v>3845</v>
      </c>
      <c r="B270" s="23" t="s">
        <v>616</v>
      </c>
      <c r="C270" s="29"/>
      <c r="D270" s="25">
        <v>0.3</v>
      </c>
      <c r="E270" s="25">
        <f t="shared" si="8"/>
        <v>0</v>
      </c>
      <c r="F270" s="25"/>
      <c r="G270" s="25">
        <f t="shared" si="9"/>
        <v>0</v>
      </c>
      <c r="H270" s="34">
        <v>1432563</v>
      </c>
      <c r="I270" s="214" t="s">
        <v>617</v>
      </c>
      <c r="J270" s="26" t="s">
        <v>17</v>
      </c>
      <c r="K270" s="26" t="s">
        <v>18</v>
      </c>
      <c r="L270" s="22"/>
      <c r="M270" s="26"/>
    </row>
    <row r="271" spans="1:13" s="79" customFormat="1" x14ac:dyDescent="0.25">
      <c r="A271" s="22">
        <v>3846</v>
      </c>
      <c r="B271" s="23" t="s">
        <v>618</v>
      </c>
      <c r="C271" s="24">
        <v>147.19999999999999</v>
      </c>
      <c r="D271" s="25">
        <v>0.3</v>
      </c>
      <c r="E271" s="25">
        <f t="shared" si="8"/>
        <v>44.16</v>
      </c>
      <c r="F271" s="25"/>
      <c r="G271" s="25">
        <f t="shared" si="9"/>
        <v>44.16</v>
      </c>
      <c r="H271" s="34">
        <v>8115103</v>
      </c>
      <c r="I271" s="214" t="s">
        <v>619</v>
      </c>
      <c r="J271" s="216" t="s">
        <v>75</v>
      </c>
      <c r="K271" s="26" t="s">
        <v>76</v>
      </c>
      <c r="L271" s="22">
        <v>99298488</v>
      </c>
      <c r="M271" s="26"/>
    </row>
    <row r="272" spans="1:13" s="79" customFormat="1" x14ac:dyDescent="0.25">
      <c r="A272" s="22">
        <v>3847</v>
      </c>
      <c r="B272" s="23" t="s">
        <v>620</v>
      </c>
      <c r="C272" s="29"/>
      <c r="D272" s="25">
        <v>0.3</v>
      </c>
      <c r="E272" s="25">
        <f t="shared" si="8"/>
        <v>0</v>
      </c>
      <c r="F272" s="25"/>
      <c r="G272" s="25">
        <f t="shared" si="9"/>
        <v>0</v>
      </c>
      <c r="H272" s="34">
        <v>238234</v>
      </c>
      <c r="I272" s="214" t="s">
        <v>621</v>
      </c>
      <c r="J272" s="215" t="s">
        <v>25</v>
      </c>
      <c r="K272" s="214" t="s">
        <v>26</v>
      </c>
      <c r="L272" s="22">
        <v>99495154</v>
      </c>
      <c r="M272" s="26"/>
    </row>
    <row r="273" spans="1:13" s="79" customFormat="1" x14ac:dyDescent="0.25">
      <c r="A273" s="22">
        <v>3848</v>
      </c>
      <c r="B273" s="23" t="s">
        <v>622</v>
      </c>
      <c r="C273" s="24">
        <v>460.6</v>
      </c>
      <c r="D273" s="25">
        <v>0.3</v>
      </c>
      <c r="E273" s="25">
        <f t="shared" si="8"/>
        <v>138.18</v>
      </c>
      <c r="F273" s="25"/>
      <c r="G273" s="25">
        <f t="shared" si="9"/>
        <v>138.18</v>
      </c>
      <c r="H273" s="34">
        <v>19231852</v>
      </c>
      <c r="I273" s="214" t="s">
        <v>623</v>
      </c>
      <c r="J273" s="26" t="s">
        <v>43</v>
      </c>
      <c r="K273" s="214" t="s">
        <v>44</v>
      </c>
      <c r="L273" s="22">
        <v>92341000</v>
      </c>
      <c r="M273" s="26"/>
    </row>
    <row r="274" spans="1:13" s="79" customFormat="1" x14ac:dyDescent="0.25">
      <c r="A274" s="22">
        <v>3849</v>
      </c>
      <c r="B274" s="23" t="s">
        <v>624</v>
      </c>
      <c r="C274" s="24">
        <v>176.7</v>
      </c>
      <c r="D274" s="25">
        <v>0.3</v>
      </c>
      <c r="E274" s="25">
        <f t="shared" si="8"/>
        <v>53.01</v>
      </c>
      <c r="F274" s="25"/>
      <c r="G274" s="25">
        <f t="shared" si="9"/>
        <v>53.01</v>
      </c>
      <c r="H274" s="470">
        <v>18693727</v>
      </c>
      <c r="I274" s="487" t="s">
        <v>625</v>
      </c>
      <c r="J274" s="26" t="s">
        <v>17</v>
      </c>
      <c r="K274" s="26" t="s">
        <v>18</v>
      </c>
      <c r="L274" s="22">
        <v>93264185</v>
      </c>
      <c r="M274" s="26"/>
    </row>
    <row r="275" spans="1:13" s="79" customFormat="1" x14ac:dyDescent="0.25">
      <c r="A275" s="22">
        <v>3850</v>
      </c>
      <c r="B275" s="23" t="s">
        <v>626</v>
      </c>
      <c r="C275" s="24">
        <v>100</v>
      </c>
      <c r="D275" s="25">
        <v>0.3</v>
      </c>
      <c r="E275" s="25">
        <f t="shared" si="8"/>
        <v>30</v>
      </c>
      <c r="F275" s="25"/>
      <c r="G275" s="25">
        <f t="shared" si="9"/>
        <v>30</v>
      </c>
      <c r="H275" s="34">
        <v>5742985</v>
      </c>
      <c r="I275" s="214" t="s">
        <v>627</v>
      </c>
      <c r="J275" s="215" t="s">
        <v>25</v>
      </c>
      <c r="K275" s="214" t="s">
        <v>26</v>
      </c>
      <c r="L275" s="22">
        <v>93693543</v>
      </c>
      <c r="M275" s="26"/>
    </row>
    <row r="276" spans="1:13" s="79" customFormat="1" x14ac:dyDescent="0.25">
      <c r="A276" s="22">
        <v>3851</v>
      </c>
      <c r="B276" s="23" t="s">
        <v>629</v>
      </c>
      <c r="C276" s="29"/>
      <c r="D276" s="25">
        <v>0.3</v>
      </c>
      <c r="E276" s="25">
        <f t="shared" si="8"/>
        <v>0</v>
      </c>
      <c r="F276" s="25"/>
      <c r="G276" s="25">
        <f t="shared" si="9"/>
        <v>0</v>
      </c>
      <c r="H276" s="34">
        <v>22766611</v>
      </c>
      <c r="I276" s="214" t="s">
        <v>630</v>
      </c>
      <c r="J276" s="214" t="s">
        <v>257</v>
      </c>
      <c r="K276" s="214" t="s">
        <v>258</v>
      </c>
      <c r="L276" s="22">
        <v>92688007</v>
      </c>
      <c r="M276" s="26"/>
    </row>
    <row r="277" spans="1:13" s="79" customFormat="1" x14ac:dyDescent="0.25">
      <c r="A277" s="22">
        <v>3852</v>
      </c>
      <c r="B277" s="23" t="s">
        <v>631</v>
      </c>
      <c r="C277" s="24">
        <v>58.1</v>
      </c>
      <c r="D277" s="25">
        <v>0.3</v>
      </c>
      <c r="E277" s="25">
        <f t="shared" si="8"/>
        <v>17.43</v>
      </c>
      <c r="F277" s="25"/>
      <c r="G277" s="25">
        <f t="shared" si="9"/>
        <v>17.43</v>
      </c>
      <c r="H277" s="34">
        <v>8827979</v>
      </c>
      <c r="I277" s="214" t="s">
        <v>632</v>
      </c>
      <c r="J277" s="215" t="s">
        <v>25</v>
      </c>
      <c r="K277" s="214" t="s">
        <v>26</v>
      </c>
      <c r="L277" s="22">
        <v>92698971</v>
      </c>
      <c r="M277" s="26"/>
    </row>
    <row r="278" spans="1:13" s="79" customFormat="1" x14ac:dyDescent="0.25">
      <c r="A278" s="140">
        <v>3853</v>
      </c>
      <c r="B278" s="23" t="s">
        <v>633</v>
      </c>
      <c r="C278" s="29"/>
      <c r="D278" s="25">
        <v>0.3</v>
      </c>
      <c r="E278" s="25">
        <f t="shared" si="8"/>
        <v>0</v>
      </c>
      <c r="F278" s="25"/>
      <c r="G278" s="25">
        <f t="shared" si="9"/>
        <v>0</v>
      </c>
      <c r="H278" s="34">
        <v>5857446</v>
      </c>
      <c r="I278" s="214" t="s">
        <v>634</v>
      </c>
      <c r="J278" s="215" t="s">
        <v>25</v>
      </c>
      <c r="K278" s="214" t="s">
        <v>26</v>
      </c>
      <c r="L278" s="22">
        <v>97799611</v>
      </c>
      <c r="M278" s="26"/>
    </row>
    <row r="279" spans="1:13" s="79" customFormat="1" x14ac:dyDescent="0.25">
      <c r="A279" s="22">
        <v>3854</v>
      </c>
      <c r="B279" s="23" t="s">
        <v>635</v>
      </c>
      <c r="C279" s="24">
        <v>129.1</v>
      </c>
      <c r="D279" s="25">
        <v>0.3</v>
      </c>
      <c r="E279" s="25">
        <f t="shared" si="8"/>
        <v>38.729999999999997</v>
      </c>
      <c r="F279" s="25"/>
      <c r="G279" s="25">
        <f t="shared" si="9"/>
        <v>38.729999999999997</v>
      </c>
      <c r="H279" s="34">
        <v>1085838</v>
      </c>
      <c r="I279" s="214" t="s">
        <v>636</v>
      </c>
      <c r="J279" s="214" t="s">
        <v>166</v>
      </c>
      <c r="K279" s="26" t="s">
        <v>129</v>
      </c>
      <c r="L279" s="22">
        <v>92928848</v>
      </c>
      <c r="M279" s="26"/>
    </row>
    <row r="280" spans="1:13" s="79" customFormat="1" x14ac:dyDescent="0.25">
      <c r="A280" s="22">
        <v>3855</v>
      </c>
      <c r="B280" s="23" t="s">
        <v>637</v>
      </c>
      <c r="C280" s="24">
        <v>51.6</v>
      </c>
      <c r="D280" s="25">
        <v>0.3</v>
      </c>
      <c r="E280" s="25">
        <f t="shared" si="8"/>
        <v>15.48</v>
      </c>
      <c r="F280" s="25"/>
      <c r="G280" s="25">
        <f t="shared" si="9"/>
        <v>15.48</v>
      </c>
      <c r="H280" s="34">
        <v>4948259</v>
      </c>
      <c r="I280" s="214" t="s">
        <v>638</v>
      </c>
      <c r="J280" s="215" t="s">
        <v>25</v>
      </c>
      <c r="K280" s="214" t="s">
        <v>26</v>
      </c>
      <c r="L280" s="22">
        <v>98252880</v>
      </c>
      <c r="M280" s="26"/>
    </row>
    <row r="281" spans="1:13" s="79" customFormat="1" x14ac:dyDescent="0.25">
      <c r="A281" s="22">
        <v>3856</v>
      </c>
      <c r="B281" s="23" t="s">
        <v>639</v>
      </c>
      <c r="C281" s="29"/>
      <c r="D281" s="25">
        <v>0.3</v>
      </c>
      <c r="E281" s="25">
        <f t="shared" si="8"/>
        <v>0</v>
      </c>
      <c r="F281" s="25"/>
      <c r="G281" s="25">
        <f t="shared" si="9"/>
        <v>0</v>
      </c>
      <c r="H281" s="34">
        <v>15097631</v>
      </c>
      <c r="I281" s="214" t="s">
        <v>640</v>
      </c>
      <c r="J281" s="215" t="s">
        <v>25</v>
      </c>
      <c r="K281" s="214" t="s">
        <v>26</v>
      </c>
      <c r="L281" s="22">
        <v>93262015</v>
      </c>
      <c r="M281" s="26"/>
    </row>
    <row r="282" spans="1:13" s="79" customFormat="1" x14ac:dyDescent="0.25">
      <c r="A282" s="22">
        <v>3857</v>
      </c>
      <c r="B282" s="23" t="s">
        <v>36</v>
      </c>
      <c r="C282" s="29"/>
      <c r="D282" s="25">
        <v>0.3</v>
      </c>
      <c r="E282" s="25">
        <f t="shared" si="8"/>
        <v>0</v>
      </c>
      <c r="F282" s="25"/>
      <c r="G282" s="25">
        <f t="shared" si="9"/>
        <v>0</v>
      </c>
      <c r="H282" s="34">
        <v>28903474</v>
      </c>
      <c r="I282" s="214" t="s">
        <v>37</v>
      </c>
      <c r="J282" s="26" t="s">
        <v>17</v>
      </c>
      <c r="K282" s="26" t="s">
        <v>18</v>
      </c>
      <c r="L282" s="22">
        <v>77588901</v>
      </c>
      <c r="M282" s="26"/>
    </row>
    <row r="283" spans="1:13" s="79" customFormat="1" x14ac:dyDescent="0.25">
      <c r="A283" s="22">
        <v>3858</v>
      </c>
      <c r="B283" s="23" t="s">
        <v>641</v>
      </c>
      <c r="C283" s="24">
        <v>108.3</v>
      </c>
      <c r="D283" s="25">
        <v>0.3</v>
      </c>
      <c r="E283" s="25">
        <f t="shared" si="8"/>
        <v>32.489999999999995</v>
      </c>
      <c r="F283" s="25"/>
      <c r="G283" s="25">
        <f t="shared" si="9"/>
        <v>32.489999999999995</v>
      </c>
      <c r="H283" s="34">
        <v>18451569</v>
      </c>
      <c r="I283" s="214" t="s">
        <v>642</v>
      </c>
      <c r="J283" s="215" t="s">
        <v>25</v>
      </c>
      <c r="K283" s="214" t="s">
        <v>26</v>
      </c>
      <c r="L283" s="22">
        <v>99298699</v>
      </c>
      <c r="M283" s="26"/>
    </row>
    <row r="284" spans="1:13" s="79" customFormat="1" x14ac:dyDescent="0.25">
      <c r="A284" s="22">
        <v>3859</v>
      </c>
      <c r="B284" s="23" t="s">
        <v>442</v>
      </c>
      <c r="C284" s="29"/>
      <c r="D284" s="25">
        <v>0.3</v>
      </c>
      <c r="E284" s="25">
        <f t="shared" si="8"/>
        <v>0</v>
      </c>
      <c r="F284" s="25"/>
      <c r="G284" s="25">
        <f t="shared" si="9"/>
        <v>0</v>
      </c>
      <c r="H284" s="34">
        <v>6038764</v>
      </c>
      <c r="I284" s="214" t="s">
        <v>643</v>
      </c>
      <c r="J284" s="26" t="s">
        <v>17</v>
      </c>
      <c r="K284" s="26" t="s">
        <v>18</v>
      </c>
      <c r="L284" s="22">
        <v>98525646</v>
      </c>
      <c r="M284" s="26"/>
    </row>
    <row r="285" spans="1:13" s="79" customFormat="1" x14ac:dyDescent="0.25">
      <c r="A285" s="22">
        <v>3860</v>
      </c>
      <c r="B285" s="23" t="s">
        <v>644</v>
      </c>
      <c r="C285" s="29"/>
      <c r="D285" s="25">
        <v>0.3</v>
      </c>
      <c r="E285" s="25">
        <f t="shared" si="8"/>
        <v>0</v>
      </c>
      <c r="F285" s="25"/>
      <c r="G285" s="25">
        <f t="shared" si="9"/>
        <v>0</v>
      </c>
      <c r="H285" s="34">
        <v>6132261</v>
      </c>
      <c r="I285" s="214" t="s">
        <v>916</v>
      </c>
      <c r="J285" s="215" t="s">
        <v>25</v>
      </c>
      <c r="K285" s="214" t="s">
        <v>26</v>
      </c>
      <c r="L285" s="22">
        <v>92527857</v>
      </c>
      <c r="M285" s="26"/>
    </row>
    <row r="286" spans="1:13" s="79" customFormat="1" x14ac:dyDescent="0.25">
      <c r="A286" s="22">
        <v>3861</v>
      </c>
      <c r="B286" s="23" t="s">
        <v>646</v>
      </c>
      <c r="C286" s="24">
        <v>46.6</v>
      </c>
      <c r="D286" s="25">
        <v>0.3</v>
      </c>
      <c r="E286" s="25">
        <f t="shared" si="8"/>
        <v>13.98</v>
      </c>
      <c r="F286" s="25"/>
      <c r="G286" s="25">
        <f t="shared" si="9"/>
        <v>13.98</v>
      </c>
      <c r="H286" s="34">
        <v>14330506</v>
      </c>
      <c r="I286" s="214" t="s">
        <v>647</v>
      </c>
      <c r="J286" s="26" t="s">
        <v>17</v>
      </c>
      <c r="K286" s="26" t="s">
        <v>18</v>
      </c>
      <c r="L286" s="22">
        <v>98187484</v>
      </c>
      <c r="M286" s="26"/>
    </row>
    <row r="287" spans="1:13" s="79" customFormat="1" x14ac:dyDescent="0.25">
      <c r="A287" s="22">
        <v>3862</v>
      </c>
      <c r="B287" s="23" t="s">
        <v>648</v>
      </c>
      <c r="C287" s="29"/>
      <c r="D287" s="25">
        <v>0.3</v>
      </c>
      <c r="E287" s="25">
        <f t="shared" si="8"/>
        <v>0</v>
      </c>
      <c r="F287" s="25"/>
      <c r="G287" s="25">
        <f t="shared" si="9"/>
        <v>0</v>
      </c>
      <c r="H287" s="34">
        <v>5892019</v>
      </c>
      <c r="I287" s="214" t="s">
        <v>649</v>
      </c>
      <c r="J287" s="215" t="s">
        <v>25</v>
      </c>
      <c r="K287" s="214" t="s">
        <v>26</v>
      </c>
      <c r="L287" s="22"/>
      <c r="M287" s="26"/>
    </row>
    <row r="288" spans="1:13" s="79" customFormat="1" x14ac:dyDescent="0.25">
      <c r="A288" s="22">
        <v>3863</v>
      </c>
      <c r="B288" s="23" t="s">
        <v>650</v>
      </c>
      <c r="C288" s="29"/>
      <c r="D288" s="25">
        <v>0.3</v>
      </c>
      <c r="E288" s="25">
        <f t="shared" si="8"/>
        <v>0</v>
      </c>
      <c r="F288" s="25"/>
      <c r="G288" s="25">
        <f t="shared" si="9"/>
        <v>0</v>
      </c>
      <c r="H288" s="34">
        <v>10772417</v>
      </c>
      <c r="I288" s="214" t="s">
        <v>651</v>
      </c>
      <c r="J288" s="215" t="s">
        <v>25</v>
      </c>
      <c r="K288" s="214" t="s">
        <v>26</v>
      </c>
      <c r="L288" s="22"/>
      <c r="M288" s="26"/>
    </row>
    <row r="289" spans="1:13" s="79" customFormat="1" x14ac:dyDescent="0.25">
      <c r="A289" s="22">
        <v>3864</v>
      </c>
      <c r="B289" s="23" t="s">
        <v>652</v>
      </c>
      <c r="C289" s="29"/>
      <c r="D289" s="25">
        <v>0.3</v>
      </c>
      <c r="E289" s="25">
        <f t="shared" si="8"/>
        <v>0</v>
      </c>
      <c r="F289" s="25"/>
      <c r="G289" s="25">
        <f t="shared" si="9"/>
        <v>0</v>
      </c>
      <c r="H289" s="34">
        <v>6493803</v>
      </c>
      <c r="I289" s="214" t="s">
        <v>653</v>
      </c>
      <c r="J289" s="26" t="s">
        <v>17</v>
      </c>
      <c r="K289" s="26" t="s">
        <v>18</v>
      </c>
      <c r="L289" s="22">
        <v>99810408</v>
      </c>
      <c r="M289" s="26"/>
    </row>
    <row r="290" spans="1:13" s="79" customFormat="1" x14ac:dyDescent="0.25">
      <c r="A290" s="22">
        <v>3865</v>
      </c>
      <c r="B290" s="23" t="s">
        <v>654</v>
      </c>
      <c r="C290" s="29"/>
      <c r="D290" s="25">
        <v>0.3</v>
      </c>
      <c r="E290" s="25">
        <f t="shared" si="8"/>
        <v>0</v>
      </c>
      <c r="F290" s="25"/>
      <c r="G290" s="25">
        <f t="shared" si="9"/>
        <v>0</v>
      </c>
      <c r="H290" s="34">
        <v>15219317</v>
      </c>
      <c r="I290" s="214" t="s">
        <v>655</v>
      </c>
      <c r="J290" s="215" t="s">
        <v>25</v>
      </c>
      <c r="K290" s="214" t="s">
        <v>26</v>
      </c>
      <c r="L290" s="22"/>
      <c r="M290" s="26"/>
    </row>
    <row r="291" spans="1:13" s="79" customFormat="1" x14ac:dyDescent="0.25">
      <c r="A291" s="22">
        <v>3866</v>
      </c>
      <c r="B291" s="23" t="s">
        <v>656</v>
      </c>
      <c r="C291" s="29"/>
      <c r="D291" s="25">
        <v>0.3</v>
      </c>
      <c r="E291" s="25">
        <f t="shared" si="8"/>
        <v>0</v>
      </c>
      <c r="F291" s="25"/>
      <c r="G291" s="25">
        <f t="shared" si="9"/>
        <v>0</v>
      </c>
      <c r="H291" s="34">
        <v>11772662</v>
      </c>
      <c r="I291" s="214" t="s">
        <v>657</v>
      </c>
      <c r="J291" s="215" t="s">
        <v>25</v>
      </c>
      <c r="K291" s="214" t="s">
        <v>26</v>
      </c>
      <c r="L291" s="22"/>
      <c r="M291" s="26"/>
    </row>
    <row r="292" spans="1:13" s="79" customFormat="1" x14ac:dyDescent="0.25">
      <c r="A292" s="22">
        <v>3867</v>
      </c>
      <c r="B292" s="23" t="s">
        <v>658</v>
      </c>
      <c r="C292" s="29"/>
      <c r="D292" s="25">
        <v>0.3</v>
      </c>
      <c r="E292" s="25">
        <f t="shared" si="8"/>
        <v>0</v>
      </c>
      <c r="F292" s="25"/>
      <c r="G292" s="25">
        <f t="shared" si="9"/>
        <v>0</v>
      </c>
      <c r="H292" s="34">
        <v>18189491</v>
      </c>
      <c r="I292" s="214" t="s">
        <v>659</v>
      </c>
      <c r="J292" s="215" t="s">
        <v>25</v>
      </c>
      <c r="K292" s="214" t="s">
        <v>26</v>
      </c>
      <c r="L292" s="22">
        <v>92236482</v>
      </c>
      <c r="M292" s="26"/>
    </row>
    <row r="293" spans="1:13" s="79" customFormat="1" x14ac:dyDescent="0.25">
      <c r="A293" s="22">
        <v>3868</v>
      </c>
      <c r="B293" s="23" t="s">
        <v>660</v>
      </c>
      <c r="C293" s="24">
        <v>97.5</v>
      </c>
      <c r="D293" s="25">
        <v>0.3</v>
      </c>
      <c r="E293" s="25">
        <f t="shared" si="8"/>
        <v>29.25</v>
      </c>
      <c r="F293" s="25"/>
      <c r="G293" s="25">
        <f t="shared" si="9"/>
        <v>29.25</v>
      </c>
      <c r="H293" s="34">
        <v>23619706</v>
      </c>
      <c r="I293" s="214" t="s">
        <v>661</v>
      </c>
      <c r="J293" s="215" t="s">
        <v>25</v>
      </c>
      <c r="K293" s="214" t="s">
        <v>26</v>
      </c>
      <c r="L293" s="22">
        <v>93392527</v>
      </c>
      <c r="M293" s="26"/>
    </row>
    <row r="294" spans="1:13" s="79" customFormat="1" x14ac:dyDescent="0.25">
      <c r="A294" s="22">
        <v>3869</v>
      </c>
      <c r="B294" s="23" t="s">
        <v>662</v>
      </c>
      <c r="C294" s="24">
        <v>99.3</v>
      </c>
      <c r="D294" s="25">
        <v>0.3</v>
      </c>
      <c r="E294" s="25">
        <f t="shared" si="8"/>
        <v>29.79</v>
      </c>
      <c r="F294" s="25"/>
      <c r="G294" s="25">
        <f t="shared" si="9"/>
        <v>29.79</v>
      </c>
      <c r="H294" s="34">
        <v>1265569</v>
      </c>
      <c r="I294" s="214" t="s">
        <v>663</v>
      </c>
      <c r="J294" s="215" t="s">
        <v>25</v>
      </c>
      <c r="K294" s="214" t="s">
        <v>26</v>
      </c>
      <c r="L294" s="22">
        <v>93392527</v>
      </c>
      <c r="M294" s="26"/>
    </row>
    <row r="295" spans="1:13" s="79" customFormat="1" x14ac:dyDescent="0.25">
      <c r="A295" s="22">
        <v>3870</v>
      </c>
      <c r="B295" s="23" t="s">
        <v>664</v>
      </c>
      <c r="C295" s="29"/>
      <c r="D295" s="25">
        <v>0.3</v>
      </c>
      <c r="E295" s="25">
        <f t="shared" si="8"/>
        <v>0</v>
      </c>
      <c r="F295" s="25"/>
      <c r="G295" s="25">
        <f t="shared" si="9"/>
        <v>0</v>
      </c>
      <c r="H295" s="34">
        <v>7138058</v>
      </c>
      <c r="I295" s="214" t="s">
        <v>665</v>
      </c>
      <c r="J295" s="26" t="s">
        <v>17</v>
      </c>
      <c r="K295" s="26" t="s">
        <v>18</v>
      </c>
      <c r="L295" s="22">
        <v>98187475</v>
      </c>
      <c r="M295" s="26"/>
    </row>
    <row r="296" spans="1:13" s="79" customFormat="1" x14ac:dyDescent="0.25">
      <c r="A296" s="22">
        <v>3871</v>
      </c>
      <c r="B296" s="23" t="s">
        <v>38</v>
      </c>
      <c r="C296" s="29"/>
      <c r="D296" s="25">
        <v>0.3</v>
      </c>
      <c r="E296" s="25">
        <f t="shared" si="8"/>
        <v>0</v>
      </c>
      <c r="F296" s="25"/>
      <c r="G296" s="25">
        <f t="shared" si="9"/>
        <v>0</v>
      </c>
      <c r="H296" s="34">
        <v>6920684</v>
      </c>
      <c r="I296" s="214" t="s">
        <v>39</v>
      </c>
      <c r="J296" s="26" t="s">
        <v>17</v>
      </c>
      <c r="K296" s="26" t="s">
        <v>18</v>
      </c>
      <c r="L296" s="22"/>
      <c r="M296" s="26"/>
    </row>
    <row r="297" spans="1:13" s="79" customFormat="1" x14ac:dyDescent="0.25">
      <c r="A297" s="22">
        <v>3872</v>
      </c>
      <c r="B297" s="23" t="s">
        <v>666</v>
      </c>
      <c r="C297" s="29"/>
      <c r="D297" s="25">
        <v>0.3</v>
      </c>
      <c r="E297" s="25">
        <f t="shared" si="8"/>
        <v>0</v>
      </c>
      <c r="F297" s="25"/>
      <c r="G297" s="25">
        <f t="shared" si="9"/>
        <v>0</v>
      </c>
      <c r="H297" s="34">
        <v>5546892</v>
      </c>
      <c r="I297" s="214" t="s">
        <v>667</v>
      </c>
      <c r="J297" s="26" t="s">
        <v>17</v>
      </c>
      <c r="K297" s="26" t="s">
        <v>18</v>
      </c>
      <c r="L297" s="22">
        <v>93117757</v>
      </c>
      <c r="M297" s="26"/>
    </row>
    <row r="298" spans="1:13" s="79" customFormat="1" x14ac:dyDescent="0.25">
      <c r="A298" s="22">
        <v>3873</v>
      </c>
      <c r="B298" s="23" t="s">
        <v>668</v>
      </c>
      <c r="C298" s="24">
        <v>55.4</v>
      </c>
      <c r="D298" s="25">
        <v>0.3</v>
      </c>
      <c r="E298" s="25">
        <f t="shared" si="8"/>
        <v>16.619999999999997</v>
      </c>
      <c r="F298" s="25"/>
      <c r="G298" s="25">
        <f t="shared" si="9"/>
        <v>16.619999999999997</v>
      </c>
      <c r="H298" s="34">
        <v>6560744</v>
      </c>
      <c r="I298" s="214" t="s">
        <v>669</v>
      </c>
      <c r="J298" s="215" t="s">
        <v>25</v>
      </c>
      <c r="K298" s="214" t="s">
        <v>26</v>
      </c>
      <c r="L298" s="22">
        <v>99291997</v>
      </c>
      <c r="M298" s="26"/>
    </row>
    <row r="299" spans="1:13" s="79" customFormat="1" x14ac:dyDescent="0.25">
      <c r="A299" s="22">
        <v>3874</v>
      </c>
      <c r="B299" s="23" t="s">
        <v>670</v>
      </c>
      <c r="C299" s="29"/>
      <c r="D299" s="25">
        <v>0.3</v>
      </c>
      <c r="E299" s="25">
        <f t="shared" si="8"/>
        <v>0</v>
      </c>
      <c r="F299" s="25"/>
      <c r="G299" s="25">
        <f t="shared" si="9"/>
        <v>0</v>
      </c>
      <c r="H299" s="34">
        <v>8105354</v>
      </c>
      <c r="I299" s="214" t="s">
        <v>671</v>
      </c>
      <c r="J299" s="215" t="s">
        <v>25</v>
      </c>
      <c r="K299" s="214" t="s">
        <v>26</v>
      </c>
      <c r="L299" s="22">
        <v>96249000</v>
      </c>
      <c r="M299" s="26"/>
    </row>
    <row r="300" spans="1:13" s="79" customFormat="1" x14ac:dyDescent="0.25">
      <c r="A300" s="22">
        <v>3875</v>
      </c>
      <c r="B300" s="23" t="s">
        <v>672</v>
      </c>
      <c r="C300" s="29"/>
      <c r="D300" s="25">
        <v>0.3</v>
      </c>
      <c r="E300" s="25">
        <f t="shared" si="8"/>
        <v>0</v>
      </c>
      <c r="F300" s="25"/>
      <c r="G300" s="25">
        <f t="shared" si="9"/>
        <v>0</v>
      </c>
      <c r="H300" s="34">
        <v>1345289</v>
      </c>
      <c r="I300" s="214" t="s">
        <v>673</v>
      </c>
      <c r="J300" s="215" t="s">
        <v>25</v>
      </c>
      <c r="K300" s="214" t="s">
        <v>26</v>
      </c>
      <c r="L300" s="22">
        <v>99495936</v>
      </c>
      <c r="M300" s="26"/>
    </row>
    <row r="301" spans="1:13" s="79" customFormat="1" x14ac:dyDescent="0.25">
      <c r="A301" s="22">
        <v>3876</v>
      </c>
      <c r="B301" s="23" t="s">
        <v>674</v>
      </c>
      <c r="C301" s="29"/>
      <c r="D301" s="25">
        <v>0.3</v>
      </c>
      <c r="E301" s="25">
        <f t="shared" si="8"/>
        <v>0</v>
      </c>
      <c r="F301" s="25"/>
      <c r="G301" s="25">
        <f t="shared" si="9"/>
        <v>0</v>
      </c>
      <c r="H301" s="34">
        <v>4767948</v>
      </c>
      <c r="I301" s="214" t="s">
        <v>675</v>
      </c>
      <c r="J301" s="26" t="s">
        <v>17</v>
      </c>
      <c r="K301" s="26" t="s">
        <v>18</v>
      </c>
      <c r="L301" s="22"/>
      <c r="M301" s="26"/>
    </row>
    <row r="302" spans="1:13" s="79" customFormat="1" x14ac:dyDescent="0.25">
      <c r="A302" s="22">
        <v>3877</v>
      </c>
      <c r="B302" s="23" t="s">
        <v>41</v>
      </c>
      <c r="C302" s="24">
        <v>178.3</v>
      </c>
      <c r="D302" s="25">
        <v>0.3</v>
      </c>
      <c r="E302" s="25">
        <f t="shared" si="8"/>
        <v>53.49</v>
      </c>
      <c r="F302" s="25"/>
      <c r="G302" s="25">
        <f t="shared" si="9"/>
        <v>53.49</v>
      </c>
      <c r="H302" s="34">
        <v>14897254</v>
      </c>
      <c r="I302" s="214" t="s">
        <v>42</v>
      </c>
      <c r="J302" s="26" t="s">
        <v>43</v>
      </c>
      <c r="K302" s="214" t="s">
        <v>44</v>
      </c>
      <c r="L302" s="22">
        <v>92226297</v>
      </c>
      <c r="M302" s="26"/>
    </row>
    <row r="303" spans="1:13" s="79" customFormat="1" x14ac:dyDescent="0.25">
      <c r="A303" s="22">
        <v>3878</v>
      </c>
      <c r="B303" s="23" t="s">
        <v>676</v>
      </c>
      <c r="C303" s="29"/>
      <c r="D303" s="25">
        <v>0.3</v>
      </c>
      <c r="E303" s="25">
        <f t="shared" si="8"/>
        <v>0</v>
      </c>
      <c r="F303" s="25"/>
      <c r="G303" s="25">
        <f t="shared" si="9"/>
        <v>0</v>
      </c>
      <c r="H303" s="34">
        <v>22687078</v>
      </c>
      <c r="I303" s="214" t="s">
        <v>677</v>
      </c>
      <c r="J303" s="216" t="s">
        <v>75</v>
      </c>
      <c r="K303" s="26" t="s">
        <v>76</v>
      </c>
      <c r="L303" s="22">
        <v>92338070</v>
      </c>
      <c r="M303" s="26"/>
    </row>
    <row r="304" spans="1:13" s="79" customFormat="1" x14ac:dyDescent="0.25">
      <c r="A304" s="22">
        <v>3879</v>
      </c>
      <c r="B304" s="23" t="s">
        <v>678</v>
      </c>
      <c r="C304" s="29"/>
      <c r="D304" s="25">
        <v>0.3</v>
      </c>
      <c r="E304" s="25">
        <f t="shared" si="8"/>
        <v>0</v>
      </c>
      <c r="F304" s="25"/>
      <c r="G304" s="25">
        <f t="shared" si="9"/>
        <v>0</v>
      </c>
      <c r="H304" s="34">
        <v>23178497</v>
      </c>
      <c r="I304" s="214" t="s">
        <v>679</v>
      </c>
      <c r="J304" s="215" t="s">
        <v>25</v>
      </c>
      <c r="K304" s="214" t="s">
        <v>26</v>
      </c>
      <c r="L304" s="22"/>
      <c r="M304" s="26"/>
    </row>
    <row r="305" spans="1:13" s="79" customFormat="1" x14ac:dyDescent="0.25">
      <c r="A305" s="22">
        <v>3880</v>
      </c>
      <c r="B305" s="23" t="s">
        <v>680</v>
      </c>
      <c r="C305" s="29"/>
      <c r="D305" s="25">
        <v>0.3</v>
      </c>
      <c r="E305" s="25">
        <f t="shared" si="8"/>
        <v>0</v>
      </c>
      <c r="F305" s="25"/>
      <c r="G305" s="25">
        <f t="shared" si="9"/>
        <v>0</v>
      </c>
      <c r="H305" s="34">
        <v>6370697</v>
      </c>
      <c r="I305" s="214" t="s">
        <v>681</v>
      </c>
      <c r="J305" s="215" t="s">
        <v>25</v>
      </c>
      <c r="K305" s="214" t="s">
        <v>26</v>
      </c>
      <c r="L305" s="22">
        <v>99239896</v>
      </c>
      <c r="M305" s="26"/>
    </row>
    <row r="306" spans="1:13" s="79" customFormat="1" x14ac:dyDescent="0.25">
      <c r="A306" s="22">
        <v>3882</v>
      </c>
      <c r="B306" s="23" t="s">
        <v>684</v>
      </c>
      <c r="C306" s="24">
        <v>65.3</v>
      </c>
      <c r="D306" s="25">
        <v>0.3</v>
      </c>
      <c r="E306" s="25">
        <f t="shared" si="8"/>
        <v>19.59</v>
      </c>
      <c r="F306" s="25"/>
      <c r="G306" s="25">
        <f t="shared" si="9"/>
        <v>19.59</v>
      </c>
      <c r="H306" s="34">
        <v>26752992</v>
      </c>
      <c r="I306" s="214" t="s">
        <v>685</v>
      </c>
      <c r="J306" s="215" t="s">
        <v>210</v>
      </c>
      <c r="K306" s="214" t="s">
        <v>211</v>
      </c>
      <c r="L306" s="22"/>
      <c r="M306" s="26"/>
    </row>
    <row r="307" spans="1:13" s="79" customFormat="1" x14ac:dyDescent="0.25">
      <c r="A307" s="22">
        <v>3884</v>
      </c>
      <c r="B307" s="23" t="s">
        <v>688</v>
      </c>
      <c r="C307" s="29"/>
      <c r="D307" s="25">
        <v>0.3</v>
      </c>
      <c r="E307" s="25">
        <f t="shared" si="8"/>
        <v>0</v>
      </c>
      <c r="F307" s="25"/>
      <c r="G307" s="25">
        <f t="shared" si="9"/>
        <v>0</v>
      </c>
      <c r="H307" s="34">
        <v>22716378</v>
      </c>
      <c r="I307" s="214" t="s">
        <v>689</v>
      </c>
      <c r="J307" s="215" t="s">
        <v>25</v>
      </c>
      <c r="K307" s="214" t="s">
        <v>26</v>
      </c>
      <c r="L307" s="22"/>
      <c r="M307" s="26"/>
    </row>
    <row r="308" spans="1:13" s="79" customFormat="1" x14ac:dyDescent="0.25">
      <c r="A308" s="22">
        <v>3885</v>
      </c>
      <c r="B308" s="23" t="s">
        <v>690</v>
      </c>
      <c r="C308" s="24">
        <v>7.8</v>
      </c>
      <c r="D308" s="25">
        <v>0.3</v>
      </c>
      <c r="E308" s="25">
        <f t="shared" si="8"/>
        <v>2.34</v>
      </c>
      <c r="F308" s="25"/>
      <c r="G308" s="25">
        <f t="shared" si="9"/>
        <v>2.34</v>
      </c>
      <c r="H308" s="34">
        <v>9920479</v>
      </c>
      <c r="I308" s="214" t="s">
        <v>691</v>
      </c>
      <c r="J308" s="215" t="s">
        <v>326</v>
      </c>
      <c r="K308" s="214" t="s">
        <v>327</v>
      </c>
      <c r="L308" s="22"/>
      <c r="M308" s="26"/>
    </row>
    <row r="309" spans="1:13" s="79" customFormat="1" x14ac:dyDescent="0.25">
      <c r="A309" s="22">
        <v>3886</v>
      </c>
      <c r="B309" s="23" t="s">
        <v>692</v>
      </c>
      <c r="C309" s="24">
        <v>7.5</v>
      </c>
      <c r="D309" s="25">
        <v>0.3</v>
      </c>
      <c r="E309" s="25">
        <f t="shared" si="8"/>
        <v>2.25</v>
      </c>
      <c r="F309" s="25"/>
      <c r="G309" s="25">
        <f t="shared" si="9"/>
        <v>2.25</v>
      </c>
      <c r="H309" s="34">
        <v>21941594</v>
      </c>
      <c r="I309" s="214" t="s">
        <v>693</v>
      </c>
      <c r="J309" s="215" t="s">
        <v>25</v>
      </c>
      <c r="K309" s="214" t="s">
        <v>26</v>
      </c>
      <c r="L309" s="22">
        <v>92094818</v>
      </c>
      <c r="M309" s="26"/>
    </row>
    <row r="310" spans="1:13" s="79" customFormat="1" x14ac:dyDescent="0.25">
      <c r="A310" s="22">
        <v>3887</v>
      </c>
      <c r="B310" s="23" t="s">
        <v>694</v>
      </c>
      <c r="C310" s="29"/>
      <c r="D310" s="25">
        <v>0.3</v>
      </c>
      <c r="E310" s="25">
        <f t="shared" si="8"/>
        <v>0</v>
      </c>
      <c r="F310" s="25"/>
      <c r="G310" s="25">
        <f t="shared" si="9"/>
        <v>0</v>
      </c>
      <c r="H310" s="34">
        <v>13204809</v>
      </c>
      <c r="I310" s="214" t="s">
        <v>695</v>
      </c>
      <c r="J310" s="215" t="s">
        <v>25</v>
      </c>
      <c r="K310" s="214" t="s">
        <v>26</v>
      </c>
      <c r="L310" s="22">
        <v>93332329</v>
      </c>
      <c r="M310" s="26"/>
    </row>
    <row r="311" spans="1:13" s="79" customFormat="1" x14ac:dyDescent="0.25">
      <c r="A311" s="22">
        <v>3888</v>
      </c>
      <c r="B311" s="23" t="s">
        <v>696</v>
      </c>
      <c r="C311" s="24">
        <v>20</v>
      </c>
      <c r="D311" s="25">
        <v>0.3</v>
      </c>
      <c r="E311" s="25">
        <f t="shared" si="8"/>
        <v>6</v>
      </c>
      <c r="F311" s="25"/>
      <c r="G311" s="25">
        <f t="shared" si="9"/>
        <v>6</v>
      </c>
      <c r="H311" s="34">
        <v>1808869</v>
      </c>
      <c r="I311" s="214" t="s">
        <v>697</v>
      </c>
      <c r="J311" s="26" t="s">
        <v>17</v>
      </c>
      <c r="K311" s="26" t="s">
        <v>18</v>
      </c>
      <c r="L311" s="22">
        <v>98003381</v>
      </c>
      <c r="M311" s="26"/>
    </row>
    <row r="312" spans="1:13" s="79" customFormat="1" x14ac:dyDescent="0.25">
      <c r="A312" s="22">
        <v>3889</v>
      </c>
      <c r="B312" s="23" t="s">
        <v>698</v>
      </c>
      <c r="C312" s="29"/>
      <c r="D312" s="25">
        <v>0.3</v>
      </c>
      <c r="E312" s="25">
        <f t="shared" si="8"/>
        <v>0</v>
      </c>
      <c r="F312" s="25"/>
      <c r="G312" s="25">
        <f t="shared" si="9"/>
        <v>0</v>
      </c>
      <c r="H312" s="34">
        <v>6499103</v>
      </c>
      <c r="I312" s="214" t="s">
        <v>699</v>
      </c>
      <c r="J312" s="215" t="s">
        <v>25</v>
      </c>
      <c r="K312" s="214" t="s">
        <v>26</v>
      </c>
      <c r="L312" s="22">
        <v>98200299</v>
      </c>
      <c r="M312" s="26"/>
    </row>
    <row r="313" spans="1:13" x14ac:dyDescent="0.25">
      <c r="A313" s="38"/>
      <c r="B313" s="39" t="s">
        <v>45</v>
      </c>
      <c r="C313" s="42">
        <f>SUM(C4:C312)</f>
        <v>21778.599999999995</v>
      </c>
      <c r="D313" s="41"/>
      <c r="E313" s="42">
        <f>SUM(E4:E312)</f>
        <v>6533.5800000000008</v>
      </c>
      <c r="F313" s="42">
        <f t="shared" ref="F313:G313" si="10">SUM(F4:F312)</f>
        <v>12.4</v>
      </c>
      <c r="G313" s="42">
        <f t="shared" si="10"/>
        <v>6521.1800000000012</v>
      </c>
      <c r="H313" s="37"/>
      <c r="I313" s="43"/>
      <c r="J313" s="43"/>
      <c r="K313" s="43"/>
      <c r="L313" s="44"/>
      <c r="M313" s="44"/>
    </row>
    <row r="314" spans="1:13" x14ac:dyDescent="0.25">
      <c r="C314" s="472"/>
    </row>
    <row r="315" spans="1:13" x14ac:dyDescent="0.25">
      <c r="C315" s="150"/>
    </row>
  </sheetData>
  <conditionalFormatting sqref="I24">
    <cfRule type="duplicateValues" dxfId="37" priority="17"/>
  </conditionalFormatting>
  <conditionalFormatting sqref="I31">
    <cfRule type="duplicateValues" dxfId="36" priority="18"/>
  </conditionalFormatting>
  <conditionalFormatting sqref="I37">
    <cfRule type="duplicateValues" dxfId="35" priority="19"/>
  </conditionalFormatting>
  <conditionalFormatting sqref="I47">
    <cfRule type="duplicateValues" dxfId="34" priority="10"/>
  </conditionalFormatting>
  <conditionalFormatting sqref="I48">
    <cfRule type="duplicateValues" dxfId="33" priority="11"/>
  </conditionalFormatting>
  <conditionalFormatting sqref="I49">
    <cfRule type="duplicateValues" dxfId="32" priority="12"/>
  </conditionalFormatting>
  <conditionalFormatting sqref="I56">
    <cfRule type="duplicateValues" dxfId="31" priority="13"/>
  </conditionalFormatting>
  <conditionalFormatting sqref="I59">
    <cfRule type="duplicateValues" dxfId="30" priority="14"/>
  </conditionalFormatting>
  <conditionalFormatting sqref="I69">
    <cfRule type="duplicateValues" dxfId="29" priority="15"/>
  </conditionalFormatting>
  <conditionalFormatting sqref="I95">
    <cfRule type="duplicateValues" dxfId="28" priority="16"/>
  </conditionalFormatting>
  <conditionalFormatting sqref="I105">
    <cfRule type="duplicateValues" dxfId="27" priority="1"/>
  </conditionalFormatting>
  <conditionalFormatting sqref="I106">
    <cfRule type="duplicateValues" dxfId="26" priority="2"/>
  </conditionalFormatting>
  <conditionalFormatting sqref="I112">
    <cfRule type="duplicateValues" dxfId="25" priority="3"/>
  </conditionalFormatting>
  <conditionalFormatting sqref="I131">
    <cfRule type="duplicateValues" dxfId="24" priority="4"/>
  </conditionalFormatting>
  <conditionalFormatting sqref="I132">
    <cfRule type="duplicateValues" dxfId="23" priority="5"/>
  </conditionalFormatting>
  <conditionalFormatting sqref="J60">
    <cfRule type="duplicateValues" dxfId="22" priority="6"/>
  </conditionalFormatting>
  <conditionalFormatting sqref="J96">
    <cfRule type="duplicateValues" dxfId="21" priority="8"/>
  </conditionalFormatting>
  <conditionalFormatting sqref="L60">
    <cfRule type="duplicateValues" dxfId="20" priority="7"/>
  </conditionalFormatting>
  <conditionalFormatting sqref="M96">
    <cfRule type="duplicateValues" dxfId="19" priority="9"/>
  </conditionalFormatting>
  <pageMargins left="0.7" right="0.7" top="0.75" bottom="0.75" header="0.3" footer="0.3"/>
  <pageSetup paperSize="9" scale="4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1EA3-451D-462D-AD10-D41BEC436461}">
  <dimension ref="A1:M315"/>
  <sheetViews>
    <sheetView tabSelected="1"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" sqref="G3"/>
    </sheetView>
  </sheetViews>
  <sheetFormatPr defaultRowHeight="15" x14ac:dyDescent="0.25"/>
  <cols>
    <col min="1" max="1" width="60.140625" bestFit="1" customWidth="1"/>
    <col min="2" max="2" width="38.42578125" bestFit="1" customWidth="1"/>
    <col min="3" max="3" width="12.140625" customWidth="1"/>
    <col min="4" max="4" width="9.28515625" bestFit="1" customWidth="1"/>
    <col min="5" max="7" width="13.5703125" customWidth="1"/>
    <col min="8" max="8" width="13" bestFit="1" customWidth="1"/>
    <col min="9" max="9" width="19" bestFit="1" customWidth="1"/>
    <col min="10" max="10" width="18.140625" bestFit="1" customWidth="1"/>
    <col min="11" max="11" width="13.42578125" bestFit="1" customWidth="1"/>
    <col min="12" max="12" width="13" bestFit="1" customWidth="1"/>
  </cols>
  <sheetData>
    <row r="1" spans="1:13" x14ac:dyDescent="0.25">
      <c r="A1" s="142" t="s">
        <v>975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ht="15.75" thickBot="1" x14ac:dyDescent="0.3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7" x14ac:dyDescent="0.25">
      <c r="A3" s="14" t="s">
        <v>2</v>
      </c>
      <c r="B3" s="15" t="s">
        <v>3</v>
      </c>
      <c r="C3" s="16" t="s">
        <v>4</v>
      </c>
      <c r="D3" s="14" t="s">
        <v>5</v>
      </c>
      <c r="E3" s="14" t="s">
        <v>6</v>
      </c>
      <c r="F3" s="14"/>
      <c r="G3" s="14" t="s">
        <v>704</v>
      </c>
      <c r="H3" s="17" t="s">
        <v>9</v>
      </c>
      <c r="I3" s="18" t="s">
        <v>10</v>
      </c>
      <c r="J3" s="18" t="s">
        <v>11</v>
      </c>
      <c r="K3" s="19" t="s">
        <v>12</v>
      </c>
      <c r="L3" s="20" t="s">
        <v>13</v>
      </c>
      <c r="M3" s="21" t="s">
        <v>14</v>
      </c>
    </row>
    <row r="4" spans="1:13" x14ac:dyDescent="0.25">
      <c r="A4" s="22">
        <v>1108</v>
      </c>
      <c r="B4" s="33" t="s">
        <v>49</v>
      </c>
      <c r="C4" s="24">
        <v>207.2</v>
      </c>
      <c r="D4" s="25">
        <v>0.3</v>
      </c>
      <c r="E4" s="25">
        <f t="shared" ref="E4:E67" si="0">D4*C4</f>
        <v>62.16</v>
      </c>
      <c r="F4" s="25"/>
      <c r="G4" s="25">
        <f t="shared" ref="G4:G67" si="1">E4-F4</f>
        <v>62.16</v>
      </c>
      <c r="H4" s="458">
        <v>15218386</v>
      </c>
      <c r="I4" s="473" t="s">
        <v>50</v>
      </c>
      <c r="J4" s="473" t="s">
        <v>25</v>
      </c>
      <c r="K4" s="214" t="s">
        <v>26</v>
      </c>
      <c r="L4" s="458">
        <v>92776884</v>
      </c>
      <c r="M4" s="26"/>
    </row>
    <row r="5" spans="1:13" x14ac:dyDescent="0.25">
      <c r="A5" s="22">
        <v>1390</v>
      </c>
      <c r="B5" s="33" t="s">
        <v>51</v>
      </c>
      <c r="C5" s="29"/>
      <c r="D5" s="25">
        <v>0.3</v>
      </c>
      <c r="E5" s="25">
        <f t="shared" si="0"/>
        <v>0</v>
      </c>
      <c r="F5" s="25"/>
      <c r="G5" s="25">
        <f t="shared" si="1"/>
        <v>0</v>
      </c>
      <c r="H5" s="22">
        <v>12181822</v>
      </c>
      <c r="I5" s="215" t="s">
        <v>52</v>
      </c>
      <c r="J5" s="473" t="s">
        <v>25</v>
      </c>
      <c r="K5" s="214" t="s">
        <v>26</v>
      </c>
      <c r="L5" s="22">
        <v>92442060</v>
      </c>
      <c r="M5" s="26"/>
    </row>
    <row r="6" spans="1:13" s="79" customFormat="1" x14ac:dyDescent="0.25">
      <c r="A6" s="22">
        <v>1399</v>
      </c>
      <c r="B6" s="23" t="s">
        <v>53</v>
      </c>
      <c r="C6" s="29"/>
      <c r="D6" s="25">
        <v>0.3</v>
      </c>
      <c r="E6" s="25">
        <f t="shared" si="0"/>
        <v>0</v>
      </c>
      <c r="F6" s="25"/>
      <c r="G6" s="25">
        <f t="shared" si="1"/>
        <v>0</v>
      </c>
      <c r="H6" s="34">
        <v>10065546</v>
      </c>
      <c r="I6" s="214" t="s">
        <v>54</v>
      </c>
      <c r="J6" s="215" t="s">
        <v>43</v>
      </c>
      <c r="K6" s="214" t="s">
        <v>44</v>
      </c>
      <c r="L6" s="22"/>
      <c r="M6" s="26"/>
    </row>
    <row r="7" spans="1:13" s="79" customFormat="1" x14ac:dyDescent="0.25">
      <c r="A7" s="22">
        <v>1422</v>
      </c>
      <c r="B7" s="23" t="s">
        <v>56</v>
      </c>
      <c r="C7" s="29"/>
      <c r="D7" s="25">
        <v>0.3</v>
      </c>
      <c r="E7" s="25">
        <f t="shared" si="0"/>
        <v>0</v>
      </c>
      <c r="F7" s="25"/>
      <c r="G7" s="25">
        <f t="shared" si="1"/>
        <v>0</v>
      </c>
      <c r="H7" s="46">
        <v>3280016</v>
      </c>
      <c r="I7" s="215" t="s">
        <v>57</v>
      </c>
      <c r="J7" s="215" t="s">
        <v>25</v>
      </c>
      <c r="K7" s="214" t="s">
        <v>26</v>
      </c>
      <c r="L7" s="46"/>
      <c r="M7" s="26" t="s">
        <v>719</v>
      </c>
    </row>
    <row r="8" spans="1:13" s="79" customFormat="1" x14ac:dyDescent="0.25">
      <c r="A8" s="22">
        <v>1424</v>
      </c>
      <c r="B8" s="23" t="s">
        <v>58</v>
      </c>
      <c r="C8" s="29"/>
      <c r="D8" s="25">
        <v>0.3</v>
      </c>
      <c r="E8" s="25">
        <f t="shared" si="0"/>
        <v>0</v>
      </c>
      <c r="F8" s="25"/>
      <c r="G8" s="25">
        <f t="shared" si="1"/>
        <v>0</v>
      </c>
      <c r="H8" s="46">
        <v>748395</v>
      </c>
      <c r="I8" s="216" t="s">
        <v>59</v>
      </c>
      <c r="J8" s="26" t="s">
        <v>17</v>
      </c>
      <c r="K8" s="26" t="s">
        <v>18</v>
      </c>
      <c r="L8" s="46">
        <v>93011211</v>
      </c>
      <c r="M8" s="26"/>
    </row>
    <row r="9" spans="1:13" s="79" customFormat="1" x14ac:dyDescent="0.25">
      <c r="A9" s="22">
        <v>1429</v>
      </c>
      <c r="B9" s="23" t="s">
        <v>60</v>
      </c>
      <c r="C9" s="29"/>
      <c r="D9" s="25">
        <v>0.3</v>
      </c>
      <c r="E9" s="25">
        <f t="shared" si="0"/>
        <v>0</v>
      </c>
      <c r="F9" s="25"/>
      <c r="G9" s="25">
        <f t="shared" si="1"/>
        <v>0</v>
      </c>
      <c r="H9" s="34">
        <v>339725</v>
      </c>
      <c r="I9" s="214" t="s">
        <v>61</v>
      </c>
      <c r="J9" s="215" t="s">
        <v>25</v>
      </c>
      <c r="K9" s="214" t="s">
        <v>26</v>
      </c>
      <c r="L9" s="22"/>
      <c r="M9" s="26"/>
    </row>
    <row r="10" spans="1:13" s="79" customFormat="1" x14ac:dyDescent="0.25">
      <c r="A10" s="22">
        <v>1431</v>
      </c>
      <c r="B10" s="23" t="s">
        <v>62</v>
      </c>
      <c r="C10" s="24">
        <v>64.599999999999994</v>
      </c>
      <c r="D10" s="25">
        <v>0.3</v>
      </c>
      <c r="E10" s="25">
        <f t="shared" si="0"/>
        <v>19.38</v>
      </c>
      <c r="F10" s="25"/>
      <c r="G10" s="25">
        <f t="shared" si="1"/>
        <v>19.38</v>
      </c>
      <c r="H10" s="46">
        <v>721445</v>
      </c>
      <c r="I10" s="215" t="s">
        <v>63</v>
      </c>
      <c r="J10" s="26" t="s">
        <v>17</v>
      </c>
      <c r="K10" s="26" t="s">
        <v>18</v>
      </c>
      <c r="L10" s="46">
        <v>99291700</v>
      </c>
      <c r="M10" s="26"/>
    </row>
    <row r="11" spans="1:13" s="79" customFormat="1" x14ac:dyDescent="0.25">
      <c r="A11" s="22">
        <v>1443</v>
      </c>
      <c r="B11" s="23" t="s">
        <v>65</v>
      </c>
      <c r="C11" s="29"/>
      <c r="D11" s="25">
        <v>0.3</v>
      </c>
      <c r="E11" s="25">
        <f t="shared" si="0"/>
        <v>0</v>
      </c>
      <c r="F11" s="25"/>
      <c r="G11" s="25">
        <f t="shared" si="1"/>
        <v>0</v>
      </c>
      <c r="H11" s="46">
        <v>6026992</v>
      </c>
      <c r="I11" s="215" t="s">
        <v>66</v>
      </c>
      <c r="J11" s="215" t="s">
        <v>25</v>
      </c>
      <c r="K11" s="214" t="s">
        <v>26</v>
      </c>
      <c r="L11" s="46">
        <v>95863774</v>
      </c>
      <c r="M11" s="26"/>
    </row>
    <row r="12" spans="1:13" s="79" customFormat="1" x14ac:dyDescent="0.25">
      <c r="A12" s="22">
        <v>1452</v>
      </c>
      <c r="B12" s="23" t="s">
        <v>67</v>
      </c>
      <c r="C12" s="29"/>
      <c r="D12" s="25">
        <v>0.3</v>
      </c>
      <c r="E12" s="25">
        <f t="shared" si="0"/>
        <v>0</v>
      </c>
      <c r="F12" s="25"/>
      <c r="G12" s="25">
        <f t="shared" si="1"/>
        <v>0</v>
      </c>
      <c r="H12" s="140">
        <v>20917176</v>
      </c>
      <c r="I12" s="538" t="s">
        <v>68</v>
      </c>
      <c r="J12" s="460" t="s">
        <v>25</v>
      </c>
      <c r="K12" s="538" t="s">
        <v>26</v>
      </c>
      <c r="L12" s="140">
        <v>95863774</v>
      </c>
      <c r="M12" s="460"/>
    </row>
    <row r="13" spans="1:13" s="79" customFormat="1" x14ac:dyDescent="0.25">
      <c r="A13" s="22">
        <v>1458</v>
      </c>
      <c r="B13" s="23" t="s">
        <v>69</v>
      </c>
      <c r="C13" s="24">
        <v>81.900000000000006</v>
      </c>
      <c r="D13" s="25">
        <v>0.3</v>
      </c>
      <c r="E13" s="25">
        <f t="shared" si="0"/>
        <v>24.57</v>
      </c>
      <c r="F13" s="25"/>
      <c r="G13" s="25">
        <f t="shared" si="1"/>
        <v>24.57</v>
      </c>
      <c r="H13" s="46">
        <v>77628</v>
      </c>
      <c r="I13" s="215" t="s">
        <v>70</v>
      </c>
      <c r="J13" s="26" t="s">
        <v>17</v>
      </c>
      <c r="K13" s="26" t="s">
        <v>18</v>
      </c>
      <c r="L13" s="46">
        <v>99275608</v>
      </c>
      <c r="M13" s="26"/>
    </row>
    <row r="14" spans="1:13" s="79" customFormat="1" x14ac:dyDescent="0.25">
      <c r="A14" s="22">
        <v>1461</v>
      </c>
      <c r="B14" s="23" t="s">
        <v>71</v>
      </c>
      <c r="C14" s="29"/>
      <c r="D14" s="25">
        <v>0.3</v>
      </c>
      <c r="E14" s="25">
        <f t="shared" si="0"/>
        <v>0</v>
      </c>
      <c r="F14" s="25"/>
      <c r="G14" s="25">
        <f t="shared" si="1"/>
        <v>0</v>
      </c>
      <c r="H14" s="46">
        <v>6828806</v>
      </c>
      <c r="I14" s="215" t="s">
        <v>72</v>
      </c>
      <c r="J14" s="215" t="s">
        <v>25</v>
      </c>
      <c r="K14" s="214" t="s">
        <v>26</v>
      </c>
      <c r="L14" s="46">
        <v>92330321</v>
      </c>
      <c r="M14" s="26"/>
    </row>
    <row r="15" spans="1:13" s="79" customFormat="1" x14ac:dyDescent="0.25">
      <c r="A15" s="22">
        <v>1465</v>
      </c>
      <c r="B15" s="23" t="s">
        <v>73</v>
      </c>
      <c r="C15" s="29"/>
      <c r="D15" s="25">
        <v>0.3</v>
      </c>
      <c r="E15" s="25">
        <f t="shared" si="0"/>
        <v>0</v>
      </c>
      <c r="F15" s="25"/>
      <c r="G15" s="25">
        <f t="shared" si="1"/>
        <v>0</v>
      </c>
      <c r="H15" s="22">
        <v>757601</v>
      </c>
      <c r="I15" s="214" t="s">
        <v>74</v>
      </c>
      <c r="J15" s="216" t="s">
        <v>75</v>
      </c>
      <c r="K15" s="26" t="s">
        <v>76</v>
      </c>
      <c r="L15" s="22">
        <v>99892131</v>
      </c>
      <c r="M15" s="26"/>
    </row>
    <row r="16" spans="1:13" s="79" customFormat="1" x14ac:dyDescent="0.25">
      <c r="A16" s="22">
        <v>1474</v>
      </c>
      <c r="B16" s="23" t="s">
        <v>15</v>
      </c>
      <c r="C16" s="24">
        <v>118.9</v>
      </c>
      <c r="D16" s="25">
        <v>0.3</v>
      </c>
      <c r="E16" s="25">
        <f t="shared" si="0"/>
        <v>35.67</v>
      </c>
      <c r="F16" s="25"/>
      <c r="G16" s="25">
        <f t="shared" si="1"/>
        <v>35.67</v>
      </c>
      <c r="H16" s="22">
        <v>4603773</v>
      </c>
      <c r="I16" s="26" t="s">
        <v>16</v>
      </c>
      <c r="J16" s="26" t="s">
        <v>17</v>
      </c>
      <c r="K16" s="26" t="s">
        <v>18</v>
      </c>
      <c r="L16" s="22">
        <v>98820843</v>
      </c>
      <c r="M16" s="26"/>
    </row>
    <row r="17" spans="1:13" s="79" customFormat="1" x14ac:dyDescent="0.25">
      <c r="A17" s="22">
        <v>1479</v>
      </c>
      <c r="B17" s="519" t="s">
        <v>77</v>
      </c>
      <c r="C17" s="24">
        <v>118.1</v>
      </c>
      <c r="D17" s="25">
        <v>0.3</v>
      </c>
      <c r="E17" s="25">
        <f t="shared" si="0"/>
        <v>35.43</v>
      </c>
      <c r="F17" s="25"/>
      <c r="G17" s="25">
        <f t="shared" si="1"/>
        <v>35.43</v>
      </c>
      <c r="H17" s="518">
        <v>5217726</v>
      </c>
      <c r="I17" s="475" t="s">
        <v>78</v>
      </c>
      <c r="J17" s="517" t="s">
        <v>25</v>
      </c>
      <c r="K17" s="517" t="s">
        <v>26</v>
      </c>
      <c r="L17" s="518">
        <v>92610234</v>
      </c>
      <c r="M17" s="540"/>
    </row>
    <row r="18" spans="1:13" s="79" customFormat="1" x14ac:dyDescent="0.25">
      <c r="A18" s="22">
        <v>1483</v>
      </c>
      <c r="B18" s="23" t="s">
        <v>79</v>
      </c>
      <c r="C18" s="24">
        <v>189.4</v>
      </c>
      <c r="D18" s="25">
        <v>0.3</v>
      </c>
      <c r="E18" s="25">
        <f t="shared" si="0"/>
        <v>56.82</v>
      </c>
      <c r="F18" s="25"/>
      <c r="G18" s="25">
        <f t="shared" si="1"/>
        <v>56.82</v>
      </c>
      <c r="H18" s="22">
        <v>1567826</v>
      </c>
      <c r="I18" s="216" t="s">
        <v>80</v>
      </c>
      <c r="J18" s="26" t="s">
        <v>75</v>
      </c>
      <c r="K18" s="214" t="s">
        <v>76</v>
      </c>
      <c r="L18" s="22">
        <v>98532884</v>
      </c>
      <c r="M18" s="26"/>
    </row>
    <row r="19" spans="1:13" s="79" customFormat="1" x14ac:dyDescent="0.25">
      <c r="A19" s="22">
        <v>1486</v>
      </c>
      <c r="B19" s="23" t="s">
        <v>714</v>
      </c>
      <c r="C19" s="29"/>
      <c r="D19" s="25">
        <v>0.3</v>
      </c>
      <c r="E19" s="25">
        <f t="shared" si="0"/>
        <v>0</v>
      </c>
      <c r="F19" s="25"/>
      <c r="G19" s="25">
        <f t="shared" si="1"/>
        <v>0</v>
      </c>
      <c r="H19" s="22">
        <v>22792564</v>
      </c>
      <c r="I19" s="216" t="s">
        <v>715</v>
      </c>
      <c r="J19" s="517" t="s">
        <v>25</v>
      </c>
      <c r="K19" s="517" t="s">
        <v>26</v>
      </c>
      <c r="L19" s="22"/>
      <c r="M19" s="26"/>
    </row>
    <row r="20" spans="1:13" s="79" customFormat="1" x14ac:dyDescent="0.25">
      <c r="A20" s="22">
        <v>1762</v>
      </c>
      <c r="B20" s="23" t="s">
        <v>82</v>
      </c>
      <c r="C20" s="24">
        <v>209.9</v>
      </c>
      <c r="D20" s="25">
        <v>0.3</v>
      </c>
      <c r="E20" s="25">
        <f t="shared" si="0"/>
        <v>62.97</v>
      </c>
      <c r="F20" s="25"/>
      <c r="G20" s="25">
        <f t="shared" si="1"/>
        <v>62.97</v>
      </c>
      <c r="H20" s="34">
        <v>1409527</v>
      </c>
      <c r="I20" s="214" t="s">
        <v>83</v>
      </c>
      <c r="J20" s="215" t="s">
        <v>84</v>
      </c>
      <c r="K20" s="214" t="s">
        <v>26</v>
      </c>
      <c r="L20" s="22"/>
      <c r="M20" s="26"/>
    </row>
    <row r="21" spans="1:13" s="79" customFormat="1" x14ac:dyDescent="0.25">
      <c r="A21" s="22">
        <v>1792</v>
      </c>
      <c r="B21" s="23" t="s">
        <v>85</v>
      </c>
      <c r="C21" s="29"/>
      <c r="D21" s="25">
        <v>0.3</v>
      </c>
      <c r="E21" s="25">
        <f t="shared" si="0"/>
        <v>0</v>
      </c>
      <c r="F21" s="25"/>
      <c r="G21" s="25">
        <f t="shared" si="1"/>
        <v>0</v>
      </c>
      <c r="H21" s="141">
        <v>9545556</v>
      </c>
      <c r="I21" s="480" t="s">
        <v>86</v>
      </c>
      <c r="J21" s="26" t="s">
        <v>17</v>
      </c>
      <c r="K21" s="480" t="s">
        <v>18</v>
      </c>
      <c r="L21" s="22"/>
      <c r="M21" s="26"/>
    </row>
    <row r="22" spans="1:13" s="79" customFormat="1" x14ac:dyDescent="0.25">
      <c r="A22" s="22">
        <v>3009</v>
      </c>
      <c r="B22" s="23" t="s">
        <v>87</v>
      </c>
      <c r="C22" s="29"/>
      <c r="D22" s="25">
        <v>0.3</v>
      </c>
      <c r="E22" s="25">
        <f t="shared" si="0"/>
        <v>0</v>
      </c>
      <c r="F22" s="25"/>
      <c r="G22" s="25">
        <f t="shared" si="1"/>
        <v>0</v>
      </c>
      <c r="H22" s="22">
        <v>1448391</v>
      </c>
      <c r="I22" s="477" t="s">
        <v>88</v>
      </c>
      <c r="J22" s="26" t="s">
        <v>43</v>
      </c>
      <c r="K22" s="26" t="s">
        <v>44</v>
      </c>
      <c r="L22" s="22">
        <v>99100144</v>
      </c>
      <c r="M22" s="26"/>
    </row>
    <row r="23" spans="1:13" s="79" customFormat="1" x14ac:dyDescent="0.25">
      <c r="A23" s="22">
        <v>3012</v>
      </c>
      <c r="B23" s="23" t="s">
        <v>90</v>
      </c>
      <c r="C23" s="24">
        <v>86.5</v>
      </c>
      <c r="D23" s="25">
        <v>0.3</v>
      </c>
      <c r="E23" s="25">
        <f t="shared" si="0"/>
        <v>25.95</v>
      </c>
      <c r="F23" s="25"/>
      <c r="G23" s="25">
        <f t="shared" si="1"/>
        <v>25.95</v>
      </c>
      <c r="H23" s="22">
        <v>5634422</v>
      </c>
      <c r="I23" s="216" t="s">
        <v>91</v>
      </c>
      <c r="J23" s="215" t="s">
        <v>25</v>
      </c>
      <c r="K23" s="214" t="s">
        <v>26</v>
      </c>
      <c r="L23" s="22">
        <v>96922118</v>
      </c>
      <c r="M23" s="26"/>
    </row>
    <row r="24" spans="1:13" s="79" customFormat="1" x14ac:dyDescent="0.25">
      <c r="A24" s="22">
        <v>3014</v>
      </c>
      <c r="B24" s="23" t="s">
        <v>92</v>
      </c>
      <c r="C24" s="29"/>
      <c r="D24" s="25">
        <v>0.3</v>
      </c>
      <c r="E24" s="25">
        <f t="shared" si="0"/>
        <v>0</v>
      </c>
      <c r="F24" s="25"/>
      <c r="G24" s="25">
        <f t="shared" si="1"/>
        <v>0</v>
      </c>
      <c r="H24" s="22">
        <v>648421</v>
      </c>
      <c r="I24" s="216" t="s">
        <v>93</v>
      </c>
      <c r="J24" s="26" t="s">
        <v>43</v>
      </c>
      <c r="K24" s="26" t="s">
        <v>44</v>
      </c>
      <c r="L24" s="22">
        <v>98815665</v>
      </c>
      <c r="M24" s="26"/>
    </row>
    <row r="25" spans="1:13" s="79" customFormat="1" x14ac:dyDescent="0.25">
      <c r="A25" s="22">
        <v>3015</v>
      </c>
      <c r="B25" s="23" t="s">
        <v>94</v>
      </c>
      <c r="C25" s="29"/>
      <c r="D25" s="25">
        <v>0.3</v>
      </c>
      <c r="E25" s="25">
        <f t="shared" si="0"/>
        <v>0</v>
      </c>
      <c r="F25" s="25"/>
      <c r="G25" s="25">
        <f t="shared" si="1"/>
        <v>0</v>
      </c>
      <c r="H25" s="22">
        <v>5753033</v>
      </c>
      <c r="I25" s="216" t="s">
        <v>95</v>
      </c>
      <c r="J25" s="215" t="s">
        <v>25</v>
      </c>
      <c r="K25" s="214" t="s">
        <v>26</v>
      </c>
      <c r="L25" s="22">
        <v>92838405</v>
      </c>
      <c r="M25" s="26"/>
    </row>
    <row r="26" spans="1:13" s="79" customFormat="1" x14ac:dyDescent="0.25">
      <c r="A26" s="22">
        <v>3018</v>
      </c>
      <c r="B26" s="23" t="s">
        <v>96</v>
      </c>
      <c r="C26" s="24">
        <v>25</v>
      </c>
      <c r="D26" s="25">
        <v>0.3</v>
      </c>
      <c r="E26" s="25">
        <f t="shared" si="0"/>
        <v>7.5</v>
      </c>
      <c r="F26" s="25"/>
      <c r="G26" s="25">
        <f t="shared" si="1"/>
        <v>7.5</v>
      </c>
      <c r="H26" s="34">
        <v>1528087</v>
      </c>
      <c r="I26" s="480" t="s">
        <v>97</v>
      </c>
      <c r="J26" s="215" t="s">
        <v>25</v>
      </c>
      <c r="K26" s="214" t="s">
        <v>26</v>
      </c>
      <c r="L26" s="22"/>
      <c r="M26" s="53"/>
    </row>
    <row r="27" spans="1:13" s="79" customFormat="1" x14ac:dyDescent="0.25">
      <c r="A27" s="22">
        <v>3020</v>
      </c>
      <c r="B27" s="23" t="s">
        <v>98</v>
      </c>
      <c r="C27" s="24">
        <v>93.2</v>
      </c>
      <c r="D27" s="25">
        <v>0.3</v>
      </c>
      <c r="E27" s="25">
        <f t="shared" si="0"/>
        <v>27.96</v>
      </c>
      <c r="F27" s="25"/>
      <c r="G27" s="25">
        <f t="shared" si="1"/>
        <v>27.96</v>
      </c>
      <c r="H27" s="22">
        <v>5418422</v>
      </c>
      <c r="I27" s="216" t="s">
        <v>99</v>
      </c>
      <c r="J27" s="215" t="s">
        <v>25</v>
      </c>
      <c r="K27" s="214" t="s">
        <v>26</v>
      </c>
      <c r="L27" s="22">
        <v>99495434</v>
      </c>
      <c r="M27" s="26"/>
    </row>
    <row r="28" spans="1:13" s="79" customFormat="1" x14ac:dyDescent="0.25">
      <c r="A28" s="22">
        <v>3022</v>
      </c>
      <c r="B28" s="23" t="s">
        <v>100</v>
      </c>
      <c r="C28" s="29"/>
      <c r="D28" s="25">
        <v>0.3</v>
      </c>
      <c r="E28" s="25">
        <f t="shared" si="0"/>
        <v>0</v>
      </c>
      <c r="F28" s="25"/>
      <c r="G28" s="25">
        <f t="shared" si="1"/>
        <v>0</v>
      </c>
      <c r="H28" s="22">
        <v>5360253</v>
      </c>
      <c r="I28" s="216" t="s">
        <v>101</v>
      </c>
      <c r="J28" s="26" t="s">
        <v>75</v>
      </c>
      <c r="K28" s="214" t="s">
        <v>76</v>
      </c>
      <c r="L28" s="22">
        <v>99257989</v>
      </c>
      <c r="M28" s="26"/>
    </row>
    <row r="29" spans="1:13" s="79" customFormat="1" x14ac:dyDescent="0.25">
      <c r="A29" s="22">
        <v>3025</v>
      </c>
      <c r="B29" s="23" t="s">
        <v>102</v>
      </c>
      <c r="C29" s="24">
        <v>179.1</v>
      </c>
      <c r="D29" s="25">
        <v>0.3</v>
      </c>
      <c r="E29" s="25">
        <f t="shared" si="0"/>
        <v>53.73</v>
      </c>
      <c r="F29" s="25"/>
      <c r="G29" s="25">
        <f t="shared" si="1"/>
        <v>53.73</v>
      </c>
      <c r="H29" s="22">
        <v>7542172</v>
      </c>
      <c r="I29" s="216" t="s">
        <v>103</v>
      </c>
      <c r="J29" s="215" t="s">
        <v>25</v>
      </c>
      <c r="K29" s="214" t="s">
        <v>26</v>
      </c>
      <c r="L29" s="22"/>
      <c r="M29" s="26"/>
    </row>
    <row r="30" spans="1:13" s="79" customFormat="1" x14ac:dyDescent="0.25">
      <c r="A30" s="22">
        <v>3026</v>
      </c>
      <c r="B30" s="23" t="s">
        <v>105</v>
      </c>
      <c r="C30" s="24">
        <v>47.8</v>
      </c>
      <c r="D30" s="25">
        <v>0.3</v>
      </c>
      <c r="E30" s="25">
        <f t="shared" si="0"/>
        <v>14.339999999999998</v>
      </c>
      <c r="F30" s="25"/>
      <c r="G30" s="25">
        <f t="shared" si="1"/>
        <v>14.339999999999998</v>
      </c>
      <c r="H30" s="22">
        <v>7033819</v>
      </c>
      <c r="I30" s="216" t="s">
        <v>106</v>
      </c>
      <c r="J30" s="215" t="s">
        <v>25</v>
      </c>
      <c r="K30" s="214" t="s">
        <v>26</v>
      </c>
      <c r="L30" s="22">
        <v>92256918</v>
      </c>
      <c r="M30" s="26"/>
    </row>
    <row r="31" spans="1:13" s="79" customFormat="1" x14ac:dyDescent="0.25">
      <c r="A31" s="22">
        <v>3027</v>
      </c>
      <c r="B31" s="23" t="s">
        <v>107</v>
      </c>
      <c r="C31" s="24">
        <v>179</v>
      </c>
      <c r="D31" s="25">
        <v>0.3</v>
      </c>
      <c r="E31" s="25">
        <f t="shared" si="0"/>
        <v>53.699999999999996</v>
      </c>
      <c r="F31" s="25"/>
      <c r="G31" s="25">
        <f t="shared" si="1"/>
        <v>53.699999999999996</v>
      </c>
      <c r="H31" s="22">
        <v>6420643</v>
      </c>
      <c r="I31" s="216" t="s">
        <v>108</v>
      </c>
      <c r="J31" s="215" t="s">
        <v>17</v>
      </c>
      <c r="K31" s="214" t="s">
        <v>18</v>
      </c>
      <c r="L31" s="22">
        <v>92288434</v>
      </c>
      <c r="M31" s="26"/>
    </row>
    <row r="32" spans="1:13" s="79" customFormat="1" x14ac:dyDescent="0.25">
      <c r="A32" s="22">
        <v>3030</v>
      </c>
      <c r="B32" s="23" t="s">
        <v>109</v>
      </c>
      <c r="C32" s="24">
        <v>81</v>
      </c>
      <c r="D32" s="25">
        <v>0.3</v>
      </c>
      <c r="E32" s="25">
        <f t="shared" si="0"/>
        <v>24.3</v>
      </c>
      <c r="F32" s="25"/>
      <c r="G32" s="25">
        <f t="shared" si="1"/>
        <v>24.3</v>
      </c>
      <c r="H32" s="22">
        <v>6021175</v>
      </c>
      <c r="I32" s="216" t="s">
        <v>110</v>
      </c>
      <c r="J32" s="215" t="s">
        <v>25</v>
      </c>
      <c r="K32" s="214" t="s">
        <v>26</v>
      </c>
      <c r="L32" s="22">
        <v>91716888</v>
      </c>
      <c r="M32" s="26"/>
    </row>
    <row r="33" spans="1:13" s="79" customFormat="1" x14ac:dyDescent="0.25">
      <c r="A33" s="22">
        <v>3038</v>
      </c>
      <c r="B33" s="23" t="s">
        <v>111</v>
      </c>
      <c r="C33" s="24">
        <v>209.1</v>
      </c>
      <c r="D33" s="25">
        <v>0.3</v>
      </c>
      <c r="E33" s="25">
        <f t="shared" si="0"/>
        <v>62.73</v>
      </c>
      <c r="F33" s="25"/>
      <c r="G33" s="25">
        <f t="shared" si="1"/>
        <v>62.73</v>
      </c>
      <c r="H33" s="22">
        <v>7976</v>
      </c>
      <c r="I33" s="216" t="s">
        <v>112</v>
      </c>
      <c r="J33" s="26" t="s">
        <v>43</v>
      </c>
      <c r="K33" s="26" t="s">
        <v>44</v>
      </c>
      <c r="L33" s="22">
        <v>98920007</v>
      </c>
      <c r="M33" s="26"/>
    </row>
    <row r="34" spans="1:13" s="79" customFormat="1" x14ac:dyDescent="0.25">
      <c r="A34" s="22">
        <v>3043</v>
      </c>
      <c r="B34" s="23" t="s">
        <v>113</v>
      </c>
      <c r="C34" s="24">
        <v>83.6</v>
      </c>
      <c r="D34" s="25">
        <v>0.3</v>
      </c>
      <c r="E34" s="25">
        <f t="shared" si="0"/>
        <v>25.08</v>
      </c>
      <c r="F34" s="25"/>
      <c r="G34" s="25">
        <f t="shared" si="1"/>
        <v>25.08</v>
      </c>
      <c r="H34" s="22">
        <v>396336</v>
      </c>
      <c r="I34" s="216" t="s">
        <v>114</v>
      </c>
      <c r="J34" s="215" t="s">
        <v>25</v>
      </c>
      <c r="K34" s="214" t="s">
        <v>26</v>
      </c>
      <c r="L34" s="22">
        <v>99498844</v>
      </c>
      <c r="M34" s="26"/>
    </row>
    <row r="35" spans="1:13" s="79" customFormat="1" x14ac:dyDescent="0.25">
      <c r="A35" s="22">
        <v>3058</v>
      </c>
      <c r="B35" s="23" t="s">
        <v>115</v>
      </c>
      <c r="C35" s="24">
        <v>179</v>
      </c>
      <c r="D35" s="25">
        <v>0.3</v>
      </c>
      <c r="E35" s="25">
        <f t="shared" si="0"/>
        <v>53.699999999999996</v>
      </c>
      <c r="F35" s="25"/>
      <c r="G35" s="25">
        <f t="shared" si="1"/>
        <v>53.699999999999996</v>
      </c>
      <c r="H35" s="22">
        <v>965148</v>
      </c>
      <c r="I35" s="216" t="s">
        <v>116</v>
      </c>
      <c r="J35" s="26" t="s">
        <v>43</v>
      </c>
      <c r="K35" s="26" t="s">
        <v>44</v>
      </c>
      <c r="L35" s="22">
        <v>90980121</v>
      </c>
      <c r="M35" s="26"/>
    </row>
    <row r="36" spans="1:13" s="79" customFormat="1" x14ac:dyDescent="0.25">
      <c r="A36" s="22">
        <v>3070</v>
      </c>
      <c r="B36" s="23" t="s">
        <v>117</v>
      </c>
      <c r="C36" s="29"/>
      <c r="D36" s="25">
        <v>0.3</v>
      </c>
      <c r="E36" s="25">
        <f t="shared" si="0"/>
        <v>0</v>
      </c>
      <c r="F36" s="25"/>
      <c r="G36" s="25">
        <f t="shared" si="1"/>
        <v>0</v>
      </c>
      <c r="H36" s="46">
        <v>1918001</v>
      </c>
      <c r="I36" s="216" t="s">
        <v>118</v>
      </c>
      <c r="J36" s="215" t="s">
        <v>25</v>
      </c>
      <c r="K36" s="214" t="s">
        <v>26</v>
      </c>
      <c r="L36" s="46">
        <v>92863640</v>
      </c>
      <c r="M36" s="26"/>
    </row>
    <row r="37" spans="1:13" s="79" customFormat="1" x14ac:dyDescent="0.25">
      <c r="A37" s="22">
        <v>3072</v>
      </c>
      <c r="B37" s="23" t="s">
        <v>119</v>
      </c>
      <c r="C37" s="29"/>
      <c r="D37" s="25">
        <v>0.3</v>
      </c>
      <c r="E37" s="25">
        <f t="shared" si="0"/>
        <v>0</v>
      </c>
      <c r="F37" s="25"/>
      <c r="G37" s="25">
        <f t="shared" si="1"/>
        <v>0</v>
      </c>
      <c r="H37" s="22">
        <v>993077</v>
      </c>
      <c r="I37" s="216" t="s">
        <v>120</v>
      </c>
      <c r="J37" s="26" t="s">
        <v>121</v>
      </c>
      <c r="K37" s="26" t="s">
        <v>122</v>
      </c>
      <c r="L37" s="22">
        <v>92252981</v>
      </c>
      <c r="M37" s="26"/>
    </row>
    <row r="38" spans="1:13" s="79" customFormat="1" x14ac:dyDescent="0.25">
      <c r="A38" s="22">
        <v>3077</v>
      </c>
      <c r="B38" s="23" t="s">
        <v>123</v>
      </c>
      <c r="C38" s="24">
        <v>25</v>
      </c>
      <c r="D38" s="25">
        <v>0.3</v>
      </c>
      <c r="E38" s="25">
        <f t="shared" si="0"/>
        <v>7.5</v>
      </c>
      <c r="F38" s="25"/>
      <c r="G38" s="25">
        <f t="shared" si="1"/>
        <v>7.5</v>
      </c>
      <c r="H38" s="22">
        <v>21978752</v>
      </c>
      <c r="I38" s="216" t="s">
        <v>124</v>
      </c>
      <c r="J38" s="215" t="s">
        <v>25</v>
      </c>
      <c r="K38" s="214" t="s">
        <v>26</v>
      </c>
      <c r="L38" s="22">
        <v>90833336</v>
      </c>
      <c r="M38" s="26"/>
    </row>
    <row r="39" spans="1:13" s="79" customFormat="1" x14ac:dyDescent="0.25">
      <c r="A39" s="22">
        <v>3081</v>
      </c>
      <c r="B39" s="23" t="s">
        <v>126</v>
      </c>
      <c r="C39" s="24">
        <v>133.69999999999999</v>
      </c>
      <c r="D39" s="25">
        <v>0.3</v>
      </c>
      <c r="E39" s="25">
        <f t="shared" si="0"/>
        <v>40.109999999999992</v>
      </c>
      <c r="F39" s="25"/>
      <c r="G39" s="25">
        <f t="shared" si="1"/>
        <v>40.109999999999992</v>
      </c>
      <c r="H39" s="22">
        <v>21219868</v>
      </c>
      <c r="I39" s="477" t="s">
        <v>127</v>
      </c>
      <c r="J39" s="26" t="s">
        <v>128</v>
      </c>
      <c r="K39" s="507" t="s">
        <v>129</v>
      </c>
      <c r="L39" s="22">
        <v>93288777</v>
      </c>
      <c r="M39" s="26"/>
    </row>
    <row r="40" spans="1:13" s="79" customFormat="1" x14ac:dyDescent="0.25">
      <c r="A40" s="22">
        <v>3089</v>
      </c>
      <c r="B40" s="23" t="s">
        <v>130</v>
      </c>
      <c r="C40" s="24">
        <v>59.4</v>
      </c>
      <c r="D40" s="25">
        <v>0.3</v>
      </c>
      <c r="E40" s="25">
        <f t="shared" si="0"/>
        <v>17.82</v>
      </c>
      <c r="F40" s="25"/>
      <c r="G40" s="25">
        <f t="shared" si="1"/>
        <v>17.82</v>
      </c>
      <c r="H40" s="22">
        <v>18790484</v>
      </c>
      <c r="I40" s="216" t="s">
        <v>131</v>
      </c>
      <c r="J40" s="215" t="s">
        <v>25</v>
      </c>
      <c r="K40" s="214" t="s">
        <v>26</v>
      </c>
      <c r="L40" s="22"/>
      <c r="M40" s="53"/>
    </row>
    <row r="41" spans="1:13" s="79" customFormat="1" x14ac:dyDescent="0.25">
      <c r="A41" s="22">
        <v>3093</v>
      </c>
      <c r="B41" s="23" t="s">
        <v>132</v>
      </c>
      <c r="C41" s="24">
        <v>87</v>
      </c>
      <c r="D41" s="25">
        <v>0.3</v>
      </c>
      <c r="E41" s="25">
        <f t="shared" si="0"/>
        <v>26.099999999999998</v>
      </c>
      <c r="F41" s="25"/>
      <c r="G41" s="25">
        <f t="shared" si="1"/>
        <v>26.099999999999998</v>
      </c>
      <c r="H41" s="22">
        <v>6361035</v>
      </c>
      <c r="I41" s="216" t="s">
        <v>133</v>
      </c>
      <c r="J41" s="26" t="s">
        <v>134</v>
      </c>
      <c r="K41" s="214" t="s">
        <v>135</v>
      </c>
      <c r="L41" s="22">
        <v>99497919</v>
      </c>
      <c r="M41" s="26"/>
    </row>
    <row r="42" spans="1:13" s="79" customFormat="1" x14ac:dyDescent="0.25">
      <c r="A42" s="22">
        <v>3094</v>
      </c>
      <c r="B42" s="23" t="s">
        <v>136</v>
      </c>
      <c r="C42" s="29"/>
      <c r="D42" s="25">
        <v>0.3</v>
      </c>
      <c r="E42" s="25">
        <f t="shared" si="0"/>
        <v>0</v>
      </c>
      <c r="F42" s="25"/>
      <c r="G42" s="25">
        <f t="shared" si="1"/>
        <v>0</v>
      </c>
      <c r="H42" s="22">
        <v>26343985</v>
      </c>
      <c r="I42" s="216" t="s">
        <v>137</v>
      </c>
      <c r="J42" s="215" t="s">
        <v>25</v>
      </c>
      <c r="K42" s="214" t="s">
        <v>26</v>
      </c>
      <c r="L42" s="22">
        <v>93327740</v>
      </c>
      <c r="M42" s="26"/>
    </row>
    <row r="43" spans="1:13" s="79" customFormat="1" x14ac:dyDescent="0.25">
      <c r="A43" s="22">
        <v>3100</v>
      </c>
      <c r="B43" s="23" t="s">
        <v>138</v>
      </c>
      <c r="C43" s="24">
        <v>357.3</v>
      </c>
      <c r="D43" s="25">
        <v>0.3</v>
      </c>
      <c r="E43" s="25">
        <f t="shared" si="0"/>
        <v>107.19</v>
      </c>
      <c r="F43" s="25"/>
      <c r="G43" s="25">
        <f t="shared" si="1"/>
        <v>107.19</v>
      </c>
      <c r="H43" s="22">
        <v>1278615</v>
      </c>
      <c r="I43" s="216" t="s">
        <v>139</v>
      </c>
      <c r="J43" s="26" t="s">
        <v>75</v>
      </c>
      <c r="K43" s="214" t="s">
        <v>26</v>
      </c>
      <c r="L43" s="22">
        <v>99806386</v>
      </c>
      <c r="M43" s="26"/>
    </row>
    <row r="44" spans="1:13" s="79" customFormat="1" x14ac:dyDescent="0.25">
      <c r="A44" s="22">
        <v>3101</v>
      </c>
      <c r="B44" s="23" t="s">
        <v>140</v>
      </c>
      <c r="C44" s="24">
        <v>47.5</v>
      </c>
      <c r="D44" s="25">
        <v>0.3</v>
      </c>
      <c r="E44" s="25">
        <f t="shared" si="0"/>
        <v>14.25</v>
      </c>
      <c r="F44" s="25"/>
      <c r="G44" s="25">
        <f t="shared" si="1"/>
        <v>14.25</v>
      </c>
      <c r="H44" s="22">
        <v>6767598</v>
      </c>
      <c r="I44" s="216" t="s">
        <v>141</v>
      </c>
      <c r="J44" s="215" t="s">
        <v>25</v>
      </c>
      <c r="K44" s="214" t="s">
        <v>26</v>
      </c>
      <c r="L44" s="22">
        <v>99100344</v>
      </c>
      <c r="M44" s="26"/>
    </row>
    <row r="45" spans="1:13" s="79" customFormat="1" x14ac:dyDescent="0.25">
      <c r="A45" s="22">
        <v>3102</v>
      </c>
      <c r="B45" s="23" t="s">
        <v>142</v>
      </c>
      <c r="C45" s="24">
        <v>180.5</v>
      </c>
      <c r="D45" s="25">
        <v>0.3</v>
      </c>
      <c r="E45" s="25">
        <f t="shared" si="0"/>
        <v>54.15</v>
      </c>
      <c r="F45" s="25"/>
      <c r="G45" s="25">
        <f t="shared" si="1"/>
        <v>54.15</v>
      </c>
      <c r="H45" s="22">
        <v>5916838</v>
      </c>
      <c r="I45" s="214" t="s">
        <v>143</v>
      </c>
      <c r="J45" s="215" t="s">
        <v>25</v>
      </c>
      <c r="K45" s="214" t="s">
        <v>26</v>
      </c>
      <c r="L45" s="22">
        <v>91917520</v>
      </c>
      <c r="M45" s="26"/>
    </row>
    <row r="46" spans="1:13" s="79" customFormat="1" x14ac:dyDescent="0.25">
      <c r="A46" s="22">
        <v>3119</v>
      </c>
      <c r="B46" s="23" t="s">
        <v>144</v>
      </c>
      <c r="C46" s="24">
        <v>98.6</v>
      </c>
      <c r="D46" s="25">
        <v>0.3</v>
      </c>
      <c r="E46" s="25">
        <f t="shared" si="0"/>
        <v>29.58</v>
      </c>
      <c r="F46" s="25"/>
      <c r="G46" s="25">
        <f t="shared" si="1"/>
        <v>29.58</v>
      </c>
      <c r="H46" s="22">
        <v>5903061</v>
      </c>
      <c r="I46" s="216" t="s">
        <v>145</v>
      </c>
      <c r="J46" s="215" t="s">
        <v>25</v>
      </c>
      <c r="K46" s="214" t="s">
        <v>26</v>
      </c>
      <c r="L46" s="22">
        <v>91904279</v>
      </c>
      <c r="M46" s="26"/>
    </row>
    <row r="47" spans="1:13" s="79" customFormat="1" x14ac:dyDescent="0.25">
      <c r="A47" s="22">
        <v>3122</v>
      </c>
      <c r="B47" s="23" t="s">
        <v>146</v>
      </c>
      <c r="C47" s="24">
        <v>90</v>
      </c>
      <c r="D47" s="25">
        <v>0.3</v>
      </c>
      <c r="E47" s="25">
        <f t="shared" si="0"/>
        <v>27</v>
      </c>
      <c r="F47" s="25"/>
      <c r="G47" s="25">
        <f t="shared" si="1"/>
        <v>27</v>
      </c>
      <c r="H47" s="22">
        <v>12415718</v>
      </c>
      <c r="I47" s="216" t="s">
        <v>110</v>
      </c>
      <c r="J47" s="215" t="s">
        <v>25</v>
      </c>
      <c r="K47" s="214" t="s">
        <v>26</v>
      </c>
      <c r="L47" s="22">
        <v>99481799</v>
      </c>
      <c r="M47" s="26"/>
    </row>
    <row r="48" spans="1:13" s="79" customFormat="1" x14ac:dyDescent="0.25">
      <c r="A48" s="22">
        <v>3136</v>
      </c>
      <c r="B48" s="23" t="s">
        <v>20</v>
      </c>
      <c r="C48" s="24">
        <v>157.30000000000001</v>
      </c>
      <c r="D48" s="25">
        <v>0.3</v>
      </c>
      <c r="E48" s="25">
        <f t="shared" si="0"/>
        <v>47.190000000000005</v>
      </c>
      <c r="F48" s="25"/>
      <c r="G48" s="25">
        <f t="shared" si="1"/>
        <v>47.190000000000005</v>
      </c>
      <c r="H48" s="22">
        <v>183498</v>
      </c>
      <c r="I48" s="216" t="s">
        <v>21</v>
      </c>
      <c r="J48" s="215" t="s">
        <v>17</v>
      </c>
      <c r="K48" s="214" t="s">
        <v>18</v>
      </c>
      <c r="L48" s="22">
        <v>99481314</v>
      </c>
      <c r="M48" s="26"/>
    </row>
    <row r="49" spans="1:13" s="79" customFormat="1" x14ac:dyDescent="0.25">
      <c r="A49" s="22">
        <v>3178</v>
      </c>
      <c r="B49" s="23" t="s">
        <v>147</v>
      </c>
      <c r="C49" s="24">
        <v>582</v>
      </c>
      <c r="D49" s="25">
        <v>0.3</v>
      </c>
      <c r="E49" s="25">
        <f t="shared" si="0"/>
        <v>174.6</v>
      </c>
      <c r="F49" s="25"/>
      <c r="G49" s="25">
        <f t="shared" si="1"/>
        <v>174.6</v>
      </c>
      <c r="H49" s="22">
        <v>1511754</v>
      </c>
      <c r="I49" s="216" t="s">
        <v>148</v>
      </c>
      <c r="J49" s="26" t="s">
        <v>43</v>
      </c>
      <c r="K49" s="26" t="s">
        <v>44</v>
      </c>
      <c r="L49" s="22">
        <v>99495933</v>
      </c>
      <c r="M49" s="26"/>
    </row>
    <row r="50" spans="1:13" s="79" customFormat="1" x14ac:dyDescent="0.25">
      <c r="A50" s="22">
        <v>3199</v>
      </c>
      <c r="B50" s="23" t="s">
        <v>149</v>
      </c>
      <c r="C50" s="29"/>
      <c r="D50" s="25">
        <v>0.3</v>
      </c>
      <c r="E50" s="25">
        <f t="shared" si="0"/>
        <v>0</v>
      </c>
      <c r="F50" s="25"/>
      <c r="G50" s="25">
        <f t="shared" si="1"/>
        <v>0</v>
      </c>
      <c r="H50" s="22">
        <v>5168327</v>
      </c>
      <c r="I50" s="216" t="s">
        <v>150</v>
      </c>
      <c r="J50" s="215" t="s">
        <v>25</v>
      </c>
      <c r="K50" s="214" t="s">
        <v>26</v>
      </c>
      <c r="L50" s="22">
        <v>98066833</v>
      </c>
      <c r="M50" s="26"/>
    </row>
    <row r="51" spans="1:13" s="79" customFormat="1" x14ac:dyDescent="0.25">
      <c r="A51" s="22">
        <v>3200</v>
      </c>
      <c r="B51" s="23" t="s">
        <v>151</v>
      </c>
      <c r="C51" s="24">
        <v>96</v>
      </c>
      <c r="D51" s="25">
        <v>0.3</v>
      </c>
      <c r="E51" s="25">
        <f t="shared" si="0"/>
        <v>28.799999999999997</v>
      </c>
      <c r="F51" s="25"/>
      <c r="G51" s="25">
        <f t="shared" si="1"/>
        <v>28.799999999999997</v>
      </c>
      <c r="H51" s="34">
        <v>21947578</v>
      </c>
      <c r="I51" s="214" t="s">
        <v>152</v>
      </c>
      <c r="J51" s="215" t="s">
        <v>25</v>
      </c>
      <c r="K51" s="214" t="s">
        <v>26</v>
      </c>
      <c r="L51" s="22"/>
      <c r="M51" s="26"/>
    </row>
    <row r="52" spans="1:13" s="79" customFormat="1" x14ac:dyDescent="0.25">
      <c r="A52" s="22">
        <v>3201</v>
      </c>
      <c r="B52" s="23" t="s">
        <v>153</v>
      </c>
      <c r="C52" s="24">
        <v>49</v>
      </c>
      <c r="D52" s="25">
        <v>0.3</v>
      </c>
      <c r="E52" s="25">
        <f t="shared" si="0"/>
        <v>14.7</v>
      </c>
      <c r="F52" s="25"/>
      <c r="G52" s="25">
        <f t="shared" si="1"/>
        <v>14.7</v>
      </c>
      <c r="H52" s="22">
        <v>7048401</v>
      </c>
      <c r="I52" s="216" t="s">
        <v>154</v>
      </c>
      <c r="J52" s="26" t="s">
        <v>17</v>
      </c>
      <c r="K52" s="26" t="s">
        <v>18</v>
      </c>
      <c r="L52" s="22"/>
      <c r="M52" s="26"/>
    </row>
    <row r="53" spans="1:13" s="79" customFormat="1" x14ac:dyDescent="0.25">
      <c r="A53" s="22">
        <v>3202</v>
      </c>
      <c r="B53" s="23" t="s">
        <v>155</v>
      </c>
      <c r="C53" s="24">
        <v>50.9</v>
      </c>
      <c r="D53" s="25">
        <v>0.3</v>
      </c>
      <c r="E53" s="25">
        <f t="shared" si="0"/>
        <v>15.27</v>
      </c>
      <c r="F53" s="25"/>
      <c r="G53" s="25">
        <f t="shared" si="1"/>
        <v>15.27</v>
      </c>
      <c r="H53" s="22">
        <v>5197371</v>
      </c>
      <c r="I53" s="216" t="s">
        <v>156</v>
      </c>
      <c r="J53" s="215" t="s">
        <v>25</v>
      </c>
      <c r="K53" s="214" t="s">
        <v>26</v>
      </c>
      <c r="L53" s="22">
        <v>93889732</v>
      </c>
      <c r="M53" s="26"/>
    </row>
    <row r="54" spans="1:13" s="79" customFormat="1" x14ac:dyDescent="0.25">
      <c r="A54" s="22">
        <v>3203</v>
      </c>
      <c r="B54" s="23" t="s">
        <v>157</v>
      </c>
      <c r="C54" s="24">
        <v>117</v>
      </c>
      <c r="D54" s="25">
        <v>0.3</v>
      </c>
      <c r="E54" s="25">
        <f t="shared" si="0"/>
        <v>35.1</v>
      </c>
      <c r="F54" s="25"/>
      <c r="G54" s="25">
        <f t="shared" si="1"/>
        <v>35.1</v>
      </c>
      <c r="H54" s="22">
        <v>23215097</v>
      </c>
      <c r="I54" s="216" t="s">
        <v>158</v>
      </c>
      <c r="J54" s="215" t="s">
        <v>25</v>
      </c>
      <c r="K54" s="214" t="s">
        <v>26</v>
      </c>
      <c r="L54" s="22"/>
      <c r="M54" s="26"/>
    </row>
    <row r="55" spans="1:13" s="79" customFormat="1" x14ac:dyDescent="0.25">
      <c r="A55" s="22">
        <v>3204</v>
      </c>
      <c r="B55" s="23" t="s">
        <v>159</v>
      </c>
      <c r="C55" s="24">
        <v>105</v>
      </c>
      <c r="D55" s="25">
        <v>0.3</v>
      </c>
      <c r="E55" s="25">
        <f t="shared" si="0"/>
        <v>31.5</v>
      </c>
      <c r="F55" s="25"/>
      <c r="G55" s="25">
        <f t="shared" si="1"/>
        <v>31.5</v>
      </c>
      <c r="H55" s="22">
        <v>24958926</v>
      </c>
      <c r="I55" s="216" t="s">
        <v>160</v>
      </c>
      <c r="J55" s="215" t="s">
        <v>25</v>
      </c>
      <c r="K55" s="214" t="s">
        <v>26</v>
      </c>
      <c r="L55" s="22">
        <v>99312225</v>
      </c>
      <c r="M55" s="26"/>
    </row>
    <row r="56" spans="1:13" s="79" customFormat="1" x14ac:dyDescent="0.25">
      <c r="A56" s="22">
        <v>3207</v>
      </c>
      <c r="B56" s="23" t="s">
        <v>162</v>
      </c>
      <c r="C56" s="24">
        <v>215.3</v>
      </c>
      <c r="D56" s="25">
        <v>0.3</v>
      </c>
      <c r="E56" s="25">
        <f t="shared" si="0"/>
        <v>64.59</v>
      </c>
      <c r="F56" s="25"/>
      <c r="G56" s="25">
        <f t="shared" si="1"/>
        <v>64.59</v>
      </c>
      <c r="H56" s="22">
        <v>11940175</v>
      </c>
      <c r="I56" s="216" t="s">
        <v>163</v>
      </c>
      <c r="J56" s="215" t="s">
        <v>25</v>
      </c>
      <c r="K56" s="214" t="s">
        <v>26</v>
      </c>
      <c r="L56" s="22">
        <v>98138748</v>
      </c>
      <c r="M56" s="26"/>
    </row>
    <row r="57" spans="1:13" s="79" customFormat="1" x14ac:dyDescent="0.25">
      <c r="A57" s="22">
        <v>3208</v>
      </c>
      <c r="B57" s="23" t="s">
        <v>164</v>
      </c>
      <c r="C57" s="24">
        <v>149.1</v>
      </c>
      <c r="D57" s="25">
        <v>0.3</v>
      </c>
      <c r="E57" s="25">
        <f t="shared" si="0"/>
        <v>44.73</v>
      </c>
      <c r="F57" s="25"/>
      <c r="G57" s="25">
        <f t="shared" si="1"/>
        <v>44.73</v>
      </c>
      <c r="H57" s="22">
        <v>1742664</v>
      </c>
      <c r="I57" s="216" t="s">
        <v>165</v>
      </c>
      <c r="J57" s="26" t="s">
        <v>166</v>
      </c>
      <c r="K57" s="26" t="s">
        <v>129</v>
      </c>
      <c r="L57" s="22">
        <v>99482598</v>
      </c>
      <c r="M57" s="26"/>
    </row>
    <row r="58" spans="1:13" s="79" customFormat="1" x14ac:dyDescent="0.25">
      <c r="A58" s="22">
        <v>3209</v>
      </c>
      <c r="B58" s="23" t="s">
        <v>169</v>
      </c>
      <c r="C58" s="24">
        <v>101.1</v>
      </c>
      <c r="D58" s="25">
        <v>0.3</v>
      </c>
      <c r="E58" s="25">
        <f t="shared" si="0"/>
        <v>30.33</v>
      </c>
      <c r="F58" s="25"/>
      <c r="G58" s="25">
        <f t="shared" si="1"/>
        <v>30.33</v>
      </c>
      <c r="H58" s="22">
        <v>5634328</v>
      </c>
      <c r="I58" s="216" t="s">
        <v>170</v>
      </c>
      <c r="J58" s="215" t="s">
        <v>25</v>
      </c>
      <c r="K58" s="214" t="s">
        <v>26</v>
      </c>
      <c r="L58" s="22">
        <v>92283227</v>
      </c>
      <c r="M58" s="26"/>
    </row>
    <row r="59" spans="1:13" s="79" customFormat="1" x14ac:dyDescent="0.25">
      <c r="A59" s="22">
        <v>3210</v>
      </c>
      <c r="B59" s="23" t="s">
        <v>171</v>
      </c>
      <c r="C59" s="24">
        <v>191.4</v>
      </c>
      <c r="D59" s="25">
        <v>0.3</v>
      </c>
      <c r="E59" s="25">
        <f t="shared" si="0"/>
        <v>57.42</v>
      </c>
      <c r="F59" s="25"/>
      <c r="G59" s="25">
        <f t="shared" si="1"/>
        <v>57.42</v>
      </c>
      <c r="H59" s="22">
        <v>45419</v>
      </c>
      <c r="I59" s="216" t="s">
        <v>172</v>
      </c>
      <c r="J59" s="215" t="s">
        <v>25</v>
      </c>
      <c r="K59" s="214" t="s">
        <v>26</v>
      </c>
      <c r="L59" s="22">
        <v>90101070</v>
      </c>
      <c r="M59" s="26"/>
    </row>
    <row r="60" spans="1:13" s="79" customFormat="1" x14ac:dyDescent="0.25">
      <c r="A60" s="22">
        <v>3211</v>
      </c>
      <c r="B60" s="23" t="s">
        <v>173</v>
      </c>
      <c r="C60" s="29"/>
      <c r="D60" s="25">
        <v>0.3</v>
      </c>
      <c r="E60" s="25">
        <f t="shared" si="0"/>
        <v>0</v>
      </c>
      <c r="F60" s="25"/>
      <c r="G60" s="25">
        <f t="shared" si="1"/>
        <v>0</v>
      </c>
      <c r="H60" s="463">
        <v>9927207</v>
      </c>
      <c r="I60" s="460" t="s">
        <v>174</v>
      </c>
      <c r="J60" s="460" t="s">
        <v>17</v>
      </c>
      <c r="K60" s="460" t="s">
        <v>18</v>
      </c>
      <c r="L60" s="463"/>
      <c r="M60" s="62">
        <v>44986</v>
      </c>
    </row>
    <row r="61" spans="1:13" s="79" customFormat="1" x14ac:dyDescent="0.25">
      <c r="A61" s="22">
        <v>3212</v>
      </c>
      <c r="B61" s="23" t="s">
        <v>175</v>
      </c>
      <c r="C61" s="29"/>
      <c r="D61" s="25">
        <v>0.3</v>
      </c>
      <c r="E61" s="25">
        <f t="shared" si="0"/>
        <v>0</v>
      </c>
      <c r="F61" s="25"/>
      <c r="G61" s="25">
        <f t="shared" si="1"/>
        <v>0</v>
      </c>
      <c r="H61" s="22">
        <v>804443</v>
      </c>
      <c r="I61" s="216" t="s">
        <v>176</v>
      </c>
      <c r="J61" s="26" t="s">
        <v>121</v>
      </c>
      <c r="K61" s="26" t="s">
        <v>122</v>
      </c>
      <c r="L61" s="22">
        <v>99483202</v>
      </c>
      <c r="M61" s="26"/>
    </row>
    <row r="62" spans="1:13" s="79" customFormat="1" x14ac:dyDescent="0.25">
      <c r="A62" s="22">
        <v>3213</v>
      </c>
      <c r="B62" s="23" t="s">
        <v>177</v>
      </c>
      <c r="C62" s="29"/>
      <c r="D62" s="25">
        <v>0.3</v>
      </c>
      <c r="E62" s="25">
        <f t="shared" si="0"/>
        <v>0</v>
      </c>
      <c r="F62" s="25"/>
      <c r="G62" s="25">
        <f t="shared" si="1"/>
        <v>0</v>
      </c>
      <c r="H62" s="22">
        <v>2594336</v>
      </c>
      <c r="I62" s="216" t="s">
        <v>178</v>
      </c>
      <c r="J62" s="215" t="s">
        <v>25</v>
      </c>
      <c r="K62" s="214" t="s">
        <v>26</v>
      </c>
      <c r="L62" s="22">
        <v>71773005</v>
      </c>
      <c r="M62" s="26"/>
    </row>
    <row r="63" spans="1:13" s="79" customFormat="1" x14ac:dyDescent="0.25">
      <c r="A63" s="22">
        <v>3214</v>
      </c>
      <c r="B63" s="23" t="s">
        <v>179</v>
      </c>
      <c r="C63" s="29"/>
      <c r="D63" s="25">
        <v>0.3</v>
      </c>
      <c r="E63" s="25">
        <f t="shared" si="0"/>
        <v>0</v>
      </c>
      <c r="F63" s="25"/>
      <c r="G63" s="25">
        <f t="shared" si="1"/>
        <v>0</v>
      </c>
      <c r="H63" s="22">
        <v>5168262</v>
      </c>
      <c r="I63" s="216" t="s">
        <v>180</v>
      </c>
      <c r="J63" s="26" t="s">
        <v>17</v>
      </c>
      <c r="K63" s="26" t="s">
        <v>18</v>
      </c>
      <c r="L63" s="22">
        <v>99895383</v>
      </c>
      <c r="M63" s="26"/>
    </row>
    <row r="64" spans="1:13" s="79" customFormat="1" x14ac:dyDescent="0.25">
      <c r="A64" s="22">
        <v>3215</v>
      </c>
      <c r="B64" s="23" t="s">
        <v>181</v>
      </c>
      <c r="C64" s="29"/>
      <c r="D64" s="25">
        <v>0.3</v>
      </c>
      <c r="E64" s="25">
        <f t="shared" si="0"/>
        <v>0</v>
      </c>
      <c r="F64" s="25"/>
      <c r="G64" s="25">
        <f t="shared" si="1"/>
        <v>0</v>
      </c>
      <c r="H64" s="34">
        <v>11684091</v>
      </c>
      <c r="I64" s="214" t="s">
        <v>182</v>
      </c>
      <c r="J64" s="26" t="s">
        <v>17</v>
      </c>
      <c r="K64" s="26" t="s">
        <v>18</v>
      </c>
      <c r="L64" s="22"/>
      <c r="M64" s="62"/>
    </row>
    <row r="65" spans="1:13" s="79" customFormat="1" x14ac:dyDescent="0.25">
      <c r="A65" s="22">
        <v>3216</v>
      </c>
      <c r="B65" s="23" t="s">
        <v>23</v>
      </c>
      <c r="C65" s="24">
        <v>215.7</v>
      </c>
      <c r="D65" s="25">
        <v>0.3</v>
      </c>
      <c r="E65" s="25">
        <f t="shared" si="0"/>
        <v>64.709999999999994</v>
      </c>
      <c r="F65" s="25"/>
      <c r="G65" s="25">
        <f t="shared" si="1"/>
        <v>64.709999999999994</v>
      </c>
      <c r="H65" s="141">
        <v>18715567</v>
      </c>
      <c r="I65" s="480" t="s">
        <v>24</v>
      </c>
      <c r="J65" s="460" t="s">
        <v>25</v>
      </c>
      <c r="K65" s="480" t="s">
        <v>26</v>
      </c>
      <c r="L65" s="22">
        <v>77279900</v>
      </c>
      <c r="M65" s="62"/>
    </row>
    <row r="66" spans="1:13" s="79" customFormat="1" x14ac:dyDescent="0.25">
      <c r="A66" s="22">
        <v>3217</v>
      </c>
      <c r="B66" s="23" t="s">
        <v>183</v>
      </c>
      <c r="C66" s="24">
        <v>79.400000000000006</v>
      </c>
      <c r="D66" s="25">
        <v>0.3</v>
      </c>
      <c r="E66" s="25">
        <f t="shared" si="0"/>
        <v>23.82</v>
      </c>
      <c r="F66" s="25"/>
      <c r="G66" s="25">
        <f t="shared" si="1"/>
        <v>23.82</v>
      </c>
      <c r="H66" s="22">
        <v>1568196</v>
      </c>
      <c r="I66" s="216" t="s">
        <v>184</v>
      </c>
      <c r="J66" s="26" t="s">
        <v>134</v>
      </c>
      <c r="K66" s="214" t="s">
        <v>135</v>
      </c>
      <c r="L66" s="22">
        <v>99494635</v>
      </c>
      <c r="M66" s="26"/>
    </row>
    <row r="67" spans="1:13" s="79" customFormat="1" x14ac:dyDescent="0.25">
      <c r="A67" s="22">
        <v>3219</v>
      </c>
      <c r="B67" s="23" t="s">
        <v>185</v>
      </c>
      <c r="C67" s="29"/>
      <c r="D67" s="25">
        <v>0.3</v>
      </c>
      <c r="E67" s="25">
        <f t="shared" si="0"/>
        <v>0</v>
      </c>
      <c r="F67" s="25"/>
      <c r="G67" s="25">
        <f t="shared" si="1"/>
        <v>0</v>
      </c>
      <c r="H67" s="141">
        <v>12398617</v>
      </c>
      <c r="I67" s="480" t="s">
        <v>186</v>
      </c>
      <c r="J67" s="460" t="s">
        <v>25</v>
      </c>
      <c r="K67" s="480" t="s">
        <v>26</v>
      </c>
      <c r="L67" s="22"/>
      <c r="M67" s="26"/>
    </row>
    <row r="68" spans="1:13" s="79" customFormat="1" x14ac:dyDescent="0.25">
      <c r="A68" s="22">
        <v>3220</v>
      </c>
      <c r="B68" s="23" t="s">
        <v>187</v>
      </c>
      <c r="C68" s="24">
        <v>196</v>
      </c>
      <c r="D68" s="25">
        <v>0.3</v>
      </c>
      <c r="E68" s="25">
        <f t="shared" ref="E68:E131" si="2">D68*C68</f>
        <v>58.8</v>
      </c>
      <c r="F68" s="25"/>
      <c r="G68" s="25">
        <f t="shared" ref="G68:G131" si="3">E68-F68</f>
        <v>58.8</v>
      </c>
      <c r="H68" s="22">
        <v>5348311</v>
      </c>
      <c r="I68" s="216" t="s">
        <v>188</v>
      </c>
      <c r="J68" s="26" t="s">
        <v>17</v>
      </c>
      <c r="K68" s="26" t="s">
        <v>18</v>
      </c>
      <c r="L68" s="22">
        <v>96313636</v>
      </c>
      <c r="M68" s="26"/>
    </row>
    <row r="69" spans="1:13" s="79" customFormat="1" x14ac:dyDescent="0.25">
      <c r="A69" s="22">
        <v>3221</v>
      </c>
      <c r="B69" s="23" t="s">
        <v>189</v>
      </c>
      <c r="C69" s="29"/>
      <c r="D69" s="25">
        <v>0.3</v>
      </c>
      <c r="E69" s="25">
        <f t="shared" si="2"/>
        <v>0</v>
      </c>
      <c r="F69" s="25"/>
      <c r="G69" s="25">
        <f t="shared" si="3"/>
        <v>0</v>
      </c>
      <c r="H69" s="22">
        <v>13362673</v>
      </c>
      <c r="I69" s="216" t="s">
        <v>190</v>
      </c>
      <c r="J69" s="215" t="s">
        <v>25</v>
      </c>
      <c r="K69" s="214" t="s">
        <v>26</v>
      </c>
      <c r="L69" s="22">
        <v>92665337</v>
      </c>
      <c r="M69" s="26"/>
    </row>
    <row r="70" spans="1:13" s="79" customFormat="1" x14ac:dyDescent="0.25">
      <c r="A70" s="22">
        <v>3222</v>
      </c>
      <c r="B70" s="23" t="s">
        <v>191</v>
      </c>
      <c r="C70" s="29"/>
      <c r="D70" s="25">
        <v>0.3</v>
      </c>
      <c r="E70" s="25">
        <f t="shared" si="2"/>
        <v>0</v>
      </c>
      <c r="F70" s="25"/>
      <c r="G70" s="25">
        <f t="shared" si="3"/>
        <v>0</v>
      </c>
      <c r="H70" s="22">
        <v>18091329</v>
      </c>
      <c r="I70" s="216" t="s">
        <v>192</v>
      </c>
      <c r="J70" s="26" t="s">
        <v>17</v>
      </c>
      <c r="K70" s="26" t="s">
        <v>18</v>
      </c>
      <c r="L70" s="22">
        <v>92197820</v>
      </c>
      <c r="M70" s="26"/>
    </row>
    <row r="71" spans="1:13" s="79" customFormat="1" x14ac:dyDescent="0.25">
      <c r="A71" s="22">
        <v>3223</v>
      </c>
      <c r="B71" s="23" t="s">
        <v>193</v>
      </c>
      <c r="C71" s="24">
        <v>101.6</v>
      </c>
      <c r="D71" s="25">
        <v>0.3</v>
      </c>
      <c r="E71" s="25">
        <f t="shared" si="2"/>
        <v>30.479999999999997</v>
      </c>
      <c r="F71" s="25"/>
      <c r="G71" s="25">
        <f t="shared" si="3"/>
        <v>30.479999999999997</v>
      </c>
      <c r="H71" s="22">
        <v>5334914</v>
      </c>
      <c r="I71" s="216" t="s">
        <v>194</v>
      </c>
      <c r="J71" s="26" t="s">
        <v>134</v>
      </c>
      <c r="K71" s="214" t="s">
        <v>135</v>
      </c>
      <c r="L71" s="22">
        <v>98800996</v>
      </c>
      <c r="M71" s="26"/>
    </row>
    <row r="72" spans="1:13" s="79" customFormat="1" x14ac:dyDescent="0.25">
      <c r="A72" s="22">
        <v>3224</v>
      </c>
      <c r="B72" s="23" t="s">
        <v>195</v>
      </c>
      <c r="C72" s="29"/>
      <c r="D72" s="25">
        <v>0.3</v>
      </c>
      <c r="E72" s="25">
        <f t="shared" si="2"/>
        <v>0</v>
      </c>
      <c r="F72" s="25"/>
      <c r="G72" s="25">
        <f t="shared" si="3"/>
        <v>0</v>
      </c>
      <c r="H72" s="22">
        <v>2066756</v>
      </c>
      <c r="I72" s="477" t="s">
        <v>196</v>
      </c>
      <c r="J72" s="26" t="s">
        <v>25</v>
      </c>
      <c r="K72" s="214" t="s">
        <v>26</v>
      </c>
      <c r="L72" s="22">
        <v>95316025</v>
      </c>
      <c r="M72" s="26"/>
    </row>
    <row r="73" spans="1:13" s="79" customFormat="1" x14ac:dyDescent="0.25">
      <c r="A73" s="22">
        <v>3225</v>
      </c>
      <c r="B73" s="23" t="s">
        <v>197</v>
      </c>
      <c r="C73" s="24">
        <v>60.9</v>
      </c>
      <c r="D73" s="25">
        <v>0.3</v>
      </c>
      <c r="E73" s="25">
        <f t="shared" si="2"/>
        <v>18.27</v>
      </c>
      <c r="F73" s="25"/>
      <c r="G73" s="25">
        <f t="shared" si="3"/>
        <v>18.27</v>
      </c>
      <c r="H73" s="141">
        <v>798637</v>
      </c>
      <c r="I73" s="480" t="s">
        <v>198</v>
      </c>
      <c r="J73" s="460" t="s">
        <v>25</v>
      </c>
      <c r="K73" s="480" t="s">
        <v>26</v>
      </c>
      <c r="L73" s="22"/>
      <c r="M73" s="26"/>
    </row>
    <row r="74" spans="1:13" s="79" customFormat="1" x14ac:dyDescent="0.25">
      <c r="A74" s="22">
        <v>3227</v>
      </c>
      <c r="B74" s="23" t="s">
        <v>790</v>
      </c>
      <c r="C74" s="24">
        <v>40.200000000000003</v>
      </c>
      <c r="D74" s="25">
        <v>0.3</v>
      </c>
      <c r="E74" s="25">
        <f t="shared" si="2"/>
        <v>12.06</v>
      </c>
      <c r="F74" s="25"/>
      <c r="G74" s="25">
        <f t="shared" si="3"/>
        <v>12.06</v>
      </c>
      <c r="H74" s="141">
        <v>15214649</v>
      </c>
      <c r="I74" s="479" t="s">
        <v>199</v>
      </c>
      <c r="J74" s="460" t="s">
        <v>25</v>
      </c>
      <c r="K74" s="480" t="s">
        <v>26</v>
      </c>
      <c r="L74" s="22">
        <v>92171914</v>
      </c>
      <c r="M74" s="26"/>
    </row>
    <row r="75" spans="1:13" s="79" customFormat="1" x14ac:dyDescent="0.25">
      <c r="A75" s="22">
        <v>3228</v>
      </c>
      <c r="B75" s="23" t="s">
        <v>200</v>
      </c>
      <c r="C75" s="24">
        <v>131</v>
      </c>
      <c r="D75" s="25">
        <v>0.3</v>
      </c>
      <c r="E75" s="25">
        <f t="shared" si="2"/>
        <v>39.299999999999997</v>
      </c>
      <c r="F75" s="25"/>
      <c r="G75" s="25">
        <f t="shared" si="3"/>
        <v>39.299999999999997</v>
      </c>
      <c r="H75" s="22">
        <v>1307775</v>
      </c>
      <c r="I75" s="216" t="s">
        <v>201</v>
      </c>
      <c r="J75" s="26" t="s">
        <v>17</v>
      </c>
      <c r="K75" s="26" t="s">
        <v>18</v>
      </c>
      <c r="L75" s="22">
        <v>99484101</v>
      </c>
      <c r="M75" s="26"/>
    </row>
    <row r="76" spans="1:13" s="79" customFormat="1" x14ac:dyDescent="0.25">
      <c r="A76" s="22">
        <v>3229</v>
      </c>
      <c r="B76" s="23" t="s">
        <v>202</v>
      </c>
      <c r="C76" s="24">
        <v>110</v>
      </c>
      <c r="D76" s="25">
        <v>0.3</v>
      </c>
      <c r="E76" s="25">
        <f t="shared" si="2"/>
        <v>33</v>
      </c>
      <c r="F76" s="25"/>
      <c r="G76" s="25">
        <f t="shared" si="3"/>
        <v>33</v>
      </c>
      <c r="H76" s="22">
        <v>6370978</v>
      </c>
      <c r="I76" s="216" t="s">
        <v>203</v>
      </c>
      <c r="J76" s="215" t="s">
        <v>25</v>
      </c>
      <c r="K76" s="214" t="s">
        <v>26</v>
      </c>
      <c r="L76" s="22">
        <v>99485611</v>
      </c>
      <c r="M76" s="26"/>
    </row>
    <row r="77" spans="1:13" s="79" customFormat="1" x14ac:dyDescent="0.25">
      <c r="A77" s="22">
        <v>3230</v>
      </c>
      <c r="B77" s="23" t="s">
        <v>204</v>
      </c>
      <c r="C77" s="24">
        <v>21</v>
      </c>
      <c r="D77" s="25">
        <v>0.3</v>
      </c>
      <c r="E77" s="25">
        <f t="shared" si="2"/>
        <v>6.3</v>
      </c>
      <c r="F77" s="25"/>
      <c r="G77" s="25">
        <f t="shared" si="3"/>
        <v>6.3</v>
      </c>
      <c r="H77" s="22">
        <v>1968755</v>
      </c>
      <c r="I77" s="214" t="s">
        <v>205</v>
      </c>
      <c r="J77" s="215" t="s">
        <v>25</v>
      </c>
      <c r="K77" s="214" t="s">
        <v>26</v>
      </c>
      <c r="L77" s="22"/>
      <c r="M77" s="26"/>
    </row>
    <row r="78" spans="1:13" s="79" customFormat="1" x14ac:dyDescent="0.25">
      <c r="A78" s="22">
        <v>3231</v>
      </c>
      <c r="B78" s="23" t="s">
        <v>206</v>
      </c>
      <c r="C78" s="29"/>
      <c r="D78" s="25">
        <v>0.3</v>
      </c>
      <c r="E78" s="25">
        <f t="shared" si="2"/>
        <v>0</v>
      </c>
      <c r="F78" s="25"/>
      <c r="G78" s="25">
        <f t="shared" si="3"/>
        <v>0</v>
      </c>
      <c r="H78" s="22">
        <v>6203903</v>
      </c>
      <c r="I78" s="216" t="s">
        <v>207</v>
      </c>
      <c r="J78" s="26" t="s">
        <v>17</v>
      </c>
      <c r="K78" s="26" t="s">
        <v>18</v>
      </c>
      <c r="L78" s="22">
        <v>92535588</v>
      </c>
      <c r="M78" s="26"/>
    </row>
    <row r="79" spans="1:13" s="79" customFormat="1" x14ac:dyDescent="0.25">
      <c r="A79" s="22">
        <v>3232</v>
      </c>
      <c r="B79" s="23" t="s">
        <v>208</v>
      </c>
      <c r="C79" s="24">
        <v>59</v>
      </c>
      <c r="D79" s="25">
        <v>0.3</v>
      </c>
      <c r="E79" s="25">
        <f t="shared" si="2"/>
        <v>17.7</v>
      </c>
      <c r="F79" s="25"/>
      <c r="G79" s="25">
        <f t="shared" si="3"/>
        <v>17.7</v>
      </c>
      <c r="H79" s="22">
        <v>6387264</v>
      </c>
      <c r="I79" s="480" t="s">
        <v>209</v>
      </c>
      <c r="J79" s="215" t="s">
        <v>210</v>
      </c>
      <c r="K79" s="480" t="s">
        <v>211</v>
      </c>
      <c r="L79" s="22">
        <v>96661076</v>
      </c>
      <c r="M79" s="26"/>
    </row>
    <row r="80" spans="1:13" s="79" customFormat="1" x14ac:dyDescent="0.25">
      <c r="A80" s="22">
        <v>3234</v>
      </c>
      <c r="B80" s="23" t="s">
        <v>212</v>
      </c>
      <c r="C80" s="29"/>
      <c r="D80" s="25">
        <v>0.3</v>
      </c>
      <c r="E80" s="25">
        <f t="shared" si="2"/>
        <v>0</v>
      </c>
      <c r="F80" s="25"/>
      <c r="G80" s="25">
        <f t="shared" si="3"/>
        <v>0</v>
      </c>
      <c r="H80" s="22">
        <v>21834239</v>
      </c>
      <c r="I80" s="216" t="s">
        <v>213</v>
      </c>
      <c r="J80" s="215" t="s">
        <v>25</v>
      </c>
      <c r="K80" s="214" t="s">
        <v>26</v>
      </c>
      <c r="L80" s="22">
        <v>98135444</v>
      </c>
      <c r="M80" s="26"/>
    </row>
    <row r="81" spans="1:13" s="79" customFormat="1" x14ac:dyDescent="0.25">
      <c r="A81" s="22">
        <v>3235</v>
      </c>
      <c r="B81" s="23" t="s">
        <v>214</v>
      </c>
      <c r="C81" s="24">
        <v>184</v>
      </c>
      <c r="D81" s="25">
        <v>0.3</v>
      </c>
      <c r="E81" s="25">
        <f t="shared" si="2"/>
        <v>55.199999999999996</v>
      </c>
      <c r="F81" s="25"/>
      <c r="G81" s="25">
        <f t="shared" si="3"/>
        <v>55.199999999999996</v>
      </c>
      <c r="H81" s="22">
        <v>1234245</v>
      </c>
      <c r="I81" s="216" t="s">
        <v>215</v>
      </c>
      <c r="J81" s="26" t="s">
        <v>75</v>
      </c>
      <c r="K81" s="214" t="s">
        <v>76</v>
      </c>
      <c r="L81" s="22">
        <v>99487759</v>
      </c>
      <c r="M81" s="26"/>
    </row>
    <row r="82" spans="1:13" s="79" customFormat="1" x14ac:dyDescent="0.25">
      <c r="A82" s="22">
        <v>3236</v>
      </c>
      <c r="B82" s="23" t="s">
        <v>216</v>
      </c>
      <c r="C82" s="29"/>
      <c r="D82" s="25">
        <v>0.3</v>
      </c>
      <c r="E82" s="25">
        <f t="shared" si="2"/>
        <v>0</v>
      </c>
      <c r="F82" s="25"/>
      <c r="G82" s="25">
        <f t="shared" si="3"/>
        <v>0</v>
      </c>
      <c r="H82" s="141">
        <v>6733333</v>
      </c>
      <c r="I82" s="480" t="s">
        <v>217</v>
      </c>
      <c r="J82" s="215" t="s">
        <v>25</v>
      </c>
      <c r="K82" s="480" t="s">
        <v>26</v>
      </c>
      <c r="L82" s="22"/>
      <c r="M82" s="53"/>
    </row>
    <row r="83" spans="1:13" s="79" customFormat="1" x14ac:dyDescent="0.25">
      <c r="A83" s="22">
        <v>3237</v>
      </c>
      <c r="B83" s="23" t="s">
        <v>218</v>
      </c>
      <c r="C83" s="24">
        <v>31</v>
      </c>
      <c r="D83" s="25">
        <v>0.3</v>
      </c>
      <c r="E83" s="25">
        <f t="shared" si="2"/>
        <v>9.2999999999999989</v>
      </c>
      <c r="F83" s="25"/>
      <c r="G83" s="25">
        <f t="shared" si="3"/>
        <v>9.2999999999999989</v>
      </c>
      <c r="H83" s="22">
        <v>873637</v>
      </c>
      <c r="I83" s="214" t="s">
        <v>219</v>
      </c>
      <c r="J83" s="26" t="s">
        <v>43</v>
      </c>
      <c r="K83" s="214" t="s">
        <v>44</v>
      </c>
      <c r="L83" s="22">
        <v>97659667</v>
      </c>
      <c r="M83" s="26"/>
    </row>
    <row r="84" spans="1:13" s="79" customFormat="1" x14ac:dyDescent="0.25">
      <c r="A84" s="22">
        <v>3238</v>
      </c>
      <c r="B84" s="23" t="s">
        <v>220</v>
      </c>
      <c r="C84" s="24">
        <v>58.1</v>
      </c>
      <c r="D84" s="25">
        <v>0.3</v>
      </c>
      <c r="E84" s="25">
        <f t="shared" si="2"/>
        <v>17.43</v>
      </c>
      <c r="F84" s="25"/>
      <c r="G84" s="25">
        <f t="shared" si="3"/>
        <v>17.43</v>
      </c>
      <c r="H84" s="141">
        <v>5361082</v>
      </c>
      <c r="I84" s="479" t="s">
        <v>221</v>
      </c>
      <c r="J84" s="460" t="s">
        <v>25</v>
      </c>
      <c r="K84" s="480" t="s">
        <v>26</v>
      </c>
      <c r="L84" s="22"/>
      <c r="M84" s="62">
        <v>44621</v>
      </c>
    </row>
    <row r="85" spans="1:13" s="79" customFormat="1" x14ac:dyDescent="0.25">
      <c r="A85" s="22">
        <v>3239</v>
      </c>
      <c r="B85" s="23" t="s">
        <v>222</v>
      </c>
      <c r="C85" s="29"/>
      <c r="D85" s="25">
        <v>0.3</v>
      </c>
      <c r="E85" s="25">
        <f t="shared" si="2"/>
        <v>0</v>
      </c>
      <c r="F85" s="25"/>
      <c r="G85" s="25">
        <f t="shared" si="3"/>
        <v>0</v>
      </c>
      <c r="H85" s="22">
        <v>14379226</v>
      </c>
      <c r="I85" s="216" t="s">
        <v>223</v>
      </c>
      <c r="J85" s="215" t="s">
        <v>25</v>
      </c>
      <c r="K85" s="214" t="s">
        <v>26</v>
      </c>
      <c r="L85" s="22">
        <v>92385524</v>
      </c>
      <c r="M85" s="26"/>
    </row>
    <row r="86" spans="1:13" s="79" customFormat="1" x14ac:dyDescent="0.25">
      <c r="A86" s="22">
        <v>3240</v>
      </c>
      <c r="B86" s="23" t="s">
        <v>224</v>
      </c>
      <c r="C86" s="24">
        <v>108</v>
      </c>
      <c r="D86" s="25">
        <v>0.3</v>
      </c>
      <c r="E86" s="25">
        <f t="shared" si="2"/>
        <v>32.4</v>
      </c>
      <c r="F86" s="25"/>
      <c r="G86" s="25">
        <f t="shared" si="3"/>
        <v>32.4</v>
      </c>
      <c r="H86" s="22">
        <v>5622856</v>
      </c>
      <c r="I86" s="216" t="s">
        <v>225</v>
      </c>
      <c r="J86" s="26" t="s">
        <v>134</v>
      </c>
      <c r="K86" s="214" t="s">
        <v>135</v>
      </c>
      <c r="L86" s="22">
        <v>92400553</v>
      </c>
      <c r="M86" s="26"/>
    </row>
    <row r="87" spans="1:13" s="79" customFormat="1" x14ac:dyDescent="0.25">
      <c r="A87" s="22">
        <v>3241</v>
      </c>
      <c r="B87" s="23" t="s">
        <v>227</v>
      </c>
      <c r="C87" s="24">
        <v>60</v>
      </c>
      <c r="D87" s="25">
        <v>0.3</v>
      </c>
      <c r="E87" s="25">
        <f t="shared" si="2"/>
        <v>18</v>
      </c>
      <c r="F87" s="25"/>
      <c r="G87" s="25">
        <f t="shared" si="3"/>
        <v>18</v>
      </c>
      <c r="H87" s="22">
        <v>21125518</v>
      </c>
      <c r="I87" s="216" t="s">
        <v>228</v>
      </c>
      <c r="J87" s="215" t="s">
        <v>25</v>
      </c>
      <c r="K87" s="214" t="s">
        <v>26</v>
      </c>
      <c r="L87" s="22">
        <v>99508853</v>
      </c>
      <c r="M87" s="26"/>
    </row>
    <row r="88" spans="1:13" s="79" customFormat="1" x14ac:dyDescent="0.25">
      <c r="A88" s="22">
        <v>3243</v>
      </c>
      <c r="B88" s="23" t="s">
        <v>229</v>
      </c>
      <c r="C88" s="24">
        <v>59.2</v>
      </c>
      <c r="D88" s="25">
        <v>0.3</v>
      </c>
      <c r="E88" s="25">
        <f t="shared" si="2"/>
        <v>17.760000000000002</v>
      </c>
      <c r="F88" s="25"/>
      <c r="G88" s="25">
        <f t="shared" si="3"/>
        <v>17.760000000000002</v>
      </c>
      <c r="H88" s="22">
        <v>25887256</v>
      </c>
      <c r="I88" s="216" t="s">
        <v>230</v>
      </c>
      <c r="J88" s="215" t="s">
        <v>25</v>
      </c>
      <c r="K88" s="214" t="s">
        <v>26</v>
      </c>
      <c r="L88" s="22">
        <v>93271871</v>
      </c>
      <c r="M88" s="26"/>
    </row>
    <row r="89" spans="1:13" s="79" customFormat="1" x14ac:dyDescent="0.25">
      <c r="A89" s="22">
        <v>3244</v>
      </c>
      <c r="B89" s="23" t="s">
        <v>232</v>
      </c>
      <c r="C89" s="24">
        <v>54</v>
      </c>
      <c r="D89" s="25">
        <v>0.3</v>
      </c>
      <c r="E89" s="25">
        <f t="shared" si="2"/>
        <v>16.2</v>
      </c>
      <c r="F89" s="25"/>
      <c r="G89" s="25">
        <f t="shared" si="3"/>
        <v>16.2</v>
      </c>
      <c r="H89" s="22">
        <v>19340943</v>
      </c>
      <c r="I89" s="216" t="s">
        <v>233</v>
      </c>
      <c r="J89" s="215" t="s">
        <v>25</v>
      </c>
      <c r="K89" s="214" t="s">
        <v>26</v>
      </c>
      <c r="L89" s="22">
        <v>92594446</v>
      </c>
      <c r="M89" s="26"/>
    </row>
    <row r="90" spans="1:13" s="79" customFormat="1" x14ac:dyDescent="0.25">
      <c r="A90" s="22">
        <v>3245</v>
      </c>
      <c r="B90" s="23" t="s">
        <v>234</v>
      </c>
      <c r="C90" s="29"/>
      <c r="D90" s="25">
        <v>0.3</v>
      </c>
      <c r="E90" s="25">
        <f t="shared" si="2"/>
        <v>0</v>
      </c>
      <c r="F90" s="25"/>
      <c r="G90" s="25">
        <f t="shared" si="3"/>
        <v>0</v>
      </c>
      <c r="H90" s="80" t="s">
        <v>235</v>
      </c>
      <c r="I90" s="214" t="s">
        <v>236</v>
      </c>
      <c r="J90" s="26" t="s">
        <v>43</v>
      </c>
      <c r="K90" s="214" t="s">
        <v>44</v>
      </c>
      <c r="L90" s="22">
        <v>99699068</v>
      </c>
      <c r="M90" s="26"/>
    </row>
    <row r="91" spans="1:13" s="79" customFormat="1" x14ac:dyDescent="0.25">
      <c r="A91" s="22">
        <v>3246</v>
      </c>
      <c r="B91" s="23" t="s">
        <v>237</v>
      </c>
      <c r="C91" s="24">
        <v>91.3</v>
      </c>
      <c r="D91" s="25">
        <v>0.3</v>
      </c>
      <c r="E91" s="25">
        <f t="shared" si="2"/>
        <v>27.389999999999997</v>
      </c>
      <c r="F91" s="25"/>
      <c r="G91" s="25">
        <f t="shared" si="3"/>
        <v>27.389999999999997</v>
      </c>
      <c r="H91" s="22">
        <v>662648</v>
      </c>
      <c r="I91" s="216" t="s">
        <v>238</v>
      </c>
      <c r="J91" s="215" t="s">
        <v>25</v>
      </c>
      <c r="K91" s="214" t="s">
        <v>26</v>
      </c>
      <c r="L91" s="22">
        <v>99498382</v>
      </c>
      <c r="M91" s="26"/>
    </row>
    <row r="92" spans="1:13" s="79" customFormat="1" x14ac:dyDescent="0.25">
      <c r="A92" s="22">
        <v>3247</v>
      </c>
      <c r="B92" s="23" t="s">
        <v>239</v>
      </c>
      <c r="C92" s="24">
        <v>89.5</v>
      </c>
      <c r="D92" s="25">
        <v>0.3</v>
      </c>
      <c r="E92" s="25">
        <f t="shared" si="2"/>
        <v>26.849999999999998</v>
      </c>
      <c r="F92" s="25"/>
      <c r="G92" s="25">
        <f t="shared" si="3"/>
        <v>26.849999999999998</v>
      </c>
      <c r="H92" s="22">
        <v>6457783</v>
      </c>
      <c r="I92" s="214" t="s">
        <v>240</v>
      </c>
      <c r="J92" s="215" t="s">
        <v>25</v>
      </c>
      <c r="K92" s="214" t="s">
        <v>26</v>
      </c>
      <c r="L92" s="22">
        <v>92594442</v>
      </c>
      <c r="M92" s="26"/>
    </row>
    <row r="93" spans="1:13" s="79" customFormat="1" x14ac:dyDescent="0.25">
      <c r="A93" s="22">
        <v>3248</v>
      </c>
      <c r="B93" s="23" t="s">
        <v>241</v>
      </c>
      <c r="C93" s="24">
        <v>87.4</v>
      </c>
      <c r="D93" s="25">
        <v>0.3</v>
      </c>
      <c r="E93" s="25">
        <f t="shared" si="2"/>
        <v>26.220000000000002</v>
      </c>
      <c r="F93" s="25"/>
      <c r="G93" s="25">
        <f t="shared" si="3"/>
        <v>26.220000000000002</v>
      </c>
      <c r="H93" s="22">
        <v>18811851</v>
      </c>
      <c r="I93" s="216" t="s">
        <v>242</v>
      </c>
      <c r="J93" s="215" t="s">
        <v>25</v>
      </c>
      <c r="K93" s="214" t="s">
        <v>26</v>
      </c>
      <c r="L93" s="22">
        <v>92597556</v>
      </c>
      <c r="M93" s="26"/>
    </row>
    <row r="94" spans="1:13" s="79" customFormat="1" x14ac:dyDescent="0.25">
      <c r="A94" s="22">
        <v>3249</v>
      </c>
      <c r="B94" s="23" t="s">
        <v>243</v>
      </c>
      <c r="C94" s="24">
        <v>156</v>
      </c>
      <c r="D94" s="25">
        <v>0.3</v>
      </c>
      <c r="E94" s="25">
        <f t="shared" si="2"/>
        <v>46.8</v>
      </c>
      <c r="F94" s="25"/>
      <c r="G94" s="25">
        <f t="shared" si="3"/>
        <v>46.8</v>
      </c>
      <c r="H94" s="22">
        <v>24540784</v>
      </c>
      <c r="I94" s="507" t="s">
        <v>244</v>
      </c>
      <c r="J94" s="26" t="s">
        <v>25</v>
      </c>
      <c r="K94" s="214" t="s">
        <v>26</v>
      </c>
      <c r="L94" s="22">
        <v>99693301</v>
      </c>
      <c r="M94" s="26"/>
    </row>
    <row r="95" spans="1:13" s="79" customFormat="1" x14ac:dyDescent="0.25">
      <c r="A95" s="22">
        <v>3251</v>
      </c>
      <c r="B95" s="23" t="s">
        <v>245</v>
      </c>
      <c r="C95" s="24">
        <v>116</v>
      </c>
      <c r="D95" s="25">
        <v>0.3</v>
      </c>
      <c r="E95" s="25">
        <f t="shared" si="2"/>
        <v>34.799999999999997</v>
      </c>
      <c r="F95" s="25"/>
      <c r="G95" s="25">
        <f t="shared" si="3"/>
        <v>34.799999999999997</v>
      </c>
      <c r="H95" s="22">
        <v>6420681</v>
      </c>
      <c r="I95" s="216" t="s">
        <v>246</v>
      </c>
      <c r="J95" s="215" t="s">
        <v>25</v>
      </c>
      <c r="K95" s="214" t="s">
        <v>26</v>
      </c>
      <c r="L95" s="22">
        <v>99588744</v>
      </c>
      <c r="M95" s="26"/>
    </row>
    <row r="96" spans="1:13" s="79" customFormat="1" x14ac:dyDescent="0.25">
      <c r="A96" s="22">
        <v>3252</v>
      </c>
      <c r="B96" s="23" t="s">
        <v>247</v>
      </c>
      <c r="C96" s="29"/>
      <c r="D96" s="25">
        <v>0.3</v>
      </c>
      <c r="E96" s="25">
        <f t="shared" si="2"/>
        <v>0</v>
      </c>
      <c r="F96" s="25"/>
      <c r="G96" s="25">
        <f t="shared" si="3"/>
        <v>0</v>
      </c>
      <c r="H96" s="22">
        <v>460074</v>
      </c>
      <c r="I96" s="507" t="s">
        <v>248</v>
      </c>
      <c r="J96" s="507" t="s">
        <v>25</v>
      </c>
      <c r="K96" s="214" t="s">
        <v>26</v>
      </c>
      <c r="L96" s="22">
        <v>99292354</v>
      </c>
      <c r="M96" s="507"/>
    </row>
    <row r="97" spans="1:13" s="79" customFormat="1" x14ac:dyDescent="0.25">
      <c r="A97" s="22">
        <v>3253</v>
      </c>
      <c r="B97" s="23" t="s">
        <v>249</v>
      </c>
      <c r="C97" s="24">
        <v>121.2</v>
      </c>
      <c r="D97" s="25">
        <v>0.3</v>
      </c>
      <c r="E97" s="25">
        <f t="shared" si="2"/>
        <v>36.36</v>
      </c>
      <c r="F97" s="25"/>
      <c r="G97" s="25">
        <f t="shared" si="3"/>
        <v>36.36</v>
      </c>
      <c r="H97" s="22">
        <v>25887589</v>
      </c>
      <c r="I97" s="216" t="s">
        <v>250</v>
      </c>
      <c r="J97" s="215" t="s">
        <v>25</v>
      </c>
      <c r="K97" s="214" t="s">
        <v>26</v>
      </c>
      <c r="L97" s="22">
        <v>93995997</v>
      </c>
      <c r="M97" s="26"/>
    </row>
    <row r="98" spans="1:13" s="79" customFormat="1" x14ac:dyDescent="0.25">
      <c r="A98" s="22">
        <v>3254</v>
      </c>
      <c r="B98" s="23" t="s">
        <v>251</v>
      </c>
      <c r="C98" s="24">
        <v>179.5</v>
      </c>
      <c r="D98" s="25">
        <v>0.3</v>
      </c>
      <c r="E98" s="25">
        <f t="shared" si="2"/>
        <v>53.85</v>
      </c>
      <c r="F98" s="25"/>
      <c r="G98" s="25">
        <f t="shared" si="3"/>
        <v>53.85</v>
      </c>
      <c r="H98" s="22">
        <v>6668983</v>
      </c>
      <c r="I98" s="216" t="s">
        <v>252</v>
      </c>
      <c r="J98" s="215" t="s">
        <v>25</v>
      </c>
      <c r="K98" s="214" t="s">
        <v>26</v>
      </c>
      <c r="L98" s="22">
        <v>92321002</v>
      </c>
      <c r="M98" s="26"/>
    </row>
    <row r="99" spans="1:13" s="79" customFormat="1" x14ac:dyDescent="0.25">
      <c r="A99" s="22">
        <v>3255</v>
      </c>
      <c r="B99" s="23" t="s">
        <v>253</v>
      </c>
      <c r="C99" s="24">
        <v>79.599999999999994</v>
      </c>
      <c r="D99" s="25">
        <v>0.3</v>
      </c>
      <c r="E99" s="25">
        <f t="shared" si="2"/>
        <v>23.88</v>
      </c>
      <c r="F99" s="25"/>
      <c r="G99" s="25">
        <f t="shared" si="3"/>
        <v>23.88</v>
      </c>
      <c r="H99" s="22">
        <v>5851949</v>
      </c>
      <c r="I99" s="214" t="s">
        <v>254</v>
      </c>
      <c r="J99" s="215" t="s">
        <v>75</v>
      </c>
      <c r="K99" s="214" t="s">
        <v>76</v>
      </c>
      <c r="L99" s="22"/>
      <c r="M99" s="26"/>
    </row>
    <row r="100" spans="1:13" s="79" customFormat="1" x14ac:dyDescent="0.25">
      <c r="A100" s="22">
        <v>3256</v>
      </c>
      <c r="B100" s="23" t="s">
        <v>255</v>
      </c>
      <c r="C100" s="24">
        <v>453</v>
      </c>
      <c r="D100" s="25">
        <v>0.3</v>
      </c>
      <c r="E100" s="25">
        <f t="shared" si="2"/>
        <v>135.9</v>
      </c>
      <c r="F100" s="25"/>
      <c r="G100" s="25">
        <f t="shared" si="3"/>
        <v>135.9</v>
      </c>
      <c r="H100" s="22">
        <v>6147152</v>
      </c>
      <c r="I100" s="216" t="s">
        <v>256</v>
      </c>
      <c r="J100" s="26" t="s">
        <v>257</v>
      </c>
      <c r="K100" s="214" t="s">
        <v>258</v>
      </c>
      <c r="L100" s="22">
        <v>99889778</v>
      </c>
      <c r="M100" s="26"/>
    </row>
    <row r="101" spans="1:13" s="79" customFormat="1" x14ac:dyDescent="0.25">
      <c r="A101" s="22">
        <v>3258</v>
      </c>
      <c r="B101" s="23" t="s">
        <v>259</v>
      </c>
      <c r="C101" s="29"/>
      <c r="D101" s="25">
        <v>0.3</v>
      </c>
      <c r="E101" s="25">
        <f t="shared" si="2"/>
        <v>0</v>
      </c>
      <c r="F101" s="25"/>
      <c r="G101" s="25">
        <f t="shared" si="3"/>
        <v>0</v>
      </c>
      <c r="H101" s="22">
        <v>15335306</v>
      </c>
      <c r="I101" s="216" t="s">
        <v>260</v>
      </c>
      <c r="J101" s="26" t="s">
        <v>75</v>
      </c>
      <c r="K101" s="214" t="s">
        <v>76</v>
      </c>
      <c r="L101" s="22">
        <v>99772646</v>
      </c>
      <c r="M101" s="26"/>
    </row>
    <row r="102" spans="1:13" s="79" customFormat="1" x14ac:dyDescent="0.25">
      <c r="A102" s="22">
        <v>3260</v>
      </c>
      <c r="B102" s="23" t="s">
        <v>261</v>
      </c>
      <c r="C102" s="29"/>
      <c r="D102" s="25">
        <v>0.3</v>
      </c>
      <c r="E102" s="25">
        <f t="shared" si="2"/>
        <v>0</v>
      </c>
      <c r="F102" s="25"/>
      <c r="G102" s="25">
        <f t="shared" si="3"/>
        <v>0</v>
      </c>
      <c r="H102" s="22">
        <v>19361936</v>
      </c>
      <c r="I102" s="480" t="s">
        <v>262</v>
      </c>
      <c r="J102" s="26" t="s">
        <v>25</v>
      </c>
      <c r="K102" s="480" t="s">
        <v>26</v>
      </c>
      <c r="L102" s="22">
        <v>99550633</v>
      </c>
      <c r="M102" s="26"/>
    </row>
    <row r="103" spans="1:13" s="79" customFormat="1" x14ac:dyDescent="0.25">
      <c r="A103" s="22">
        <v>3261</v>
      </c>
      <c r="B103" s="23" t="s">
        <v>263</v>
      </c>
      <c r="C103" s="24">
        <v>71.2</v>
      </c>
      <c r="D103" s="25">
        <v>0.3</v>
      </c>
      <c r="E103" s="25">
        <f t="shared" si="2"/>
        <v>21.36</v>
      </c>
      <c r="F103" s="25"/>
      <c r="G103" s="25">
        <f t="shared" si="3"/>
        <v>21.36</v>
      </c>
      <c r="H103" s="22">
        <v>8124516</v>
      </c>
      <c r="I103" s="216" t="s">
        <v>264</v>
      </c>
      <c r="J103" s="215" t="s">
        <v>25</v>
      </c>
      <c r="K103" s="214" t="s">
        <v>26</v>
      </c>
      <c r="L103" s="22">
        <v>92661167</v>
      </c>
      <c r="M103" s="26"/>
    </row>
    <row r="104" spans="1:13" s="537" customFormat="1" x14ac:dyDescent="0.25">
      <c r="A104" s="140">
        <v>3262</v>
      </c>
      <c r="B104" s="532" t="s">
        <v>265</v>
      </c>
      <c r="C104" s="24">
        <v>78.400000000000006</v>
      </c>
      <c r="D104" s="25">
        <v>0.3</v>
      </c>
      <c r="E104" s="533">
        <f t="shared" si="2"/>
        <v>23.52</v>
      </c>
      <c r="F104" s="533"/>
      <c r="G104" s="25">
        <f t="shared" si="3"/>
        <v>23.52</v>
      </c>
      <c r="H104" s="140">
        <v>1483142</v>
      </c>
      <c r="I104" s="477" t="s">
        <v>266</v>
      </c>
      <c r="J104" s="538" t="s">
        <v>43</v>
      </c>
      <c r="K104" s="507" t="s">
        <v>44</v>
      </c>
      <c r="L104" s="140">
        <v>99499613</v>
      </c>
      <c r="M104" s="538"/>
    </row>
    <row r="105" spans="1:13" s="79" customFormat="1" x14ac:dyDescent="0.25">
      <c r="A105" s="22">
        <v>3263</v>
      </c>
      <c r="B105" s="23" t="s">
        <v>267</v>
      </c>
      <c r="C105" s="24">
        <v>66.400000000000006</v>
      </c>
      <c r="D105" s="25">
        <v>0.3</v>
      </c>
      <c r="E105" s="25">
        <f t="shared" si="2"/>
        <v>19.920000000000002</v>
      </c>
      <c r="F105" s="25"/>
      <c r="G105" s="25">
        <f t="shared" si="3"/>
        <v>19.920000000000002</v>
      </c>
      <c r="H105" s="22">
        <v>986981</v>
      </c>
      <c r="I105" s="214" t="s">
        <v>268</v>
      </c>
      <c r="J105" s="26" t="s">
        <v>75</v>
      </c>
      <c r="K105" s="214" t="s">
        <v>76</v>
      </c>
      <c r="L105" s="22">
        <v>99667979</v>
      </c>
      <c r="M105" s="26"/>
    </row>
    <row r="106" spans="1:13" s="79" customFormat="1" x14ac:dyDescent="0.25">
      <c r="A106" s="22">
        <v>3266</v>
      </c>
      <c r="B106" s="23" t="s">
        <v>269</v>
      </c>
      <c r="C106" s="24">
        <v>179</v>
      </c>
      <c r="D106" s="25">
        <v>0.3</v>
      </c>
      <c r="E106" s="25">
        <f t="shared" si="2"/>
        <v>53.699999999999996</v>
      </c>
      <c r="F106" s="25"/>
      <c r="G106" s="25">
        <f t="shared" si="3"/>
        <v>53.699999999999996</v>
      </c>
      <c r="H106" s="22">
        <v>25891616</v>
      </c>
      <c r="I106" s="216" t="s">
        <v>270</v>
      </c>
      <c r="J106" s="215" t="s">
        <v>25</v>
      </c>
      <c r="K106" s="214" t="s">
        <v>26</v>
      </c>
      <c r="L106" s="22">
        <v>99157779</v>
      </c>
      <c r="M106" s="26"/>
    </row>
    <row r="107" spans="1:13" s="79" customFormat="1" x14ac:dyDescent="0.25">
      <c r="A107" s="22">
        <v>3268</v>
      </c>
      <c r="B107" s="23" t="s">
        <v>271</v>
      </c>
      <c r="C107" s="24">
        <v>157.1</v>
      </c>
      <c r="D107" s="25">
        <v>0.3</v>
      </c>
      <c r="E107" s="25">
        <f t="shared" si="2"/>
        <v>47.129999999999995</v>
      </c>
      <c r="F107" s="25"/>
      <c r="G107" s="25">
        <f t="shared" si="3"/>
        <v>47.129999999999995</v>
      </c>
      <c r="H107" s="141">
        <v>22373123</v>
      </c>
      <c r="I107" s="480" t="s">
        <v>272</v>
      </c>
      <c r="J107" s="460" t="s">
        <v>25</v>
      </c>
      <c r="K107" s="480" t="s">
        <v>26</v>
      </c>
      <c r="L107" s="22"/>
      <c r="M107" s="26"/>
    </row>
    <row r="108" spans="1:13" s="79" customFormat="1" x14ac:dyDescent="0.25">
      <c r="A108" s="22">
        <v>3269</v>
      </c>
      <c r="B108" s="23" t="s">
        <v>273</v>
      </c>
      <c r="C108" s="29"/>
      <c r="D108" s="25">
        <v>0.3</v>
      </c>
      <c r="E108" s="25">
        <f t="shared" si="2"/>
        <v>0</v>
      </c>
      <c r="F108" s="25"/>
      <c r="G108" s="25">
        <f t="shared" si="3"/>
        <v>0</v>
      </c>
      <c r="H108" s="141">
        <v>14052947</v>
      </c>
      <c r="I108" s="480" t="s">
        <v>274</v>
      </c>
      <c r="J108" s="215" t="s">
        <v>210</v>
      </c>
      <c r="K108" s="480" t="s">
        <v>211</v>
      </c>
      <c r="L108" s="22">
        <v>92203300</v>
      </c>
      <c r="M108" s="26"/>
    </row>
    <row r="109" spans="1:13" s="79" customFormat="1" x14ac:dyDescent="0.25">
      <c r="A109" s="22">
        <v>3270</v>
      </c>
      <c r="B109" s="23" t="s">
        <v>275</v>
      </c>
      <c r="C109" s="29"/>
      <c r="D109" s="25">
        <v>0.3</v>
      </c>
      <c r="E109" s="25">
        <f t="shared" si="2"/>
        <v>0</v>
      </c>
      <c r="F109" s="25"/>
      <c r="G109" s="25">
        <f t="shared" si="3"/>
        <v>0</v>
      </c>
      <c r="H109" s="22">
        <v>11242698</v>
      </c>
      <c r="I109" s="216" t="s">
        <v>276</v>
      </c>
      <c r="J109" s="26" t="s">
        <v>17</v>
      </c>
      <c r="K109" s="26" t="s">
        <v>18</v>
      </c>
      <c r="L109" s="22">
        <v>93839955</v>
      </c>
      <c r="M109" s="26"/>
    </row>
    <row r="110" spans="1:13" s="79" customFormat="1" ht="13.9" customHeight="1" x14ac:dyDescent="0.25">
      <c r="A110" s="22">
        <v>3271</v>
      </c>
      <c r="B110" s="464" t="s">
        <v>277</v>
      </c>
      <c r="C110" s="29"/>
      <c r="D110" s="25">
        <v>0.3</v>
      </c>
      <c r="E110" s="25">
        <f t="shared" si="2"/>
        <v>0</v>
      </c>
      <c r="F110" s="25"/>
      <c r="G110" s="25">
        <f t="shared" si="3"/>
        <v>0</v>
      </c>
      <c r="H110" s="465">
        <v>24503986</v>
      </c>
      <c r="I110" s="536" t="s">
        <v>278</v>
      </c>
      <c r="J110" s="464" t="s">
        <v>17</v>
      </c>
      <c r="K110" s="481" t="s">
        <v>18</v>
      </c>
      <c r="L110" s="465">
        <v>92235243</v>
      </c>
      <c r="M110" s="466"/>
    </row>
    <row r="111" spans="1:13" s="79" customFormat="1" x14ac:dyDescent="0.25">
      <c r="A111" s="22">
        <v>3272</v>
      </c>
      <c r="B111" s="464" t="s">
        <v>279</v>
      </c>
      <c r="C111" s="24">
        <v>23.1</v>
      </c>
      <c r="D111" s="25">
        <v>0.3</v>
      </c>
      <c r="E111" s="25">
        <f t="shared" si="2"/>
        <v>6.9300000000000006</v>
      </c>
      <c r="F111" s="25"/>
      <c r="G111" s="25">
        <f t="shared" si="3"/>
        <v>6.9300000000000006</v>
      </c>
      <c r="H111" s="465">
        <v>22977225</v>
      </c>
      <c r="I111" s="475" t="s">
        <v>280</v>
      </c>
      <c r="J111" s="464" t="s">
        <v>25</v>
      </c>
      <c r="K111" s="481" t="s">
        <v>26</v>
      </c>
      <c r="L111" s="482"/>
      <c r="M111" s="466"/>
    </row>
    <row r="112" spans="1:13" s="79" customFormat="1" x14ac:dyDescent="0.25">
      <c r="A112" s="22">
        <v>3273</v>
      </c>
      <c r="B112" s="23" t="s">
        <v>281</v>
      </c>
      <c r="C112" s="24">
        <v>170.5</v>
      </c>
      <c r="D112" s="25">
        <v>0.3</v>
      </c>
      <c r="E112" s="25">
        <f t="shared" si="2"/>
        <v>51.15</v>
      </c>
      <c r="F112" s="25"/>
      <c r="G112" s="25">
        <f t="shared" si="3"/>
        <v>51.15</v>
      </c>
      <c r="H112" s="22">
        <v>7047221</v>
      </c>
      <c r="I112" s="216" t="s">
        <v>282</v>
      </c>
      <c r="J112" s="26" t="s">
        <v>17</v>
      </c>
      <c r="K112" s="26" t="s">
        <v>18</v>
      </c>
      <c r="L112" s="22">
        <v>92152241</v>
      </c>
      <c r="M112" s="26"/>
    </row>
    <row r="113" spans="1:13" s="79" customFormat="1" x14ac:dyDescent="0.25">
      <c r="A113" s="22">
        <v>3277</v>
      </c>
      <c r="B113" s="23" t="s">
        <v>283</v>
      </c>
      <c r="C113" s="24">
        <v>16</v>
      </c>
      <c r="D113" s="25">
        <v>0.3</v>
      </c>
      <c r="E113" s="25">
        <f t="shared" si="2"/>
        <v>4.8</v>
      </c>
      <c r="F113" s="25"/>
      <c r="G113" s="25">
        <f t="shared" si="3"/>
        <v>4.8</v>
      </c>
      <c r="H113" s="22">
        <v>14277741</v>
      </c>
      <c r="I113" s="216" t="s">
        <v>284</v>
      </c>
      <c r="J113" s="215" t="s">
        <v>25</v>
      </c>
      <c r="K113" s="214" t="s">
        <v>26</v>
      </c>
      <c r="L113" s="22">
        <v>92160872</v>
      </c>
      <c r="M113" s="26"/>
    </row>
    <row r="114" spans="1:13" s="79" customFormat="1" x14ac:dyDescent="0.25">
      <c r="A114" s="22">
        <v>3278</v>
      </c>
      <c r="B114" s="23" t="s">
        <v>285</v>
      </c>
      <c r="C114" s="29"/>
      <c r="D114" s="25">
        <v>0.3</v>
      </c>
      <c r="E114" s="25">
        <f t="shared" si="2"/>
        <v>0</v>
      </c>
      <c r="F114" s="25"/>
      <c r="G114" s="25">
        <f t="shared" si="3"/>
        <v>0</v>
      </c>
      <c r="H114" s="22">
        <v>27713998</v>
      </c>
      <c r="I114" s="216" t="s">
        <v>286</v>
      </c>
      <c r="J114" s="26" t="s">
        <v>75</v>
      </c>
      <c r="K114" s="214" t="s">
        <v>76</v>
      </c>
      <c r="L114" s="22">
        <v>99257989</v>
      </c>
      <c r="M114" s="26"/>
    </row>
    <row r="115" spans="1:13" s="79" customFormat="1" x14ac:dyDescent="0.25">
      <c r="A115" s="22">
        <v>3279</v>
      </c>
      <c r="B115" s="23" t="s">
        <v>287</v>
      </c>
      <c r="C115" s="24">
        <v>378.2</v>
      </c>
      <c r="D115" s="25">
        <v>0.3</v>
      </c>
      <c r="E115" s="25">
        <f t="shared" si="2"/>
        <v>113.46</v>
      </c>
      <c r="F115" s="25"/>
      <c r="G115" s="25">
        <f t="shared" si="3"/>
        <v>113.46</v>
      </c>
      <c r="H115" s="586">
        <v>20468811</v>
      </c>
      <c r="I115" s="214" t="s">
        <v>244</v>
      </c>
      <c r="J115" s="215" t="s">
        <v>25</v>
      </c>
      <c r="K115" s="214" t="s">
        <v>26</v>
      </c>
      <c r="L115" s="22"/>
      <c r="M115" s="26"/>
    </row>
    <row r="116" spans="1:13" s="79" customFormat="1" x14ac:dyDescent="0.25">
      <c r="A116" s="22">
        <v>3280</v>
      </c>
      <c r="B116" s="23" t="s">
        <v>288</v>
      </c>
      <c r="C116" s="24">
        <v>138.80000000000001</v>
      </c>
      <c r="D116" s="25">
        <v>0.3</v>
      </c>
      <c r="E116" s="25">
        <f t="shared" si="2"/>
        <v>41.64</v>
      </c>
      <c r="F116" s="25"/>
      <c r="G116" s="25">
        <f t="shared" si="3"/>
        <v>41.64</v>
      </c>
      <c r="H116" s="22">
        <v>25887523</v>
      </c>
      <c r="I116" s="216" t="s">
        <v>289</v>
      </c>
      <c r="J116" s="26" t="s">
        <v>290</v>
      </c>
      <c r="K116" s="214" t="s">
        <v>291</v>
      </c>
      <c r="L116" s="22">
        <v>91774010</v>
      </c>
      <c r="M116" s="26"/>
    </row>
    <row r="117" spans="1:13" s="79" customFormat="1" x14ac:dyDescent="0.25">
      <c r="A117" s="22">
        <v>3281</v>
      </c>
      <c r="B117" s="23" t="s">
        <v>292</v>
      </c>
      <c r="C117" s="29"/>
      <c r="D117" s="25">
        <v>0.3</v>
      </c>
      <c r="E117" s="25">
        <f t="shared" si="2"/>
        <v>0</v>
      </c>
      <c r="F117" s="25"/>
      <c r="G117" s="25">
        <f t="shared" si="3"/>
        <v>0</v>
      </c>
      <c r="H117" s="22">
        <v>1045575</v>
      </c>
      <c r="I117" s="216" t="s">
        <v>293</v>
      </c>
      <c r="J117" s="26" t="s">
        <v>134</v>
      </c>
      <c r="K117" s="214" t="s">
        <v>135</v>
      </c>
      <c r="L117" s="22">
        <v>99841917</v>
      </c>
      <c r="M117" s="26"/>
    </row>
    <row r="118" spans="1:13" s="79" customFormat="1" x14ac:dyDescent="0.25">
      <c r="A118" s="22">
        <v>3286</v>
      </c>
      <c r="B118" s="23" t="s">
        <v>295</v>
      </c>
      <c r="C118" s="24">
        <v>96.4</v>
      </c>
      <c r="D118" s="25">
        <v>0.3</v>
      </c>
      <c r="E118" s="25">
        <f t="shared" si="2"/>
        <v>28.92</v>
      </c>
      <c r="F118" s="25"/>
      <c r="G118" s="25">
        <f t="shared" si="3"/>
        <v>28.92</v>
      </c>
      <c r="H118" s="22">
        <v>23232841</v>
      </c>
      <c r="I118" s="216" t="s">
        <v>296</v>
      </c>
      <c r="J118" s="215" t="s">
        <v>25</v>
      </c>
      <c r="K118" s="214" t="s">
        <v>26</v>
      </c>
      <c r="L118" s="22"/>
      <c r="M118" s="26"/>
    </row>
    <row r="119" spans="1:13" s="79" customFormat="1" x14ac:dyDescent="0.25">
      <c r="A119" s="22">
        <v>3287</v>
      </c>
      <c r="B119" s="23" t="s">
        <v>297</v>
      </c>
      <c r="C119" s="29"/>
      <c r="D119" s="25">
        <v>0.3</v>
      </c>
      <c r="E119" s="25">
        <f t="shared" si="2"/>
        <v>0</v>
      </c>
      <c r="F119" s="25"/>
      <c r="G119" s="25">
        <f t="shared" si="3"/>
        <v>0</v>
      </c>
      <c r="H119" s="22">
        <v>6504554</v>
      </c>
      <c r="I119" s="216" t="s">
        <v>298</v>
      </c>
      <c r="J119" s="215" t="s">
        <v>25</v>
      </c>
      <c r="K119" s="214" t="s">
        <v>26</v>
      </c>
      <c r="L119" s="22">
        <v>95606029</v>
      </c>
      <c r="M119" s="26"/>
    </row>
    <row r="120" spans="1:13" s="79" customFormat="1" x14ac:dyDescent="0.25">
      <c r="A120" s="22">
        <v>3288</v>
      </c>
      <c r="B120" s="23" t="s">
        <v>300</v>
      </c>
      <c r="C120" s="29"/>
      <c r="D120" s="25">
        <v>0.3</v>
      </c>
      <c r="E120" s="25">
        <f t="shared" si="2"/>
        <v>0</v>
      </c>
      <c r="F120" s="25"/>
      <c r="G120" s="25">
        <f t="shared" si="3"/>
        <v>0</v>
      </c>
      <c r="H120" s="34">
        <v>1460824</v>
      </c>
      <c r="I120" s="214" t="s">
        <v>301</v>
      </c>
      <c r="J120" s="215" t="s">
        <v>302</v>
      </c>
      <c r="K120" s="214" t="s">
        <v>18</v>
      </c>
      <c r="L120" s="22"/>
      <c r="M120" s="62"/>
    </row>
    <row r="121" spans="1:13" s="79" customFormat="1" x14ac:dyDescent="0.25">
      <c r="A121" s="22">
        <v>3291</v>
      </c>
      <c r="B121" s="23" t="s">
        <v>303</v>
      </c>
      <c r="C121" s="24">
        <v>244.8</v>
      </c>
      <c r="D121" s="25">
        <v>0.3</v>
      </c>
      <c r="E121" s="25">
        <f t="shared" si="2"/>
        <v>73.44</v>
      </c>
      <c r="F121" s="25"/>
      <c r="G121" s="25">
        <f t="shared" si="3"/>
        <v>73.44</v>
      </c>
      <c r="H121" s="22">
        <v>1974735</v>
      </c>
      <c r="I121" s="216" t="s">
        <v>304</v>
      </c>
      <c r="J121" s="214" t="s">
        <v>75</v>
      </c>
      <c r="K121" s="216" t="s">
        <v>76</v>
      </c>
      <c r="L121" s="22">
        <v>99085848</v>
      </c>
      <c r="M121" s="26"/>
    </row>
    <row r="122" spans="1:13" s="79" customFormat="1" x14ac:dyDescent="0.25">
      <c r="A122" s="22">
        <v>3292</v>
      </c>
      <c r="B122" s="23" t="s">
        <v>305</v>
      </c>
      <c r="C122" s="29"/>
      <c r="D122" s="25">
        <v>0.3</v>
      </c>
      <c r="E122" s="25">
        <f t="shared" si="2"/>
        <v>0</v>
      </c>
      <c r="F122" s="25"/>
      <c r="G122" s="25">
        <f t="shared" si="3"/>
        <v>0</v>
      </c>
      <c r="H122" s="141">
        <v>13282353</v>
      </c>
      <c r="I122" s="480" t="s">
        <v>306</v>
      </c>
      <c r="J122" s="26" t="s">
        <v>17</v>
      </c>
      <c r="K122" s="480" t="s">
        <v>18</v>
      </c>
      <c r="L122" s="22"/>
      <c r="M122" s="26"/>
    </row>
    <row r="123" spans="1:13" s="79" customFormat="1" x14ac:dyDescent="0.25">
      <c r="A123" s="22">
        <v>3293</v>
      </c>
      <c r="B123" s="23" t="s">
        <v>307</v>
      </c>
      <c r="C123" s="29"/>
      <c r="D123" s="25">
        <v>0.3</v>
      </c>
      <c r="E123" s="25">
        <f t="shared" si="2"/>
        <v>0</v>
      </c>
      <c r="F123" s="25"/>
      <c r="G123" s="25">
        <f t="shared" si="3"/>
        <v>0</v>
      </c>
      <c r="H123" s="22">
        <v>4048259</v>
      </c>
      <c r="I123" s="214" t="s">
        <v>308</v>
      </c>
      <c r="J123" s="26" t="s">
        <v>75</v>
      </c>
      <c r="K123" s="214" t="s">
        <v>76</v>
      </c>
      <c r="L123" s="22">
        <v>92970078</v>
      </c>
      <c r="M123" s="26"/>
    </row>
    <row r="124" spans="1:13" s="79" customFormat="1" x14ac:dyDescent="0.25">
      <c r="A124" s="22">
        <v>3294</v>
      </c>
      <c r="B124" s="23" t="s">
        <v>309</v>
      </c>
      <c r="C124" s="29"/>
      <c r="D124" s="25">
        <v>0.3</v>
      </c>
      <c r="E124" s="25">
        <f t="shared" si="2"/>
        <v>0</v>
      </c>
      <c r="F124" s="25"/>
      <c r="G124" s="25">
        <f t="shared" si="3"/>
        <v>0</v>
      </c>
      <c r="H124" s="22">
        <v>19263029</v>
      </c>
      <c r="I124" s="216" t="s">
        <v>310</v>
      </c>
      <c r="J124" s="215" t="s">
        <v>25</v>
      </c>
      <c r="K124" s="214" t="s">
        <v>26</v>
      </c>
      <c r="L124" s="22">
        <v>92387034</v>
      </c>
      <c r="M124" s="26"/>
    </row>
    <row r="125" spans="1:13" s="79" customFormat="1" x14ac:dyDescent="0.25">
      <c r="A125" s="22">
        <v>3295</v>
      </c>
      <c r="B125" s="23" t="s">
        <v>311</v>
      </c>
      <c r="C125" s="24">
        <v>84</v>
      </c>
      <c r="D125" s="25">
        <v>0.3</v>
      </c>
      <c r="E125" s="25">
        <f t="shared" si="2"/>
        <v>25.2</v>
      </c>
      <c r="F125" s="25"/>
      <c r="G125" s="25">
        <f t="shared" si="3"/>
        <v>25.2</v>
      </c>
      <c r="H125" s="22">
        <v>20378353</v>
      </c>
      <c r="I125" s="216" t="s">
        <v>312</v>
      </c>
      <c r="J125" s="26" t="s">
        <v>17</v>
      </c>
      <c r="K125" s="26" t="s">
        <v>18</v>
      </c>
      <c r="L125" s="22">
        <v>99489171</v>
      </c>
      <c r="M125" s="26"/>
    </row>
    <row r="126" spans="1:13" s="79" customFormat="1" x14ac:dyDescent="0.25">
      <c r="A126" s="22">
        <v>3297</v>
      </c>
      <c r="B126" s="23" t="s">
        <v>313</v>
      </c>
      <c r="C126" s="24">
        <v>56.1</v>
      </c>
      <c r="D126" s="25">
        <v>0.3</v>
      </c>
      <c r="E126" s="25">
        <f t="shared" si="2"/>
        <v>16.829999999999998</v>
      </c>
      <c r="F126" s="25"/>
      <c r="G126" s="25">
        <f t="shared" si="3"/>
        <v>16.829999999999998</v>
      </c>
      <c r="H126" s="22">
        <v>5359682</v>
      </c>
      <c r="I126" s="214" t="s">
        <v>314</v>
      </c>
      <c r="J126" s="26" t="s">
        <v>25</v>
      </c>
      <c r="K126" s="26" t="s">
        <v>26</v>
      </c>
      <c r="L126" s="22">
        <v>93240442</v>
      </c>
      <c r="M126" s="26"/>
    </row>
    <row r="127" spans="1:13" s="79" customFormat="1" x14ac:dyDescent="0.25">
      <c r="A127" s="22">
        <v>3298</v>
      </c>
      <c r="B127" s="23" t="s">
        <v>315</v>
      </c>
      <c r="C127" s="29"/>
      <c r="D127" s="25">
        <v>0.3</v>
      </c>
      <c r="E127" s="25">
        <f t="shared" si="2"/>
        <v>0</v>
      </c>
      <c r="F127" s="25"/>
      <c r="G127" s="25">
        <f t="shared" si="3"/>
        <v>0</v>
      </c>
      <c r="H127" s="34">
        <v>6160236</v>
      </c>
      <c r="I127" s="480" t="s">
        <v>316</v>
      </c>
      <c r="J127" s="215" t="s">
        <v>25</v>
      </c>
      <c r="K127" s="480" t="s">
        <v>26</v>
      </c>
      <c r="L127" s="22"/>
      <c r="M127" s="26"/>
    </row>
    <row r="128" spans="1:13" s="79" customFormat="1" x14ac:dyDescent="0.25">
      <c r="A128" s="22">
        <v>3302</v>
      </c>
      <c r="B128" s="23" t="s">
        <v>317</v>
      </c>
      <c r="C128" s="29"/>
      <c r="D128" s="25">
        <v>0.3</v>
      </c>
      <c r="E128" s="25">
        <f t="shared" si="2"/>
        <v>0</v>
      </c>
      <c r="F128" s="25"/>
      <c r="G128" s="25">
        <f t="shared" si="3"/>
        <v>0</v>
      </c>
      <c r="H128" s="22">
        <v>71004483</v>
      </c>
      <c r="I128" s="510" t="s">
        <v>318</v>
      </c>
      <c r="J128" s="215" t="s">
        <v>25</v>
      </c>
      <c r="K128" s="214" t="s">
        <v>26</v>
      </c>
      <c r="L128" s="22">
        <v>92557761</v>
      </c>
      <c r="M128" s="26"/>
    </row>
    <row r="129" spans="1:13" s="79" customFormat="1" x14ac:dyDescent="0.25">
      <c r="A129" s="22">
        <v>3303</v>
      </c>
      <c r="B129" s="23" t="s">
        <v>319</v>
      </c>
      <c r="C129" s="24">
        <v>112.3</v>
      </c>
      <c r="D129" s="25">
        <v>0.3</v>
      </c>
      <c r="E129" s="25">
        <f t="shared" si="2"/>
        <v>33.69</v>
      </c>
      <c r="F129" s="25"/>
      <c r="G129" s="25">
        <f t="shared" si="3"/>
        <v>33.69</v>
      </c>
      <c r="H129" s="34">
        <v>3172781</v>
      </c>
      <c r="I129" s="214" t="s">
        <v>320</v>
      </c>
      <c r="J129" s="215" t="s">
        <v>17</v>
      </c>
      <c r="K129" s="214" t="s">
        <v>18</v>
      </c>
      <c r="L129" s="22">
        <v>99282770</v>
      </c>
      <c r="M129" s="26"/>
    </row>
    <row r="130" spans="1:13" s="79" customFormat="1" x14ac:dyDescent="0.25">
      <c r="A130" s="22">
        <v>3309</v>
      </c>
      <c r="B130" s="23" t="s">
        <v>321</v>
      </c>
      <c r="C130" s="29"/>
      <c r="D130" s="25">
        <v>0.3</v>
      </c>
      <c r="E130" s="25">
        <f t="shared" si="2"/>
        <v>0</v>
      </c>
      <c r="F130" s="25"/>
      <c r="G130" s="25">
        <f t="shared" si="3"/>
        <v>0</v>
      </c>
      <c r="H130" s="34">
        <v>21453611</v>
      </c>
      <c r="I130" s="480" t="s">
        <v>322</v>
      </c>
      <c r="J130" s="215" t="s">
        <v>25</v>
      </c>
      <c r="K130" s="214" t="s">
        <v>26</v>
      </c>
      <c r="L130" s="22">
        <v>93389969</v>
      </c>
      <c r="M130" s="26"/>
    </row>
    <row r="131" spans="1:13" s="79" customFormat="1" x14ac:dyDescent="0.25">
      <c r="A131" s="22">
        <v>3311</v>
      </c>
      <c r="B131" s="23" t="s">
        <v>323</v>
      </c>
      <c r="C131" s="24">
        <v>69.5</v>
      </c>
      <c r="D131" s="25">
        <v>0.3</v>
      </c>
      <c r="E131" s="25">
        <f t="shared" si="2"/>
        <v>20.849999999999998</v>
      </c>
      <c r="F131" s="25"/>
      <c r="G131" s="25">
        <f t="shared" si="3"/>
        <v>20.849999999999998</v>
      </c>
      <c r="H131" s="22" t="s">
        <v>324</v>
      </c>
      <c r="I131" s="216" t="s">
        <v>325</v>
      </c>
      <c r="J131" s="215" t="s">
        <v>326</v>
      </c>
      <c r="K131" s="216" t="s">
        <v>327</v>
      </c>
      <c r="L131" s="22">
        <v>92817378</v>
      </c>
      <c r="M131" s="26"/>
    </row>
    <row r="132" spans="1:13" s="79" customFormat="1" x14ac:dyDescent="0.25">
      <c r="A132" s="22">
        <v>3312</v>
      </c>
      <c r="B132" s="23" t="s">
        <v>328</v>
      </c>
      <c r="C132" s="24">
        <v>168</v>
      </c>
      <c r="D132" s="25">
        <v>0.3</v>
      </c>
      <c r="E132" s="25">
        <f t="shared" ref="E132:E195" si="4">D132*C132</f>
        <v>50.4</v>
      </c>
      <c r="F132" s="25"/>
      <c r="G132" s="25">
        <f t="shared" ref="G132:G195" si="5">E132-F132</f>
        <v>50.4</v>
      </c>
      <c r="H132" s="22">
        <v>881326</v>
      </c>
      <c r="I132" s="216" t="s">
        <v>329</v>
      </c>
      <c r="J132" s="26" t="s">
        <v>121</v>
      </c>
      <c r="K132" s="26" t="s">
        <v>122</v>
      </c>
      <c r="L132" s="22">
        <v>99481799</v>
      </c>
      <c r="M132" s="26"/>
    </row>
    <row r="133" spans="1:13" s="79" customFormat="1" x14ac:dyDescent="0.25">
      <c r="A133" s="22">
        <v>3314</v>
      </c>
      <c r="B133" s="23" t="s">
        <v>330</v>
      </c>
      <c r="C133" s="29"/>
      <c r="D133" s="25">
        <v>0.3</v>
      </c>
      <c r="E133" s="25">
        <f t="shared" si="4"/>
        <v>0</v>
      </c>
      <c r="F133" s="25"/>
      <c r="G133" s="25">
        <f t="shared" si="5"/>
        <v>0</v>
      </c>
      <c r="H133" s="22">
        <v>766893</v>
      </c>
      <c r="I133" s="216" t="s">
        <v>331</v>
      </c>
      <c r="J133" s="215" t="s">
        <v>25</v>
      </c>
      <c r="K133" s="214" t="s">
        <v>26</v>
      </c>
      <c r="L133" s="22">
        <v>99257989</v>
      </c>
      <c r="M133" s="26"/>
    </row>
    <row r="134" spans="1:13" s="79" customFormat="1" x14ac:dyDescent="0.25">
      <c r="A134" s="22">
        <v>3315</v>
      </c>
      <c r="B134" s="23" t="s">
        <v>333</v>
      </c>
      <c r="C134" s="29"/>
      <c r="D134" s="25">
        <v>0.3</v>
      </c>
      <c r="E134" s="25">
        <f t="shared" si="4"/>
        <v>0</v>
      </c>
      <c r="F134" s="25"/>
      <c r="G134" s="25">
        <f t="shared" si="5"/>
        <v>0</v>
      </c>
      <c r="H134" s="22">
        <v>23957422</v>
      </c>
      <c r="I134" s="216" t="s">
        <v>334</v>
      </c>
      <c r="J134" s="26" t="s">
        <v>25</v>
      </c>
      <c r="K134" s="507" t="s">
        <v>26</v>
      </c>
      <c r="L134" s="22">
        <v>99601665</v>
      </c>
      <c r="M134" s="26"/>
    </row>
    <row r="135" spans="1:13" s="79" customFormat="1" x14ac:dyDescent="0.25">
      <c r="A135" s="22">
        <v>3316</v>
      </c>
      <c r="B135" s="23" t="s">
        <v>335</v>
      </c>
      <c r="C135" s="29"/>
      <c r="D135" s="25">
        <v>0.3</v>
      </c>
      <c r="E135" s="25">
        <f t="shared" si="4"/>
        <v>0</v>
      </c>
      <c r="F135" s="25"/>
      <c r="G135" s="25">
        <f t="shared" si="5"/>
        <v>0</v>
      </c>
      <c r="H135" s="22">
        <v>26159748</v>
      </c>
      <c r="I135" s="214" t="s">
        <v>336</v>
      </c>
      <c r="J135" s="26" t="s">
        <v>25</v>
      </c>
      <c r="K135" s="507" t="s">
        <v>26</v>
      </c>
      <c r="L135" s="22">
        <v>99601665</v>
      </c>
      <c r="M135" s="26"/>
    </row>
    <row r="136" spans="1:13" s="79" customFormat="1" x14ac:dyDescent="0.25">
      <c r="A136" s="22">
        <v>3320</v>
      </c>
      <c r="B136" s="23" t="s">
        <v>337</v>
      </c>
      <c r="C136" s="24">
        <v>84.7</v>
      </c>
      <c r="D136" s="25">
        <v>0.3</v>
      </c>
      <c r="E136" s="25">
        <f t="shared" si="4"/>
        <v>25.41</v>
      </c>
      <c r="F136" s="25"/>
      <c r="G136" s="25">
        <f t="shared" si="5"/>
        <v>25.41</v>
      </c>
      <c r="H136" s="22">
        <v>2096234</v>
      </c>
      <c r="I136" s="216" t="s">
        <v>338</v>
      </c>
      <c r="J136" s="215" t="s">
        <v>25</v>
      </c>
      <c r="K136" s="214" t="s">
        <v>26</v>
      </c>
      <c r="L136" s="22">
        <v>99495933</v>
      </c>
      <c r="M136" s="26"/>
    </row>
    <row r="137" spans="1:13" s="79" customFormat="1" x14ac:dyDescent="0.25">
      <c r="A137" s="22">
        <v>3321</v>
      </c>
      <c r="B137" s="23" t="s">
        <v>339</v>
      </c>
      <c r="C137" s="29"/>
      <c r="D137" s="25">
        <v>0.3</v>
      </c>
      <c r="E137" s="25">
        <f t="shared" si="4"/>
        <v>0</v>
      </c>
      <c r="F137" s="25"/>
      <c r="G137" s="25">
        <f t="shared" si="5"/>
        <v>0</v>
      </c>
      <c r="H137" s="22">
        <v>10721505</v>
      </c>
      <c r="I137" s="216" t="s">
        <v>340</v>
      </c>
      <c r="J137" s="215" t="s">
        <v>25</v>
      </c>
      <c r="K137" s="214" t="s">
        <v>26</v>
      </c>
      <c r="L137" s="22">
        <v>93955800</v>
      </c>
      <c r="M137" s="26"/>
    </row>
    <row r="138" spans="1:13" s="79" customFormat="1" x14ac:dyDescent="0.25">
      <c r="A138" s="22">
        <v>3322</v>
      </c>
      <c r="B138" s="23" t="s">
        <v>341</v>
      </c>
      <c r="C138" s="29"/>
      <c r="D138" s="25">
        <v>0.3</v>
      </c>
      <c r="E138" s="25">
        <f t="shared" si="4"/>
        <v>0</v>
      </c>
      <c r="F138" s="25"/>
      <c r="G138" s="25">
        <f t="shared" si="5"/>
        <v>0</v>
      </c>
      <c r="H138" s="22">
        <v>6047858</v>
      </c>
      <c r="I138" s="216" t="s">
        <v>342</v>
      </c>
      <c r="J138" s="26" t="s">
        <v>43</v>
      </c>
      <c r="K138" s="214" t="s">
        <v>44</v>
      </c>
      <c r="L138" s="22"/>
      <c r="M138" s="26"/>
    </row>
    <row r="139" spans="1:13" s="79" customFormat="1" x14ac:dyDescent="0.25">
      <c r="A139" s="22">
        <v>3325</v>
      </c>
      <c r="B139" s="23" t="s">
        <v>153</v>
      </c>
      <c r="C139" s="29"/>
      <c r="D139" s="25">
        <v>0.3</v>
      </c>
      <c r="E139" s="25">
        <f t="shared" si="4"/>
        <v>0</v>
      </c>
      <c r="F139" s="25"/>
      <c r="G139" s="25">
        <f t="shared" si="5"/>
        <v>0</v>
      </c>
      <c r="H139" s="22">
        <v>21849398</v>
      </c>
      <c r="I139" s="216" t="s">
        <v>343</v>
      </c>
      <c r="J139" s="215" t="s">
        <v>25</v>
      </c>
      <c r="K139" s="214" t="s">
        <v>26</v>
      </c>
      <c r="L139" s="22">
        <v>93233323</v>
      </c>
      <c r="M139" s="26"/>
    </row>
    <row r="140" spans="1:13" s="79" customFormat="1" x14ac:dyDescent="0.25">
      <c r="A140" s="22">
        <v>3326</v>
      </c>
      <c r="B140" s="23" t="s">
        <v>344</v>
      </c>
      <c r="C140" s="29"/>
      <c r="D140" s="25">
        <v>0.3</v>
      </c>
      <c r="E140" s="25">
        <f t="shared" si="4"/>
        <v>0</v>
      </c>
      <c r="F140" s="25"/>
      <c r="G140" s="25">
        <f t="shared" si="5"/>
        <v>0</v>
      </c>
      <c r="H140" s="22">
        <v>1466865</v>
      </c>
      <c r="I140" s="216" t="s">
        <v>345</v>
      </c>
      <c r="J140" s="26" t="s">
        <v>17</v>
      </c>
      <c r="K140" s="26" t="s">
        <v>18</v>
      </c>
      <c r="L140" s="22"/>
      <c r="M140" s="26"/>
    </row>
    <row r="141" spans="1:13" s="79" customFormat="1" x14ac:dyDescent="0.25">
      <c r="A141" s="22">
        <v>3328</v>
      </c>
      <c r="B141" s="23" t="s">
        <v>346</v>
      </c>
      <c r="C141" s="24">
        <v>176.9</v>
      </c>
      <c r="D141" s="25">
        <v>0.3</v>
      </c>
      <c r="E141" s="25">
        <f t="shared" si="4"/>
        <v>53.07</v>
      </c>
      <c r="F141" s="25"/>
      <c r="G141" s="25">
        <f t="shared" si="5"/>
        <v>53.07</v>
      </c>
      <c r="H141" s="22">
        <v>1934204</v>
      </c>
      <c r="I141" s="214" t="s">
        <v>347</v>
      </c>
      <c r="J141" s="215" t="s">
        <v>25</v>
      </c>
      <c r="K141" s="214" t="s">
        <v>26</v>
      </c>
      <c r="L141" s="22"/>
      <c r="M141" s="26"/>
    </row>
    <row r="142" spans="1:13" s="79" customFormat="1" x14ac:dyDescent="0.25">
      <c r="A142" s="22">
        <v>3329</v>
      </c>
      <c r="B142" s="23" t="s">
        <v>348</v>
      </c>
      <c r="C142" s="24">
        <v>91.2</v>
      </c>
      <c r="D142" s="25">
        <v>0.3</v>
      </c>
      <c r="E142" s="25">
        <f t="shared" si="4"/>
        <v>27.36</v>
      </c>
      <c r="F142" s="25"/>
      <c r="G142" s="25">
        <f t="shared" si="5"/>
        <v>27.36</v>
      </c>
      <c r="H142" s="22">
        <v>9086292</v>
      </c>
      <c r="I142" s="214" t="s">
        <v>349</v>
      </c>
      <c r="J142" s="26" t="s">
        <v>75</v>
      </c>
      <c r="K142" s="214" t="s">
        <v>76</v>
      </c>
      <c r="L142" s="22">
        <v>95976260</v>
      </c>
      <c r="M142" s="26"/>
    </row>
    <row r="143" spans="1:13" s="79" customFormat="1" x14ac:dyDescent="0.25">
      <c r="A143" s="22">
        <v>3331</v>
      </c>
      <c r="B143" s="23" t="s">
        <v>350</v>
      </c>
      <c r="C143" s="24">
        <v>174.9</v>
      </c>
      <c r="D143" s="25">
        <v>0.3</v>
      </c>
      <c r="E143" s="25">
        <f t="shared" si="4"/>
        <v>52.47</v>
      </c>
      <c r="F143" s="25"/>
      <c r="G143" s="25">
        <f t="shared" si="5"/>
        <v>52.47</v>
      </c>
      <c r="H143" s="22">
        <v>18048861</v>
      </c>
      <c r="I143" s="216" t="s">
        <v>351</v>
      </c>
      <c r="J143" s="26" t="s">
        <v>352</v>
      </c>
      <c r="K143" s="214" t="s">
        <v>129</v>
      </c>
      <c r="L143" s="22"/>
      <c r="M143" s="26"/>
    </row>
    <row r="144" spans="1:13" s="79" customFormat="1" x14ac:dyDescent="0.25">
      <c r="A144" s="22">
        <v>3332</v>
      </c>
      <c r="B144" s="23" t="s">
        <v>721</v>
      </c>
      <c r="C144" s="24">
        <v>9.6</v>
      </c>
      <c r="D144" s="25">
        <v>0.3</v>
      </c>
      <c r="E144" s="25">
        <f t="shared" si="4"/>
        <v>2.88</v>
      </c>
      <c r="F144" s="25"/>
      <c r="G144" s="25">
        <f t="shared" si="5"/>
        <v>2.88</v>
      </c>
      <c r="H144" s="22">
        <v>1320775</v>
      </c>
      <c r="I144" s="216"/>
      <c r="J144" s="26"/>
      <c r="K144" s="214"/>
      <c r="L144" s="22">
        <v>99490105</v>
      </c>
      <c r="M144" s="26"/>
    </row>
    <row r="145" spans="1:13" s="79" customFormat="1" x14ac:dyDescent="0.25">
      <c r="A145" s="22">
        <v>3334</v>
      </c>
      <c r="B145" s="23" t="s">
        <v>353</v>
      </c>
      <c r="C145" s="24">
        <v>121.6</v>
      </c>
      <c r="D145" s="25">
        <v>0.3</v>
      </c>
      <c r="E145" s="25">
        <f t="shared" si="4"/>
        <v>36.479999999999997</v>
      </c>
      <c r="F145" s="25"/>
      <c r="G145" s="25">
        <f t="shared" si="5"/>
        <v>36.479999999999997</v>
      </c>
      <c r="H145" s="22">
        <v>1176211</v>
      </c>
      <c r="I145" s="216" t="s">
        <v>354</v>
      </c>
      <c r="J145" s="26" t="s">
        <v>17</v>
      </c>
      <c r="K145" s="26" t="s">
        <v>18</v>
      </c>
      <c r="L145" s="22">
        <v>99480111</v>
      </c>
      <c r="M145" s="26"/>
    </row>
    <row r="146" spans="1:13" s="79" customFormat="1" x14ac:dyDescent="0.25">
      <c r="A146" s="22">
        <v>3335</v>
      </c>
      <c r="B146" s="23" t="s">
        <v>355</v>
      </c>
      <c r="C146" s="29"/>
      <c r="D146" s="25">
        <v>0.3</v>
      </c>
      <c r="E146" s="25">
        <f t="shared" si="4"/>
        <v>0</v>
      </c>
      <c r="F146" s="25"/>
      <c r="G146" s="25">
        <f t="shared" si="5"/>
        <v>0</v>
      </c>
      <c r="H146" s="22">
        <v>2022545</v>
      </c>
      <c r="I146" s="216" t="s">
        <v>356</v>
      </c>
      <c r="J146" s="215" t="s">
        <v>25</v>
      </c>
      <c r="K146" s="214" t="s">
        <v>26</v>
      </c>
      <c r="L146" s="22">
        <v>99489989</v>
      </c>
      <c r="M146" s="26"/>
    </row>
    <row r="147" spans="1:13" s="79" customFormat="1" x14ac:dyDescent="0.25">
      <c r="A147" s="22">
        <v>3336</v>
      </c>
      <c r="B147" s="23" t="s">
        <v>357</v>
      </c>
      <c r="C147" s="24">
        <v>87.6</v>
      </c>
      <c r="D147" s="25">
        <v>0.3</v>
      </c>
      <c r="E147" s="25">
        <f t="shared" si="4"/>
        <v>26.279999999999998</v>
      </c>
      <c r="F147" s="25"/>
      <c r="G147" s="25">
        <f t="shared" si="5"/>
        <v>26.279999999999998</v>
      </c>
      <c r="H147" s="22">
        <v>905756</v>
      </c>
      <c r="I147" s="216" t="s">
        <v>358</v>
      </c>
      <c r="J147" s="215" t="s">
        <v>25</v>
      </c>
      <c r="K147" s="214" t="s">
        <v>26</v>
      </c>
      <c r="L147" s="22">
        <v>92321799</v>
      </c>
      <c r="M147" s="26"/>
    </row>
    <row r="148" spans="1:13" s="79" customFormat="1" x14ac:dyDescent="0.25">
      <c r="A148" s="22">
        <v>3337</v>
      </c>
      <c r="B148" s="23" t="s">
        <v>359</v>
      </c>
      <c r="C148" s="24">
        <v>72.7</v>
      </c>
      <c r="D148" s="25">
        <v>0.3</v>
      </c>
      <c r="E148" s="25">
        <f t="shared" si="4"/>
        <v>21.81</v>
      </c>
      <c r="F148" s="25"/>
      <c r="G148" s="25">
        <f t="shared" si="5"/>
        <v>21.81</v>
      </c>
      <c r="H148" s="22">
        <v>19344361</v>
      </c>
      <c r="I148" s="216" t="s">
        <v>360</v>
      </c>
      <c r="J148" s="215" t="s">
        <v>25</v>
      </c>
      <c r="K148" s="214" t="s">
        <v>26</v>
      </c>
      <c r="L148" s="22"/>
      <c r="M148" s="26"/>
    </row>
    <row r="149" spans="1:13" s="79" customFormat="1" x14ac:dyDescent="0.25">
      <c r="A149" s="22">
        <v>3338</v>
      </c>
      <c r="B149" s="23" t="s">
        <v>361</v>
      </c>
      <c r="C149" s="24">
        <v>63.1</v>
      </c>
      <c r="D149" s="25">
        <v>0.3</v>
      </c>
      <c r="E149" s="25">
        <f t="shared" si="4"/>
        <v>18.93</v>
      </c>
      <c r="F149" s="25"/>
      <c r="G149" s="25">
        <f t="shared" si="5"/>
        <v>18.93</v>
      </c>
      <c r="H149" s="22">
        <v>1078791</v>
      </c>
      <c r="I149" s="216" t="s">
        <v>362</v>
      </c>
      <c r="J149" s="26" t="s">
        <v>17</v>
      </c>
      <c r="K149" s="26" t="s">
        <v>18</v>
      </c>
      <c r="L149" s="22"/>
      <c r="M149" s="26"/>
    </row>
    <row r="150" spans="1:13" s="79" customFormat="1" x14ac:dyDescent="0.25">
      <c r="A150" s="22">
        <v>3340</v>
      </c>
      <c r="B150" s="23" t="s">
        <v>363</v>
      </c>
      <c r="C150" s="24">
        <v>81.400000000000006</v>
      </c>
      <c r="D150" s="25">
        <v>0.3</v>
      </c>
      <c r="E150" s="25">
        <f t="shared" si="4"/>
        <v>24.42</v>
      </c>
      <c r="F150" s="25"/>
      <c r="G150" s="25">
        <f t="shared" si="5"/>
        <v>24.42</v>
      </c>
      <c r="H150" s="22">
        <v>906355</v>
      </c>
      <c r="I150" s="216" t="s">
        <v>364</v>
      </c>
      <c r="J150" s="215" t="s">
        <v>25</v>
      </c>
      <c r="K150" s="214" t="s">
        <v>26</v>
      </c>
      <c r="L150" s="22">
        <v>95333933</v>
      </c>
      <c r="M150" s="26"/>
    </row>
    <row r="151" spans="1:13" s="79" customFormat="1" x14ac:dyDescent="0.25">
      <c r="A151" s="22">
        <v>3342</v>
      </c>
      <c r="B151" s="23" t="s">
        <v>366</v>
      </c>
      <c r="C151" s="24">
        <v>103.3</v>
      </c>
      <c r="D151" s="25">
        <v>0.3</v>
      </c>
      <c r="E151" s="25">
        <f t="shared" si="4"/>
        <v>30.99</v>
      </c>
      <c r="F151" s="25"/>
      <c r="G151" s="25">
        <f t="shared" si="5"/>
        <v>30.99</v>
      </c>
      <c r="H151" s="22">
        <v>1779485</v>
      </c>
      <c r="I151" s="216" t="s">
        <v>367</v>
      </c>
      <c r="J151" s="26" t="s">
        <v>17</v>
      </c>
      <c r="K151" s="26" t="s">
        <v>18</v>
      </c>
      <c r="L151" s="22"/>
      <c r="M151" s="26"/>
    </row>
    <row r="152" spans="1:13" s="79" customFormat="1" x14ac:dyDescent="0.25">
      <c r="A152" s="22">
        <v>3346</v>
      </c>
      <c r="B152" s="23" t="s">
        <v>368</v>
      </c>
      <c r="C152" s="24">
        <v>114.3</v>
      </c>
      <c r="D152" s="25">
        <v>0.3</v>
      </c>
      <c r="E152" s="25">
        <f t="shared" si="4"/>
        <v>34.29</v>
      </c>
      <c r="F152" s="25"/>
      <c r="G152" s="25">
        <f t="shared" si="5"/>
        <v>34.29</v>
      </c>
      <c r="H152" s="22">
        <v>1586848</v>
      </c>
      <c r="I152" s="216" t="s">
        <v>369</v>
      </c>
      <c r="J152" s="26" t="s">
        <v>166</v>
      </c>
      <c r="K152" s="26" t="s">
        <v>129</v>
      </c>
      <c r="L152" s="22">
        <v>92930610</v>
      </c>
      <c r="M152" s="26"/>
    </row>
    <row r="153" spans="1:13" s="79" customFormat="1" x14ac:dyDescent="0.25">
      <c r="A153" s="22">
        <v>3700</v>
      </c>
      <c r="B153" s="23" t="s">
        <v>27</v>
      </c>
      <c r="C153" s="24">
        <v>231.5</v>
      </c>
      <c r="D153" s="25">
        <v>0.3</v>
      </c>
      <c r="E153" s="25">
        <f t="shared" si="4"/>
        <v>69.45</v>
      </c>
      <c r="F153" s="25"/>
      <c r="G153" s="25">
        <f t="shared" si="5"/>
        <v>69.45</v>
      </c>
      <c r="H153" s="22">
        <v>19729836</v>
      </c>
      <c r="I153" s="214" t="s">
        <v>28</v>
      </c>
      <c r="J153" s="215" t="s">
        <v>25</v>
      </c>
      <c r="K153" s="26" t="s">
        <v>26</v>
      </c>
      <c r="L153" s="22">
        <v>99633838</v>
      </c>
      <c r="M153" s="26"/>
    </row>
    <row r="154" spans="1:13" s="79" customFormat="1" x14ac:dyDescent="0.25">
      <c r="A154" s="22">
        <v>3702</v>
      </c>
      <c r="B154" s="23" t="s">
        <v>370</v>
      </c>
      <c r="C154" s="29"/>
      <c r="D154" s="25">
        <v>0.3</v>
      </c>
      <c r="E154" s="25">
        <f t="shared" si="4"/>
        <v>0</v>
      </c>
      <c r="F154" s="25"/>
      <c r="G154" s="25">
        <f t="shared" si="5"/>
        <v>0</v>
      </c>
      <c r="H154" s="80" t="s">
        <v>371</v>
      </c>
      <c r="I154" s="214" t="s">
        <v>372</v>
      </c>
      <c r="J154" s="26" t="s">
        <v>17</v>
      </c>
      <c r="K154" s="26" t="s">
        <v>18</v>
      </c>
      <c r="L154" s="22">
        <v>90939111</v>
      </c>
      <c r="M154" s="26"/>
    </row>
    <row r="155" spans="1:13" s="79" customFormat="1" x14ac:dyDescent="0.25">
      <c r="A155" s="22">
        <v>3703</v>
      </c>
      <c r="B155" s="23" t="s">
        <v>373</v>
      </c>
      <c r="C155" s="24">
        <v>222.1</v>
      </c>
      <c r="D155" s="25">
        <v>0.3</v>
      </c>
      <c r="E155" s="25">
        <f t="shared" si="4"/>
        <v>66.63</v>
      </c>
      <c r="F155" s="25"/>
      <c r="G155" s="25">
        <f t="shared" si="5"/>
        <v>66.63</v>
      </c>
      <c r="H155" s="22">
        <v>6332137</v>
      </c>
      <c r="I155" s="214" t="s">
        <v>374</v>
      </c>
      <c r="J155" s="26" t="s">
        <v>121</v>
      </c>
      <c r="K155" s="26" t="s">
        <v>122</v>
      </c>
      <c r="L155" s="22">
        <v>98239666</v>
      </c>
      <c r="M155" s="26"/>
    </row>
    <row r="156" spans="1:13" s="79" customFormat="1" x14ac:dyDescent="0.25">
      <c r="A156" s="22">
        <v>3704</v>
      </c>
      <c r="B156" s="23" t="s">
        <v>375</v>
      </c>
      <c r="C156" s="29"/>
      <c r="D156" s="25">
        <v>0.3</v>
      </c>
      <c r="E156" s="25">
        <f t="shared" si="4"/>
        <v>0</v>
      </c>
      <c r="F156" s="25"/>
      <c r="G156" s="25">
        <f t="shared" si="5"/>
        <v>0</v>
      </c>
      <c r="H156" s="22">
        <v>730722</v>
      </c>
      <c r="I156" s="216" t="s">
        <v>376</v>
      </c>
      <c r="J156" s="26" t="s">
        <v>25</v>
      </c>
      <c r="K156" s="214" t="s">
        <v>26</v>
      </c>
      <c r="L156" s="22">
        <v>92499000</v>
      </c>
      <c r="M156" s="26"/>
    </row>
    <row r="157" spans="1:13" s="79" customFormat="1" x14ac:dyDescent="0.25">
      <c r="A157" s="22">
        <v>3705</v>
      </c>
      <c r="B157" s="23" t="s">
        <v>377</v>
      </c>
      <c r="C157" s="24">
        <v>55</v>
      </c>
      <c r="D157" s="25">
        <v>0.3</v>
      </c>
      <c r="E157" s="25">
        <f t="shared" si="4"/>
        <v>16.5</v>
      </c>
      <c r="F157" s="25"/>
      <c r="G157" s="25">
        <f t="shared" si="5"/>
        <v>16.5</v>
      </c>
      <c r="H157" s="22">
        <v>738486</v>
      </c>
      <c r="I157" s="216" t="s">
        <v>378</v>
      </c>
      <c r="J157" s="26" t="s">
        <v>25</v>
      </c>
      <c r="K157" s="214" t="s">
        <v>26</v>
      </c>
      <c r="L157" s="22">
        <v>99486030</v>
      </c>
      <c r="M157" s="26"/>
    </row>
    <row r="158" spans="1:13" s="79" customFormat="1" x14ac:dyDescent="0.25">
      <c r="A158" s="22">
        <v>3706</v>
      </c>
      <c r="B158" s="23" t="s">
        <v>379</v>
      </c>
      <c r="C158" s="24">
        <v>44.9</v>
      </c>
      <c r="D158" s="25">
        <v>0.3</v>
      </c>
      <c r="E158" s="25">
        <f t="shared" si="4"/>
        <v>13.469999999999999</v>
      </c>
      <c r="F158" s="25"/>
      <c r="G158" s="25">
        <f t="shared" si="5"/>
        <v>13.469999999999999</v>
      </c>
      <c r="H158" s="22">
        <v>8098795</v>
      </c>
      <c r="I158" s="216" t="s">
        <v>380</v>
      </c>
      <c r="J158" s="26" t="s">
        <v>25</v>
      </c>
      <c r="K158" s="214" t="s">
        <v>26</v>
      </c>
      <c r="L158" s="22">
        <v>93567000</v>
      </c>
      <c r="M158" s="26"/>
    </row>
    <row r="159" spans="1:13" s="79" customFormat="1" x14ac:dyDescent="0.25">
      <c r="A159" s="22">
        <v>3708</v>
      </c>
      <c r="B159" s="23" t="s">
        <v>381</v>
      </c>
      <c r="C159" s="24">
        <v>37.299999999999997</v>
      </c>
      <c r="D159" s="25">
        <v>0.3</v>
      </c>
      <c r="E159" s="25">
        <f t="shared" si="4"/>
        <v>11.19</v>
      </c>
      <c r="F159" s="25"/>
      <c r="G159" s="25">
        <f t="shared" si="5"/>
        <v>11.19</v>
      </c>
      <c r="H159" s="25">
        <v>5304255</v>
      </c>
      <c r="I159" s="214" t="s">
        <v>383</v>
      </c>
      <c r="J159" s="215" t="s">
        <v>25</v>
      </c>
      <c r="K159" s="214" t="s">
        <v>26</v>
      </c>
      <c r="L159" s="22">
        <v>98822655</v>
      </c>
      <c r="M159" s="26"/>
    </row>
    <row r="160" spans="1:13" s="79" customFormat="1" x14ac:dyDescent="0.25">
      <c r="A160" s="22">
        <v>3709</v>
      </c>
      <c r="B160" s="23" t="s">
        <v>912</v>
      </c>
      <c r="C160" s="29"/>
      <c r="D160" s="25">
        <v>0.3</v>
      </c>
      <c r="E160" s="25">
        <f t="shared" si="4"/>
        <v>0</v>
      </c>
      <c r="F160" s="25"/>
      <c r="G160" s="25">
        <f t="shared" si="5"/>
        <v>0</v>
      </c>
      <c r="H160" s="80" t="s">
        <v>913</v>
      </c>
      <c r="I160" s="214" t="s">
        <v>911</v>
      </c>
      <c r="J160" s="215" t="s">
        <v>25</v>
      </c>
      <c r="K160" s="214" t="s">
        <v>26</v>
      </c>
      <c r="L160" s="22">
        <v>99693314</v>
      </c>
      <c r="M160" s="26"/>
    </row>
    <row r="161" spans="1:13" s="79" customFormat="1" x14ac:dyDescent="0.25">
      <c r="A161" s="22">
        <v>3711</v>
      </c>
      <c r="B161" s="23" t="s">
        <v>387</v>
      </c>
      <c r="C161" s="29"/>
      <c r="D161" s="25">
        <v>0.3</v>
      </c>
      <c r="E161" s="25">
        <f t="shared" si="4"/>
        <v>0</v>
      </c>
      <c r="F161" s="25"/>
      <c r="G161" s="25">
        <f t="shared" si="5"/>
        <v>0</v>
      </c>
      <c r="H161" s="80" t="s">
        <v>388</v>
      </c>
      <c r="I161" s="214" t="s">
        <v>389</v>
      </c>
      <c r="J161" s="26" t="s">
        <v>17</v>
      </c>
      <c r="K161" s="26" t="s">
        <v>18</v>
      </c>
      <c r="L161" s="22">
        <v>99590400</v>
      </c>
      <c r="M161" s="26"/>
    </row>
    <row r="162" spans="1:13" s="79" customFormat="1" x14ac:dyDescent="0.25">
      <c r="A162" s="22">
        <v>3712</v>
      </c>
      <c r="B162" s="23" t="s">
        <v>390</v>
      </c>
      <c r="C162" s="24">
        <v>19.100000000000001</v>
      </c>
      <c r="D162" s="25">
        <v>0.3</v>
      </c>
      <c r="E162" s="25">
        <f t="shared" si="4"/>
        <v>5.73</v>
      </c>
      <c r="F162" s="25"/>
      <c r="G162" s="25">
        <f t="shared" si="5"/>
        <v>5.73</v>
      </c>
      <c r="H162" s="80" t="s">
        <v>391</v>
      </c>
      <c r="I162" s="214" t="s">
        <v>392</v>
      </c>
      <c r="J162" s="215" t="s">
        <v>25</v>
      </c>
      <c r="K162" s="214" t="s">
        <v>26</v>
      </c>
      <c r="L162" s="22">
        <v>99586643</v>
      </c>
      <c r="M162" s="26"/>
    </row>
    <row r="163" spans="1:13" s="79" customFormat="1" x14ac:dyDescent="0.25">
      <c r="A163" s="22">
        <v>3713</v>
      </c>
      <c r="B163" s="23" t="s">
        <v>393</v>
      </c>
      <c r="C163" s="29"/>
      <c r="D163" s="25">
        <v>0.3</v>
      </c>
      <c r="E163" s="25">
        <f t="shared" si="4"/>
        <v>0</v>
      </c>
      <c r="F163" s="25"/>
      <c r="G163" s="25">
        <f t="shared" si="5"/>
        <v>0</v>
      </c>
      <c r="H163" s="80" t="s">
        <v>394</v>
      </c>
      <c r="I163" s="26" t="s">
        <v>395</v>
      </c>
      <c r="J163" s="26" t="s">
        <v>121</v>
      </c>
      <c r="K163" s="26" t="s">
        <v>122</v>
      </c>
      <c r="L163" s="22">
        <v>99490438</v>
      </c>
      <c r="M163" s="26"/>
    </row>
    <row r="164" spans="1:13" s="79" customFormat="1" x14ac:dyDescent="0.25">
      <c r="A164" s="22">
        <v>3716</v>
      </c>
      <c r="B164" s="23" t="s">
        <v>396</v>
      </c>
      <c r="C164" s="24">
        <v>83.5</v>
      </c>
      <c r="D164" s="25">
        <v>0.3</v>
      </c>
      <c r="E164" s="25">
        <f t="shared" si="4"/>
        <v>25.05</v>
      </c>
      <c r="F164" s="25"/>
      <c r="G164" s="25">
        <f t="shared" si="5"/>
        <v>25.05</v>
      </c>
      <c r="H164" s="34" t="s">
        <v>397</v>
      </c>
      <c r="I164" s="214" t="s">
        <v>398</v>
      </c>
      <c r="J164" s="215" t="s">
        <v>25</v>
      </c>
      <c r="K164" s="214" t="s">
        <v>26</v>
      </c>
      <c r="L164" s="22"/>
      <c r="M164" s="26"/>
    </row>
    <row r="165" spans="1:13" s="79" customFormat="1" x14ac:dyDescent="0.25">
      <c r="A165" s="22">
        <v>3717</v>
      </c>
      <c r="B165" s="23" t="s">
        <v>399</v>
      </c>
      <c r="C165" s="24">
        <v>139</v>
      </c>
      <c r="D165" s="25">
        <v>0.3</v>
      </c>
      <c r="E165" s="25">
        <f t="shared" si="4"/>
        <v>41.699999999999996</v>
      </c>
      <c r="F165" s="25"/>
      <c r="G165" s="25">
        <f t="shared" si="5"/>
        <v>41.699999999999996</v>
      </c>
      <c r="H165" s="34" t="s">
        <v>400</v>
      </c>
      <c r="I165" s="214" t="s">
        <v>401</v>
      </c>
      <c r="J165" s="215" t="s">
        <v>25</v>
      </c>
      <c r="K165" s="214" t="s">
        <v>26</v>
      </c>
      <c r="L165" s="22"/>
      <c r="M165" s="26"/>
    </row>
    <row r="166" spans="1:13" s="79" customFormat="1" x14ac:dyDescent="0.25">
      <c r="A166" s="22">
        <v>3718</v>
      </c>
      <c r="B166" s="23" t="s">
        <v>403</v>
      </c>
      <c r="C166" s="24">
        <v>44</v>
      </c>
      <c r="D166" s="25">
        <v>0.3</v>
      </c>
      <c r="E166" s="25">
        <f t="shared" si="4"/>
        <v>13.2</v>
      </c>
      <c r="F166" s="25"/>
      <c r="G166" s="25">
        <f t="shared" si="5"/>
        <v>13.2</v>
      </c>
      <c r="H166" s="80" t="s">
        <v>404</v>
      </c>
      <c r="I166" s="214" t="s">
        <v>405</v>
      </c>
      <c r="J166" s="26" t="s">
        <v>43</v>
      </c>
      <c r="K166" s="214" t="s">
        <v>44</v>
      </c>
      <c r="L166" s="22">
        <v>92955331</v>
      </c>
      <c r="M166" s="26"/>
    </row>
    <row r="167" spans="1:13" s="79" customFormat="1" x14ac:dyDescent="0.25">
      <c r="A167" s="22">
        <v>3719</v>
      </c>
      <c r="B167" s="23" t="s">
        <v>406</v>
      </c>
      <c r="C167" s="24">
        <v>102.3</v>
      </c>
      <c r="D167" s="25">
        <v>0.3</v>
      </c>
      <c r="E167" s="25">
        <f t="shared" si="4"/>
        <v>30.689999999999998</v>
      </c>
      <c r="F167" s="25"/>
      <c r="G167" s="25">
        <f t="shared" si="5"/>
        <v>30.689999999999998</v>
      </c>
      <c r="H167" s="80" t="s">
        <v>407</v>
      </c>
      <c r="I167" s="214" t="s">
        <v>408</v>
      </c>
      <c r="J167" s="216" t="s">
        <v>75</v>
      </c>
      <c r="K167" s="26" t="s">
        <v>76</v>
      </c>
      <c r="L167" s="22">
        <v>99083559</v>
      </c>
      <c r="M167" s="26"/>
    </row>
    <row r="168" spans="1:13" s="79" customFormat="1" x14ac:dyDescent="0.25">
      <c r="A168" s="22">
        <v>3720</v>
      </c>
      <c r="B168" s="23" t="s">
        <v>409</v>
      </c>
      <c r="C168" s="29"/>
      <c r="D168" s="25">
        <v>0.3</v>
      </c>
      <c r="E168" s="25">
        <f t="shared" si="4"/>
        <v>0</v>
      </c>
      <c r="F168" s="25"/>
      <c r="G168" s="25">
        <f t="shared" si="5"/>
        <v>0</v>
      </c>
      <c r="H168" s="80" t="s">
        <v>410</v>
      </c>
      <c r="I168" s="214" t="s">
        <v>411</v>
      </c>
      <c r="J168" s="26" t="s">
        <v>17</v>
      </c>
      <c r="K168" s="26" t="s">
        <v>18</v>
      </c>
      <c r="L168" s="22">
        <v>91731345</v>
      </c>
      <c r="M168" s="26"/>
    </row>
    <row r="169" spans="1:13" s="79" customFormat="1" x14ac:dyDescent="0.25">
      <c r="A169" s="22">
        <v>3722</v>
      </c>
      <c r="B169" s="23" t="s">
        <v>412</v>
      </c>
      <c r="C169" s="29"/>
      <c r="D169" s="25">
        <v>0.3</v>
      </c>
      <c r="E169" s="25">
        <f t="shared" si="4"/>
        <v>0</v>
      </c>
      <c r="F169" s="25"/>
      <c r="G169" s="25">
        <f t="shared" si="5"/>
        <v>0</v>
      </c>
      <c r="H169" s="467" t="s">
        <v>413</v>
      </c>
      <c r="I169" s="214" t="s">
        <v>414</v>
      </c>
      <c r="J169" s="477" t="s">
        <v>75</v>
      </c>
      <c r="K169" s="26" t="s">
        <v>76</v>
      </c>
      <c r="L169" s="22">
        <v>96912200</v>
      </c>
      <c r="M169" s="26"/>
    </row>
    <row r="170" spans="1:13" s="79" customFormat="1" x14ac:dyDescent="0.25">
      <c r="A170" s="22">
        <v>3723</v>
      </c>
      <c r="B170" s="23" t="s">
        <v>415</v>
      </c>
      <c r="C170" s="24">
        <v>47.4</v>
      </c>
      <c r="D170" s="25">
        <v>0.3</v>
      </c>
      <c r="E170" s="25">
        <f t="shared" si="4"/>
        <v>14.219999999999999</v>
      </c>
      <c r="F170" s="25"/>
      <c r="G170" s="25">
        <f t="shared" si="5"/>
        <v>14.219999999999999</v>
      </c>
      <c r="H170" s="22">
        <v>993752</v>
      </c>
      <c r="I170" s="507" t="s">
        <v>416</v>
      </c>
      <c r="J170" s="460" t="s">
        <v>25</v>
      </c>
      <c r="K170" s="507" t="s">
        <v>26</v>
      </c>
      <c r="L170" s="22">
        <v>99100344</v>
      </c>
      <c r="M170" s="26"/>
    </row>
    <row r="171" spans="1:13" s="79" customFormat="1" x14ac:dyDescent="0.25">
      <c r="A171" s="22">
        <v>3725</v>
      </c>
      <c r="B171" s="23" t="s">
        <v>297</v>
      </c>
      <c r="C171" s="24">
        <v>92.2</v>
      </c>
      <c r="D171" s="25">
        <v>0.3</v>
      </c>
      <c r="E171" s="25">
        <f t="shared" si="4"/>
        <v>27.66</v>
      </c>
      <c r="F171" s="25"/>
      <c r="G171" s="25">
        <f t="shared" si="5"/>
        <v>27.66</v>
      </c>
      <c r="H171" s="141">
        <v>1648248</v>
      </c>
      <c r="I171" s="479" t="s">
        <v>417</v>
      </c>
      <c r="J171" s="460" t="s">
        <v>25</v>
      </c>
      <c r="K171" s="507" t="s">
        <v>26</v>
      </c>
      <c r="L171" s="22">
        <v>99497550</v>
      </c>
      <c r="M171" s="53">
        <v>45558</v>
      </c>
    </row>
    <row r="172" spans="1:13" s="79" customFormat="1" x14ac:dyDescent="0.25">
      <c r="A172" s="22">
        <v>3727</v>
      </c>
      <c r="B172" s="23" t="s">
        <v>419</v>
      </c>
      <c r="C172" s="29"/>
      <c r="D172" s="25">
        <v>0.3</v>
      </c>
      <c r="E172" s="25">
        <f t="shared" si="4"/>
        <v>0</v>
      </c>
      <c r="F172" s="25"/>
      <c r="G172" s="25">
        <f t="shared" si="5"/>
        <v>0</v>
      </c>
      <c r="H172" s="80" t="s">
        <v>420</v>
      </c>
      <c r="I172" s="214" t="s">
        <v>421</v>
      </c>
      <c r="J172" s="215" t="s">
        <v>25</v>
      </c>
      <c r="K172" s="214" t="s">
        <v>26</v>
      </c>
      <c r="L172" s="22">
        <v>99679943</v>
      </c>
      <c r="M172" s="26"/>
    </row>
    <row r="173" spans="1:13" s="79" customFormat="1" x14ac:dyDescent="0.25">
      <c r="A173" s="22">
        <v>3728</v>
      </c>
      <c r="B173" s="23" t="s">
        <v>422</v>
      </c>
      <c r="C173" s="29"/>
      <c r="D173" s="25">
        <v>0.3</v>
      </c>
      <c r="E173" s="25">
        <f t="shared" si="4"/>
        <v>0</v>
      </c>
      <c r="F173" s="25"/>
      <c r="G173" s="25">
        <f t="shared" si="5"/>
        <v>0</v>
      </c>
      <c r="H173" s="141">
        <v>25886784</v>
      </c>
      <c r="I173" s="479" t="s">
        <v>423</v>
      </c>
      <c r="J173" s="460" t="s">
        <v>25</v>
      </c>
      <c r="K173" s="507" t="s">
        <v>26</v>
      </c>
      <c r="L173" s="22">
        <v>99564153</v>
      </c>
      <c r="M173" s="53">
        <v>45558</v>
      </c>
    </row>
    <row r="174" spans="1:13" s="79" customFormat="1" x14ac:dyDescent="0.25">
      <c r="A174" s="22">
        <v>3729</v>
      </c>
      <c r="B174" s="23" t="s">
        <v>424</v>
      </c>
      <c r="C174" s="29"/>
      <c r="D174" s="25">
        <v>0.3</v>
      </c>
      <c r="E174" s="25">
        <f t="shared" si="4"/>
        <v>0</v>
      </c>
      <c r="F174" s="25"/>
      <c r="G174" s="25">
        <f t="shared" si="5"/>
        <v>0</v>
      </c>
      <c r="H174" s="467" t="s">
        <v>425</v>
      </c>
      <c r="I174" s="214" t="s">
        <v>426</v>
      </c>
      <c r="J174" s="460" t="s">
        <v>25</v>
      </c>
      <c r="K174" s="507" t="s">
        <v>26</v>
      </c>
      <c r="L174" s="22">
        <v>91288200</v>
      </c>
      <c r="M174" s="26"/>
    </row>
    <row r="175" spans="1:13" s="79" customFormat="1" x14ac:dyDescent="0.25">
      <c r="A175" s="22">
        <v>3730</v>
      </c>
      <c r="B175" s="23" t="s">
        <v>427</v>
      </c>
      <c r="C175" s="29"/>
      <c r="D175" s="25">
        <v>0.3</v>
      </c>
      <c r="E175" s="25">
        <f t="shared" si="4"/>
        <v>0</v>
      </c>
      <c r="F175" s="25"/>
      <c r="G175" s="25">
        <f t="shared" si="5"/>
        <v>0</v>
      </c>
      <c r="H175" s="80" t="s">
        <v>428</v>
      </c>
      <c r="I175" s="214" t="s">
        <v>429</v>
      </c>
      <c r="J175" s="215" t="s">
        <v>25</v>
      </c>
      <c r="K175" s="214" t="s">
        <v>26</v>
      </c>
      <c r="L175" s="22">
        <v>93504408</v>
      </c>
      <c r="M175" s="26"/>
    </row>
    <row r="176" spans="1:13" s="79" customFormat="1" x14ac:dyDescent="0.25">
      <c r="A176" s="22">
        <v>3731</v>
      </c>
      <c r="B176" s="23" t="s">
        <v>430</v>
      </c>
      <c r="C176" s="24">
        <v>173.3</v>
      </c>
      <c r="D176" s="25">
        <v>0.3</v>
      </c>
      <c r="E176" s="25">
        <f t="shared" si="4"/>
        <v>51.99</v>
      </c>
      <c r="F176" s="25"/>
      <c r="G176" s="25">
        <f t="shared" si="5"/>
        <v>51.99</v>
      </c>
      <c r="H176" s="470">
        <v>4640285</v>
      </c>
      <c r="I176" s="214" t="s">
        <v>431</v>
      </c>
      <c r="J176" s="215" t="s">
        <v>25</v>
      </c>
      <c r="K176" s="214" t="s">
        <v>26</v>
      </c>
      <c r="L176" s="22">
        <v>99493301</v>
      </c>
      <c r="M176" s="26"/>
    </row>
    <row r="177" spans="1:13" s="79" customFormat="1" x14ac:dyDescent="0.25">
      <c r="A177" s="22">
        <v>3732</v>
      </c>
      <c r="B177" s="464" t="s">
        <v>791</v>
      </c>
      <c r="C177" s="29"/>
      <c r="D177" s="25">
        <v>0.3</v>
      </c>
      <c r="E177" s="25">
        <f t="shared" si="4"/>
        <v>0</v>
      </c>
      <c r="F177" s="25"/>
      <c r="G177" s="25">
        <f t="shared" si="5"/>
        <v>0</v>
      </c>
      <c r="H177" s="469">
        <v>194498</v>
      </c>
      <c r="I177" s="481" t="s">
        <v>841</v>
      </c>
      <c r="J177" s="562" t="s">
        <v>17</v>
      </c>
      <c r="K177" s="481" t="s">
        <v>18</v>
      </c>
      <c r="L177" s="22"/>
      <c r="M177" s="26"/>
    </row>
    <row r="178" spans="1:13" s="79" customFormat="1" x14ac:dyDescent="0.25">
      <c r="A178" s="22">
        <v>3733</v>
      </c>
      <c r="B178" s="23" t="s">
        <v>432</v>
      </c>
      <c r="C178" s="29"/>
      <c r="D178" s="25">
        <v>0.3</v>
      </c>
      <c r="E178" s="25">
        <f t="shared" si="4"/>
        <v>0</v>
      </c>
      <c r="F178" s="25"/>
      <c r="G178" s="25">
        <f t="shared" si="5"/>
        <v>0</v>
      </c>
      <c r="H178" s="83">
        <v>23270163</v>
      </c>
      <c r="I178" s="214" t="s">
        <v>433</v>
      </c>
      <c r="J178" s="460" t="s">
        <v>25</v>
      </c>
      <c r="K178" s="507" t="s">
        <v>26</v>
      </c>
      <c r="L178" s="22">
        <v>92212553</v>
      </c>
      <c r="M178" s="53">
        <v>45558</v>
      </c>
    </row>
    <row r="179" spans="1:13" s="79" customFormat="1" x14ac:dyDescent="0.25">
      <c r="A179" s="22">
        <v>3734</v>
      </c>
      <c r="B179" s="23" t="s">
        <v>434</v>
      </c>
      <c r="C179" s="29"/>
      <c r="D179" s="25">
        <v>0.3</v>
      </c>
      <c r="E179" s="25">
        <f t="shared" si="4"/>
        <v>0</v>
      </c>
      <c r="F179" s="25"/>
      <c r="G179" s="25">
        <f t="shared" si="5"/>
        <v>0</v>
      </c>
      <c r="H179" s="34">
        <v>6680216</v>
      </c>
      <c r="I179" s="214" t="s">
        <v>435</v>
      </c>
      <c r="J179" s="26" t="s">
        <v>17</v>
      </c>
      <c r="K179" s="26" t="s">
        <v>18</v>
      </c>
      <c r="L179" s="22">
        <v>92333311</v>
      </c>
      <c r="M179" s="26"/>
    </row>
    <row r="180" spans="1:13" s="79" customFormat="1" x14ac:dyDescent="0.25">
      <c r="A180" s="22">
        <v>3735</v>
      </c>
      <c r="B180" s="23" t="s">
        <v>436</v>
      </c>
      <c r="C180" s="24">
        <v>25.5</v>
      </c>
      <c r="D180" s="25">
        <v>0.3</v>
      </c>
      <c r="E180" s="25">
        <f t="shared" si="4"/>
        <v>7.6499999999999995</v>
      </c>
      <c r="F180" s="25"/>
      <c r="G180" s="25">
        <f t="shared" si="5"/>
        <v>7.6499999999999995</v>
      </c>
      <c r="H180" s="34">
        <v>19952467</v>
      </c>
      <c r="I180" s="214" t="s">
        <v>437</v>
      </c>
      <c r="J180" s="215" t="s">
        <v>25</v>
      </c>
      <c r="K180" s="214" t="s">
        <v>26</v>
      </c>
      <c r="L180" s="22">
        <v>91222276</v>
      </c>
      <c r="M180" s="26"/>
    </row>
    <row r="181" spans="1:13" s="79" customFormat="1" x14ac:dyDescent="0.25">
      <c r="A181" s="22">
        <v>3739</v>
      </c>
      <c r="B181" s="44" t="s">
        <v>438</v>
      </c>
      <c r="C181" s="29"/>
      <c r="D181" s="25">
        <v>0.3</v>
      </c>
      <c r="E181" s="25">
        <f t="shared" si="4"/>
        <v>0</v>
      </c>
      <c r="F181" s="25"/>
      <c r="G181" s="25">
        <f t="shared" si="5"/>
        <v>0</v>
      </c>
      <c r="H181" s="469">
        <v>22187694</v>
      </c>
      <c r="I181" s="481" t="s">
        <v>439</v>
      </c>
      <c r="J181" s="562" t="s">
        <v>25</v>
      </c>
      <c r="K181" s="481" t="s">
        <v>26</v>
      </c>
      <c r="L181" s="465">
        <v>93000079</v>
      </c>
      <c r="M181" s="26"/>
    </row>
    <row r="182" spans="1:13" s="79" customFormat="1" x14ac:dyDescent="0.25">
      <c r="A182" s="22">
        <v>3740</v>
      </c>
      <c r="B182" s="23" t="s">
        <v>440</v>
      </c>
      <c r="C182" s="24">
        <v>113.7</v>
      </c>
      <c r="D182" s="25">
        <v>0.3</v>
      </c>
      <c r="E182" s="25">
        <f t="shared" si="4"/>
        <v>34.11</v>
      </c>
      <c r="F182" s="25"/>
      <c r="G182" s="25">
        <f t="shared" si="5"/>
        <v>34.11</v>
      </c>
      <c r="H182" s="34">
        <v>25472616</v>
      </c>
      <c r="I182" s="214" t="s">
        <v>441</v>
      </c>
      <c r="J182" s="26" t="s">
        <v>17</v>
      </c>
      <c r="K182" s="26" t="s">
        <v>18</v>
      </c>
      <c r="L182" s="22">
        <v>93318821</v>
      </c>
      <c r="M182" s="26"/>
    </row>
    <row r="183" spans="1:13" s="79" customFormat="1" x14ac:dyDescent="0.25">
      <c r="A183" s="22">
        <v>3742</v>
      </c>
      <c r="B183" s="23" t="s">
        <v>442</v>
      </c>
      <c r="C183" s="24">
        <v>23</v>
      </c>
      <c r="D183" s="25">
        <v>0.3</v>
      </c>
      <c r="E183" s="25">
        <f t="shared" si="4"/>
        <v>6.8999999999999995</v>
      </c>
      <c r="F183" s="25"/>
      <c r="G183" s="25">
        <f t="shared" si="5"/>
        <v>6.8999999999999995</v>
      </c>
      <c r="H183" s="83">
        <v>1930281</v>
      </c>
      <c r="I183" s="214" t="s">
        <v>443</v>
      </c>
      <c r="J183" s="214" t="s">
        <v>418</v>
      </c>
      <c r="K183" s="480" t="s">
        <v>258</v>
      </c>
      <c r="L183" s="22">
        <v>99330095</v>
      </c>
      <c r="M183" s="26"/>
    </row>
    <row r="184" spans="1:13" s="79" customFormat="1" x14ac:dyDescent="0.25">
      <c r="A184" s="22">
        <v>3743</v>
      </c>
      <c r="B184" s="23" t="s">
        <v>444</v>
      </c>
      <c r="C184" s="24">
        <v>38.799999999999997</v>
      </c>
      <c r="D184" s="25">
        <v>0.3</v>
      </c>
      <c r="E184" s="25">
        <f t="shared" si="4"/>
        <v>11.639999999999999</v>
      </c>
      <c r="F184" s="25"/>
      <c r="G184" s="25">
        <f t="shared" si="5"/>
        <v>11.639999999999999</v>
      </c>
      <c r="H184" s="34">
        <v>599336</v>
      </c>
      <c r="I184" s="214" t="s">
        <v>445</v>
      </c>
      <c r="J184" s="215" t="s">
        <v>25</v>
      </c>
      <c r="K184" s="214" t="s">
        <v>26</v>
      </c>
      <c r="L184" s="22">
        <v>99497544</v>
      </c>
      <c r="M184" s="26"/>
    </row>
    <row r="185" spans="1:13" s="79" customFormat="1" x14ac:dyDescent="0.25">
      <c r="A185" s="22">
        <v>3745</v>
      </c>
      <c r="B185" s="23" t="s">
        <v>446</v>
      </c>
      <c r="C185" s="24">
        <v>79.8</v>
      </c>
      <c r="D185" s="25">
        <v>0.3</v>
      </c>
      <c r="E185" s="25">
        <f t="shared" si="4"/>
        <v>23.939999999999998</v>
      </c>
      <c r="F185" s="25"/>
      <c r="G185" s="25">
        <f t="shared" si="5"/>
        <v>23.939999999999998</v>
      </c>
      <c r="H185" s="34">
        <v>2199772</v>
      </c>
      <c r="I185" s="214" t="s">
        <v>447</v>
      </c>
      <c r="J185" s="215" t="s">
        <v>25</v>
      </c>
      <c r="K185" s="214" t="s">
        <v>26</v>
      </c>
      <c r="L185" s="22">
        <v>72556787</v>
      </c>
      <c r="M185" s="26"/>
    </row>
    <row r="186" spans="1:13" s="79" customFormat="1" x14ac:dyDescent="0.25">
      <c r="A186" s="22">
        <v>3746</v>
      </c>
      <c r="B186" s="23" t="s">
        <v>448</v>
      </c>
      <c r="C186" s="29"/>
      <c r="D186" s="25">
        <v>0.3</v>
      </c>
      <c r="E186" s="25">
        <f t="shared" si="4"/>
        <v>0</v>
      </c>
      <c r="F186" s="25"/>
      <c r="G186" s="25">
        <f t="shared" si="5"/>
        <v>0</v>
      </c>
      <c r="H186" s="34">
        <v>21973713</v>
      </c>
      <c r="I186" s="214" t="s">
        <v>449</v>
      </c>
      <c r="J186" s="215" t="s">
        <v>25</v>
      </c>
      <c r="K186" s="214" t="s">
        <v>26</v>
      </c>
      <c r="L186" s="22">
        <v>95710331</v>
      </c>
      <c r="M186" s="26"/>
    </row>
    <row r="187" spans="1:13" s="79" customFormat="1" x14ac:dyDescent="0.25">
      <c r="A187" s="22">
        <v>3748</v>
      </c>
      <c r="B187" s="23" t="s">
        <v>450</v>
      </c>
      <c r="C187" s="24">
        <v>25.2</v>
      </c>
      <c r="D187" s="25">
        <v>0.3</v>
      </c>
      <c r="E187" s="25">
        <f t="shared" si="4"/>
        <v>7.56</v>
      </c>
      <c r="F187" s="25"/>
      <c r="G187" s="25">
        <f t="shared" si="5"/>
        <v>7.56</v>
      </c>
      <c r="H187" s="34">
        <v>18620918</v>
      </c>
      <c r="I187" s="214" t="s">
        <v>451</v>
      </c>
      <c r="J187" s="215" t="s">
        <v>25</v>
      </c>
      <c r="K187" s="214" t="s">
        <v>26</v>
      </c>
      <c r="L187" s="22">
        <v>91222276</v>
      </c>
      <c r="M187" s="26"/>
    </row>
    <row r="188" spans="1:13" s="79" customFormat="1" x14ac:dyDescent="0.25">
      <c r="A188" s="22">
        <v>3750</v>
      </c>
      <c r="B188" s="23" t="s">
        <v>452</v>
      </c>
      <c r="C188" s="24">
        <v>111.5</v>
      </c>
      <c r="D188" s="25">
        <v>0.3</v>
      </c>
      <c r="E188" s="25">
        <f t="shared" si="4"/>
        <v>33.449999999999996</v>
      </c>
      <c r="F188" s="25"/>
      <c r="G188" s="25">
        <f t="shared" si="5"/>
        <v>33.449999999999996</v>
      </c>
      <c r="H188" s="34">
        <v>939641</v>
      </c>
      <c r="I188" s="214" t="s">
        <v>453</v>
      </c>
      <c r="J188" s="215" t="s">
        <v>25</v>
      </c>
      <c r="K188" s="214" t="s">
        <v>26</v>
      </c>
      <c r="L188" s="22">
        <v>99588609</v>
      </c>
      <c r="M188" s="26"/>
    </row>
    <row r="189" spans="1:13" s="79" customFormat="1" x14ac:dyDescent="0.25">
      <c r="A189" s="22">
        <v>3751</v>
      </c>
      <c r="B189" s="23" t="s">
        <v>454</v>
      </c>
      <c r="C189" s="29"/>
      <c r="D189" s="25">
        <v>0.3</v>
      </c>
      <c r="E189" s="25">
        <f t="shared" si="4"/>
        <v>0</v>
      </c>
      <c r="F189" s="25"/>
      <c r="G189" s="25">
        <f t="shared" si="5"/>
        <v>0</v>
      </c>
      <c r="H189" s="22">
        <v>2116627</v>
      </c>
      <c r="I189" s="214" t="s">
        <v>455</v>
      </c>
      <c r="J189" s="215" t="s">
        <v>25</v>
      </c>
      <c r="K189" s="214" t="s">
        <v>26</v>
      </c>
      <c r="L189" s="22">
        <v>99493880</v>
      </c>
      <c r="M189" s="26"/>
    </row>
    <row r="190" spans="1:13" s="79" customFormat="1" x14ac:dyDescent="0.25">
      <c r="A190" s="22">
        <v>3752</v>
      </c>
      <c r="B190" s="23" t="s">
        <v>456</v>
      </c>
      <c r="C190" s="24">
        <v>84.5</v>
      </c>
      <c r="D190" s="25">
        <v>0.3</v>
      </c>
      <c r="E190" s="25">
        <f t="shared" si="4"/>
        <v>25.349999999999998</v>
      </c>
      <c r="F190" s="25"/>
      <c r="G190" s="25">
        <f t="shared" si="5"/>
        <v>25.349999999999998</v>
      </c>
      <c r="H190" s="34">
        <v>2789493</v>
      </c>
      <c r="I190" s="214" t="s">
        <v>457</v>
      </c>
      <c r="J190" s="215" t="s">
        <v>25</v>
      </c>
      <c r="K190" s="214" t="s">
        <v>26</v>
      </c>
      <c r="L190" s="22">
        <v>97884330</v>
      </c>
      <c r="M190" s="26"/>
    </row>
    <row r="191" spans="1:13" s="79" customFormat="1" x14ac:dyDescent="0.25">
      <c r="A191" s="22">
        <v>3753</v>
      </c>
      <c r="B191" s="23" t="s">
        <v>458</v>
      </c>
      <c r="C191" s="29"/>
      <c r="D191" s="25">
        <v>0.3</v>
      </c>
      <c r="E191" s="25">
        <f t="shared" si="4"/>
        <v>0</v>
      </c>
      <c r="F191" s="25"/>
      <c r="G191" s="25">
        <f t="shared" si="5"/>
        <v>0</v>
      </c>
      <c r="H191" s="34">
        <v>13938302</v>
      </c>
      <c r="I191" s="214" t="s">
        <v>459</v>
      </c>
      <c r="J191" s="26" t="s">
        <v>17</v>
      </c>
      <c r="K191" s="26" t="s">
        <v>18</v>
      </c>
      <c r="L191" s="22">
        <v>99054621</v>
      </c>
      <c r="M191" s="26"/>
    </row>
    <row r="192" spans="1:13" s="79" customFormat="1" x14ac:dyDescent="0.25">
      <c r="A192" s="22">
        <v>3754</v>
      </c>
      <c r="B192" s="23" t="s">
        <v>460</v>
      </c>
      <c r="C192" s="24">
        <v>182.8</v>
      </c>
      <c r="D192" s="25">
        <v>0.3</v>
      </c>
      <c r="E192" s="25">
        <f t="shared" si="4"/>
        <v>54.84</v>
      </c>
      <c r="F192" s="25"/>
      <c r="G192" s="25">
        <f t="shared" si="5"/>
        <v>54.84</v>
      </c>
      <c r="H192" s="34">
        <v>443075</v>
      </c>
      <c r="I192" s="214" t="s">
        <v>461</v>
      </c>
      <c r="J192" s="26" t="s">
        <v>210</v>
      </c>
      <c r="K192" s="216" t="s">
        <v>211</v>
      </c>
      <c r="L192" s="22">
        <v>90937047</v>
      </c>
      <c r="M192" s="26"/>
    </row>
    <row r="193" spans="1:13" s="79" customFormat="1" x14ac:dyDescent="0.25">
      <c r="A193" s="22">
        <v>3755</v>
      </c>
      <c r="B193" s="23" t="s">
        <v>462</v>
      </c>
      <c r="C193" s="24">
        <v>178.1</v>
      </c>
      <c r="D193" s="25">
        <v>0.3</v>
      </c>
      <c r="E193" s="25">
        <f t="shared" si="4"/>
        <v>53.43</v>
      </c>
      <c r="F193" s="25"/>
      <c r="G193" s="25">
        <f t="shared" si="5"/>
        <v>53.43</v>
      </c>
      <c r="H193" s="34">
        <v>15536654</v>
      </c>
      <c r="I193" s="214" t="s">
        <v>463</v>
      </c>
      <c r="J193" s="215" t="s">
        <v>25</v>
      </c>
      <c r="K193" s="214" t="s">
        <v>26</v>
      </c>
      <c r="L193" s="22">
        <v>92826690</v>
      </c>
      <c r="M193" s="26"/>
    </row>
    <row r="194" spans="1:13" s="79" customFormat="1" x14ac:dyDescent="0.25">
      <c r="A194" s="22">
        <v>3756</v>
      </c>
      <c r="B194" s="23" t="s">
        <v>464</v>
      </c>
      <c r="C194" s="29"/>
      <c r="D194" s="25">
        <v>0.3</v>
      </c>
      <c r="E194" s="25">
        <f t="shared" si="4"/>
        <v>0</v>
      </c>
      <c r="F194" s="25"/>
      <c r="G194" s="25">
        <f t="shared" si="5"/>
        <v>0</v>
      </c>
      <c r="H194" s="34">
        <v>630458</v>
      </c>
      <c r="I194" s="214" t="s">
        <v>465</v>
      </c>
      <c r="J194" s="215" t="s">
        <v>25</v>
      </c>
      <c r="K194" s="214" t="s">
        <v>26</v>
      </c>
      <c r="L194" s="22"/>
      <c r="M194" s="26"/>
    </row>
    <row r="195" spans="1:13" s="79" customFormat="1" x14ac:dyDescent="0.25">
      <c r="A195" s="22">
        <v>3757</v>
      </c>
      <c r="B195" s="23" t="s">
        <v>466</v>
      </c>
      <c r="C195" s="24">
        <v>91.1</v>
      </c>
      <c r="D195" s="25">
        <v>0.3</v>
      </c>
      <c r="E195" s="25">
        <f t="shared" si="4"/>
        <v>27.33</v>
      </c>
      <c r="F195" s="25"/>
      <c r="G195" s="25">
        <f t="shared" si="5"/>
        <v>27.33</v>
      </c>
      <c r="H195" s="34">
        <v>729973</v>
      </c>
      <c r="I195" s="214" t="s">
        <v>467</v>
      </c>
      <c r="J195" s="214" t="s">
        <v>121</v>
      </c>
      <c r="K195" s="26" t="s">
        <v>122</v>
      </c>
      <c r="L195" s="22">
        <v>92283227</v>
      </c>
      <c r="M195" s="26"/>
    </row>
    <row r="196" spans="1:13" s="79" customFormat="1" x14ac:dyDescent="0.25">
      <c r="A196" s="22">
        <v>3758</v>
      </c>
      <c r="B196" s="23" t="s">
        <v>468</v>
      </c>
      <c r="C196" s="24">
        <v>93.4</v>
      </c>
      <c r="D196" s="25">
        <v>0.3</v>
      </c>
      <c r="E196" s="25">
        <f t="shared" ref="E196:E259" si="6">D196*C196</f>
        <v>28.02</v>
      </c>
      <c r="F196" s="25"/>
      <c r="G196" s="25">
        <f t="shared" ref="G196:G259" si="7">E196-F196</f>
        <v>28.02</v>
      </c>
      <c r="H196" s="34">
        <v>18899068</v>
      </c>
      <c r="I196" s="214" t="s">
        <v>469</v>
      </c>
      <c r="J196" s="215" t="s">
        <v>25</v>
      </c>
      <c r="K196" s="214" t="s">
        <v>26</v>
      </c>
      <c r="L196" s="22">
        <v>92672061</v>
      </c>
      <c r="M196" s="26"/>
    </row>
    <row r="197" spans="1:13" s="79" customFormat="1" x14ac:dyDescent="0.25">
      <c r="A197" s="22">
        <v>3759</v>
      </c>
      <c r="B197" s="23" t="s">
        <v>774</v>
      </c>
      <c r="C197" s="24">
        <v>96.8</v>
      </c>
      <c r="D197" s="25">
        <v>0.3</v>
      </c>
      <c r="E197" s="25">
        <f t="shared" si="6"/>
        <v>29.04</v>
      </c>
      <c r="F197" s="25"/>
      <c r="G197" s="25">
        <f t="shared" si="7"/>
        <v>29.04</v>
      </c>
      <c r="H197" s="34">
        <v>5634282</v>
      </c>
      <c r="I197" s="214" t="s">
        <v>30</v>
      </c>
      <c r="J197" s="215" t="s">
        <v>25</v>
      </c>
      <c r="K197" s="214" t="s">
        <v>26</v>
      </c>
      <c r="L197" s="22">
        <v>99293745</v>
      </c>
      <c r="M197" s="26"/>
    </row>
    <row r="198" spans="1:13" s="79" customFormat="1" x14ac:dyDescent="0.25">
      <c r="A198" s="22">
        <v>3760</v>
      </c>
      <c r="B198" s="23" t="s">
        <v>470</v>
      </c>
      <c r="C198" s="24">
        <v>88.8</v>
      </c>
      <c r="D198" s="25">
        <v>0.3</v>
      </c>
      <c r="E198" s="25">
        <f t="shared" si="6"/>
        <v>26.639999999999997</v>
      </c>
      <c r="F198" s="25"/>
      <c r="G198" s="25">
        <f t="shared" si="7"/>
        <v>26.639999999999997</v>
      </c>
      <c r="H198" s="34">
        <v>19531566</v>
      </c>
      <c r="I198" s="214" t="s">
        <v>471</v>
      </c>
      <c r="J198" s="26" t="s">
        <v>17</v>
      </c>
      <c r="K198" s="26" t="s">
        <v>18</v>
      </c>
      <c r="L198" s="22">
        <v>90988855</v>
      </c>
      <c r="M198" s="26"/>
    </row>
    <row r="199" spans="1:13" s="79" customFormat="1" x14ac:dyDescent="0.25">
      <c r="A199" s="22">
        <v>3762</v>
      </c>
      <c r="B199" s="23" t="s">
        <v>472</v>
      </c>
      <c r="C199" s="29"/>
      <c r="D199" s="25">
        <v>0.3</v>
      </c>
      <c r="E199" s="25">
        <f t="shared" si="6"/>
        <v>0</v>
      </c>
      <c r="F199" s="25"/>
      <c r="G199" s="25">
        <f t="shared" si="7"/>
        <v>0</v>
      </c>
      <c r="H199" s="34">
        <v>15664101</v>
      </c>
      <c r="I199" s="214" t="s">
        <v>473</v>
      </c>
      <c r="J199" s="215" t="s">
        <v>25</v>
      </c>
      <c r="K199" s="214" t="s">
        <v>26</v>
      </c>
      <c r="L199" s="22"/>
      <c r="M199" s="26"/>
    </row>
    <row r="200" spans="1:13" s="79" customFormat="1" x14ac:dyDescent="0.25">
      <c r="A200" s="22">
        <v>3764</v>
      </c>
      <c r="B200" s="23" t="s">
        <v>474</v>
      </c>
      <c r="C200" s="24">
        <v>180.6</v>
      </c>
      <c r="D200" s="25">
        <v>0.3</v>
      </c>
      <c r="E200" s="25">
        <f t="shared" si="6"/>
        <v>54.18</v>
      </c>
      <c r="F200" s="25"/>
      <c r="G200" s="25">
        <f t="shared" si="7"/>
        <v>54.18</v>
      </c>
      <c r="H200" s="34">
        <v>1996843</v>
      </c>
      <c r="I200" s="214" t="s">
        <v>475</v>
      </c>
      <c r="J200" s="215" t="s">
        <v>25</v>
      </c>
      <c r="K200" s="214" t="s">
        <v>26</v>
      </c>
      <c r="L200" s="22">
        <v>91918493</v>
      </c>
      <c r="M200" s="26"/>
    </row>
    <row r="201" spans="1:13" s="79" customFormat="1" x14ac:dyDescent="0.25">
      <c r="A201" s="22">
        <v>3765</v>
      </c>
      <c r="B201" s="23" t="s">
        <v>31</v>
      </c>
      <c r="C201" s="24">
        <v>227.6</v>
      </c>
      <c r="D201" s="25">
        <v>0.3</v>
      </c>
      <c r="E201" s="25">
        <f t="shared" si="6"/>
        <v>68.28</v>
      </c>
      <c r="F201" s="25"/>
      <c r="G201" s="25">
        <f t="shared" si="7"/>
        <v>68.28</v>
      </c>
      <c r="H201" s="34">
        <v>19752023</v>
      </c>
      <c r="I201" s="214" t="s">
        <v>32</v>
      </c>
      <c r="J201" s="215" t="s">
        <v>25</v>
      </c>
      <c r="K201" s="214" t="s">
        <v>26</v>
      </c>
      <c r="L201" s="22">
        <v>99499894</v>
      </c>
      <c r="M201" s="26"/>
    </row>
    <row r="202" spans="1:13" s="79" customFormat="1" x14ac:dyDescent="0.25">
      <c r="A202" s="22">
        <v>3766</v>
      </c>
      <c r="B202" s="23" t="s">
        <v>476</v>
      </c>
      <c r="C202" s="24">
        <v>82</v>
      </c>
      <c r="D202" s="25">
        <v>0.3</v>
      </c>
      <c r="E202" s="25">
        <f t="shared" si="6"/>
        <v>24.599999999999998</v>
      </c>
      <c r="F202" s="25"/>
      <c r="G202" s="25">
        <f t="shared" si="7"/>
        <v>24.599999999999998</v>
      </c>
      <c r="H202" s="34">
        <v>5729117</v>
      </c>
      <c r="I202" s="214" t="s">
        <v>477</v>
      </c>
      <c r="J202" s="26" t="s">
        <v>17</v>
      </c>
      <c r="K202" s="26" t="s">
        <v>18</v>
      </c>
      <c r="L202" s="22">
        <v>97297211</v>
      </c>
      <c r="M202" s="26"/>
    </row>
    <row r="203" spans="1:13" s="79" customFormat="1" x14ac:dyDescent="0.25">
      <c r="A203" s="22">
        <v>3767</v>
      </c>
      <c r="B203" s="23" t="s">
        <v>478</v>
      </c>
      <c r="C203" s="24">
        <v>287.2</v>
      </c>
      <c r="D203" s="25">
        <v>0.3</v>
      </c>
      <c r="E203" s="25">
        <f t="shared" si="6"/>
        <v>86.16</v>
      </c>
      <c r="F203" s="25"/>
      <c r="G203" s="25">
        <f t="shared" si="7"/>
        <v>86.16</v>
      </c>
      <c r="H203" s="34">
        <v>971428</v>
      </c>
      <c r="I203" s="214" t="s">
        <v>479</v>
      </c>
      <c r="J203" s="215" t="s">
        <v>25</v>
      </c>
      <c r="K203" s="214" t="s">
        <v>26</v>
      </c>
      <c r="L203" s="22">
        <v>92214819</v>
      </c>
      <c r="M203" s="26"/>
    </row>
    <row r="204" spans="1:13" s="79" customFormat="1" x14ac:dyDescent="0.25">
      <c r="A204" s="22">
        <v>3768</v>
      </c>
      <c r="B204" s="23" t="s">
        <v>480</v>
      </c>
      <c r="C204" s="24">
        <v>65.8</v>
      </c>
      <c r="D204" s="25">
        <v>0.3</v>
      </c>
      <c r="E204" s="25">
        <f t="shared" si="6"/>
        <v>19.739999999999998</v>
      </c>
      <c r="F204" s="25"/>
      <c r="G204" s="25">
        <f t="shared" si="7"/>
        <v>19.739999999999998</v>
      </c>
      <c r="H204" s="34">
        <v>21349024</v>
      </c>
      <c r="I204" s="214" t="s">
        <v>481</v>
      </c>
      <c r="J204" s="215" t="s">
        <v>25</v>
      </c>
      <c r="K204" s="214" t="s">
        <v>26</v>
      </c>
      <c r="L204" s="22">
        <v>71536935</v>
      </c>
      <c r="M204" s="26"/>
    </row>
    <row r="205" spans="1:13" s="79" customFormat="1" x14ac:dyDescent="0.25">
      <c r="A205" s="22">
        <v>3769</v>
      </c>
      <c r="B205" s="23" t="s">
        <v>482</v>
      </c>
      <c r="C205" s="29"/>
      <c r="D205" s="25">
        <v>0.3</v>
      </c>
      <c r="E205" s="25">
        <f t="shared" si="6"/>
        <v>0</v>
      </c>
      <c r="F205" s="25"/>
      <c r="G205" s="25">
        <f t="shared" si="7"/>
        <v>0</v>
      </c>
      <c r="H205" s="34">
        <v>24915633</v>
      </c>
      <c r="I205" s="214" t="s">
        <v>483</v>
      </c>
      <c r="J205" s="26" t="s">
        <v>43</v>
      </c>
      <c r="K205" s="214" t="s">
        <v>44</v>
      </c>
      <c r="L205" s="22">
        <v>99605319</v>
      </c>
      <c r="M205" s="26"/>
    </row>
    <row r="206" spans="1:13" s="79" customFormat="1" x14ac:dyDescent="0.25">
      <c r="A206" s="22">
        <v>3770</v>
      </c>
      <c r="B206" s="23" t="s">
        <v>33</v>
      </c>
      <c r="C206" s="24">
        <v>74.599999999999994</v>
      </c>
      <c r="D206" s="25">
        <v>0.3</v>
      </c>
      <c r="E206" s="25">
        <f t="shared" si="6"/>
        <v>22.38</v>
      </c>
      <c r="F206" s="25"/>
      <c r="G206" s="25">
        <f t="shared" si="7"/>
        <v>22.38</v>
      </c>
      <c r="H206" s="34">
        <v>7198036</v>
      </c>
      <c r="I206" s="214" t="s">
        <v>34</v>
      </c>
      <c r="J206" s="215" t="s">
        <v>25</v>
      </c>
      <c r="K206" s="214" t="s">
        <v>26</v>
      </c>
      <c r="L206" s="22">
        <v>92321799</v>
      </c>
      <c r="M206" s="26"/>
    </row>
    <row r="207" spans="1:13" s="79" customFormat="1" x14ac:dyDescent="0.25">
      <c r="A207" s="22">
        <v>3771</v>
      </c>
      <c r="B207" s="23" t="s">
        <v>484</v>
      </c>
      <c r="C207" s="24">
        <v>194.3</v>
      </c>
      <c r="D207" s="25">
        <v>0.3</v>
      </c>
      <c r="E207" s="25">
        <f t="shared" si="6"/>
        <v>58.29</v>
      </c>
      <c r="F207" s="25"/>
      <c r="G207" s="25">
        <f t="shared" si="7"/>
        <v>58.29</v>
      </c>
      <c r="H207" s="34">
        <v>1977962</v>
      </c>
      <c r="I207" s="214" t="s">
        <v>485</v>
      </c>
      <c r="J207" s="215" t="s">
        <v>25</v>
      </c>
      <c r="K207" s="214" t="s">
        <v>26</v>
      </c>
      <c r="L207" s="22">
        <v>99488815</v>
      </c>
      <c r="M207" s="26"/>
    </row>
    <row r="208" spans="1:13" s="79" customFormat="1" x14ac:dyDescent="0.25">
      <c r="A208" s="22">
        <v>3772</v>
      </c>
      <c r="B208" s="23" t="s">
        <v>486</v>
      </c>
      <c r="C208" s="29"/>
      <c r="D208" s="25">
        <v>0.3</v>
      </c>
      <c r="E208" s="25">
        <f t="shared" si="6"/>
        <v>0</v>
      </c>
      <c r="F208" s="25"/>
      <c r="G208" s="25">
        <f t="shared" si="7"/>
        <v>0</v>
      </c>
      <c r="H208" s="34">
        <v>6419804</v>
      </c>
      <c r="I208" s="214" t="s">
        <v>487</v>
      </c>
      <c r="J208" s="215" t="s">
        <v>25</v>
      </c>
      <c r="K208" s="214" t="s">
        <v>26</v>
      </c>
      <c r="L208" s="22"/>
      <c r="M208" s="26"/>
    </row>
    <row r="209" spans="1:13" s="79" customFormat="1" x14ac:dyDescent="0.25">
      <c r="A209" s="22">
        <v>3773</v>
      </c>
      <c r="B209" s="23" t="s">
        <v>488</v>
      </c>
      <c r="C209" s="24">
        <v>110.8</v>
      </c>
      <c r="D209" s="25">
        <v>0.3</v>
      </c>
      <c r="E209" s="25">
        <f t="shared" si="6"/>
        <v>33.239999999999995</v>
      </c>
      <c r="F209" s="25"/>
      <c r="G209" s="25">
        <f t="shared" si="7"/>
        <v>33.239999999999995</v>
      </c>
      <c r="H209" s="34">
        <v>2023936</v>
      </c>
      <c r="I209" s="214" t="s">
        <v>489</v>
      </c>
      <c r="J209" s="215" t="s">
        <v>210</v>
      </c>
      <c r="K209" s="214" t="s">
        <v>211</v>
      </c>
      <c r="L209" s="22"/>
      <c r="M209" s="26"/>
    </row>
    <row r="210" spans="1:13" s="79" customFormat="1" x14ac:dyDescent="0.25">
      <c r="A210" s="22">
        <v>3774</v>
      </c>
      <c r="B210" s="23" t="s">
        <v>490</v>
      </c>
      <c r="C210" s="29"/>
      <c r="D210" s="25">
        <v>0.3</v>
      </c>
      <c r="E210" s="25">
        <f t="shared" si="6"/>
        <v>0</v>
      </c>
      <c r="F210" s="25"/>
      <c r="G210" s="25">
        <f t="shared" si="7"/>
        <v>0</v>
      </c>
      <c r="H210" s="34">
        <v>889849</v>
      </c>
      <c r="I210" s="214" t="s">
        <v>491</v>
      </c>
      <c r="J210" s="26" t="s">
        <v>17</v>
      </c>
      <c r="K210" s="26" t="s">
        <v>18</v>
      </c>
      <c r="L210" s="22">
        <v>93011211</v>
      </c>
      <c r="M210" s="26"/>
    </row>
    <row r="211" spans="1:13" s="79" customFormat="1" x14ac:dyDescent="0.25">
      <c r="A211" s="22">
        <v>3775</v>
      </c>
      <c r="B211" s="23" t="s">
        <v>492</v>
      </c>
      <c r="C211" s="24">
        <v>68.3</v>
      </c>
      <c r="D211" s="25">
        <v>0.3</v>
      </c>
      <c r="E211" s="25">
        <f t="shared" si="6"/>
        <v>20.49</v>
      </c>
      <c r="F211" s="25"/>
      <c r="G211" s="25">
        <f t="shared" si="7"/>
        <v>20.49</v>
      </c>
      <c r="H211" s="34">
        <v>7198074</v>
      </c>
      <c r="I211" s="214" t="s">
        <v>493</v>
      </c>
      <c r="J211" s="26" t="s">
        <v>210</v>
      </c>
      <c r="K211" s="216" t="s">
        <v>211</v>
      </c>
      <c r="L211" s="22">
        <v>98182322</v>
      </c>
      <c r="M211" s="26"/>
    </row>
    <row r="212" spans="1:13" s="79" customFormat="1" x14ac:dyDescent="0.25">
      <c r="A212" s="22">
        <v>3776</v>
      </c>
      <c r="B212" s="23" t="s">
        <v>494</v>
      </c>
      <c r="C212" s="29"/>
      <c r="D212" s="25">
        <v>0.3</v>
      </c>
      <c r="E212" s="25">
        <f t="shared" si="6"/>
        <v>0</v>
      </c>
      <c r="F212" s="25"/>
      <c r="G212" s="25">
        <f t="shared" si="7"/>
        <v>0</v>
      </c>
      <c r="H212" s="34">
        <v>5530783</v>
      </c>
      <c r="I212" s="214" t="s">
        <v>495</v>
      </c>
      <c r="J212" s="215" t="s">
        <v>25</v>
      </c>
      <c r="K212" s="214" t="s">
        <v>26</v>
      </c>
      <c r="L212" s="22">
        <v>97170030</v>
      </c>
      <c r="M212" s="26"/>
    </row>
    <row r="213" spans="1:13" s="79" customFormat="1" x14ac:dyDescent="0.25">
      <c r="A213" s="22">
        <v>3777</v>
      </c>
      <c r="B213" s="23" t="s">
        <v>496</v>
      </c>
      <c r="C213" s="24">
        <v>213.1</v>
      </c>
      <c r="D213" s="25">
        <v>0.3</v>
      </c>
      <c r="E213" s="25">
        <f t="shared" si="6"/>
        <v>63.929999999999993</v>
      </c>
      <c r="F213" s="25"/>
      <c r="G213" s="25">
        <f t="shared" si="7"/>
        <v>63.929999999999993</v>
      </c>
      <c r="H213" s="34">
        <v>6538875</v>
      </c>
      <c r="I213" s="214" t="s">
        <v>497</v>
      </c>
      <c r="J213" s="215" t="s">
        <v>25</v>
      </c>
      <c r="K213" s="214" t="s">
        <v>26</v>
      </c>
      <c r="L213" s="22">
        <v>91750033</v>
      </c>
      <c r="M213" s="26"/>
    </row>
    <row r="214" spans="1:13" s="79" customFormat="1" x14ac:dyDescent="0.25">
      <c r="A214" s="22">
        <v>3778</v>
      </c>
      <c r="B214" s="23" t="s">
        <v>498</v>
      </c>
      <c r="C214" s="24">
        <v>122.7</v>
      </c>
      <c r="D214" s="25">
        <v>0.3</v>
      </c>
      <c r="E214" s="25">
        <f t="shared" si="6"/>
        <v>36.81</v>
      </c>
      <c r="F214" s="25"/>
      <c r="G214" s="25">
        <f t="shared" si="7"/>
        <v>36.81</v>
      </c>
      <c r="H214" s="34">
        <v>1481822</v>
      </c>
      <c r="I214" s="214" t="s">
        <v>499</v>
      </c>
      <c r="J214" s="26" t="s">
        <v>17</v>
      </c>
      <c r="K214" s="26" t="s">
        <v>18</v>
      </c>
      <c r="L214" s="22">
        <v>92951944</v>
      </c>
      <c r="M214" s="26"/>
    </row>
    <row r="215" spans="1:13" s="79" customFormat="1" x14ac:dyDescent="0.25">
      <c r="A215" s="22">
        <v>3782</v>
      </c>
      <c r="B215" s="23" t="s">
        <v>505</v>
      </c>
      <c r="C215" s="24">
        <v>160.1</v>
      </c>
      <c r="D215" s="25">
        <v>0.3</v>
      </c>
      <c r="E215" s="25">
        <f t="shared" si="6"/>
        <v>48.029999999999994</v>
      </c>
      <c r="F215" s="25"/>
      <c r="G215" s="25">
        <f t="shared" si="7"/>
        <v>48.029999999999994</v>
      </c>
      <c r="H215" s="34">
        <v>8467003</v>
      </c>
      <c r="I215" s="214" t="s">
        <v>506</v>
      </c>
      <c r="J215" s="215" t="s">
        <v>17</v>
      </c>
      <c r="K215" s="214" t="s">
        <v>18</v>
      </c>
      <c r="L215" s="22">
        <v>96138831</v>
      </c>
      <c r="M215" s="26"/>
    </row>
    <row r="216" spans="1:13" s="79" customFormat="1" x14ac:dyDescent="0.25">
      <c r="A216" s="22">
        <v>3783</v>
      </c>
      <c r="B216" s="23" t="s">
        <v>507</v>
      </c>
      <c r="C216" s="24">
        <v>84.6</v>
      </c>
      <c r="D216" s="25">
        <v>0.3</v>
      </c>
      <c r="E216" s="25">
        <f t="shared" si="6"/>
        <v>25.38</v>
      </c>
      <c r="F216" s="25"/>
      <c r="G216" s="25">
        <f t="shared" si="7"/>
        <v>25.38</v>
      </c>
      <c r="H216" s="34">
        <v>25019867</v>
      </c>
      <c r="I216" s="214" t="s">
        <v>508</v>
      </c>
      <c r="J216" s="26" t="s">
        <v>17</v>
      </c>
      <c r="K216" s="26" t="s">
        <v>18</v>
      </c>
      <c r="L216" s="22">
        <v>97264292</v>
      </c>
      <c r="M216" s="26"/>
    </row>
    <row r="217" spans="1:13" s="79" customFormat="1" x14ac:dyDescent="0.25">
      <c r="A217" s="22">
        <v>3784</v>
      </c>
      <c r="B217" s="23" t="s">
        <v>509</v>
      </c>
      <c r="C217" s="24">
        <v>137.5</v>
      </c>
      <c r="D217" s="25">
        <v>0.3</v>
      </c>
      <c r="E217" s="25">
        <f t="shared" si="6"/>
        <v>41.25</v>
      </c>
      <c r="F217" s="25"/>
      <c r="G217" s="25">
        <f t="shared" si="7"/>
        <v>41.25</v>
      </c>
      <c r="H217" s="34">
        <v>19870884</v>
      </c>
      <c r="I217" s="214" t="s">
        <v>510</v>
      </c>
      <c r="J217" s="215" t="s">
        <v>25</v>
      </c>
      <c r="K217" s="214" t="s">
        <v>26</v>
      </c>
      <c r="L217" s="22">
        <v>94847877</v>
      </c>
      <c r="M217" s="26"/>
    </row>
    <row r="218" spans="1:13" s="79" customFormat="1" x14ac:dyDescent="0.25">
      <c r="A218" s="22">
        <v>3786</v>
      </c>
      <c r="B218" s="23" t="s">
        <v>511</v>
      </c>
      <c r="C218" s="29"/>
      <c r="D218" s="25">
        <v>0.3</v>
      </c>
      <c r="E218" s="25">
        <f t="shared" si="6"/>
        <v>0</v>
      </c>
      <c r="F218" s="25"/>
      <c r="G218" s="25">
        <f t="shared" si="7"/>
        <v>0</v>
      </c>
      <c r="H218" s="34">
        <v>941209</v>
      </c>
      <c r="I218" s="214" t="s">
        <v>512</v>
      </c>
      <c r="J218" s="26" t="s">
        <v>290</v>
      </c>
      <c r="K218" s="214" t="s">
        <v>291</v>
      </c>
      <c r="L218" s="22">
        <v>92975256</v>
      </c>
      <c r="M218" s="26"/>
    </row>
    <row r="219" spans="1:13" s="79" customFormat="1" x14ac:dyDescent="0.25">
      <c r="A219" s="22">
        <v>3787</v>
      </c>
      <c r="B219" s="23" t="s">
        <v>513</v>
      </c>
      <c r="C219" s="24">
        <v>136</v>
      </c>
      <c r="D219" s="25">
        <v>0.3</v>
      </c>
      <c r="E219" s="25">
        <f t="shared" si="6"/>
        <v>40.799999999999997</v>
      </c>
      <c r="F219" s="25"/>
      <c r="G219" s="25">
        <f t="shared" si="7"/>
        <v>40.799999999999997</v>
      </c>
      <c r="H219" s="34">
        <v>813786</v>
      </c>
      <c r="I219" s="214" t="s">
        <v>514</v>
      </c>
      <c r="J219" s="215" t="s">
        <v>25</v>
      </c>
      <c r="K219" s="214" t="s">
        <v>26</v>
      </c>
      <c r="L219" s="22">
        <v>99293129</v>
      </c>
      <c r="M219" s="26"/>
    </row>
    <row r="220" spans="1:13" s="79" customFormat="1" x14ac:dyDescent="0.25">
      <c r="A220" s="22">
        <v>3789</v>
      </c>
      <c r="B220" s="23" t="s">
        <v>515</v>
      </c>
      <c r="C220" s="24">
        <v>41.5</v>
      </c>
      <c r="D220" s="25">
        <v>0.3</v>
      </c>
      <c r="E220" s="25">
        <f t="shared" si="6"/>
        <v>12.45</v>
      </c>
      <c r="F220" s="25"/>
      <c r="G220" s="25">
        <f t="shared" si="7"/>
        <v>12.45</v>
      </c>
      <c r="H220" s="34">
        <v>22338686</v>
      </c>
      <c r="I220" s="214" t="s">
        <v>516</v>
      </c>
      <c r="J220" s="215" t="s">
        <v>25</v>
      </c>
      <c r="K220" s="214" t="s">
        <v>26</v>
      </c>
      <c r="L220" s="22">
        <v>92552232</v>
      </c>
      <c r="M220" s="26"/>
    </row>
    <row r="221" spans="1:13" s="79" customFormat="1" x14ac:dyDescent="0.25">
      <c r="A221" s="22">
        <v>3791</v>
      </c>
      <c r="B221" s="23" t="s">
        <v>517</v>
      </c>
      <c r="C221" s="29"/>
      <c r="D221" s="25">
        <v>0.3</v>
      </c>
      <c r="E221" s="25">
        <f t="shared" si="6"/>
        <v>0</v>
      </c>
      <c r="F221" s="25"/>
      <c r="G221" s="25">
        <f t="shared" si="7"/>
        <v>0</v>
      </c>
      <c r="H221" s="34">
        <v>20365611</v>
      </c>
      <c r="I221" s="214" t="s">
        <v>518</v>
      </c>
      <c r="J221" s="215" t="s">
        <v>25</v>
      </c>
      <c r="K221" s="214" t="s">
        <v>26</v>
      </c>
      <c r="L221" s="22">
        <v>9257761</v>
      </c>
      <c r="M221" s="26"/>
    </row>
    <row r="222" spans="1:13" s="79" customFormat="1" x14ac:dyDescent="0.25">
      <c r="A222" s="22">
        <v>3792</v>
      </c>
      <c r="B222" s="464" t="s">
        <v>519</v>
      </c>
      <c r="C222" s="29"/>
      <c r="D222" s="25">
        <v>0.3</v>
      </c>
      <c r="E222" s="25">
        <f t="shared" si="6"/>
        <v>0</v>
      </c>
      <c r="F222" s="25"/>
      <c r="G222" s="25">
        <f t="shared" si="7"/>
        <v>0</v>
      </c>
      <c r="H222" s="471">
        <v>23169608</v>
      </c>
      <c r="I222" s="481" t="s">
        <v>520</v>
      </c>
      <c r="J222" s="464" t="s">
        <v>290</v>
      </c>
      <c r="K222" s="481" t="s">
        <v>291</v>
      </c>
      <c r="L222" s="465">
        <v>93380506</v>
      </c>
      <c r="M222" s="26"/>
    </row>
    <row r="223" spans="1:13" s="79" customFormat="1" x14ac:dyDescent="0.25">
      <c r="A223" s="22">
        <v>3793</v>
      </c>
      <c r="B223" s="23" t="s">
        <v>521</v>
      </c>
      <c r="C223" s="24">
        <v>220.2</v>
      </c>
      <c r="D223" s="25">
        <v>0.3</v>
      </c>
      <c r="E223" s="25">
        <f t="shared" si="6"/>
        <v>66.059999999999988</v>
      </c>
      <c r="F223" s="25"/>
      <c r="G223" s="25">
        <f t="shared" si="7"/>
        <v>66.059999999999988</v>
      </c>
      <c r="H223" s="34">
        <v>1283875</v>
      </c>
      <c r="I223" s="214" t="s">
        <v>522</v>
      </c>
      <c r="J223" s="26" t="s">
        <v>43</v>
      </c>
      <c r="K223" s="214" t="s">
        <v>44</v>
      </c>
      <c r="L223" s="22">
        <v>92348115</v>
      </c>
      <c r="M223" s="26"/>
    </row>
    <row r="224" spans="1:13" s="79" customFormat="1" x14ac:dyDescent="0.25">
      <c r="A224" s="22">
        <v>3794</v>
      </c>
      <c r="B224" s="23" t="s">
        <v>523</v>
      </c>
      <c r="C224" s="24">
        <v>144</v>
      </c>
      <c r="D224" s="25">
        <v>0.3</v>
      </c>
      <c r="E224" s="25">
        <f t="shared" si="6"/>
        <v>43.199999999999996</v>
      </c>
      <c r="F224" s="25"/>
      <c r="G224" s="25">
        <f t="shared" si="7"/>
        <v>43.199999999999996</v>
      </c>
      <c r="H224" s="34">
        <v>8222931</v>
      </c>
      <c r="I224" s="214" t="s">
        <v>524</v>
      </c>
      <c r="J224" s="215" t="s">
        <v>25</v>
      </c>
      <c r="K224" s="214" t="s">
        <v>26</v>
      </c>
      <c r="L224" s="22">
        <v>93377666</v>
      </c>
      <c r="M224" s="26"/>
    </row>
    <row r="225" spans="1:13" s="79" customFormat="1" x14ac:dyDescent="0.25">
      <c r="A225" s="22">
        <v>3795</v>
      </c>
      <c r="B225" s="23" t="s">
        <v>525</v>
      </c>
      <c r="C225" s="24">
        <v>97</v>
      </c>
      <c r="D225" s="25">
        <v>0.3</v>
      </c>
      <c r="E225" s="25">
        <f t="shared" si="6"/>
        <v>29.099999999999998</v>
      </c>
      <c r="F225" s="25"/>
      <c r="G225" s="25">
        <f t="shared" si="7"/>
        <v>29.099999999999998</v>
      </c>
      <c r="H225" s="34">
        <v>2331658</v>
      </c>
      <c r="I225" s="214" t="s">
        <v>526</v>
      </c>
      <c r="J225" s="26" t="s">
        <v>17</v>
      </c>
      <c r="K225" s="26" t="s">
        <v>18</v>
      </c>
      <c r="L225" s="22">
        <v>91790440</v>
      </c>
      <c r="M225" s="26"/>
    </row>
    <row r="226" spans="1:13" s="79" customFormat="1" x14ac:dyDescent="0.25">
      <c r="A226" s="22">
        <v>3796</v>
      </c>
      <c r="B226" s="23" t="s">
        <v>527</v>
      </c>
      <c r="C226" s="29"/>
      <c r="D226" s="25">
        <v>0.3</v>
      </c>
      <c r="E226" s="25">
        <f t="shared" si="6"/>
        <v>0</v>
      </c>
      <c r="F226" s="25"/>
      <c r="G226" s="25">
        <f t="shared" si="7"/>
        <v>0</v>
      </c>
      <c r="H226" s="34">
        <v>6455206</v>
      </c>
      <c r="I226" s="214" t="s">
        <v>528</v>
      </c>
      <c r="J226" s="215" t="s">
        <v>25</v>
      </c>
      <c r="K226" s="214" t="s">
        <v>26</v>
      </c>
      <c r="L226" s="22">
        <v>97312444</v>
      </c>
      <c r="M226" s="26"/>
    </row>
    <row r="227" spans="1:13" s="79" customFormat="1" x14ac:dyDescent="0.25">
      <c r="A227" s="22">
        <v>3798</v>
      </c>
      <c r="B227" s="23" t="s">
        <v>529</v>
      </c>
      <c r="C227" s="24">
        <v>62.1</v>
      </c>
      <c r="D227" s="25">
        <v>0.3</v>
      </c>
      <c r="E227" s="25">
        <f t="shared" si="6"/>
        <v>18.63</v>
      </c>
      <c r="F227" s="25"/>
      <c r="G227" s="25">
        <f t="shared" si="7"/>
        <v>18.63</v>
      </c>
      <c r="H227" s="34">
        <v>6048954</v>
      </c>
      <c r="I227" s="214" t="s">
        <v>530</v>
      </c>
      <c r="J227" s="215" t="s">
        <v>25</v>
      </c>
      <c r="K227" s="214" t="s">
        <v>26</v>
      </c>
      <c r="L227" s="22">
        <v>92833445</v>
      </c>
      <c r="M227" s="26"/>
    </row>
    <row r="228" spans="1:13" s="79" customFormat="1" x14ac:dyDescent="0.25">
      <c r="A228" s="22">
        <v>3799</v>
      </c>
      <c r="B228" s="23" t="s">
        <v>531</v>
      </c>
      <c r="C228" s="29"/>
      <c r="D228" s="25">
        <v>0.3</v>
      </c>
      <c r="E228" s="25">
        <f t="shared" si="6"/>
        <v>0</v>
      </c>
      <c r="F228" s="25"/>
      <c r="G228" s="25">
        <f t="shared" si="7"/>
        <v>0</v>
      </c>
      <c r="H228" s="34">
        <v>12494672</v>
      </c>
      <c r="I228" s="214" t="s">
        <v>532</v>
      </c>
      <c r="J228" s="26" t="s">
        <v>17</v>
      </c>
      <c r="K228" s="26" t="s">
        <v>18</v>
      </c>
      <c r="L228" s="22">
        <v>98872720</v>
      </c>
      <c r="M228" s="26"/>
    </row>
    <row r="229" spans="1:13" s="79" customFormat="1" x14ac:dyDescent="0.25">
      <c r="A229" s="22">
        <v>3800</v>
      </c>
      <c r="B229" s="23" t="s">
        <v>534</v>
      </c>
      <c r="C229" s="24">
        <v>100.5</v>
      </c>
      <c r="D229" s="25">
        <v>0.3</v>
      </c>
      <c r="E229" s="25">
        <f t="shared" si="6"/>
        <v>30.15</v>
      </c>
      <c r="F229" s="25"/>
      <c r="G229" s="25">
        <f t="shared" si="7"/>
        <v>30.15</v>
      </c>
      <c r="H229" s="34">
        <v>11566758</v>
      </c>
      <c r="I229" s="214" t="s">
        <v>535</v>
      </c>
      <c r="J229" s="215" t="s">
        <v>25</v>
      </c>
      <c r="K229" s="214" t="s">
        <v>26</v>
      </c>
      <c r="L229" s="22"/>
      <c r="M229" s="26"/>
    </row>
    <row r="230" spans="1:13" s="79" customFormat="1" x14ac:dyDescent="0.25">
      <c r="A230" s="22">
        <v>3801</v>
      </c>
      <c r="B230" s="23" t="s">
        <v>536</v>
      </c>
      <c r="C230" s="29"/>
      <c r="D230" s="25">
        <v>0.3</v>
      </c>
      <c r="E230" s="25">
        <f t="shared" si="6"/>
        <v>0</v>
      </c>
      <c r="F230" s="25"/>
      <c r="G230" s="25">
        <f t="shared" si="7"/>
        <v>0</v>
      </c>
      <c r="H230" s="34">
        <v>19559588</v>
      </c>
      <c r="I230" s="480" t="s">
        <v>537</v>
      </c>
      <c r="J230" s="215" t="s">
        <v>75</v>
      </c>
      <c r="K230" s="480" t="s">
        <v>76</v>
      </c>
      <c r="L230" s="22">
        <v>93200888</v>
      </c>
      <c r="M230" s="26"/>
    </row>
    <row r="231" spans="1:13" s="79" customFormat="1" x14ac:dyDescent="0.25">
      <c r="A231" s="22">
        <v>3802</v>
      </c>
      <c r="B231" s="23" t="s">
        <v>538</v>
      </c>
      <c r="C231" s="29"/>
      <c r="D231" s="25">
        <v>0.3</v>
      </c>
      <c r="E231" s="25">
        <f t="shared" si="6"/>
        <v>0</v>
      </c>
      <c r="F231" s="25"/>
      <c r="G231" s="25">
        <f t="shared" si="7"/>
        <v>0</v>
      </c>
      <c r="H231" s="34">
        <v>1260268</v>
      </c>
      <c r="I231" s="214" t="s">
        <v>539</v>
      </c>
      <c r="J231" s="215" t="s">
        <v>25</v>
      </c>
      <c r="K231" s="214" t="s">
        <v>26</v>
      </c>
      <c r="L231" s="22">
        <v>99692231</v>
      </c>
      <c r="M231" s="26"/>
    </row>
    <row r="232" spans="1:13" s="79" customFormat="1" x14ac:dyDescent="0.25">
      <c r="A232" s="22">
        <v>3803</v>
      </c>
      <c r="B232" s="23" t="s">
        <v>540</v>
      </c>
      <c r="C232" s="24">
        <v>22.1</v>
      </c>
      <c r="D232" s="25">
        <v>0.3</v>
      </c>
      <c r="E232" s="25">
        <f t="shared" si="6"/>
        <v>6.63</v>
      </c>
      <c r="F232" s="25"/>
      <c r="G232" s="25">
        <f t="shared" si="7"/>
        <v>6.63</v>
      </c>
      <c r="H232" s="34">
        <v>4890484</v>
      </c>
      <c r="I232" s="214" t="s">
        <v>541</v>
      </c>
      <c r="J232" s="26" t="s">
        <v>17</v>
      </c>
      <c r="K232" s="26" t="s">
        <v>18</v>
      </c>
      <c r="L232" s="22">
        <v>93231221</v>
      </c>
      <c r="M232" s="26"/>
    </row>
    <row r="233" spans="1:13" s="79" customFormat="1" x14ac:dyDescent="0.25">
      <c r="A233" s="22">
        <v>3804</v>
      </c>
      <c r="B233" s="23" t="s">
        <v>542</v>
      </c>
      <c r="C233" s="24">
        <v>98.7</v>
      </c>
      <c r="D233" s="25">
        <v>0.3</v>
      </c>
      <c r="E233" s="25">
        <f t="shared" si="6"/>
        <v>29.61</v>
      </c>
      <c r="F233" s="25"/>
      <c r="G233" s="25">
        <f t="shared" si="7"/>
        <v>29.61</v>
      </c>
      <c r="H233" s="34">
        <v>18102928</v>
      </c>
      <c r="I233" s="214" t="s">
        <v>543</v>
      </c>
      <c r="J233" s="26" t="s">
        <v>17</v>
      </c>
      <c r="K233" s="26" t="s">
        <v>18</v>
      </c>
      <c r="L233" s="22">
        <v>95933733</v>
      </c>
      <c r="M233" s="26"/>
    </row>
    <row r="234" spans="1:13" s="79" customFormat="1" x14ac:dyDescent="0.25">
      <c r="A234" s="22">
        <v>3805</v>
      </c>
      <c r="B234" s="23" t="s">
        <v>544</v>
      </c>
      <c r="C234" s="29"/>
      <c r="D234" s="25">
        <v>0.3</v>
      </c>
      <c r="E234" s="25">
        <f t="shared" si="6"/>
        <v>0</v>
      </c>
      <c r="F234" s="25"/>
      <c r="G234" s="25">
        <f t="shared" si="7"/>
        <v>0</v>
      </c>
      <c r="H234" s="141">
        <v>18675553</v>
      </c>
      <c r="I234" s="480" t="s">
        <v>545</v>
      </c>
      <c r="J234" s="216" t="s">
        <v>75</v>
      </c>
      <c r="K234" s="26" t="s">
        <v>76</v>
      </c>
      <c r="L234" s="22">
        <v>77588303</v>
      </c>
      <c r="M234" s="26"/>
    </row>
    <row r="235" spans="1:13" s="79" customFormat="1" x14ac:dyDescent="0.25">
      <c r="A235" s="22">
        <v>3807</v>
      </c>
      <c r="B235" s="23" t="s">
        <v>546</v>
      </c>
      <c r="C235" s="29"/>
      <c r="D235" s="25">
        <v>0.3</v>
      </c>
      <c r="E235" s="25">
        <f t="shared" si="6"/>
        <v>0</v>
      </c>
      <c r="F235" s="25"/>
      <c r="G235" s="25">
        <f t="shared" si="7"/>
        <v>0</v>
      </c>
      <c r="H235" s="34">
        <v>2110484</v>
      </c>
      <c r="I235" s="214" t="s">
        <v>547</v>
      </c>
      <c r="J235" s="26" t="s">
        <v>17</v>
      </c>
      <c r="K235" s="26" t="s">
        <v>18</v>
      </c>
      <c r="L235" s="22">
        <v>95918256</v>
      </c>
      <c r="M235" s="26"/>
    </row>
    <row r="236" spans="1:13" s="79" customFormat="1" x14ac:dyDescent="0.25">
      <c r="A236" s="22">
        <v>3808</v>
      </c>
      <c r="B236" s="23" t="s">
        <v>548</v>
      </c>
      <c r="C236" s="29"/>
      <c r="D236" s="25">
        <v>0.3</v>
      </c>
      <c r="E236" s="25">
        <f t="shared" si="6"/>
        <v>0</v>
      </c>
      <c r="F236" s="25"/>
      <c r="G236" s="25">
        <f t="shared" si="7"/>
        <v>0</v>
      </c>
      <c r="H236" s="34">
        <v>1366005</v>
      </c>
      <c r="I236" s="214" t="s">
        <v>549</v>
      </c>
      <c r="J236" s="26" t="s">
        <v>17</v>
      </c>
      <c r="K236" s="26" t="s">
        <v>18</v>
      </c>
      <c r="L236" s="22">
        <v>99589981</v>
      </c>
      <c r="M236" s="26"/>
    </row>
    <row r="237" spans="1:13" s="79" customFormat="1" x14ac:dyDescent="0.25">
      <c r="A237" s="22">
        <v>3809</v>
      </c>
      <c r="B237" s="23" t="s">
        <v>550</v>
      </c>
      <c r="C237" s="24">
        <v>12.4</v>
      </c>
      <c r="D237" s="25">
        <v>0.3</v>
      </c>
      <c r="E237" s="25">
        <f t="shared" si="6"/>
        <v>3.7199999999999998</v>
      </c>
      <c r="F237" s="25"/>
      <c r="G237" s="25">
        <f t="shared" si="7"/>
        <v>3.7199999999999998</v>
      </c>
      <c r="H237" s="34">
        <v>10913998</v>
      </c>
      <c r="I237" s="214" t="s">
        <v>551</v>
      </c>
      <c r="J237" s="215" t="s">
        <v>25</v>
      </c>
      <c r="K237" s="214" t="s">
        <v>26</v>
      </c>
      <c r="L237" s="22">
        <v>99080863</v>
      </c>
      <c r="M237" s="26"/>
    </row>
    <row r="238" spans="1:13" s="79" customFormat="1" x14ac:dyDescent="0.25">
      <c r="A238" s="22">
        <v>3810</v>
      </c>
      <c r="B238" s="464" t="s">
        <v>553</v>
      </c>
      <c r="C238" s="29"/>
      <c r="D238" s="25">
        <v>0.3</v>
      </c>
      <c r="E238" s="25">
        <f t="shared" si="6"/>
        <v>0</v>
      </c>
      <c r="F238" s="25"/>
      <c r="G238" s="25">
        <f t="shared" si="7"/>
        <v>0</v>
      </c>
      <c r="H238" s="471">
        <v>9442232</v>
      </c>
      <c r="I238" s="481" t="s">
        <v>554</v>
      </c>
      <c r="J238" s="517" t="s">
        <v>25</v>
      </c>
      <c r="K238" s="536" t="s">
        <v>26</v>
      </c>
      <c r="L238" s="465">
        <v>98255338</v>
      </c>
      <c r="M238" s="26"/>
    </row>
    <row r="239" spans="1:13" s="79" customFormat="1" x14ac:dyDescent="0.25">
      <c r="A239" s="22">
        <v>3811</v>
      </c>
      <c r="B239" s="23" t="s">
        <v>555</v>
      </c>
      <c r="C239" s="29"/>
      <c r="D239" s="25">
        <v>0.3</v>
      </c>
      <c r="E239" s="25">
        <f t="shared" si="6"/>
        <v>0</v>
      </c>
      <c r="F239" s="25"/>
      <c r="G239" s="25">
        <f t="shared" si="7"/>
        <v>0</v>
      </c>
      <c r="H239" s="34">
        <v>6865286</v>
      </c>
      <c r="I239" s="214" t="s">
        <v>556</v>
      </c>
      <c r="J239" s="216" t="s">
        <v>75</v>
      </c>
      <c r="K239" s="26" t="s">
        <v>76</v>
      </c>
      <c r="L239" s="22">
        <v>92441715</v>
      </c>
      <c r="M239" s="26"/>
    </row>
    <row r="240" spans="1:13" s="79" customFormat="1" x14ac:dyDescent="0.25">
      <c r="A240" s="22">
        <v>3812</v>
      </c>
      <c r="B240" s="23" t="s">
        <v>557</v>
      </c>
      <c r="C240" s="24">
        <v>118.5</v>
      </c>
      <c r="D240" s="25">
        <v>0.3</v>
      </c>
      <c r="E240" s="25">
        <f t="shared" si="6"/>
        <v>35.549999999999997</v>
      </c>
      <c r="F240" s="25"/>
      <c r="G240" s="25">
        <f t="shared" si="7"/>
        <v>35.549999999999997</v>
      </c>
      <c r="H240" s="34">
        <v>2441718</v>
      </c>
      <c r="I240" s="214" t="s">
        <v>558</v>
      </c>
      <c r="J240" s="215" t="s">
        <v>25</v>
      </c>
      <c r="K240" s="214" t="s">
        <v>26</v>
      </c>
      <c r="L240" s="22"/>
      <c r="M240" s="26"/>
    </row>
    <row r="241" spans="1:13" s="79" customFormat="1" x14ac:dyDescent="0.25">
      <c r="A241" s="22">
        <v>3813</v>
      </c>
      <c r="B241" s="23" t="s">
        <v>559</v>
      </c>
      <c r="C241" s="24">
        <v>73.8</v>
      </c>
      <c r="D241" s="25">
        <v>0.3</v>
      </c>
      <c r="E241" s="25">
        <f t="shared" si="6"/>
        <v>22.139999999999997</v>
      </c>
      <c r="F241" s="25"/>
      <c r="G241" s="25">
        <f t="shared" si="7"/>
        <v>22.139999999999997</v>
      </c>
      <c r="H241" s="34">
        <v>18842378</v>
      </c>
      <c r="I241" s="214" t="s">
        <v>560</v>
      </c>
      <c r="J241" s="215" t="s">
        <v>25</v>
      </c>
      <c r="K241" s="214" t="s">
        <v>26</v>
      </c>
      <c r="L241" s="22">
        <v>91102135</v>
      </c>
      <c r="M241" s="26"/>
    </row>
    <row r="242" spans="1:13" s="79" customFormat="1" x14ac:dyDescent="0.25">
      <c r="A242" s="22">
        <v>3814</v>
      </c>
      <c r="B242" s="23" t="s">
        <v>561</v>
      </c>
      <c r="C242" s="24">
        <v>66.2</v>
      </c>
      <c r="D242" s="25">
        <v>0.3</v>
      </c>
      <c r="E242" s="25">
        <f t="shared" si="6"/>
        <v>19.86</v>
      </c>
      <c r="F242" s="25"/>
      <c r="G242" s="25">
        <f t="shared" si="7"/>
        <v>19.86</v>
      </c>
      <c r="H242" s="83">
        <v>6998672</v>
      </c>
      <c r="I242" s="214" t="s">
        <v>562</v>
      </c>
      <c r="J242" s="460" t="s">
        <v>25</v>
      </c>
      <c r="K242" s="507" t="s">
        <v>26</v>
      </c>
      <c r="L242" s="22">
        <v>94051423</v>
      </c>
      <c r="M242" s="26"/>
    </row>
    <row r="243" spans="1:13" s="79" customFormat="1" x14ac:dyDescent="0.25">
      <c r="A243" s="22">
        <v>3815</v>
      </c>
      <c r="B243" s="23" t="s">
        <v>563</v>
      </c>
      <c r="C243" s="24">
        <v>17.5</v>
      </c>
      <c r="D243" s="25">
        <v>0.3</v>
      </c>
      <c r="E243" s="25">
        <f t="shared" si="6"/>
        <v>5.25</v>
      </c>
      <c r="F243" s="25"/>
      <c r="G243" s="25">
        <f t="shared" si="7"/>
        <v>5.25</v>
      </c>
      <c r="H243" s="141">
        <v>24909353</v>
      </c>
      <c r="I243" s="480" t="s">
        <v>564</v>
      </c>
      <c r="J243" s="215" t="s">
        <v>25</v>
      </c>
      <c r="K243" s="214" t="s">
        <v>26</v>
      </c>
      <c r="L243" s="22">
        <v>97797883</v>
      </c>
      <c r="M243" s="26"/>
    </row>
    <row r="244" spans="1:13" s="79" customFormat="1" x14ac:dyDescent="0.25">
      <c r="A244" s="22">
        <v>3816</v>
      </c>
      <c r="B244" s="23" t="s">
        <v>565</v>
      </c>
      <c r="C244" s="29"/>
      <c r="D244" s="25">
        <v>0.3</v>
      </c>
      <c r="E244" s="25">
        <f t="shared" si="6"/>
        <v>0</v>
      </c>
      <c r="F244" s="25"/>
      <c r="G244" s="25">
        <f t="shared" si="7"/>
        <v>0</v>
      </c>
      <c r="H244" s="34">
        <v>27389488</v>
      </c>
      <c r="I244" s="214" t="s">
        <v>566</v>
      </c>
      <c r="J244" s="215" t="s">
        <v>25</v>
      </c>
      <c r="K244" s="214" t="s">
        <v>26</v>
      </c>
      <c r="L244" s="22"/>
      <c r="M244" s="26"/>
    </row>
    <row r="245" spans="1:13" s="79" customFormat="1" x14ac:dyDescent="0.25">
      <c r="A245" s="22">
        <v>3817</v>
      </c>
      <c r="B245" s="23" t="s">
        <v>567</v>
      </c>
      <c r="C245" s="24">
        <v>130.19999999999999</v>
      </c>
      <c r="D245" s="25">
        <v>0.3</v>
      </c>
      <c r="E245" s="25">
        <f t="shared" si="6"/>
        <v>39.059999999999995</v>
      </c>
      <c r="F245" s="25"/>
      <c r="G245" s="25">
        <f t="shared" si="7"/>
        <v>39.059999999999995</v>
      </c>
      <c r="H245" s="34">
        <v>7851322</v>
      </c>
      <c r="I245" s="214" t="s">
        <v>568</v>
      </c>
      <c r="J245" s="215" t="s">
        <v>25</v>
      </c>
      <c r="K245" s="214" t="s">
        <v>26</v>
      </c>
      <c r="L245" s="22">
        <v>96288881</v>
      </c>
      <c r="M245" s="26"/>
    </row>
    <row r="246" spans="1:13" s="79" customFormat="1" x14ac:dyDescent="0.25">
      <c r="A246" s="22">
        <v>3818</v>
      </c>
      <c r="B246" s="23" t="s">
        <v>569</v>
      </c>
      <c r="C246" s="24">
        <v>98.5</v>
      </c>
      <c r="D246" s="25">
        <v>0.3</v>
      </c>
      <c r="E246" s="25">
        <f t="shared" si="6"/>
        <v>29.549999999999997</v>
      </c>
      <c r="F246" s="25"/>
      <c r="G246" s="25">
        <f t="shared" si="7"/>
        <v>29.549999999999997</v>
      </c>
      <c r="H246" s="34">
        <v>2520858</v>
      </c>
      <c r="I246" s="214" t="s">
        <v>570</v>
      </c>
      <c r="J246" s="215" t="s">
        <v>25</v>
      </c>
      <c r="K246" s="214" t="s">
        <v>26</v>
      </c>
      <c r="L246" s="22">
        <v>99699976</v>
      </c>
      <c r="M246" s="26"/>
    </row>
    <row r="247" spans="1:13" s="79" customFormat="1" x14ac:dyDescent="0.25">
      <c r="A247" s="22">
        <v>3819</v>
      </c>
      <c r="B247" s="23" t="s">
        <v>571</v>
      </c>
      <c r="C247" s="24">
        <v>105.4</v>
      </c>
      <c r="D247" s="25">
        <v>0.3</v>
      </c>
      <c r="E247" s="25">
        <f t="shared" si="6"/>
        <v>31.62</v>
      </c>
      <c r="F247" s="25"/>
      <c r="G247" s="25">
        <f t="shared" si="7"/>
        <v>31.62</v>
      </c>
      <c r="H247" s="34">
        <v>3952839</v>
      </c>
      <c r="I247" s="214" t="s">
        <v>572</v>
      </c>
      <c r="J247" s="26" t="s">
        <v>17</v>
      </c>
      <c r="K247" s="26" t="s">
        <v>18</v>
      </c>
      <c r="L247" s="22">
        <v>98856929</v>
      </c>
      <c r="M247" s="26"/>
    </row>
    <row r="248" spans="1:13" s="79" customFormat="1" x14ac:dyDescent="0.25">
      <c r="A248" s="22">
        <v>3820</v>
      </c>
      <c r="B248" s="23" t="s">
        <v>573</v>
      </c>
      <c r="C248" s="24">
        <v>83.4</v>
      </c>
      <c r="D248" s="25">
        <v>0.3</v>
      </c>
      <c r="E248" s="25">
        <f t="shared" si="6"/>
        <v>25.02</v>
      </c>
      <c r="F248" s="25"/>
      <c r="G248" s="25">
        <f t="shared" si="7"/>
        <v>25.02</v>
      </c>
      <c r="H248" s="34">
        <v>20898806</v>
      </c>
      <c r="I248" s="214" t="s">
        <v>574</v>
      </c>
      <c r="J248" s="215" t="s">
        <v>25</v>
      </c>
      <c r="K248" s="214" t="s">
        <v>26</v>
      </c>
      <c r="L248" s="22">
        <v>95855255</v>
      </c>
      <c r="M248" s="26"/>
    </row>
    <row r="249" spans="1:13" s="79" customFormat="1" x14ac:dyDescent="0.25">
      <c r="A249" s="22">
        <v>3821</v>
      </c>
      <c r="B249" s="23" t="s">
        <v>575</v>
      </c>
      <c r="C249" s="29"/>
      <c r="D249" s="25">
        <v>0.3</v>
      </c>
      <c r="E249" s="25">
        <f t="shared" si="6"/>
        <v>0</v>
      </c>
      <c r="F249" s="25"/>
      <c r="G249" s="25">
        <f t="shared" si="7"/>
        <v>0</v>
      </c>
      <c r="H249" s="34">
        <v>5773746</v>
      </c>
      <c r="I249" s="214" t="s">
        <v>576</v>
      </c>
      <c r="J249" s="26" t="s">
        <v>210</v>
      </c>
      <c r="K249" s="216" t="s">
        <v>211</v>
      </c>
      <c r="L249" s="22">
        <v>96780867</v>
      </c>
      <c r="M249" s="26"/>
    </row>
    <row r="250" spans="1:13" s="79" customFormat="1" x14ac:dyDescent="0.25">
      <c r="A250" s="22">
        <v>3822</v>
      </c>
      <c r="B250" s="23" t="s">
        <v>577</v>
      </c>
      <c r="C250" s="29"/>
      <c r="D250" s="25">
        <v>0.3</v>
      </c>
      <c r="E250" s="25">
        <f t="shared" si="6"/>
        <v>0</v>
      </c>
      <c r="F250" s="25"/>
      <c r="G250" s="25">
        <f t="shared" si="7"/>
        <v>0</v>
      </c>
      <c r="H250" s="34">
        <v>1522824</v>
      </c>
      <c r="I250" s="214" t="s">
        <v>578</v>
      </c>
      <c r="J250" s="26" t="s">
        <v>43</v>
      </c>
      <c r="K250" s="214" t="s">
        <v>44</v>
      </c>
      <c r="L250" s="22">
        <v>92733857</v>
      </c>
      <c r="M250" s="26"/>
    </row>
    <row r="251" spans="1:13" s="79" customFormat="1" x14ac:dyDescent="0.25">
      <c r="A251" s="22">
        <v>3823</v>
      </c>
      <c r="B251" s="23" t="s">
        <v>579</v>
      </c>
      <c r="C251" s="24">
        <v>44.2</v>
      </c>
      <c r="D251" s="25">
        <v>0.3</v>
      </c>
      <c r="E251" s="25">
        <f t="shared" si="6"/>
        <v>13.26</v>
      </c>
      <c r="F251" s="25"/>
      <c r="G251" s="25">
        <f t="shared" si="7"/>
        <v>13.26</v>
      </c>
      <c r="H251" s="34">
        <v>865789</v>
      </c>
      <c r="I251" s="214" t="s">
        <v>580</v>
      </c>
      <c r="J251" s="215" t="s">
        <v>25</v>
      </c>
      <c r="K251" s="214" t="s">
        <v>26</v>
      </c>
      <c r="L251" s="22">
        <v>99366841</v>
      </c>
      <c r="M251" s="26"/>
    </row>
    <row r="252" spans="1:13" s="79" customFormat="1" x14ac:dyDescent="0.25">
      <c r="A252" s="22">
        <v>3824</v>
      </c>
      <c r="B252" s="23" t="s">
        <v>914</v>
      </c>
      <c r="C252" s="24">
        <v>124.4</v>
      </c>
      <c r="D252" s="25">
        <v>0.3</v>
      </c>
      <c r="E252" s="25">
        <f t="shared" si="6"/>
        <v>37.32</v>
      </c>
      <c r="F252" s="25"/>
      <c r="G252" s="25">
        <f t="shared" si="7"/>
        <v>37.32</v>
      </c>
      <c r="H252" s="34">
        <v>19875796</v>
      </c>
      <c r="I252" s="214" t="s">
        <v>915</v>
      </c>
      <c r="J252" s="215" t="s">
        <v>25</v>
      </c>
      <c r="K252" s="214" t="s">
        <v>26</v>
      </c>
      <c r="L252" s="22">
        <v>97778036</v>
      </c>
      <c r="M252" s="26"/>
    </row>
    <row r="253" spans="1:13" s="79" customFormat="1" x14ac:dyDescent="0.25">
      <c r="A253" s="22">
        <v>3827</v>
      </c>
      <c r="B253" s="23" t="s">
        <v>583</v>
      </c>
      <c r="C253" s="24">
        <v>213.9</v>
      </c>
      <c r="D253" s="25">
        <v>0.3</v>
      </c>
      <c r="E253" s="25">
        <f t="shared" si="6"/>
        <v>64.17</v>
      </c>
      <c r="F253" s="25"/>
      <c r="G253" s="25">
        <f t="shared" si="7"/>
        <v>64.17</v>
      </c>
      <c r="H253" s="34">
        <v>19049113</v>
      </c>
      <c r="I253" s="214" t="s">
        <v>584</v>
      </c>
      <c r="J253" s="215" t="s">
        <v>25</v>
      </c>
      <c r="K253" s="214" t="s">
        <v>26</v>
      </c>
      <c r="L253" s="22">
        <v>97778037</v>
      </c>
      <c r="M253" s="26"/>
    </row>
    <row r="254" spans="1:13" s="79" customFormat="1" x14ac:dyDescent="0.25">
      <c r="A254" s="22">
        <v>3828</v>
      </c>
      <c r="B254" s="23" t="s">
        <v>585</v>
      </c>
      <c r="C254" s="29"/>
      <c r="D254" s="25">
        <v>0.3</v>
      </c>
      <c r="E254" s="25">
        <f t="shared" si="6"/>
        <v>0</v>
      </c>
      <c r="F254" s="25"/>
      <c r="G254" s="25">
        <f t="shared" si="7"/>
        <v>0</v>
      </c>
      <c r="H254" s="34">
        <v>5520522</v>
      </c>
      <c r="I254" s="214" t="s">
        <v>586</v>
      </c>
      <c r="J254" s="216" t="s">
        <v>75</v>
      </c>
      <c r="K254" s="26" t="s">
        <v>76</v>
      </c>
      <c r="L254" s="22">
        <v>99589277</v>
      </c>
      <c r="M254" s="26"/>
    </row>
    <row r="255" spans="1:13" s="79" customFormat="1" x14ac:dyDescent="0.25">
      <c r="A255" s="22">
        <v>3829</v>
      </c>
      <c r="B255" s="23" t="s">
        <v>587</v>
      </c>
      <c r="C255" s="24">
        <v>72.8</v>
      </c>
      <c r="D255" s="25">
        <v>0.3</v>
      </c>
      <c r="E255" s="25">
        <f t="shared" si="6"/>
        <v>21.84</v>
      </c>
      <c r="F255" s="25"/>
      <c r="G255" s="25">
        <f t="shared" si="7"/>
        <v>21.84</v>
      </c>
      <c r="H255" s="34">
        <v>897384</v>
      </c>
      <c r="I255" s="214" t="s">
        <v>588</v>
      </c>
      <c r="J255" s="26" t="s">
        <v>17</v>
      </c>
      <c r="K255" s="26" t="s">
        <v>18</v>
      </c>
      <c r="L255" s="22"/>
      <c r="M255" s="26"/>
    </row>
    <row r="256" spans="1:13" s="79" customFormat="1" x14ac:dyDescent="0.25">
      <c r="A256" s="22">
        <v>3830</v>
      </c>
      <c r="B256" s="23" t="s">
        <v>589</v>
      </c>
      <c r="C256" s="29"/>
      <c r="D256" s="25">
        <v>0.3</v>
      </c>
      <c r="E256" s="25">
        <f t="shared" si="6"/>
        <v>0</v>
      </c>
      <c r="F256" s="25"/>
      <c r="G256" s="25">
        <f t="shared" si="7"/>
        <v>0</v>
      </c>
      <c r="H256" s="34">
        <v>2153706</v>
      </c>
      <c r="I256" s="214" t="s">
        <v>590</v>
      </c>
      <c r="J256" s="215" t="s">
        <v>25</v>
      </c>
      <c r="K256" s="214" t="s">
        <v>26</v>
      </c>
      <c r="L256" s="22">
        <v>92740607</v>
      </c>
      <c r="M256" s="26"/>
    </row>
    <row r="257" spans="1:13" s="79" customFormat="1" x14ac:dyDescent="0.25">
      <c r="A257" s="22">
        <v>3831</v>
      </c>
      <c r="B257" s="23" t="s">
        <v>591</v>
      </c>
      <c r="C257" s="29"/>
      <c r="D257" s="25">
        <v>0.3</v>
      </c>
      <c r="E257" s="25">
        <f t="shared" si="6"/>
        <v>0</v>
      </c>
      <c r="F257" s="25"/>
      <c r="G257" s="25">
        <f t="shared" si="7"/>
        <v>0</v>
      </c>
      <c r="H257" s="34">
        <v>873604</v>
      </c>
      <c r="I257" s="214" t="s">
        <v>592</v>
      </c>
      <c r="J257" s="26" t="s">
        <v>17</v>
      </c>
      <c r="K257" s="26" t="s">
        <v>18</v>
      </c>
      <c r="L257" s="22">
        <v>98145449</v>
      </c>
      <c r="M257" s="26"/>
    </row>
    <row r="258" spans="1:13" s="79" customFormat="1" x14ac:dyDescent="0.25">
      <c r="A258" s="22">
        <v>3832</v>
      </c>
      <c r="B258" s="23" t="s">
        <v>792</v>
      </c>
      <c r="C258" s="29"/>
      <c r="D258" s="25">
        <v>0.3</v>
      </c>
      <c r="E258" s="25">
        <f t="shared" si="6"/>
        <v>0</v>
      </c>
      <c r="F258" s="25"/>
      <c r="G258" s="25">
        <f t="shared" si="7"/>
        <v>0</v>
      </c>
      <c r="H258" s="34">
        <v>1985192</v>
      </c>
      <c r="I258" s="534" t="s">
        <v>840</v>
      </c>
      <c r="J258" s="535" t="s">
        <v>25</v>
      </c>
      <c r="K258" s="534" t="s">
        <v>26</v>
      </c>
      <c r="L258" s="22">
        <v>99695515</v>
      </c>
      <c r="M258" s="26"/>
    </row>
    <row r="259" spans="1:13" s="79" customFormat="1" x14ac:dyDescent="0.25">
      <c r="A259" s="22">
        <v>3833</v>
      </c>
      <c r="B259" s="23" t="s">
        <v>593</v>
      </c>
      <c r="C259" s="24">
        <v>87.5</v>
      </c>
      <c r="D259" s="25">
        <v>0.3</v>
      </c>
      <c r="E259" s="25">
        <f t="shared" si="6"/>
        <v>26.25</v>
      </c>
      <c r="F259" s="25"/>
      <c r="G259" s="25">
        <f t="shared" si="7"/>
        <v>26.25</v>
      </c>
      <c r="H259" s="34">
        <v>19179619</v>
      </c>
      <c r="I259" s="214" t="s">
        <v>594</v>
      </c>
      <c r="J259" s="26" t="s">
        <v>17</v>
      </c>
      <c r="K259" s="26" t="s">
        <v>18</v>
      </c>
      <c r="L259" s="22">
        <v>91133123</v>
      </c>
      <c r="M259" s="26"/>
    </row>
    <row r="260" spans="1:13" s="79" customFormat="1" x14ac:dyDescent="0.25">
      <c r="A260" s="22">
        <v>3834</v>
      </c>
      <c r="B260" s="23" t="s">
        <v>595</v>
      </c>
      <c r="C260" s="29"/>
      <c r="D260" s="25">
        <v>0.3</v>
      </c>
      <c r="E260" s="25">
        <f t="shared" ref="E260:E312" si="8">D260*C260</f>
        <v>0</v>
      </c>
      <c r="F260" s="25"/>
      <c r="G260" s="25">
        <f t="shared" ref="G260:G312" si="9">E260-F260</f>
        <v>0</v>
      </c>
      <c r="H260" s="34">
        <v>5544756</v>
      </c>
      <c r="I260" s="214" t="s">
        <v>596</v>
      </c>
      <c r="J260" s="215" t="s">
        <v>25</v>
      </c>
      <c r="K260" s="214" t="s">
        <v>26</v>
      </c>
      <c r="L260" s="22">
        <v>92444788</v>
      </c>
      <c r="M260" s="26"/>
    </row>
    <row r="261" spans="1:13" s="79" customFormat="1" x14ac:dyDescent="0.25">
      <c r="A261" s="22">
        <v>3835</v>
      </c>
      <c r="B261" s="23" t="s">
        <v>598</v>
      </c>
      <c r="C261" s="24">
        <v>87.6</v>
      </c>
      <c r="D261" s="25">
        <v>0.3</v>
      </c>
      <c r="E261" s="25">
        <f t="shared" si="8"/>
        <v>26.279999999999998</v>
      </c>
      <c r="F261" s="25"/>
      <c r="G261" s="25">
        <f t="shared" si="9"/>
        <v>26.279999999999998</v>
      </c>
      <c r="H261" s="34">
        <v>781845</v>
      </c>
      <c r="I261" s="214" t="s">
        <v>599</v>
      </c>
      <c r="J261" s="26" t="s">
        <v>17</v>
      </c>
      <c r="K261" s="26" t="s">
        <v>18</v>
      </c>
      <c r="L261" s="22">
        <v>99297720</v>
      </c>
      <c r="M261" s="26"/>
    </row>
    <row r="262" spans="1:13" s="79" customFormat="1" x14ac:dyDescent="0.25">
      <c r="A262" s="22">
        <v>3836</v>
      </c>
      <c r="B262" s="23" t="s">
        <v>600</v>
      </c>
      <c r="C262" s="29"/>
      <c r="D262" s="25">
        <v>0.3</v>
      </c>
      <c r="E262" s="25">
        <f t="shared" si="8"/>
        <v>0</v>
      </c>
      <c r="F262" s="25"/>
      <c r="G262" s="25">
        <f t="shared" si="9"/>
        <v>0</v>
      </c>
      <c r="H262" s="34">
        <v>20264434</v>
      </c>
      <c r="I262" s="214" t="s">
        <v>601</v>
      </c>
      <c r="J262" s="215" t="s">
        <v>25</v>
      </c>
      <c r="K262" s="214" t="s">
        <v>26</v>
      </c>
      <c r="L262" s="22"/>
      <c r="M262" s="26"/>
    </row>
    <row r="263" spans="1:13" s="79" customFormat="1" x14ac:dyDescent="0.25">
      <c r="A263" s="22">
        <v>3837</v>
      </c>
      <c r="B263" s="23" t="s">
        <v>602</v>
      </c>
      <c r="C263" s="24">
        <v>71.900000000000006</v>
      </c>
      <c r="D263" s="25">
        <v>0.3</v>
      </c>
      <c r="E263" s="25">
        <f t="shared" si="8"/>
        <v>21.57</v>
      </c>
      <c r="F263" s="25"/>
      <c r="G263" s="25">
        <f t="shared" si="9"/>
        <v>21.57</v>
      </c>
      <c r="H263" s="34">
        <v>1935947</v>
      </c>
      <c r="I263" s="214" t="s">
        <v>603</v>
      </c>
      <c r="J263" s="215" t="s">
        <v>25</v>
      </c>
      <c r="K263" s="214" t="s">
        <v>26</v>
      </c>
      <c r="L263" s="22">
        <v>99499566</v>
      </c>
      <c r="M263" s="26"/>
    </row>
    <row r="264" spans="1:13" s="79" customFormat="1" x14ac:dyDescent="0.25">
      <c r="A264" s="22">
        <v>3838</v>
      </c>
      <c r="B264" s="23" t="s">
        <v>604</v>
      </c>
      <c r="C264" s="29"/>
      <c r="D264" s="25">
        <v>0.3</v>
      </c>
      <c r="E264" s="25">
        <f t="shared" si="8"/>
        <v>0</v>
      </c>
      <c r="F264" s="25"/>
      <c r="G264" s="25">
        <f t="shared" si="9"/>
        <v>0</v>
      </c>
      <c r="H264" s="34">
        <v>18553115</v>
      </c>
      <c r="I264" s="214" t="s">
        <v>605</v>
      </c>
      <c r="J264" s="215" t="s">
        <v>25</v>
      </c>
      <c r="K264" s="214" t="s">
        <v>26</v>
      </c>
      <c r="L264" s="22"/>
      <c r="M264" s="26"/>
    </row>
    <row r="265" spans="1:13" s="79" customFormat="1" x14ac:dyDescent="0.25">
      <c r="A265" s="22">
        <v>3839</v>
      </c>
      <c r="B265" s="23" t="s">
        <v>606</v>
      </c>
      <c r="C265" s="24">
        <v>59</v>
      </c>
      <c r="D265" s="25">
        <v>0.3</v>
      </c>
      <c r="E265" s="25">
        <f t="shared" si="8"/>
        <v>17.7</v>
      </c>
      <c r="F265" s="25"/>
      <c r="G265" s="25">
        <f t="shared" si="9"/>
        <v>17.7</v>
      </c>
      <c r="H265" s="34">
        <v>22799311</v>
      </c>
      <c r="I265" s="214" t="s">
        <v>607</v>
      </c>
      <c r="J265" s="215" t="s">
        <v>25</v>
      </c>
      <c r="K265" s="214" t="s">
        <v>26</v>
      </c>
      <c r="L265" s="22"/>
      <c r="M265" s="26"/>
    </row>
    <row r="266" spans="1:13" s="79" customFormat="1" x14ac:dyDescent="0.25">
      <c r="A266" s="22">
        <v>3840</v>
      </c>
      <c r="B266" s="23" t="s">
        <v>608</v>
      </c>
      <c r="C266" s="29"/>
      <c r="D266" s="25">
        <v>0.3</v>
      </c>
      <c r="E266" s="25">
        <f t="shared" si="8"/>
        <v>0</v>
      </c>
      <c r="F266" s="25"/>
      <c r="G266" s="25">
        <f t="shared" si="9"/>
        <v>0</v>
      </c>
      <c r="H266" s="34">
        <v>19777334</v>
      </c>
      <c r="I266" s="214" t="s">
        <v>609</v>
      </c>
      <c r="J266" s="215" t="s">
        <v>25</v>
      </c>
      <c r="K266" s="214" t="s">
        <v>26</v>
      </c>
      <c r="L266" s="22"/>
      <c r="M266" s="26"/>
    </row>
    <row r="267" spans="1:13" s="79" customFormat="1" x14ac:dyDescent="0.25">
      <c r="A267" s="22">
        <v>3841</v>
      </c>
      <c r="B267" s="23" t="s">
        <v>610</v>
      </c>
      <c r="C267" s="24">
        <v>114.4</v>
      </c>
      <c r="D267" s="25">
        <v>0.3</v>
      </c>
      <c r="E267" s="25">
        <f t="shared" si="8"/>
        <v>34.32</v>
      </c>
      <c r="F267" s="25"/>
      <c r="G267" s="25">
        <f t="shared" si="9"/>
        <v>34.32</v>
      </c>
      <c r="H267" s="34">
        <v>2538202</v>
      </c>
      <c r="I267" s="214" t="s">
        <v>611</v>
      </c>
      <c r="J267" s="216" t="s">
        <v>75</v>
      </c>
      <c r="K267" s="26" t="s">
        <v>76</v>
      </c>
      <c r="L267" s="22">
        <v>92735668</v>
      </c>
      <c r="M267" s="26"/>
    </row>
    <row r="268" spans="1:13" s="79" customFormat="1" x14ac:dyDescent="0.25">
      <c r="A268" s="22">
        <v>3843</v>
      </c>
      <c r="B268" s="23" t="s">
        <v>612</v>
      </c>
      <c r="C268" s="24">
        <v>80</v>
      </c>
      <c r="D268" s="25">
        <v>0.3</v>
      </c>
      <c r="E268" s="25">
        <f t="shared" si="8"/>
        <v>24</v>
      </c>
      <c r="F268" s="25"/>
      <c r="G268" s="25">
        <f t="shared" si="9"/>
        <v>24</v>
      </c>
      <c r="H268" s="34">
        <v>19564247</v>
      </c>
      <c r="I268" s="214" t="s">
        <v>613</v>
      </c>
      <c r="J268" s="215" t="s">
        <v>25</v>
      </c>
      <c r="K268" s="214" t="s">
        <v>26</v>
      </c>
      <c r="L268" s="22"/>
      <c r="M268" s="26"/>
    </row>
    <row r="269" spans="1:13" s="79" customFormat="1" x14ac:dyDescent="0.25">
      <c r="A269" s="22">
        <v>3844</v>
      </c>
      <c r="B269" s="23" t="s">
        <v>614</v>
      </c>
      <c r="C269" s="24">
        <v>313.10000000000002</v>
      </c>
      <c r="D269" s="25">
        <v>0.3</v>
      </c>
      <c r="E269" s="25">
        <f t="shared" si="8"/>
        <v>93.93</v>
      </c>
      <c r="F269" s="25"/>
      <c r="G269" s="25">
        <f t="shared" si="9"/>
        <v>93.93</v>
      </c>
      <c r="H269" s="34">
        <v>1036602</v>
      </c>
      <c r="I269" s="214" t="s">
        <v>615</v>
      </c>
      <c r="J269" s="26" t="s">
        <v>43</v>
      </c>
      <c r="K269" s="214" t="s">
        <v>44</v>
      </c>
      <c r="L269" s="22">
        <v>98112999</v>
      </c>
      <c r="M269" s="26"/>
    </row>
    <row r="270" spans="1:13" s="79" customFormat="1" x14ac:dyDescent="0.25">
      <c r="A270" s="22">
        <v>3845</v>
      </c>
      <c r="B270" s="23" t="s">
        <v>616</v>
      </c>
      <c r="C270" s="24">
        <v>280.3</v>
      </c>
      <c r="D270" s="25">
        <v>0.3</v>
      </c>
      <c r="E270" s="25">
        <f t="shared" si="8"/>
        <v>84.09</v>
      </c>
      <c r="F270" s="25"/>
      <c r="G270" s="25">
        <f t="shared" si="9"/>
        <v>84.09</v>
      </c>
      <c r="H270" s="34">
        <v>1432563</v>
      </c>
      <c r="I270" s="214" t="s">
        <v>617</v>
      </c>
      <c r="J270" s="26" t="s">
        <v>17</v>
      </c>
      <c r="K270" s="26" t="s">
        <v>18</v>
      </c>
      <c r="L270" s="22"/>
      <c r="M270" s="26"/>
    </row>
    <row r="271" spans="1:13" s="79" customFormat="1" x14ac:dyDescent="0.25">
      <c r="A271" s="22">
        <v>3846</v>
      </c>
      <c r="B271" s="23" t="s">
        <v>618</v>
      </c>
      <c r="C271" s="24">
        <v>102.6</v>
      </c>
      <c r="D271" s="25">
        <v>0.3</v>
      </c>
      <c r="E271" s="25">
        <f t="shared" si="8"/>
        <v>30.779999999999998</v>
      </c>
      <c r="F271" s="25"/>
      <c r="G271" s="25">
        <f t="shared" si="9"/>
        <v>30.779999999999998</v>
      </c>
      <c r="H271" s="34">
        <v>8115103</v>
      </c>
      <c r="I271" s="214" t="s">
        <v>619</v>
      </c>
      <c r="J271" s="216" t="s">
        <v>75</v>
      </c>
      <c r="K271" s="26" t="s">
        <v>76</v>
      </c>
      <c r="L271" s="22">
        <v>99298488</v>
      </c>
      <c r="M271" s="26"/>
    </row>
    <row r="272" spans="1:13" s="79" customFormat="1" x14ac:dyDescent="0.25">
      <c r="A272" s="22">
        <v>3847</v>
      </c>
      <c r="B272" s="23" t="s">
        <v>620</v>
      </c>
      <c r="C272" s="24">
        <v>335.2</v>
      </c>
      <c r="D272" s="25">
        <v>0.3</v>
      </c>
      <c r="E272" s="25">
        <f t="shared" si="8"/>
        <v>100.55999999999999</v>
      </c>
      <c r="F272" s="25"/>
      <c r="G272" s="25">
        <f t="shared" si="9"/>
        <v>100.55999999999999</v>
      </c>
      <c r="H272" s="34">
        <v>238234</v>
      </c>
      <c r="I272" s="214" t="s">
        <v>621</v>
      </c>
      <c r="J272" s="215" t="s">
        <v>25</v>
      </c>
      <c r="K272" s="214" t="s">
        <v>26</v>
      </c>
      <c r="L272" s="22">
        <v>99495154</v>
      </c>
      <c r="M272" s="26"/>
    </row>
    <row r="273" spans="1:13" s="79" customFormat="1" x14ac:dyDescent="0.25">
      <c r="A273" s="22">
        <v>3848</v>
      </c>
      <c r="B273" s="23" t="s">
        <v>622</v>
      </c>
      <c r="C273" s="24">
        <v>348.3</v>
      </c>
      <c r="D273" s="25">
        <v>0.3</v>
      </c>
      <c r="E273" s="25">
        <f t="shared" si="8"/>
        <v>104.49</v>
      </c>
      <c r="F273" s="25"/>
      <c r="G273" s="25">
        <f t="shared" si="9"/>
        <v>104.49</v>
      </c>
      <c r="H273" s="34">
        <v>19231852</v>
      </c>
      <c r="I273" s="214" t="s">
        <v>623</v>
      </c>
      <c r="J273" s="26" t="s">
        <v>43</v>
      </c>
      <c r="K273" s="214" t="s">
        <v>44</v>
      </c>
      <c r="L273" s="22">
        <v>92341000</v>
      </c>
      <c r="M273" s="26"/>
    </row>
    <row r="274" spans="1:13" s="79" customFormat="1" x14ac:dyDescent="0.25">
      <c r="A274" s="22">
        <v>3849</v>
      </c>
      <c r="B274" s="23" t="s">
        <v>624</v>
      </c>
      <c r="C274" s="24">
        <v>97.5</v>
      </c>
      <c r="D274" s="25">
        <v>0.3</v>
      </c>
      <c r="E274" s="25">
        <f t="shared" si="8"/>
        <v>29.25</v>
      </c>
      <c r="F274" s="25"/>
      <c r="G274" s="25">
        <f t="shared" si="9"/>
        <v>29.25</v>
      </c>
      <c r="H274" s="470">
        <v>18693727</v>
      </c>
      <c r="I274" s="487" t="s">
        <v>625</v>
      </c>
      <c r="J274" s="26" t="s">
        <v>17</v>
      </c>
      <c r="K274" s="26" t="s">
        <v>18</v>
      </c>
      <c r="L274" s="22">
        <v>93264185</v>
      </c>
      <c r="M274" s="26"/>
    </row>
    <row r="275" spans="1:13" s="79" customFormat="1" x14ac:dyDescent="0.25">
      <c r="A275" s="22">
        <v>3850</v>
      </c>
      <c r="B275" s="23" t="s">
        <v>626</v>
      </c>
      <c r="C275" s="24">
        <v>156.1</v>
      </c>
      <c r="D275" s="25">
        <v>0.3</v>
      </c>
      <c r="E275" s="25">
        <f t="shared" si="8"/>
        <v>46.83</v>
      </c>
      <c r="F275" s="25"/>
      <c r="G275" s="25">
        <f t="shared" si="9"/>
        <v>46.83</v>
      </c>
      <c r="H275" s="34">
        <v>5742985</v>
      </c>
      <c r="I275" s="214" t="s">
        <v>627</v>
      </c>
      <c r="J275" s="215" t="s">
        <v>25</v>
      </c>
      <c r="K275" s="214" t="s">
        <v>26</v>
      </c>
      <c r="L275" s="22">
        <v>93693543</v>
      </c>
      <c r="M275" s="26"/>
    </row>
    <row r="276" spans="1:13" s="79" customFormat="1" x14ac:dyDescent="0.25">
      <c r="A276" s="22">
        <v>3851</v>
      </c>
      <c r="B276" s="23" t="s">
        <v>629</v>
      </c>
      <c r="C276" s="29"/>
      <c r="D276" s="25">
        <v>0.3</v>
      </c>
      <c r="E276" s="25">
        <f t="shared" si="8"/>
        <v>0</v>
      </c>
      <c r="F276" s="25"/>
      <c r="G276" s="25">
        <f t="shared" si="9"/>
        <v>0</v>
      </c>
      <c r="H276" s="34">
        <v>22766611</v>
      </c>
      <c r="I276" s="214" t="s">
        <v>630</v>
      </c>
      <c r="J276" s="214" t="s">
        <v>257</v>
      </c>
      <c r="K276" s="214" t="s">
        <v>258</v>
      </c>
      <c r="L276" s="22">
        <v>92688007</v>
      </c>
      <c r="M276" s="26"/>
    </row>
    <row r="277" spans="1:13" s="79" customFormat="1" x14ac:dyDescent="0.25">
      <c r="A277" s="22">
        <v>3852</v>
      </c>
      <c r="B277" s="23" t="s">
        <v>631</v>
      </c>
      <c r="C277" s="29"/>
      <c r="D277" s="25">
        <v>0.3</v>
      </c>
      <c r="E277" s="25">
        <f t="shared" si="8"/>
        <v>0</v>
      </c>
      <c r="F277" s="25"/>
      <c r="G277" s="25">
        <f t="shared" si="9"/>
        <v>0</v>
      </c>
      <c r="H277" s="34">
        <v>8827979</v>
      </c>
      <c r="I277" s="214" t="s">
        <v>632</v>
      </c>
      <c r="J277" s="215" t="s">
        <v>25</v>
      </c>
      <c r="K277" s="214" t="s">
        <v>26</v>
      </c>
      <c r="L277" s="22">
        <v>92698971</v>
      </c>
      <c r="M277" s="26"/>
    </row>
    <row r="278" spans="1:13" s="79" customFormat="1" x14ac:dyDescent="0.25">
      <c r="A278" s="140">
        <v>3853</v>
      </c>
      <c r="B278" s="23" t="s">
        <v>633</v>
      </c>
      <c r="C278" s="29"/>
      <c r="D278" s="25">
        <v>0.3</v>
      </c>
      <c r="E278" s="25">
        <f t="shared" si="8"/>
        <v>0</v>
      </c>
      <c r="F278" s="25"/>
      <c r="G278" s="25">
        <f t="shared" si="9"/>
        <v>0</v>
      </c>
      <c r="H278" s="34">
        <v>5857446</v>
      </c>
      <c r="I278" s="214" t="s">
        <v>634</v>
      </c>
      <c r="J278" s="215" t="s">
        <v>25</v>
      </c>
      <c r="K278" s="214" t="s">
        <v>26</v>
      </c>
      <c r="L278" s="22">
        <v>97799611</v>
      </c>
      <c r="M278" s="26"/>
    </row>
    <row r="279" spans="1:13" s="79" customFormat="1" x14ac:dyDescent="0.25">
      <c r="A279" s="22">
        <v>3854</v>
      </c>
      <c r="B279" s="23" t="s">
        <v>635</v>
      </c>
      <c r="C279" s="24">
        <v>58.9</v>
      </c>
      <c r="D279" s="25">
        <v>0.3</v>
      </c>
      <c r="E279" s="25">
        <f t="shared" si="8"/>
        <v>17.669999999999998</v>
      </c>
      <c r="F279" s="25"/>
      <c r="G279" s="25">
        <f t="shared" si="9"/>
        <v>17.669999999999998</v>
      </c>
      <c r="H279" s="34">
        <v>1085838</v>
      </c>
      <c r="I279" s="214" t="s">
        <v>636</v>
      </c>
      <c r="J279" s="214" t="s">
        <v>166</v>
      </c>
      <c r="K279" s="26" t="s">
        <v>129</v>
      </c>
      <c r="L279" s="22">
        <v>92928848</v>
      </c>
      <c r="M279" s="26"/>
    </row>
    <row r="280" spans="1:13" s="79" customFormat="1" x14ac:dyDescent="0.25">
      <c r="A280" s="22">
        <v>3855</v>
      </c>
      <c r="B280" s="23" t="s">
        <v>637</v>
      </c>
      <c r="C280" s="24">
        <v>80</v>
      </c>
      <c r="D280" s="25">
        <v>0.3</v>
      </c>
      <c r="E280" s="25">
        <f t="shared" si="8"/>
        <v>24</v>
      </c>
      <c r="F280" s="25"/>
      <c r="G280" s="25">
        <f t="shared" si="9"/>
        <v>24</v>
      </c>
      <c r="H280" s="34">
        <v>4948259</v>
      </c>
      <c r="I280" s="214" t="s">
        <v>638</v>
      </c>
      <c r="J280" s="215" t="s">
        <v>25</v>
      </c>
      <c r="K280" s="214" t="s">
        <v>26</v>
      </c>
      <c r="L280" s="22">
        <v>98252880</v>
      </c>
      <c r="M280" s="26"/>
    </row>
    <row r="281" spans="1:13" s="79" customFormat="1" x14ac:dyDescent="0.25">
      <c r="A281" s="22">
        <v>3856</v>
      </c>
      <c r="B281" s="23" t="s">
        <v>639</v>
      </c>
      <c r="C281" s="24">
        <v>27.7</v>
      </c>
      <c r="D281" s="25">
        <v>0.3</v>
      </c>
      <c r="E281" s="25">
        <f t="shared" si="8"/>
        <v>8.3099999999999987</v>
      </c>
      <c r="F281" s="25"/>
      <c r="G281" s="25">
        <f t="shared" si="9"/>
        <v>8.3099999999999987</v>
      </c>
      <c r="H281" s="34">
        <v>15097631</v>
      </c>
      <c r="I281" s="214" t="s">
        <v>640</v>
      </c>
      <c r="J281" s="215" t="s">
        <v>25</v>
      </c>
      <c r="K281" s="214" t="s">
        <v>26</v>
      </c>
      <c r="L281" s="22">
        <v>93262015</v>
      </c>
      <c r="M281" s="26"/>
    </row>
    <row r="282" spans="1:13" s="79" customFormat="1" x14ac:dyDescent="0.25">
      <c r="A282" s="22">
        <v>3857</v>
      </c>
      <c r="B282" s="23" t="s">
        <v>36</v>
      </c>
      <c r="C282" s="29"/>
      <c r="D282" s="25">
        <v>0.3</v>
      </c>
      <c r="E282" s="25">
        <f t="shared" si="8"/>
        <v>0</v>
      </c>
      <c r="F282" s="25"/>
      <c r="G282" s="25">
        <f t="shared" si="9"/>
        <v>0</v>
      </c>
      <c r="H282" s="34">
        <v>28903474</v>
      </c>
      <c r="I282" s="214" t="s">
        <v>37</v>
      </c>
      <c r="J282" s="26" t="s">
        <v>17</v>
      </c>
      <c r="K282" s="26" t="s">
        <v>18</v>
      </c>
      <c r="L282" s="22">
        <v>77588901</v>
      </c>
      <c r="M282" s="26"/>
    </row>
    <row r="283" spans="1:13" s="79" customFormat="1" x14ac:dyDescent="0.25">
      <c r="A283" s="22">
        <v>3858</v>
      </c>
      <c r="B283" s="23" t="s">
        <v>641</v>
      </c>
      <c r="C283" s="24">
        <v>92.2</v>
      </c>
      <c r="D283" s="25">
        <v>0.3</v>
      </c>
      <c r="E283" s="25">
        <f t="shared" si="8"/>
        <v>27.66</v>
      </c>
      <c r="F283" s="25"/>
      <c r="G283" s="25">
        <f t="shared" si="9"/>
        <v>27.66</v>
      </c>
      <c r="H283" s="34">
        <v>18451569</v>
      </c>
      <c r="I283" s="214" t="s">
        <v>642</v>
      </c>
      <c r="J283" s="215" t="s">
        <v>25</v>
      </c>
      <c r="K283" s="214" t="s">
        <v>26</v>
      </c>
      <c r="L283" s="22">
        <v>99298699</v>
      </c>
      <c r="M283" s="26"/>
    </row>
    <row r="284" spans="1:13" s="79" customFormat="1" x14ac:dyDescent="0.25">
      <c r="A284" s="22">
        <v>3859</v>
      </c>
      <c r="B284" s="23" t="s">
        <v>442</v>
      </c>
      <c r="C284" s="24">
        <v>170.3</v>
      </c>
      <c r="D284" s="25">
        <v>0.3</v>
      </c>
      <c r="E284" s="25">
        <f t="shared" si="8"/>
        <v>51.09</v>
      </c>
      <c r="F284" s="25"/>
      <c r="G284" s="25">
        <f t="shared" si="9"/>
        <v>51.09</v>
      </c>
      <c r="H284" s="34">
        <v>6038764</v>
      </c>
      <c r="I284" s="214" t="s">
        <v>643</v>
      </c>
      <c r="J284" s="26" t="s">
        <v>17</v>
      </c>
      <c r="K284" s="26" t="s">
        <v>18</v>
      </c>
      <c r="L284" s="22">
        <v>98525646</v>
      </c>
      <c r="M284" s="26"/>
    </row>
    <row r="285" spans="1:13" s="79" customFormat="1" x14ac:dyDescent="0.25">
      <c r="A285" s="22">
        <v>3860</v>
      </c>
      <c r="B285" s="23" t="s">
        <v>644</v>
      </c>
      <c r="C285" s="24">
        <v>50.3</v>
      </c>
      <c r="D285" s="25">
        <v>0.3</v>
      </c>
      <c r="E285" s="25">
        <f t="shared" si="8"/>
        <v>15.089999999999998</v>
      </c>
      <c r="F285" s="25"/>
      <c r="G285" s="25">
        <f t="shared" si="9"/>
        <v>15.089999999999998</v>
      </c>
      <c r="H285" s="34">
        <v>6132261</v>
      </c>
      <c r="I285" s="214" t="s">
        <v>916</v>
      </c>
      <c r="J285" s="215" t="s">
        <v>25</v>
      </c>
      <c r="K285" s="214" t="s">
        <v>26</v>
      </c>
      <c r="L285" s="22">
        <v>92527857</v>
      </c>
      <c r="M285" s="26"/>
    </row>
    <row r="286" spans="1:13" s="79" customFormat="1" x14ac:dyDescent="0.25">
      <c r="A286" s="22">
        <v>3861</v>
      </c>
      <c r="B286" s="23" t="s">
        <v>646</v>
      </c>
      <c r="C286" s="24">
        <v>22</v>
      </c>
      <c r="D286" s="25">
        <v>0.3</v>
      </c>
      <c r="E286" s="25">
        <f t="shared" si="8"/>
        <v>6.6</v>
      </c>
      <c r="F286" s="25"/>
      <c r="G286" s="25">
        <f t="shared" si="9"/>
        <v>6.6</v>
      </c>
      <c r="H286" s="34">
        <v>14330506</v>
      </c>
      <c r="I286" s="214" t="s">
        <v>647</v>
      </c>
      <c r="J286" s="26" t="s">
        <v>17</v>
      </c>
      <c r="K286" s="26" t="s">
        <v>18</v>
      </c>
      <c r="L286" s="22">
        <v>98187484</v>
      </c>
      <c r="M286" s="26"/>
    </row>
    <row r="287" spans="1:13" s="79" customFormat="1" x14ac:dyDescent="0.25">
      <c r="A287" s="22">
        <v>3862</v>
      </c>
      <c r="B287" s="23" t="s">
        <v>648</v>
      </c>
      <c r="C287" s="29"/>
      <c r="D287" s="25">
        <v>0.3</v>
      </c>
      <c r="E287" s="25">
        <f t="shared" si="8"/>
        <v>0</v>
      </c>
      <c r="F287" s="25"/>
      <c r="G287" s="25">
        <f t="shared" si="9"/>
        <v>0</v>
      </c>
      <c r="H287" s="34">
        <v>5892019</v>
      </c>
      <c r="I287" s="214" t="s">
        <v>649</v>
      </c>
      <c r="J287" s="215" t="s">
        <v>25</v>
      </c>
      <c r="K287" s="214" t="s">
        <v>26</v>
      </c>
      <c r="L287" s="22"/>
      <c r="M287" s="26"/>
    </row>
    <row r="288" spans="1:13" s="79" customFormat="1" x14ac:dyDescent="0.25">
      <c r="A288" s="22">
        <v>3863</v>
      </c>
      <c r="B288" s="23" t="s">
        <v>650</v>
      </c>
      <c r="C288" s="29"/>
      <c r="D288" s="25">
        <v>0.3</v>
      </c>
      <c r="E288" s="25">
        <f t="shared" si="8"/>
        <v>0</v>
      </c>
      <c r="F288" s="25"/>
      <c r="G288" s="25">
        <f t="shared" si="9"/>
        <v>0</v>
      </c>
      <c r="H288" s="34">
        <v>10772417</v>
      </c>
      <c r="I288" s="214" t="s">
        <v>651</v>
      </c>
      <c r="J288" s="215" t="s">
        <v>25</v>
      </c>
      <c r="K288" s="214" t="s">
        <v>26</v>
      </c>
      <c r="L288" s="22"/>
      <c r="M288" s="26"/>
    </row>
    <row r="289" spans="1:13" s="79" customFormat="1" x14ac:dyDescent="0.25">
      <c r="A289" s="22">
        <v>3864</v>
      </c>
      <c r="B289" s="23" t="s">
        <v>652</v>
      </c>
      <c r="C289" s="24">
        <v>10</v>
      </c>
      <c r="D289" s="25">
        <v>0.3</v>
      </c>
      <c r="E289" s="25">
        <f t="shared" si="8"/>
        <v>3</v>
      </c>
      <c r="F289" s="25"/>
      <c r="G289" s="25">
        <f t="shared" si="9"/>
        <v>3</v>
      </c>
      <c r="H289" s="34">
        <v>6493803</v>
      </c>
      <c r="I289" s="214" t="s">
        <v>653</v>
      </c>
      <c r="J289" s="26" t="s">
        <v>17</v>
      </c>
      <c r="K289" s="26" t="s">
        <v>18</v>
      </c>
      <c r="L289" s="22">
        <v>99810408</v>
      </c>
      <c r="M289" s="26"/>
    </row>
    <row r="290" spans="1:13" s="79" customFormat="1" x14ac:dyDescent="0.25">
      <c r="A290" s="22">
        <v>3865</v>
      </c>
      <c r="B290" s="23" t="s">
        <v>654</v>
      </c>
      <c r="C290" s="24">
        <v>65.900000000000006</v>
      </c>
      <c r="D290" s="25">
        <v>0.3</v>
      </c>
      <c r="E290" s="25">
        <f t="shared" si="8"/>
        <v>19.77</v>
      </c>
      <c r="F290" s="25"/>
      <c r="G290" s="25">
        <f t="shared" si="9"/>
        <v>19.77</v>
      </c>
      <c r="H290" s="34">
        <v>15219317</v>
      </c>
      <c r="I290" s="214" t="s">
        <v>655</v>
      </c>
      <c r="J290" s="215" t="s">
        <v>25</v>
      </c>
      <c r="K290" s="214" t="s">
        <v>26</v>
      </c>
      <c r="L290" s="22"/>
      <c r="M290" s="26"/>
    </row>
    <row r="291" spans="1:13" s="79" customFormat="1" x14ac:dyDescent="0.25">
      <c r="A291" s="22">
        <v>3866</v>
      </c>
      <c r="B291" s="23" t="s">
        <v>656</v>
      </c>
      <c r="C291" s="29"/>
      <c r="D291" s="25">
        <v>0.3</v>
      </c>
      <c r="E291" s="25">
        <f t="shared" si="8"/>
        <v>0</v>
      </c>
      <c r="F291" s="25"/>
      <c r="G291" s="25">
        <f t="shared" si="9"/>
        <v>0</v>
      </c>
      <c r="H291" s="34">
        <v>11772662</v>
      </c>
      <c r="I291" s="214" t="s">
        <v>657</v>
      </c>
      <c r="J291" s="215" t="s">
        <v>25</v>
      </c>
      <c r="K291" s="214" t="s">
        <v>26</v>
      </c>
      <c r="L291" s="22"/>
      <c r="M291" s="26"/>
    </row>
    <row r="292" spans="1:13" s="79" customFormat="1" x14ac:dyDescent="0.25">
      <c r="A292" s="22">
        <v>3867</v>
      </c>
      <c r="B292" s="23" t="s">
        <v>658</v>
      </c>
      <c r="C292" s="29"/>
      <c r="D292" s="25">
        <v>0.3</v>
      </c>
      <c r="E292" s="25">
        <f t="shared" si="8"/>
        <v>0</v>
      </c>
      <c r="F292" s="25"/>
      <c r="G292" s="25">
        <f t="shared" si="9"/>
        <v>0</v>
      </c>
      <c r="H292" s="34">
        <v>18189491</v>
      </c>
      <c r="I292" s="214" t="s">
        <v>659</v>
      </c>
      <c r="J292" s="215" t="s">
        <v>25</v>
      </c>
      <c r="K292" s="214" t="s">
        <v>26</v>
      </c>
      <c r="L292" s="22">
        <v>92236482</v>
      </c>
      <c r="M292" s="26"/>
    </row>
    <row r="293" spans="1:13" s="79" customFormat="1" x14ac:dyDescent="0.25">
      <c r="A293" s="22">
        <v>3868</v>
      </c>
      <c r="B293" s="23" t="s">
        <v>660</v>
      </c>
      <c r="C293" s="24">
        <v>60.1</v>
      </c>
      <c r="D293" s="25">
        <v>0.3</v>
      </c>
      <c r="E293" s="25">
        <f t="shared" si="8"/>
        <v>18.03</v>
      </c>
      <c r="F293" s="25"/>
      <c r="G293" s="25">
        <f t="shared" si="9"/>
        <v>18.03</v>
      </c>
      <c r="H293" s="34">
        <v>23619706</v>
      </c>
      <c r="I293" s="214" t="s">
        <v>661</v>
      </c>
      <c r="J293" s="215" t="s">
        <v>25</v>
      </c>
      <c r="K293" s="214" t="s">
        <v>26</v>
      </c>
      <c r="L293" s="22">
        <v>93392527</v>
      </c>
      <c r="M293" s="26"/>
    </row>
    <row r="294" spans="1:13" s="79" customFormat="1" x14ac:dyDescent="0.25">
      <c r="A294" s="22">
        <v>3869</v>
      </c>
      <c r="B294" s="23" t="s">
        <v>662</v>
      </c>
      <c r="C294" s="24">
        <v>72.599999999999994</v>
      </c>
      <c r="D294" s="25">
        <v>0.3</v>
      </c>
      <c r="E294" s="25">
        <f t="shared" si="8"/>
        <v>21.779999999999998</v>
      </c>
      <c r="F294" s="25"/>
      <c r="G294" s="25">
        <f t="shared" si="9"/>
        <v>21.779999999999998</v>
      </c>
      <c r="H294" s="34">
        <v>1265569</v>
      </c>
      <c r="I294" s="214" t="s">
        <v>663</v>
      </c>
      <c r="J294" s="215" t="s">
        <v>25</v>
      </c>
      <c r="K294" s="214" t="s">
        <v>26</v>
      </c>
      <c r="L294" s="22">
        <v>93392527</v>
      </c>
      <c r="M294" s="26"/>
    </row>
    <row r="295" spans="1:13" s="79" customFormat="1" x14ac:dyDescent="0.25">
      <c r="A295" s="22">
        <v>3870</v>
      </c>
      <c r="B295" s="23" t="s">
        <v>664</v>
      </c>
      <c r="C295" s="29"/>
      <c r="D295" s="25">
        <v>0.3</v>
      </c>
      <c r="E295" s="25">
        <f t="shared" si="8"/>
        <v>0</v>
      </c>
      <c r="F295" s="25"/>
      <c r="G295" s="25">
        <f t="shared" si="9"/>
        <v>0</v>
      </c>
      <c r="H295" s="34">
        <v>7138058</v>
      </c>
      <c r="I295" s="214" t="s">
        <v>665</v>
      </c>
      <c r="J295" s="26" t="s">
        <v>17</v>
      </c>
      <c r="K295" s="26" t="s">
        <v>18</v>
      </c>
      <c r="L295" s="22">
        <v>98187475</v>
      </c>
      <c r="M295" s="26"/>
    </row>
    <row r="296" spans="1:13" s="79" customFormat="1" x14ac:dyDescent="0.25">
      <c r="A296" s="22">
        <v>3871</v>
      </c>
      <c r="B296" s="23" t="s">
        <v>38</v>
      </c>
      <c r="C296" s="29"/>
      <c r="D296" s="25">
        <v>0.3</v>
      </c>
      <c r="E296" s="25">
        <f t="shared" si="8"/>
        <v>0</v>
      </c>
      <c r="F296" s="25"/>
      <c r="G296" s="25">
        <f t="shared" si="9"/>
        <v>0</v>
      </c>
      <c r="H296" s="34">
        <v>6920684</v>
      </c>
      <c r="I296" s="214" t="s">
        <v>39</v>
      </c>
      <c r="J296" s="26" t="s">
        <v>17</v>
      </c>
      <c r="K296" s="26" t="s">
        <v>18</v>
      </c>
      <c r="L296" s="22"/>
      <c r="M296" s="26"/>
    </row>
    <row r="297" spans="1:13" s="79" customFormat="1" x14ac:dyDescent="0.25">
      <c r="A297" s="22">
        <v>3872</v>
      </c>
      <c r="B297" s="23" t="s">
        <v>666</v>
      </c>
      <c r="C297" s="29"/>
      <c r="D297" s="25">
        <v>0.3</v>
      </c>
      <c r="E297" s="25">
        <f t="shared" si="8"/>
        <v>0</v>
      </c>
      <c r="F297" s="25"/>
      <c r="G297" s="25">
        <f t="shared" si="9"/>
        <v>0</v>
      </c>
      <c r="H297" s="34">
        <v>5546892</v>
      </c>
      <c r="I297" s="214" t="s">
        <v>667</v>
      </c>
      <c r="J297" s="26" t="s">
        <v>17</v>
      </c>
      <c r="K297" s="26" t="s">
        <v>18</v>
      </c>
      <c r="L297" s="22">
        <v>93117757</v>
      </c>
      <c r="M297" s="26"/>
    </row>
    <row r="298" spans="1:13" s="79" customFormat="1" x14ac:dyDescent="0.25">
      <c r="A298" s="22">
        <v>3873</v>
      </c>
      <c r="B298" s="23" t="s">
        <v>668</v>
      </c>
      <c r="C298" s="29"/>
      <c r="D298" s="25">
        <v>0.3</v>
      </c>
      <c r="E298" s="25">
        <f t="shared" si="8"/>
        <v>0</v>
      </c>
      <c r="F298" s="25"/>
      <c r="G298" s="25">
        <f t="shared" si="9"/>
        <v>0</v>
      </c>
      <c r="H298" s="34">
        <v>6560744</v>
      </c>
      <c r="I298" s="214" t="s">
        <v>669</v>
      </c>
      <c r="J298" s="215" t="s">
        <v>25</v>
      </c>
      <c r="K298" s="214" t="s">
        <v>26</v>
      </c>
      <c r="L298" s="22">
        <v>99291997</v>
      </c>
      <c r="M298" s="26"/>
    </row>
    <row r="299" spans="1:13" s="79" customFormat="1" x14ac:dyDescent="0.25">
      <c r="A299" s="22">
        <v>3874</v>
      </c>
      <c r="B299" s="23" t="s">
        <v>670</v>
      </c>
      <c r="C299" s="24">
        <v>108</v>
      </c>
      <c r="D299" s="25">
        <v>0.3</v>
      </c>
      <c r="E299" s="25">
        <f t="shared" si="8"/>
        <v>32.4</v>
      </c>
      <c r="F299" s="25"/>
      <c r="G299" s="25">
        <f t="shared" si="9"/>
        <v>32.4</v>
      </c>
      <c r="H299" s="34">
        <v>8105354</v>
      </c>
      <c r="I299" s="214" t="s">
        <v>671</v>
      </c>
      <c r="J299" s="215" t="s">
        <v>25</v>
      </c>
      <c r="K299" s="214" t="s">
        <v>26</v>
      </c>
      <c r="L299" s="22">
        <v>96249000</v>
      </c>
      <c r="M299" s="26"/>
    </row>
    <row r="300" spans="1:13" s="79" customFormat="1" x14ac:dyDescent="0.25">
      <c r="A300" s="22">
        <v>3875</v>
      </c>
      <c r="B300" s="23" t="s">
        <v>672</v>
      </c>
      <c r="C300" s="24">
        <v>94.6</v>
      </c>
      <c r="D300" s="25">
        <v>0.3</v>
      </c>
      <c r="E300" s="25">
        <f t="shared" si="8"/>
        <v>28.38</v>
      </c>
      <c r="F300" s="25"/>
      <c r="G300" s="25">
        <f t="shared" si="9"/>
        <v>28.38</v>
      </c>
      <c r="H300" s="34">
        <v>1345289</v>
      </c>
      <c r="I300" s="214" t="s">
        <v>673</v>
      </c>
      <c r="J300" s="215" t="s">
        <v>25</v>
      </c>
      <c r="K300" s="214" t="s">
        <v>26</v>
      </c>
      <c r="L300" s="22">
        <v>99495936</v>
      </c>
      <c r="M300" s="26"/>
    </row>
    <row r="301" spans="1:13" s="79" customFormat="1" x14ac:dyDescent="0.25">
      <c r="A301" s="22">
        <v>3876</v>
      </c>
      <c r="B301" s="23" t="s">
        <v>674</v>
      </c>
      <c r="C301" s="24">
        <v>127.2</v>
      </c>
      <c r="D301" s="25">
        <v>0.3</v>
      </c>
      <c r="E301" s="25">
        <f t="shared" si="8"/>
        <v>38.159999999999997</v>
      </c>
      <c r="F301" s="25"/>
      <c r="G301" s="25">
        <f t="shared" si="9"/>
        <v>38.159999999999997</v>
      </c>
      <c r="H301" s="34">
        <v>4767948</v>
      </c>
      <c r="I301" s="214" t="s">
        <v>675</v>
      </c>
      <c r="J301" s="26" t="s">
        <v>17</v>
      </c>
      <c r="K301" s="26" t="s">
        <v>18</v>
      </c>
      <c r="L301" s="22"/>
      <c r="M301" s="26"/>
    </row>
    <row r="302" spans="1:13" s="79" customFormat="1" x14ac:dyDescent="0.25">
      <c r="A302" s="22">
        <v>3877</v>
      </c>
      <c r="B302" s="23" t="s">
        <v>41</v>
      </c>
      <c r="C302" s="24">
        <v>95.5</v>
      </c>
      <c r="D302" s="25">
        <v>0.3</v>
      </c>
      <c r="E302" s="25">
        <f t="shared" si="8"/>
        <v>28.65</v>
      </c>
      <c r="F302" s="25"/>
      <c r="G302" s="25">
        <f t="shared" si="9"/>
        <v>28.65</v>
      </c>
      <c r="H302" s="34">
        <v>14897254</v>
      </c>
      <c r="I302" s="214" t="s">
        <v>42</v>
      </c>
      <c r="J302" s="26" t="s">
        <v>43</v>
      </c>
      <c r="K302" s="214" t="s">
        <v>44</v>
      </c>
      <c r="L302" s="22">
        <v>92226297</v>
      </c>
      <c r="M302" s="26"/>
    </row>
    <row r="303" spans="1:13" s="79" customFormat="1" x14ac:dyDescent="0.25">
      <c r="A303" s="22">
        <v>3878</v>
      </c>
      <c r="B303" s="23" t="s">
        <v>676</v>
      </c>
      <c r="C303" s="29"/>
      <c r="D303" s="25">
        <v>0.3</v>
      </c>
      <c r="E303" s="25">
        <f t="shared" si="8"/>
        <v>0</v>
      </c>
      <c r="F303" s="25"/>
      <c r="G303" s="25">
        <f t="shared" si="9"/>
        <v>0</v>
      </c>
      <c r="H303" s="34">
        <v>22687078</v>
      </c>
      <c r="I303" s="214" t="s">
        <v>677</v>
      </c>
      <c r="J303" s="216" t="s">
        <v>75</v>
      </c>
      <c r="K303" s="26" t="s">
        <v>76</v>
      </c>
      <c r="L303" s="22">
        <v>92338070</v>
      </c>
      <c r="M303" s="26"/>
    </row>
    <row r="304" spans="1:13" s="79" customFormat="1" x14ac:dyDescent="0.25">
      <c r="A304" s="22">
        <v>3879</v>
      </c>
      <c r="B304" s="23" t="s">
        <v>678</v>
      </c>
      <c r="C304" s="29"/>
      <c r="D304" s="25">
        <v>0.3</v>
      </c>
      <c r="E304" s="25">
        <f t="shared" si="8"/>
        <v>0</v>
      </c>
      <c r="F304" s="25"/>
      <c r="G304" s="25">
        <f t="shared" si="9"/>
        <v>0</v>
      </c>
      <c r="H304" s="34">
        <v>23178497</v>
      </c>
      <c r="I304" s="214" t="s">
        <v>679</v>
      </c>
      <c r="J304" s="215" t="s">
        <v>25</v>
      </c>
      <c r="K304" s="214" t="s">
        <v>26</v>
      </c>
      <c r="L304" s="22"/>
      <c r="M304" s="26"/>
    </row>
    <row r="305" spans="1:13" s="79" customFormat="1" x14ac:dyDescent="0.25">
      <c r="A305" s="22">
        <v>3880</v>
      </c>
      <c r="B305" s="23" t="s">
        <v>680</v>
      </c>
      <c r="C305" s="29"/>
      <c r="D305" s="25">
        <v>0.3</v>
      </c>
      <c r="E305" s="25">
        <f t="shared" si="8"/>
        <v>0</v>
      </c>
      <c r="F305" s="25"/>
      <c r="G305" s="25">
        <f t="shared" si="9"/>
        <v>0</v>
      </c>
      <c r="H305" s="34">
        <v>6370697</v>
      </c>
      <c r="I305" s="214" t="s">
        <v>681</v>
      </c>
      <c r="J305" s="215" t="s">
        <v>25</v>
      </c>
      <c r="K305" s="214" t="s">
        <v>26</v>
      </c>
      <c r="L305" s="22">
        <v>99239896</v>
      </c>
      <c r="M305" s="26"/>
    </row>
    <row r="306" spans="1:13" s="79" customFormat="1" x14ac:dyDescent="0.25">
      <c r="A306" s="22">
        <v>3882</v>
      </c>
      <c r="B306" s="23" t="s">
        <v>684</v>
      </c>
      <c r="C306" s="29"/>
      <c r="D306" s="25">
        <v>0.3</v>
      </c>
      <c r="E306" s="25">
        <f t="shared" si="8"/>
        <v>0</v>
      </c>
      <c r="F306" s="25"/>
      <c r="G306" s="25">
        <f t="shared" si="9"/>
        <v>0</v>
      </c>
      <c r="H306" s="34">
        <v>26752992</v>
      </c>
      <c r="I306" s="214" t="s">
        <v>685</v>
      </c>
      <c r="J306" s="215" t="s">
        <v>210</v>
      </c>
      <c r="K306" s="214" t="s">
        <v>211</v>
      </c>
      <c r="L306" s="22"/>
      <c r="M306" s="26"/>
    </row>
    <row r="307" spans="1:13" s="79" customFormat="1" x14ac:dyDescent="0.25">
      <c r="A307" s="22">
        <v>3884</v>
      </c>
      <c r="B307" s="23" t="s">
        <v>688</v>
      </c>
      <c r="C307" s="29"/>
      <c r="D307" s="25">
        <v>0.3</v>
      </c>
      <c r="E307" s="25">
        <f t="shared" si="8"/>
        <v>0</v>
      </c>
      <c r="F307" s="25"/>
      <c r="G307" s="25">
        <f t="shared" si="9"/>
        <v>0</v>
      </c>
      <c r="H307" s="34">
        <v>22716378</v>
      </c>
      <c r="I307" s="214" t="s">
        <v>689</v>
      </c>
      <c r="J307" s="215" t="s">
        <v>25</v>
      </c>
      <c r="K307" s="214" t="s">
        <v>26</v>
      </c>
      <c r="L307" s="22"/>
      <c r="M307" s="26"/>
    </row>
    <row r="308" spans="1:13" s="79" customFormat="1" x14ac:dyDescent="0.25">
      <c r="A308" s="22">
        <v>3885</v>
      </c>
      <c r="B308" s="23" t="s">
        <v>690</v>
      </c>
      <c r="C308" s="29"/>
      <c r="D308" s="25">
        <v>0.3</v>
      </c>
      <c r="E308" s="25">
        <f t="shared" si="8"/>
        <v>0</v>
      </c>
      <c r="F308" s="25"/>
      <c r="G308" s="25">
        <f t="shared" si="9"/>
        <v>0</v>
      </c>
      <c r="H308" s="34">
        <v>9920479</v>
      </c>
      <c r="I308" s="214" t="s">
        <v>691</v>
      </c>
      <c r="J308" s="215" t="s">
        <v>326</v>
      </c>
      <c r="K308" s="214" t="s">
        <v>327</v>
      </c>
      <c r="L308" s="22"/>
      <c r="M308" s="26"/>
    </row>
    <row r="309" spans="1:13" s="79" customFormat="1" x14ac:dyDescent="0.25">
      <c r="A309" s="22">
        <v>3886</v>
      </c>
      <c r="B309" s="23" t="s">
        <v>692</v>
      </c>
      <c r="C309" s="29"/>
      <c r="D309" s="25">
        <v>0.3</v>
      </c>
      <c r="E309" s="25">
        <f t="shared" si="8"/>
        <v>0</v>
      </c>
      <c r="F309" s="25"/>
      <c r="G309" s="25">
        <f t="shared" si="9"/>
        <v>0</v>
      </c>
      <c r="H309" s="34">
        <v>21941594</v>
      </c>
      <c r="I309" s="214" t="s">
        <v>693</v>
      </c>
      <c r="J309" s="215" t="s">
        <v>25</v>
      </c>
      <c r="K309" s="214" t="s">
        <v>26</v>
      </c>
      <c r="L309" s="22">
        <v>92094818</v>
      </c>
      <c r="M309" s="26"/>
    </row>
    <row r="310" spans="1:13" s="79" customFormat="1" x14ac:dyDescent="0.25">
      <c r="A310" s="22">
        <v>3887</v>
      </c>
      <c r="B310" s="23" t="s">
        <v>694</v>
      </c>
      <c r="C310" s="24">
        <v>71</v>
      </c>
      <c r="D310" s="25">
        <v>0.3</v>
      </c>
      <c r="E310" s="25">
        <f t="shared" si="8"/>
        <v>21.3</v>
      </c>
      <c r="F310" s="25"/>
      <c r="G310" s="25">
        <f t="shared" si="9"/>
        <v>21.3</v>
      </c>
      <c r="H310" s="34">
        <v>13204809</v>
      </c>
      <c r="I310" s="214" t="s">
        <v>695</v>
      </c>
      <c r="J310" s="215" t="s">
        <v>25</v>
      </c>
      <c r="K310" s="214" t="s">
        <v>26</v>
      </c>
      <c r="L310" s="22">
        <v>93332329</v>
      </c>
      <c r="M310" s="26"/>
    </row>
    <row r="311" spans="1:13" s="79" customFormat="1" x14ac:dyDescent="0.25">
      <c r="A311" s="22">
        <v>3888</v>
      </c>
      <c r="B311" s="23" t="s">
        <v>696</v>
      </c>
      <c r="C311" s="29"/>
      <c r="D311" s="25">
        <v>0.3</v>
      </c>
      <c r="E311" s="25">
        <f t="shared" si="8"/>
        <v>0</v>
      </c>
      <c r="F311" s="25"/>
      <c r="G311" s="25">
        <f t="shared" si="9"/>
        <v>0</v>
      </c>
      <c r="H311" s="34">
        <v>1808869</v>
      </c>
      <c r="I311" s="214" t="s">
        <v>697</v>
      </c>
      <c r="J311" s="26" t="s">
        <v>17</v>
      </c>
      <c r="K311" s="26" t="s">
        <v>18</v>
      </c>
      <c r="L311" s="22">
        <v>98003381</v>
      </c>
      <c r="M311" s="26"/>
    </row>
    <row r="312" spans="1:13" s="79" customFormat="1" x14ac:dyDescent="0.25">
      <c r="A312" s="22">
        <v>3889</v>
      </c>
      <c r="B312" s="23" t="s">
        <v>698</v>
      </c>
      <c r="C312" s="29"/>
      <c r="D312" s="25">
        <v>0.3</v>
      </c>
      <c r="E312" s="25">
        <f t="shared" si="8"/>
        <v>0</v>
      </c>
      <c r="F312" s="25"/>
      <c r="G312" s="25">
        <f t="shared" si="9"/>
        <v>0</v>
      </c>
      <c r="H312" s="34">
        <v>6499103</v>
      </c>
      <c r="I312" s="214" t="s">
        <v>699</v>
      </c>
      <c r="J312" s="215" t="s">
        <v>25</v>
      </c>
      <c r="K312" s="214" t="s">
        <v>26</v>
      </c>
      <c r="L312" s="22">
        <v>98200299</v>
      </c>
      <c r="M312" s="26"/>
    </row>
    <row r="313" spans="1:13" x14ac:dyDescent="0.25">
      <c r="A313" s="38"/>
      <c r="B313" s="39" t="s">
        <v>45</v>
      </c>
      <c r="C313" s="42">
        <f>SUM(C4:C312)</f>
        <v>21237</v>
      </c>
      <c r="D313" s="41"/>
      <c r="E313" s="42">
        <f>SUM(E4:E312)</f>
        <v>6371.1000000000013</v>
      </c>
      <c r="F313" s="42">
        <f>SUM(F4:F312)</f>
        <v>0</v>
      </c>
      <c r="G313" s="42">
        <f>SUM(G4:G312)</f>
        <v>6371.1000000000013</v>
      </c>
      <c r="H313" s="37"/>
      <c r="I313" s="43"/>
      <c r="J313" s="43"/>
      <c r="K313" s="43"/>
      <c r="L313" s="44"/>
      <c r="M313" s="44"/>
    </row>
    <row r="314" spans="1:13" x14ac:dyDescent="0.25">
      <c r="C314" s="472"/>
    </row>
    <row r="315" spans="1:13" x14ac:dyDescent="0.25">
      <c r="C315" s="150"/>
    </row>
  </sheetData>
  <autoFilter ref="A3:N3" xr:uid="{0EE9DBC6-E4F5-4015-914E-F85FCCDE455E}"/>
  <conditionalFormatting sqref="I24">
    <cfRule type="duplicateValues" dxfId="18" priority="17"/>
  </conditionalFormatting>
  <conditionalFormatting sqref="I31">
    <cfRule type="duplicateValues" dxfId="17" priority="18"/>
  </conditionalFormatting>
  <conditionalFormatting sqref="I37">
    <cfRule type="duplicateValues" dxfId="16" priority="19"/>
  </conditionalFormatting>
  <conditionalFormatting sqref="I47">
    <cfRule type="duplicateValues" dxfId="15" priority="10"/>
  </conditionalFormatting>
  <conditionalFormatting sqref="I48">
    <cfRule type="duplicateValues" dxfId="14" priority="11"/>
  </conditionalFormatting>
  <conditionalFormatting sqref="I49">
    <cfRule type="duplicateValues" dxfId="13" priority="12"/>
  </conditionalFormatting>
  <conditionalFormatting sqref="I56">
    <cfRule type="duplicateValues" dxfId="12" priority="13"/>
  </conditionalFormatting>
  <conditionalFormatting sqref="I59">
    <cfRule type="duplicateValues" dxfId="11" priority="14"/>
  </conditionalFormatting>
  <conditionalFormatting sqref="I69">
    <cfRule type="duplicateValues" dxfId="10" priority="15"/>
  </conditionalFormatting>
  <conditionalFormatting sqref="I95">
    <cfRule type="duplicateValues" dxfId="9" priority="16"/>
  </conditionalFormatting>
  <conditionalFormatting sqref="I105">
    <cfRule type="duplicateValues" dxfId="8" priority="1"/>
  </conditionalFormatting>
  <conditionalFormatting sqref="I106">
    <cfRule type="duplicateValues" dxfId="7" priority="2"/>
  </conditionalFormatting>
  <conditionalFormatting sqref="I112">
    <cfRule type="duplicateValues" dxfId="6" priority="3"/>
  </conditionalFormatting>
  <conditionalFormatting sqref="I131">
    <cfRule type="duplicateValues" dxfId="5" priority="4"/>
  </conditionalFormatting>
  <conditionalFormatting sqref="I132">
    <cfRule type="duplicateValues" dxfId="4" priority="5"/>
  </conditionalFormatting>
  <conditionalFormatting sqref="J60">
    <cfRule type="duplicateValues" dxfId="3" priority="6"/>
  </conditionalFormatting>
  <conditionalFormatting sqref="J96">
    <cfRule type="duplicateValues" dxfId="2" priority="8"/>
  </conditionalFormatting>
  <conditionalFormatting sqref="L60">
    <cfRule type="duplicateValues" dxfId="1" priority="7"/>
  </conditionalFormatting>
  <conditionalFormatting sqref="M96">
    <cfRule type="duplicateValues" dxfId="0" priority="9"/>
  </conditionalFormatting>
  <pageMargins left="0.7" right="0.7" top="0.75" bottom="0.75" header="0.3" footer="0.3"/>
  <pageSetup paperSize="9" scale="4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4443-3D63-443A-9A41-350712310A99}">
  <sheetPr codeName="Sheet8"/>
  <dimension ref="A6:O38"/>
  <sheetViews>
    <sheetView showGridLines="0" view="pageBreakPreview" zoomScaleNormal="100" zoomScaleSheetLayoutView="100" workbookViewId="0">
      <selection activeCell="B16" sqref="B16:C16"/>
    </sheetView>
  </sheetViews>
  <sheetFormatPr defaultRowHeight="15" x14ac:dyDescent="0.25"/>
  <cols>
    <col min="1" max="1" width="24.5703125" customWidth="1"/>
    <col min="2" max="2" width="32.7109375" customWidth="1"/>
    <col min="3" max="3" width="17.5703125" customWidth="1"/>
    <col min="4" max="4" width="23.28515625" customWidth="1"/>
    <col min="5" max="5" width="26.42578125" bestFit="1" customWidth="1"/>
    <col min="6" max="6" width="12.7109375" bestFit="1" customWidth="1"/>
  </cols>
  <sheetData>
    <row r="6" spans="1:8" ht="18.75" x14ac:dyDescent="0.3">
      <c r="A6" s="603" t="s">
        <v>730</v>
      </c>
      <c r="B6" s="603"/>
      <c r="C6" s="603"/>
      <c r="D6" s="603"/>
      <c r="E6" s="603"/>
    </row>
    <row r="7" spans="1:8" ht="18.75" x14ac:dyDescent="0.3">
      <c r="A7" s="603" t="s">
        <v>731</v>
      </c>
      <c r="B7" s="603"/>
      <c r="C7" s="603"/>
      <c r="D7" s="603"/>
      <c r="E7" s="603"/>
    </row>
    <row r="8" spans="1:8" ht="18.75" x14ac:dyDescent="0.3">
      <c r="A8" s="603" t="s">
        <v>732</v>
      </c>
      <c r="B8" s="603"/>
      <c r="C8" s="603"/>
      <c r="D8" s="603"/>
      <c r="E8" s="603"/>
    </row>
    <row r="9" spans="1:8" ht="18.75" x14ac:dyDescent="0.3">
      <c r="A9" s="603" t="s">
        <v>733</v>
      </c>
      <c r="B9" s="603"/>
      <c r="C9" s="603"/>
      <c r="D9" s="603"/>
      <c r="E9" s="603"/>
    </row>
    <row r="10" spans="1:8" ht="18.75" x14ac:dyDescent="0.3">
      <c r="A10" s="603" t="s">
        <v>734</v>
      </c>
      <c r="B10" s="603"/>
      <c r="C10" s="603"/>
      <c r="D10" s="603"/>
      <c r="E10" s="603"/>
    </row>
    <row r="11" spans="1:8" ht="18.75" x14ac:dyDescent="0.3">
      <c r="A11" s="7"/>
      <c r="B11" s="7"/>
      <c r="C11" s="7"/>
      <c r="D11" s="7"/>
      <c r="E11" s="7"/>
    </row>
    <row r="12" spans="1:8" ht="18.75" x14ac:dyDescent="0.3">
      <c r="A12" s="603" t="s">
        <v>735</v>
      </c>
      <c r="B12" s="603"/>
      <c r="C12" s="603"/>
      <c r="D12" s="603"/>
      <c r="E12" s="603"/>
    </row>
    <row r="13" spans="1:8" x14ac:dyDescent="0.25">
      <c r="A13" s="3"/>
      <c r="B13" s="3"/>
      <c r="C13" s="3"/>
      <c r="D13" s="3"/>
      <c r="E13" s="3"/>
    </row>
    <row r="14" spans="1:8" ht="18.75" x14ac:dyDescent="0.3">
      <c r="A14" s="8" t="s">
        <v>736</v>
      </c>
      <c r="B14" s="217" t="str">
        <f>IFERROR(VLOOKUP(B15, 'Center-Sept'!$B$4:$I$311, 2, FALSE), "")</f>
        <v>Said Salim Bakhit  Taman Jaboob</v>
      </c>
      <c r="C14" s="217"/>
      <c r="D14" s="92" t="s">
        <v>737</v>
      </c>
      <c r="E14" s="93" t="s">
        <v>909</v>
      </c>
      <c r="F14" s="94" t="str">
        <f>IFERROR(IF(VLOOKUP(B15, 'center-April'!$B$4:$H$10, 5, FALSE) = VLOOKUP(B15, 'center-April'!$B$4:$H$10, 7, FALSE),
           VLOOKUP(B15, 'center-April'!$B$4:$F$10, 5, FALSE),
           VLOOKUP(B15, 'center-April'!$B$4:$H$10, 7, FALSE)), "")</f>
        <v/>
      </c>
      <c r="G14" s="151"/>
      <c r="H14" s="218" t="str">
        <f>IFERROR(VLOOKUP(B15, 'center-April'!B4:D10, 3, FALSE), "")</f>
        <v/>
      </c>
    </row>
    <row r="15" spans="1:8" ht="18.75" x14ac:dyDescent="0.3">
      <c r="A15" s="8" t="s">
        <v>2</v>
      </c>
      <c r="B15" s="89">
        <v>3879</v>
      </c>
      <c r="C15" s="6"/>
      <c r="D15" s="92" t="s">
        <v>738</v>
      </c>
      <c r="E15" s="95">
        <f ca="1">TODAY()</f>
        <v>46033</v>
      </c>
      <c r="F15" s="94" t="str">
        <f>IFERROR(VLOOKUP(B15, 'center-May'!$B$4:$H$31, 7, FALSE), "")</f>
        <v/>
      </c>
      <c r="G15" s="151"/>
      <c r="H15" s="218" t="str">
        <f>IFERROR(VLOOKUP(B15, 'center-May'!B4:D32, 3, FALSE), "")</f>
        <v/>
      </c>
    </row>
    <row r="16" spans="1:8" ht="18.75" x14ac:dyDescent="0.3">
      <c r="A16" s="8" t="s">
        <v>739</v>
      </c>
      <c r="B16" s="9">
        <f>IFERROR(VLOOKUP(B15,'Center-Sept'!B4:I311, 8, FALSE), "")</f>
        <v>23178497</v>
      </c>
      <c r="C16" s="6"/>
      <c r="D16" s="6"/>
      <c r="E16" s="6"/>
      <c r="F16" s="94"/>
      <c r="G16" s="151"/>
      <c r="H16" s="218"/>
    </row>
    <row r="17" spans="1:15" ht="18.75" x14ac:dyDescent="0.25">
      <c r="A17" s="6"/>
      <c r="B17" s="6"/>
      <c r="C17" s="6"/>
      <c r="D17" s="6"/>
      <c r="E17" s="6"/>
      <c r="F17" s="94"/>
      <c r="G17" s="151"/>
      <c r="H17" s="218"/>
    </row>
    <row r="18" spans="1:15" ht="28.35" customHeight="1" x14ac:dyDescent="0.25">
      <c r="A18" s="11" t="s">
        <v>740</v>
      </c>
      <c r="B18" s="10" t="s">
        <v>741</v>
      </c>
      <c r="C18" s="10" t="s">
        <v>742</v>
      </c>
      <c r="D18" s="10" t="s">
        <v>743</v>
      </c>
      <c r="E18" s="10" t="s">
        <v>744</v>
      </c>
      <c r="F18" s="94"/>
      <c r="G18" s="151"/>
      <c r="H18" s="218"/>
    </row>
    <row r="19" spans="1:15" ht="37.5" x14ac:dyDescent="0.3">
      <c r="A19" s="4" t="s">
        <v>745</v>
      </c>
      <c r="B19" s="12">
        <v>50</v>
      </c>
      <c r="C19" s="97">
        <v>6.25</v>
      </c>
      <c r="D19" s="91">
        <v>0</v>
      </c>
      <c r="E19" s="97">
        <f>C19*D19</f>
        <v>0</v>
      </c>
      <c r="F19" s="94" t="str">
        <f>IFERROR(VLOOKUP(B15,#REF!,7,FALSE),"")</f>
        <v/>
      </c>
      <c r="G19" s="496">
        <v>1</v>
      </c>
      <c r="H19" s="98" t="str">
        <f>IFERROR(VLOOKUP(B15,#REF!,3,FALSE),"")</f>
        <v/>
      </c>
    </row>
    <row r="20" spans="1:15" ht="37.5" x14ac:dyDescent="0.3">
      <c r="A20" s="4" t="s">
        <v>745</v>
      </c>
      <c r="B20" s="12">
        <v>40</v>
      </c>
      <c r="C20" s="97">
        <v>4.8499999999999996</v>
      </c>
      <c r="D20" s="91">
        <v>0</v>
      </c>
      <c r="E20" s="97">
        <f>C20*D20</f>
        <v>0</v>
      </c>
      <c r="F20" s="94" t="str">
        <f>IFERROR(VLOOKUP(B15,#REF!,7,FALSE),"")</f>
        <v/>
      </c>
      <c r="G20" s="496">
        <v>2</v>
      </c>
      <c r="H20" s="98" t="str">
        <f>IFERROR(VLOOKUP(B15,#REF!,3,FALSE),"")</f>
        <v/>
      </c>
      <c r="J20">
        <v>129.28</v>
      </c>
    </row>
    <row r="21" spans="1:15" ht="37.5" x14ac:dyDescent="0.3">
      <c r="A21" s="4" t="s">
        <v>746</v>
      </c>
      <c r="B21" s="12">
        <v>40</v>
      </c>
      <c r="C21" s="97">
        <v>4.75</v>
      </c>
      <c r="D21" s="91">
        <v>0</v>
      </c>
      <c r="E21" s="97">
        <f>C21*D21</f>
        <v>0</v>
      </c>
      <c r="F21" s="94" t="str">
        <f>IFERROR(VLOOKUP(B15,#REF!,7,FALSE),"")</f>
        <v/>
      </c>
      <c r="G21" s="496">
        <v>3</v>
      </c>
      <c r="H21" s="218" t="str">
        <f>IFERROR(VLOOKUP(B15,#REF!,3,FALSE),"")</f>
        <v/>
      </c>
    </row>
    <row r="22" spans="1:15" ht="37.5" x14ac:dyDescent="0.3">
      <c r="A22" s="4" t="s">
        <v>747</v>
      </c>
      <c r="B22" s="12">
        <v>50</v>
      </c>
      <c r="C22" s="97">
        <v>6.85</v>
      </c>
      <c r="D22" s="91">
        <v>0</v>
      </c>
      <c r="E22" s="97">
        <f t="shared" ref="E22" si="0">C22*D22</f>
        <v>0</v>
      </c>
      <c r="F22" s="94" t="str">
        <f>IFERROR(VLOOKUP(B15,#REF!,7,FALSE),"")</f>
        <v/>
      </c>
      <c r="G22" s="151">
        <v>4</v>
      </c>
      <c r="H22" s="218" t="str">
        <f>IFERROR(VLOOKUP(B15,#REF!,3,FALSE),"")</f>
        <v/>
      </c>
    </row>
    <row r="23" spans="1:15" ht="37.5" x14ac:dyDescent="0.3">
      <c r="A23" s="4" t="s">
        <v>748</v>
      </c>
      <c r="B23" s="12">
        <v>40</v>
      </c>
      <c r="C23" s="97">
        <v>5.35</v>
      </c>
      <c r="D23" s="91">
        <v>0</v>
      </c>
      <c r="E23" s="97">
        <f>C23*D23</f>
        <v>0</v>
      </c>
      <c r="F23" s="94" t="str">
        <f>IFERROR(VLOOKUP(B15,'center-May'!B4:H312,7,FALSE),"")</f>
        <v/>
      </c>
      <c r="G23" s="151">
        <v>5</v>
      </c>
      <c r="H23" s="218" t="str">
        <f>IFERROR(VLOOKUP(B15,'center-May'!B4:D312,3,FALSE),"")</f>
        <v/>
      </c>
      <c r="O23" t="s">
        <v>749</v>
      </c>
    </row>
    <row r="24" spans="1:15" ht="37.5" x14ac:dyDescent="0.3">
      <c r="A24" s="4" t="s">
        <v>750</v>
      </c>
      <c r="B24" s="12">
        <v>45</v>
      </c>
      <c r="C24" s="97">
        <v>4.1500000000000004</v>
      </c>
      <c r="D24" s="91">
        <v>0</v>
      </c>
      <c r="E24" s="97">
        <f t="shared" ref="E24" si="1">C24*D24</f>
        <v>0</v>
      </c>
      <c r="F24" s="96">
        <f>SUM(F17:F22)</f>
        <v>0</v>
      </c>
      <c r="G24" s="151" t="s">
        <v>771</v>
      </c>
    </row>
    <row r="25" spans="1:15" ht="56.25" x14ac:dyDescent="0.3">
      <c r="A25" s="4" t="s">
        <v>751</v>
      </c>
      <c r="B25" s="12">
        <v>50</v>
      </c>
      <c r="C25" s="97">
        <v>7.25</v>
      </c>
      <c r="D25" s="91">
        <v>0</v>
      </c>
      <c r="E25" s="97">
        <f>C25*D25</f>
        <v>0</v>
      </c>
      <c r="F25" s="90" t="s">
        <v>910</v>
      </c>
      <c r="G25" s="99" t="s">
        <v>752</v>
      </c>
      <c r="H25" s="98"/>
    </row>
    <row r="26" spans="1:15" ht="25.5" x14ac:dyDescent="0.35">
      <c r="A26" s="100" t="s">
        <v>753</v>
      </c>
      <c r="B26" s="101"/>
      <c r="C26" s="101"/>
      <c r="D26" s="102"/>
      <c r="E26" s="103">
        <f>SUM(E19:E25)</f>
        <v>0</v>
      </c>
      <c r="F26" s="104" t="e">
        <f>IF(TRIM(F25)="1",
VLOOKUP(B15,#REF!,7,FALSE)-E26,
IF(TRIM(F25)="2",
VLOOKUP(B15,#REF!,7,FALSE)-E26,
IF(TRIM(F25)="1,2",
VLOOKUP(B15,#REF!,7,FALSE)+VLOOKUP(B15,#REF!,7,FALSE)-E26,
IF(TRIM(F25)="1,2,3",
VLOOKUP(B15,#REF!,7,FALSE)+VLOOKUP(B15,#REF!,7,FALSE)+VLOOKUP(B15,#REF!,7,FALSE)-E26,
IF(TRIM(F25)="2,3",
VLOOKUP(B15,#REF!,7,FALSE)+VLOOKUP(B15,#REF!,7,FALSE)-E26,
IF(TRIM(F25)="3",
VLOOKUP(B15,#REF!,7,FALSE)-E26,
""))))))</f>
        <v>#REF!</v>
      </c>
      <c r="H26" s="98"/>
      <c r="I26" s="98"/>
    </row>
    <row r="28" spans="1:15" x14ac:dyDescent="0.25">
      <c r="H28" s="98"/>
    </row>
    <row r="29" spans="1:15" ht="18.75" x14ac:dyDescent="0.3">
      <c r="D29" s="7"/>
      <c r="E29" s="7"/>
      <c r="H29" s="98"/>
      <c r="I29" s="98"/>
    </row>
    <row r="30" spans="1:15" ht="21" x14ac:dyDescent="0.3">
      <c r="A30" s="105"/>
      <c r="B30" s="7"/>
      <c r="C30" s="7"/>
      <c r="D30" s="605"/>
      <c r="E30" s="605"/>
    </row>
    <row r="31" spans="1:15" ht="21" x14ac:dyDescent="0.3">
      <c r="A31" s="96" t="s">
        <v>754</v>
      </c>
      <c r="B31" s="7"/>
      <c r="C31" s="7"/>
      <c r="D31" s="7"/>
      <c r="E31" s="7"/>
    </row>
    <row r="32" spans="1:15" ht="18.75" x14ac:dyDescent="0.3">
      <c r="A32" s="7"/>
      <c r="B32" s="7"/>
      <c r="C32" s="7"/>
      <c r="D32" s="603"/>
      <c r="E32" s="603"/>
    </row>
    <row r="33" spans="1:5" ht="18.75" x14ac:dyDescent="0.3">
      <c r="A33" s="88" t="s">
        <v>755</v>
      </c>
      <c r="B33" s="7"/>
      <c r="C33" s="7"/>
      <c r="D33" s="7"/>
      <c r="E33" s="7"/>
    </row>
    <row r="34" spans="1:5" ht="18.75" x14ac:dyDescent="0.3">
      <c r="A34" s="7"/>
      <c r="B34" s="7"/>
      <c r="C34" s="7"/>
    </row>
    <row r="35" spans="1:5" x14ac:dyDescent="0.25">
      <c r="A35" s="106" t="s">
        <v>719</v>
      </c>
    </row>
    <row r="36" spans="1:5" ht="18.75" x14ac:dyDescent="0.3">
      <c r="D36" s="88"/>
      <c r="E36" s="88"/>
    </row>
    <row r="37" spans="1:5" ht="18.75" x14ac:dyDescent="0.3">
      <c r="A37" s="603" t="s">
        <v>756</v>
      </c>
      <c r="B37" s="603"/>
      <c r="C37" s="603"/>
      <c r="D37" s="603"/>
      <c r="E37" s="603"/>
    </row>
    <row r="38" spans="1:5" ht="15.75" x14ac:dyDescent="0.25">
      <c r="A38" s="604" t="s">
        <v>757</v>
      </c>
      <c r="B38" s="604"/>
      <c r="C38" s="604"/>
      <c r="D38" s="604"/>
      <c r="E38" s="604"/>
    </row>
  </sheetData>
  <mergeCells count="10">
    <mergeCell ref="A37:E37"/>
    <mergeCell ref="A38:E38"/>
    <mergeCell ref="D32:E32"/>
    <mergeCell ref="A6:E6"/>
    <mergeCell ref="A8:E8"/>
    <mergeCell ref="A10:E10"/>
    <mergeCell ref="A12:E12"/>
    <mergeCell ref="A9:E9"/>
    <mergeCell ref="A7:E7"/>
    <mergeCell ref="D30:E30"/>
  </mergeCells>
  <pageMargins left="0.7" right="0.7" top="0.75" bottom="0.75" header="0.3" footer="0.3"/>
  <pageSetup scale="7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F77E-889E-46EC-B18A-1B440A243FD2}">
  <sheetPr codeName="Sheet9"/>
  <dimension ref="A1:G41"/>
  <sheetViews>
    <sheetView showGridLines="0" view="pageBreakPreview" topLeftCell="A6" zoomScale="91" zoomScaleNormal="100" zoomScaleSheetLayoutView="91" workbookViewId="0">
      <selection activeCell="B16" sqref="B16:C16"/>
    </sheetView>
  </sheetViews>
  <sheetFormatPr defaultRowHeight="15" x14ac:dyDescent="0.25"/>
  <cols>
    <col min="1" max="1" width="16.28515625" customWidth="1"/>
    <col min="2" max="2" width="32" customWidth="1"/>
    <col min="3" max="3" width="38.42578125" customWidth="1"/>
    <col min="4" max="4" width="24.42578125" bestFit="1" customWidth="1"/>
  </cols>
  <sheetData>
    <row r="1" spans="1:4" x14ac:dyDescent="0.25">
      <c r="D1" t="s">
        <v>719</v>
      </c>
    </row>
    <row r="6" spans="1:4" ht="18.75" x14ac:dyDescent="0.3">
      <c r="A6" s="603" t="s">
        <v>730</v>
      </c>
      <c r="B6" s="603"/>
      <c r="C6" s="603"/>
      <c r="D6" s="603"/>
    </row>
    <row r="7" spans="1:4" ht="18.75" x14ac:dyDescent="0.3">
      <c r="A7" s="603" t="s">
        <v>731</v>
      </c>
      <c r="B7" s="603"/>
      <c r="C7" s="603"/>
      <c r="D7" s="603"/>
    </row>
    <row r="8" spans="1:4" ht="18.75" x14ac:dyDescent="0.3">
      <c r="A8" s="603" t="s">
        <v>732</v>
      </c>
      <c r="B8" s="603"/>
      <c r="C8" s="603"/>
      <c r="D8" s="603"/>
    </row>
    <row r="9" spans="1:4" ht="18.75" x14ac:dyDescent="0.3">
      <c r="A9" s="603" t="s">
        <v>733</v>
      </c>
      <c r="B9" s="603"/>
      <c r="C9" s="603"/>
      <c r="D9" s="603"/>
    </row>
    <row r="10" spans="1:4" ht="18.75" x14ac:dyDescent="0.3">
      <c r="A10" s="603" t="s">
        <v>734</v>
      </c>
      <c r="B10" s="603"/>
      <c r="C10" s="603"/>
      <c r="D10" s="603"/>
    </row>
    <row r="11" spans="1:4" ht="18.75" x14ac:dyDescent="0.3">
      <c r="A11" s="7"/>
      <c r="B11" s="7"/>
      <c r="C11" s="7"/>
      <c r="D11" s="7"/>
    </row>
    <row r="12" spans="1:4" ht="21" x14ac:dyDescent="0.45">
      <c r="A12" s="608" t="s">
        <v>735</v>
      </c>
      <c r="B12" s="603"/>
      <c r="C12" s="603"/>
      <c r="D12" s="603"/>
    </row>
    <row r="13" spans="1:4" x14ac:dyDescent="0.25">
      <c r="A13" s="3"/>
      <c r="B13" s="3"/>
      <c r="C13" s="3"/>
      <c r="D13" s="3"/>
    </row>
    <row r="14" spans="1:4" ht="18.75" x14ac:dyDescent="0.3">
      <c r="A14" s="8" t="s">
        <v>736</v>
      </c>
      <c r="B14" s="606" t="str">
        <f>'Purcahse Request'!B14</f>
        <v>Said Salim Bakhit  Taman Jaboob</v>
      </c>
      <c r="C14" s="606"/>
      <c r="D14" s="93" t="str">
        <f>'Purcahse Request'!E14</f>
        <v>AMDC/H/25-860</v>
      </c>
    </row>
    <row r="15" spans="1:4" ht="18" customHeight="1" x14ac:dyDescent="0.3">
      <c r="A15" s="8" t="s">
        <v>2</v>
      </c>
      <c r="B15" s="606">
        <v>3771</v>
      </c>
      <c r="C15" s="606"/>
      <c r="D15" s="126">
        <f ca="1">TODAY()</f>
        <v>46033</v>
      </c>
    </row>
    <row r="16" spans="1:4" ht="18.75" x14ac:dyDescent="0.3">
      <c r="A16" s="8" t="s">
        <v>739</v>
      </c>
      <c r="B16" s="606">
        <f>'Purcahse Request'!B16</f>
        <v>23178497</v>
      </c>
      <c r="C16" s="606"/>
    </row>
    <row r="17" spans="1:7" ht="15.75" x14ac:dyDescent="0.25">
      <c r="A17" s="6"/>
      <c r="B17" s="6"/>
      <c r="C17" s="6"/>
    </row>
    <row r="18" spans="1:7" ht="22.5" x14ac:dyDescent="0.25">
      <c r="A18" s="11" t="s">
        <v>758</v>
      </c>
      <c r="B18" s="11" t="s">
        <v>740</v>
      </c>
      <c r="C18" s="10" t="s">
        <v>741</v>
      </c>
      <c r="D18" s="10" t="s">
        <v>743</v>
      </c>
    </row>
    <row r="19" spans="1:7" ht="37.5" x14ac:dyDescent="0.3">
      <c r="A19" s="127">
        <v>1</v>
      </c>
      <c r="B19" s="4" t="s">
        <v>745</v>
      </c>
      <c r="C19" s="12">
        <v>50</v>
      </c>
      <c r="D19" s="128">
        <f>'Purcahse Request'!D19</f>
        <v>0</v>
      </c>
      <c r="G19" s="129"/>
    </row>
    <row r="20" spans="1:7" ht="37.5" x14ac:dyDescent="0.3">
      <c r="A20" s="127">
        <v>2</v>
      </c>
      <c r="B20" s="4" t="s">
        <v>745</v>
      </c>
      <c r="C20" s="12">
        <v>40</v>
      </c>
      <c r="D20" s="128">
        <f>'Purcahse Request'!D20</f>
        <v>0</v>
      </c>
    </row>
    <row r="21" spans="1:7" ht="37.5" x14ac:dyDescent="0.3">
      <c r="A21" s="127">
        <v>3</v>
      </c>
      <c r="B21" s="4" t="s">
        <v>746</v>
      </c>
      <c r="C21" s="12">
        <v>40</v>
      </c>
      <c r="D21" s="128">
        <f>'Purcahse Request'!D21</f>
        <v>0</v>
      </c>
    </row>
    <row r="22" spans="1:7" ht="37.5" x14ac:dyDescent="0.3">
      <c r="A22" s="127">
        <v>4</v>
      </c>
      <c r="B22" s="4" t="s">
        <v>747</v>
      </c>
      <c r="C22" s="12">
        <v>50</v>
      </c>
      <c r="D22" s="128">
        <f>'Purcahse Request'!D22</f>
        <v>0</v>
      </c>
    </row>
    <row r="23" spans="1:7" ht="37.5" x14ac:dyDescent="0.3">
      <c r="A23" s="127">
        <v>5</v>
      </c>
      <c r="B23" s="4" t="s">
        <v>748</v>
      </c>
      <c r="C23" s="12">
        <v>40</v>
      </c>
      <c r="D23" s="128">
        <f>'Purcahse Request'!D23</f>
        <v>0</v>
      </c>
    </row>
    <row r="24" spans="1:7" ht="48" customHeight="1" x14ac:dyDescent="0.3">
      <c r="A24" s="127">
        <v>6</v>
      </c>
      <c r="B24" s="4" t="s">
        <v>750</v>
      </c>
      <c r="C24" s="12">
        <v>45</v>
      </c>
      <c r="D24" s="128">
        <f>'Purcahse Request'!D24</f>
        <v>0</v>
      </c>
      <c r="G24" s="130"/>
    </row>
    <row r="25" spans="1:7" ht="37.5" x14ac:dyDescent="0.3">
      <c r="A25" s="127">
        <v>7</v>
      </c>
      <c r="B25" s="4" t="s">
        <v>751</v>
      </c>
      <c r="C25" s="12">
        <v>50</v>
      </c>
      <c r="D25" s="128">
        <f>'Purcahse Request'!D25</f>
        <v>0</v>
      </c>
    </row>
    <row r="27" spans="1:7" ht="18.75" x14ac:dyDescent="0.3">
      <c r="A27" s="131" t="s">
        <v>826</v>
      </c>
      <c r="B27" s="132"/>
      <c r="C27" s="132"/>
      <c r="D27" s="132" t="s">
        <v>827</v>
      </c>
    </row>
    <row r="28" spans="1:7" ht="33.75" customHeight="1" x14ac:dyDescent="0.25">
      <c r="A28" s="609" t="s">
        <v>828</v>
      </c>
      <c r="B28" s="609"/>
      <c r="C28" s="610" t="s">
        <v>829</v>
      </c>
      <c r="D28" s="610"/>
    </row>
    <row r="29" spans="1:7" ht="36" customHeight="1" x14ac:dyDescent="0.25">
      <c r="A29" s="611" t="s">
        <v>830</v>
      </c>
      <c r="B29" s="611"/>
      <c r="C29" s="612" t="s">
        <v>831</v>
      </c>
      <c r="D29" s="612"/>
    </row>
    <row r="30" spans="1:7" ht="20.25" x14ac:dyDescent="0.3">
      <c r="A30" s="607"/>
      <c r="B30" s="607"/>
      <c r="C30" s="607"/>
      <c r="D30" s="607"/>
    </row>
    <row r="31" spans="1:7" ht="18.75" x14ac:dyDescent="0.3">
      <c r="A31" s="131"/>
      <c r="B31" s="132"/>
      <c r="C31" s="132"/>
      <c r="D31" s="132"/>
    </row>
    <row r="37" spans="1:4" x14ac:dyDescent="0.25">
      <c r="A37" s="133"/>
    </row>
    <row r="38" spans="1:4" ht="18.75" x14ac:dyDescent="0.25">
      <c r="A38" s="134" t="s">
        <v>759</v>
      </c>
    </row>
    <row r="39" spans="1:4" ht="18.75" x14ac:dyDescent="0.25">
      <c r="A39" s="135" t="s">
        <v>760</v>
      </c>
      <c r="C39" s="136" t="s">
        <v>719</v>
      </c>
      <c r="D39" t="s">
        <v>719</v>
      </c>
    </row>
    <row r="41" spans="1:4" x14ac:dyDescent="0.25">
      <c r="D41" t="s">
        <v>719</v>
      </c>
    </row>
  </sheetData>
  <mergeCells count="14">
    <mergeCell ref="B14:C14"/>
    <mergeCell ref="B15:C15"/>
    <mergeCell ref="B16:C16"/>
    <mergeCell ref="A30:D30"/>
    <mergeCell ref="A6:D6"/>
    <mergeCell ref="A7:D7"/>
    <mergeCell ref="A8:D8"/>
    <mergeCell ref="A9:D9"/>
    <mergeCell ref="A10:D10"/>
    <mergeCell ref="A12:D12"/>
    <mergeCell ref="A28:B28"/>
    <mergeCell ref="C28:D28"/>
    <mergeCell ref="A29:B29"/>
    <mergeCell ref="C29:D29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3F77-8557-4DEE-B3A3-E01F68F8EEE5}">
  <sheetPr codeName="Sheet10"/>
  <dimension ref="A2:E9"/>
  <sheetViews>
    <sheetView workbookViewId="0">
      <selection activeCell="C11" sqref="C11"/>
    </sheetView>
  </sheetViews>
  <sheetFormatPr defaultRowHeight="15" x14ac:dyDescent="0.25"/>
  <cols>
    <col min="1" max="1" width="22" bestFit="1" customWidth="1"/>
    <col min="2" max="2" width="17" bestFit="1" customWidth="1"/>
    <col min="3" max="3" width="26" bestFit="1" customWidth="1"/>
    <col min="4" max="4" width="10.5703125" bestFit="1" customWidth="1"/>
    <col min="5" max="5" width="23.7109375" bestFit="1" customWidth="1"/>
  </cols>
  <sheetData>
    <row r="2" spans="1:5" ht="26.25" x14ac:dyDescent="0.4">
      <c r="A2" s="613" t="s">
        <v>761</v>
      </c>
      <c r="B2" s="613"/>
      <c r="C2" s="613"/>
      <c r="D2" s="613"/>
      <c r="E2" s="613"/>
    </row>
    <row r="3" spans="1:5" ht="24" x14ac:dyDescent="0.4">
      <c r="A3" s="1" t="s">
        <v>762</v>
      </c>
      <c r="B3" s="1" t="s">
        <v>763</v>
      </c>
      <c r="C3" s="1" t="s">
        <v>764</v>
      </c>
      <c r="D3" s="1" t="s">
        <v>765</v>
      </c>
      <c r="E3" s="1" t="s">
        <v>766</v>
      </c>
    </row>
    <row r="4" spans="1:5" ht="24" x14ac:dyDescent="0.4">
      <c r="A4" s="1" t="s">
        <v>767</v>
      </c>
      <c r="B4" s="1">
        <v>50</v>
      </c>
      <c r="C4" s="5">
        <v>6.45</v>
      </c>
      <c r="D4" s="2">
        <v>0.4</v>
      </c>
      <c r="E4" s="2">
        <v>6.05</v>
      </c>
    </row>
    <row r="5" spans="1:5" ht="24" x14ac:dyDescent="0.4">
      <c r="A5" s="1" t="s">
        <v>767</v>
      </c>
      <c r="B5" s="1">
        <v>40</v>
      </c>
      <c r="C5" s="5">
        <v>5.16</v>
      </c>
      <c r="D5" s="2">
        <v>0.4</v>
      </c>
      <c r="E5" s="2">
        <v>4.76</v>
      </c>
    </row>
    <row r="6" spans="1:5" ht="24" x14ac:dyDescent="0.4">
      <c r="A6" s="1" t="s">
        <v>768</v>
      </c>
      <c r="B6" s="1">
        <v>40</v>
      </c>
      <c r="C6" s="5">
        <v>5</v>
      </c>
      <c r="D6" s="2">
        <v>0.4</v>
      </c>
      <c r="E6" s="2">
        <v>4.5999999999999996</v>
      </c>
    </row>
    <row r="7" spans="1:5" ht="24" x14ac:dyDescent="0.4">
      <c r="A7" s="1" t="s">
        <v>769</v>
      </c>
      <c r="B7" s="1">
        <v>50</v>
      </c>
      <c r="C7" s="5">
        <v>7.1</v>
      </c>
      <c r="D7" s="2">
        <v>0.5</v>
      </c>
      <c r="E7" s="2">
        <v>6.6</v>
      </c>
    </row>
    <row r="8" spans="1:5" ht="24" x14ac:dyDescent="0.4">
      <c r="A8" s="1" t="s">
        <v>769</v>
      </c>
      <c r="B8" s="1">
        <v>40</v>
      </c>
      <c r="C8" s="5">
        <v>5.7</v>
      </c>
      <c r="D8" s="2">
        <v>0.5</v>
      </c>
      <c r="E8" s="2">
        <v>5.2</v>
      </c>
    </row>
    <row r="9" spans="1:5" ht="24" x14ac:dyDescent="0.4">
      <c r="A9" s="1" t="s">
        <v>770</v>
      </c>
      <c r="B9" s="1">
        <v>50</v>
      </c>
      <c r="C9" s="5">
        <v>7.6</v>
      </c>
      <c r="D9" s="2">
        <v>0.5</v>
      </c>
      <c r="E9" s="2">
        <v>7.1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center-April</vt:lpstr>
      <vt:lpstr>center-May</vt:lpstr>
      <vt:lpstr>Sheet1</vt:lpstr>
      <vt:lpstr>06</vt:lpstr>
      <vt:lpstr>center-July</vt:lpstr>
      <vt:lpstr>center-Aug</vt:lpstr>
      <vt:lpstr>Center-Sept</vt:lpstr>
      <vt:lpstr>Center-Oct</vt:lpstr>
      <vt:lpstr>Center-Nov</vt:lpstr>
      <vt:lpstr>center-dec</vt:lpstr>
      <vt:lpstr>Aug 25</vt:lpstr>
      <vt:lpstr>SEP-25</vt:lpstr>
      <vt:lpstr>oct25</vt:lpstr>
      <vt:lpstr>nov-25</vt:lpstr>
      <vt:lpstr>Dec-25</vt:lpstr>
      <vt:lpstr>Purcahse Request</vt:lpstr>
      <vt:lpstr>Farmer Document</vt:lpstr>
      <vt:lpstr>ONLD price</vt:lpstr>
      <vt:lpstr>'06'!Print_Area</vt:lpstr>
      <vt:lpstr>'Aug 25'!Print_Area</vt:lpstr>
      <vt:lpstr>'center-April'!Print_Area</vt:lpstr>
      <vt:lpstr>'center-Aug'!Print_Area</vt:lpstr>
      <vt:lpstr>'center-dec'!Print_Area</vt:lpstr>
      <vt:lpstr>'center-July'!Print_Area</vt:lpstr>
      <vt:lpstr>'center-May'!Print_Area</vt:lpstr>
      <vt:lpstr>'Center-Nov'!Print_Area</vt:lpstr>
      <vt:lpstr>'Center-Oct'!Print_Area</vt:lpstr>
      <vt:lpstr>'Center-Sept'!Print_Area</vt:lpstr>
      <vt:lpstr>'Dec-25'!Print_Area</vt:lpstr>
      <vt:lpstr>'Farmer Document'!Print_Area</vt:lpstr>
      <vt:lpstr>'nov-25'!Print_Area</vt:lpstr>
      <vt:lpstr>'oct25'!Print_Area</vt:lpstr>
      <vt:lpstr>'Purcahse Request'!Print_Area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Morroj dairy co</dc:creator>
  <cp:keywords/>
  <dc:description/>
  <cp:lastModifiedBy>YASIR KASHOOB</cp:lastModifiedBy>
  <cp:revision/>
  <cp:lastPrinted>2025-12-29T05:39:59Z</cp:lastPrinted>
  <dcterms:created xsi:type="dcterms:W3CDTF">2024-07-24T14:41:30Z</dcterms:created>
  <dcterms:modified xsi:type="dcterms:W3CDTF">2026-01-11T06:04:35Z</dcterms:modified>
  <cp:category/>
  <cp:contentStatus/>
</cp:coreProperties>
</file>