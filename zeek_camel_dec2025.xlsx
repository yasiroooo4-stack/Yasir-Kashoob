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9478396b7721b53/Desktop/جميع الملفات/"/>
    </mc:Choice>
  </mc:AlternateContent>
  <xr:revisionPtr revIDLastSave="43" documentId="13_ncr:1_{4ADBD6E7-8C0F-47AC-B071-51A85D65547A}" xr6:coauthVersionLast="47" xr6:coauthVersionMax="47" xr10:uidLastSave="{3DD93CD1-25BA-4243-A33C-E4ADCF7D81C1}"/>
  <bookViews>
    <workbookView xWindow="-120" yWindow="-120" windowWidth="29040" windowHeight="15720" tabRatio="830" firstSheet="9" activeTab="13" xr2:uid="{98B979DE-0370-4696-AEB9-509298284302}"/>
  </bookViews>
  <sheets>
    <sheet name="center-April" sheetId="4" state="hidden" r:id="rId1"/>
    <sheet name="center-05" sheetId="5" state="hidden" r:id="rId2"/>
    <sheet name="center-06" sheetId="6" state="hidden" r:id="rId3"/>
    <sheet name="center-July" sheetId="9" state="hidden" r:id="rId4"/>
    <sheet name="center-Aug" sheetId="12" state="hidden" r:id="rId5"/>
    <sheet name="Center-Sept" sheetId="13" state="hidden" r:id="rId6"/>
    <sheet name="center-oct" sheetId="14" state="hidden" r:id="rId7"/>
    <sheet name="Center-Nov" sheetId="15" state="hidden" r:id="rId8"/>
    <sheet name="center-dec" sheetId="16" state="hidden" r:id="rId9"/>
    <sheet name="Aug 25" sheetId="25" r:id="rId10"/>
    <sheet name="SEP-25" sheetId="26" r:id="rId11"/>
    <sheet name="oct25" sheetId="27" r:id="rId12"/>
    <sheet name="nov-25" sheetId="28" r:id="rId13"/>
    <sheet name="Dec-25" sheetId="29" r:id="rId14"/>
    <sheet name="ONLD price" sheetId="2" state="hidden" r:id="rId15"/>
  </sheets>
  <definedNames>
    <definedName name="_xlnm._FilterDatabase" localSheetId="9" hidden="1">'Aug 25'!$A$2:$M$128</definedName>
    <definedName name="_xlnm._FilterDatabase" localSheetId="1" hidden="1">'center-05'!$A$2:$J$9</definedName>
    <definedName name="_xlnm._FilterDatabase" localSheetId="2" hidden="1">'center-06'!$A$2:$J$20</definedName>
    <definedName name="_xlnm._FilterDatabase" localSheetId="0" hidden="1">'center-April'!$A$2:$N$5</definedName>
    <definedName name="_xlnm._FilterDatabase" localSheetId="4" hidden="1">'center-Aug'!$A$2:$L$128</definedName>
    <definedName name="_xlnm._FilterDatabase" localSheetId="8" hidden="1">'center-dec'!$P$2:$P$125</definedName>
    <definedName name="_xlnm._FilterDatabase" localSheetId="3" hidden="1">'center-July'!$A$2:$N$128</definedName>
    <definedName name="_xlnm._FilterDatabase" localSheetId="7" hidden="1">'Center-Nov'!$A$2:$O$128</definedName>
    <definedName name="_xlnm._FilterDatabase" localSheetId="5" hidden="1">'Center-Sept'!$A$2:$J$128</definedName>
    <definedName name="_xlnm._FilterDatabase" localSheetId="10" hidden="1">'SEP-25'!$A$2:$N$3</definedName>
    <definedName name="_xlnm.Print_Area" localSheetId="9">'Aug 25'!$A$1:$M$134</definedName>
    <definedName name="_xlnm.Print_Area" localSheetId="1">'center-05'!$A$1:$J$15</definedName>
    <definedName name="_xlnm.Print_Area" localSheetId="2">'center-06'!$A$1:$J$26</definedName>
    <definedName name="_xlnm.Print_Area" localSheetId="0">'center-April'!$A$1:$N$11</definedName>
    <definedName name="_xlnm.Print_Area" localSheetId="4">'center-Aug'!$A$1:$J$134</definedName>
    <definedName name="_xlnm.Print_Area" localSheetId="8">'center-dec'!$A$1:$N$133</definedName>
    <definedName name="_xlnm.Print_Area" localSheetId="3">'center-July'!$A$1:$N$134</definedName>
    <definedName name="_xlnm.Print_Area" localSheetId="7">'Center-Nov'!$A$1:$N$131</definedName>
    <definedName name="_xlnm.Print_Area" localSheetId="6">'center-oct'!$A$1:$N$134</definedName>
    <definedName name="_xlnm.Print_Area" localSheetId="5">'Center-Sept'!$A$1:$J$134</definedName>
    <definedName name="_xlnm.Print_Area" localSheetId="13">'Dec-25'!$A$1:$L$134</definedName>
    <definedName name="_xlnm.Print_Area" localSheetId="12">'nov-25'!$A$1:$M$134</definedName>
    <definedName name="_xlnm.Print_Area" localSheetId="11">'oct25'!$A$1:$M$134</definedName>
    <definedName name="_xlnm.Print_Area" localSheetId="10">'SEP-25'!$A$1:$M$128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8" i="29" l="1"/>
  <c r="G25" i="29"/>
  <c r="G38" i="29"/>
  <c r="G46" i="29"/>
  <c r="G58" i="29"/>
  <c r="G60" i="29"/>
  <c r="G61" i="29"/>
  <c r="G106" i="29"/>
  <c r="G109" i="29"/>
  <c r="G118" i="29"/>
  <c r="D128" i="28"/>
  <c r="F128" i="28"/>
  <c r="E4" i="29"/>
  <c r="G4" i="29" s="1"/>
  <c r="E5" i="29"/>
  <c r="G5" i="29" s="1"/>
  <c r="E6" i="29"/>
  <c r="G6" i="29" s="1"/>
  <c r="E7" i="29"/>
  <c r="G7" i="29" s="1"/>
  <c r="E8" i="29"/>
  <c r="G8" i="29" s="1"/>
  <c r="E9" i="29"/>
  <c r="G9" i="29" s="1"/>
  <c r="E10" i="29"/>
  <c r="G10" i="29" s="1"/>
  <c r="E11" i="29"/>
  <c r="G11" i="29" s="1"/>
  <c r="E12" i="29"/>
  <c r="G12" i="29" s="1"/>
  <c r="E13" i="29"/>
  <c r="G13" i="29" s="1"/>
  <c r="E14" i="29"/>
  <c r="G14" i="29" s="1"/>
  <c r="E15" i="29"/>
  <c r="G15" i="29" s="1"/>
  <c r="E16" i="29"/>
  <c r="G16" i="29" s="1"/>
  <c r="E17" i="29"/>
  <c r="G17" i="29" s="1"/>
  <c r="E18" i="29"/>
  <c r="G18" i="29" s="1"/>
  <c r="E19" i="29"/>
  <c r="G19" i="29" s="1"/>
  <c r="E20" i="29"/>
  <c r="G20" i="29" s="1"/>
  <c r="E21" i="29"/>
  <c r="G21" i="29" s="1"/>
  <c r="E22" i="29"/>
  <c r="G22" i="29" s="1"/>
  <c r="E23" i="29"/>
  <c r="G23" i="29" s="1"/>
  <c r="E24" i="29"/>
  <c r="G24" i="29" s="1"/>
  <c r="E25" i="29"/>
  <c r="E26" i="29"/>
  <c r="G26" i="29" s="1"/>
  <c r="E27" i="29"/>
  <c r="G27" i="29" s="1"/>
  <c r="E28" i="29"/>
  <c r="G28" i="29" s="1"/>
  <c r="E29" i="29"/>
  <c r="G29" i="29" s="1"/>
  <c r="E30" i="29"/>
  <c r="G30" i="29" s="1"/>
  <c r="E31" i="29"/>
  <c r="G31" i="29" s="1"/>
  <c r="E32" i="29"/>
  <c r="G32" i="29" s="1"/>
  <c r="E33" i="29"/>
  <c r="G33" i="29" s="1"/>
  <c r="E34" i="29"/>
  <c r="G34" i="29" s="1"/>
  <c r="E35" i="29"/>
  <c r="G35" i="29" s="1"/>
  <c r="E36" i="29"/>
  <c r="G36" i="29" s="1"/>
  <c r="E37" i="29"/>
  <c r="G37" i="29" s="1"/>
  <c r="E38" i="29"/>
  <c r="E39" i="29"/>
  <c r="G39" i="29" s="1"/>
  <c r="E40" i="29"/>
  <c r="G40" i="29" s="1"/>
  <c r="E41" i="29"/>
  <c r="G41" i="29" s="1"/>
  <c r="E42" i="29"/>
  <c r="G42" i="29" s="1"/>
  <c r="E43" i="29"/>
  <c r="G43" i="29" s="1"/>
  <c r="E44" i="29"/>
  <c r="G44" i="29" s="1"/>
  <c r="E45" i="29"/>
  <c r="G45" i="29" s="1"/>
  <c r="E46" i="29"/>
  <c r="E47" i="29"/>
  <c r="G47" i="29" s="1"/>
  <c r="E48" i="29"/>
  <c r="G48" i="29" s="1"/>
  <c r="E49" i="29"/>
  <c r="G49" i="29" s="1"/>
  <c r="E50" i="29"/>
  <c r="G50" i="29" s="1"/>
  <c r="E51" i="29"/>
  <c r="G51" i="29" s="1"/>
  <c r="E52" i="29"/>
  <c r="G52" i="29" s="1"/>
  <c r="E53" i="29"/>
  <c r="G53" i="29" s="1"/>
  <c r="E54" i="29"/>
  <c r="G54" i="29" s="1"/>
  <c r="E55" i="29"/>
  <c r="G55" i="29" s="1"/>
  <c r="E56" i="29"/>
  <c r="G56" i="29" s="1"/>
  <c r="E57" i="29"/>
  <c r="G57" i="29" s="1"/>
  <c r="E58" i="29"/>
  <c r="E59" i="29"/>
  <c r="G59" i="29" s="1"/>
  <c r="E60" i="29"/>
  <c r="E61" i="29"/>
  <c r="E62" i="29"/>
  <c r="G62" i="29" s="1"/>
  <c r="E63" i="29"/>
  <c r="G63" i="29" s="1"/>
  <c r="E64" i="29"/>
  <c r="G64" i="29" s="1"/>
  <c r="E65" i="29"/>
  <c r="G65" i="29" s="1"/>
  <c r="E66" i="29"/>
  <c r="G66" i="29" s="1"/>
  <c r="E67" i="29"/>
  <c r="G67" i="29" s="1"/>
  <c r="E68" i="29"/>
  <c r="G68" i="29" s="1"/>
  <c r="E69" i="29"/>
  <c r="G69" i="29" s="1"/>
  <c r="E70" i="29"/>
  <c r="G70" i="29" s="1"/>
  <c r="E71" i="29"/>
  <c r="G71" i="29" s="1"/>
  <c r="E72" i="29"/>
  <c r="G72" i="29" s="1"/>
  <c r="E73" i="29"/>
  <c r="G73" i="29" s="1"/>
  <c r="E74" i="29"/>
  <c r="G74" i="29" s="1"/>
  <c r="E75" i="29"/>
  <c r="G75" i="29" s="1"/>
  <c r="E76" i="29"/>
  <c r="G76" i="29" s="1"/>
  <c r="E77" i="29"/>
  <c r="G77" i="29" s="1"/>
  <c r="E78" i="29"/>
  <c r="G78" i="29" s="1"/>
  <c r="E79" i="29"/>
  <c r="G79" i="29" s="1"/>
  <c r="E80" i="29"/>
  <c r="G80" i="29" s="1"/>
  <c r="E81" i="29"/>
  <c r="G81" i="29" s="1"/>
  <c r="E82" i="29"/>
  <c r="G82" i="29" s="1"/>
  <c r="E83" i="29"/>
  <c r="G83" i="29" s="1"/>
  <c r="E84" i="29"/>
  <c r="G84" i="29" s="1"/>
  <c r="E85" i="29"/>
  <c r="G85" i="29" s="1"/>
  <c r="E86" i="29"/>
  <c r="G86" i="29" s="1"/>
  <c r="E87" i="29"/>
  <c r="G87" i="29" s="1"/>
  <c r="E88" i="29"/>
  <c r="G88" i="29" s="1"/>
  <c r="E89" i="29"/>
  <c r="G89" i="29" s="1"/>
  <c r="E90" i="29"/>
  <c r="G90" i="29" s="1"/>
  <c r="E91" i="29"/>
  <c r="G91" i="29" s="1"/>
  <c r="E92" i="29"/>
  <c r="G92" i="29" s="1"/>
  <c r="E93" i="29"/>
  <c r="G93" i="29" s="1"/>
  <c r="E94" i="29"/>
  <c r="G94" i="29" s="1"/>
  <c r="E95" i="29"/>
  <c r="G95" i="29" s="1"/>
  <c r="E96" i="29"/>
  <c r="G96" i="29" s="1"/>
  <c r="E97" i="29"/>
  <c r="G97" i="29" s="1"/>
  <c r="E98" i="29"/>
  <c r="G98" i="29" s="1"/>
  <c r="E99" i="29"/>
  <c r="G99" i="29" s="1"/>
  <c r="E100" i="29"/>
  <c r="G100" i="29" s="1"/>
  <c r="E101" i="29"/>
  <c r="G101" i="29" s="1"/>
  <c r="E102" i="29"/>
  <c r="G102" i="29" s="1"/>
  <c r="E103" i="29"/>
  <c r="G103" i="29" s="1"/>
  <c r="E104" i="29"/>
  <c r="G104" i="29" s="1"/>
  <c r="E105" i="29"/>
  <c r="G105" i="29" s="1"/>
  <c r="E106" i="29"/>
  <c r="E107" i="29"/>
  <c r="G107" i="29" s="1"/>
  <c r="E108" i="29"/>
  <c r="G108" i="29" s="1"/>
  <c r="E109" i="29"/>
  <c r="E110" i="29"/>
  <c r="G110" i="29" s="1"/>
  <c r="E111" i="29"/>
  <c r="G111" i="29" s="1"/>
  <c r="E112" i="29"/>
  <c r="G112" i="29" s="1"/>
  <c r="E113" i="29"/>
  <c r="G113" i="29" s="1"/>
  <c r="E114" i="29"/>
  <c r="G114" i="29" s="1"/>
  <c r="E115" i="29"/>
  <c r="G115" i="29" s="1"/>
  <c r="E116" i="29"/>
  <c r="G116" i="29" s="1"/>
  <c r="E117" i="29"/>
  <c r="G117" i="29" s="1"/>
  <c r="E118" i="29"/>
  <c r="E119" i="29"/>
  <c r="G119" i="29" s="1"/>
  <c r="E120" i="29"/>
  <c r="G120" i="29" s="1"/>
  <c r="E121" i="29"/>
  <c r="G121" i="29" s="1"/>
  <c r="E122" i="29"/>
  <c r="G122" i="29" s="1"/>
  <c r="E123" i="29"/>
  <c r="G123" i="29" s="1"/>
  <c r="E124" i="29"/>
  <c r="G124" i="29" s="1"/>
  <c r="E125" i="29"/>
  <c r="G125" i="29" s="1"/>
  <c r="E126" i="29"/>
  <c r="G126" i="29" s="1"/>
  <c r="E127" i="29"/>
  <c r="G127" i="29" s="1"/>
  <c r="C128" i="29"/>
  <c r="F93" i="26"/>
  <c r="F90" i="27"/>
  <c r="F90" i="26"/>
  <c r="F91" i="26"/>
  <c r="G128" i="29" l="1"/>
  <c r="E128" i="29"/>
  <c r="F82" i="27"/>
  <c r="E4" i="28" l="1"/>
  <c r="E5" i="28"/>
  <c r="G5" i="28" s="1"/>
  <c r="E6" i="28"/>
  <c r="G6" i="28" s="1"/>
  <c r="E7" i="28"/>
  <c r="G7" i="28" s="1"/>
  <c r="E8" i="28"/>
  <c r="G8" i="28" s="1"/>
  <c r="E9" i="28"/>
  <c r="G9" i="28" s="1"/>
  <c r="E10" i="28"/>
  <c r="G10" i="28" s="1"/>
  <c r="E11" i="28"/>
  <c r="G11" i="28" s="1"/>
  <c r="E12" i="28"/>
  <c r="G12" i="28" s="1"/>
  <c r="E13" i="28"/>
  <c r="G13" i="28" s="1"/>
  <c r="E14" i="28"/>
  <c r="G14" i="28" s="1"/>
  <c r="E15" i="28"/>
  <c r="G15" i="28" s="1"/>
  <c r="E16" i="28"/>
  <c r="G16" i="28" s="1"/>
  <c r="E17" i="28"/>
  <c r="G17" i="28" s="1"/>
  <c r="E18" i="28"/>
  <c r="G18" i="28" s="1"/>
  <c r="E19" i="28"/>
  <c r="G19" i="28" s="1"/>
  <c r="E20" i="28"/>
  <c r="G20" i="28" s="1"/>
  <c r="E21" i="28"/>
  <c r="G21" i="28" s="1"/>
  <c r="E22" i="28"/>
  <c r="G22" i="28" s="1"/>
  <c r="E23" i="28"/>
  <c r="G23" i="28" s="1"/>
  <c r="E24" i="28"/>
  <c r="G24" i="28" s="1"/>
  <c r="E25" i="28"/>
  <c r="G25" i="28" s="1"/>
  <c r="E26" i="28"/>
  <c r="G26" i="28" s="1"/>
  <c r="E27" i="28"/>
  <c r="G27" i="28" s="1"/>
  <c r="E28" i="28"/>
  <c r="G28" i="28" s="1"/>
  <c r="E29" i="28"/>
  <c r="G29" i="28" s="1"/>
  <c r="E30" i="28"/>
  <c r="G30" i="28" s="1"/>
  <c r="E31" i="28"/>
  <c r="G31" i="28" s="1"/>
  <c r="E32" i="28"/>
  <c r="G32" i="28" s="1"/>
  <c r="E33" i="28"/>
  <c r="G33" i="28" s="1"/>
  <c r="E34" i="28"/>
  <c r="G34" i="28" s="1"/>
  <c r="E35" i="28"/>
  <c r="G35" i="28" s="1"/>
  <c r="E36" i="28"/>
  <c r="G36" i="28" s="1"/>
  <c r="E37" i="28"/>
  <c r="G37" i="28" s="1"/>
  <c r="E38" i="28"/>
  <c r="G38" i="28" s="1"/>
  <c r="E39" i="28"/>
  <c r="G39" i="28" s="1"/>
  <c r="E40" i="28"/>
  <c r="G40" i="28" s="1"/>
  <c r="E41" i="28"/>
  <c r="G41" i="28" s="1"/>
  <c r="E42" i="28"/>
  <c r="G42" i="28" s="1"/>
  <c r="E43" i="28"/>
  <c r="G43" i="28" s="1"/>
  <c r="E44" i="28"/>
  <c r="G44" i="28" s="1"/>
  <c r="E45" i="28"/>
  <c r="G45" i="28" s="1"/>
  <c r="E46" i="28"/>
  <c r="G46" i="28" s="1"/>
  <c r="E47" i="28"/>
  <c r="G47" i="28" s="1"/>
  <c r="E48" i="28"/>
  <c r="G48" i="28" s="1"/>
  <c r="E49" i="28"/>
  <c r="G49" i="28" s="1"/>
  <c r="E50" i="28"/>
  <c r="G50" i="28" s="1"/>
  <c r="E51" i="28"/>
  <c r="G51" i="28" s="1"/>
  <c r="E52" i="28"/>
  <c r="G52" i="28" s="1"/>
  <c r="E53" i="28"/>
  <c r="G53" i="28" s="1"/>
  <c r="E54" i="28"/>
  <c r="G54" i="28" s="1"/>
  <c r="E55" i="28"/>
  <c r="G55" i="28" s="1"/>
  <c r="E56" i="28"/>
  <c r="G56" i="28" s="1"/>
  <c r="E57" i="28"/>
  <c r="G57" i="28" s="1"/>
  <c r="E58" i="28"/>
  <c r="G58" i="28" s="1"/>
  <c r="E59" i="28"/>
  <c r="G59" i="28" s="1"/>
  <c r="E60" i="28"/>
  <c r="G60" i="28" s="1"/>
  <c r="E61" i="28"/>
  <c r="G61" i="28" s="1"/>
  <c r="E62" i="28"/>
  <c r="G62" i="28" s="1"/>
  <c r="E63" i="28"/>
  <c r="G63" i="28" s="1"/>
  <c r="E64" i="28"/>
  <c r="G64" i="28" s="1"/>
  <c r="E65" i="28"/>
  <c r="G65" i="28" s="1"/>
  <c r="E66" i="28"/>
  <c r="G66" i="28" s="1"/>
  <c r="E67" i="28"/>
  <c r="G67" i="28" s="1"/>
  <c r="E68" i="28"/>
  <c r="G68" i="28" s="1"/>
  <c r="E69" i="28"/>
  <c r="G69" i="28" s="1"/>
  <c r="E70" i="28"/>
  <c r="G70" i="28" s="1"/>
  <c r="E71" i="28"/>
  <c r="G71" i="28" s="1"/>
  <c r="E72" i="28"/>
  <c r="G72" i="28" s="1"/>
  <c r="E73" i="28"/>
  <c r="G73" i="28" s="1"/>
  <c r="E74" i="28"/>
  <c r="G74" i="28" s="1"/>
  <c r="E75" i="28"/>
  <c r="G75" i="28" s="1"/>
  <c r="E76" i="28"/>
  <c r="G76" i="28" s="1"/>
  <c r="E77" i="28"/>
  <c r="G77" i="28" s="1"/>
  <c r="E78" i="28"/>
  <c r="G78" i="28" s="1"/>
  <c r="E79" i="28"/>
  <c r="G79" i="28" s="1"/>
  <c r="E80" i="28"/>
  <c r="G80" i="28" s="1"/>
  <c r="E81" i="28"/>
  <c r="G81" i="28" s="1"/>
  <c r="E82" i="28"/>
  <c r="G82" i="28" s="1"/>
  <c r="E83" i="28"/>
  <c r="G83" i="28" s="1"/>
  <c r="E84" i="28"/>
  <c r="G84" i="28" s="1"/>
  <c r="E85" i="28"/>
  <c r="G85" i="28" s="1"/>
  <c r="E86" i="28"/>
  <c r="G86" i="28" s="1"/>
  <c r="E87" i="28"/>
  <c r="G87" i="28" s="1"/>
  <c r="E88" i="28"/>
  <c r="G88" i="28" s="1"/>
  <c r="E89" i="28"/>
  <c r="G89" i="28" s="1"/>
  <c r="E90" i="28"/>
  <c r="G90" i="28" s="1"/>
  <c r="E91" i="28"/>
  <c r="G91" i="28" s="1"/>
  <c r="E92" i="28"/>
  <c r="G92" i="28" s="1"/>
  <c r="E93" i="28"/>
  <c r="G93" i="28" s="1"/>
  <c r="E94" i="28"/>
  <c r="G94" i="28" s="1"/>
  <c r="E95" i="28"/>
  <c r="G95" i="28" s="1"/>
  <c r="E96" i="28"/>
  <c r="G96" i="28" s="1"/>
  <c r="E97" i="28"/>
  <c r="G97" i="28" s="1"/>
  <c r="E98" i="28"/>
  <c r="G98" i="28" s="1"/>
  <c r="E99" i="28"/>
  <c r="G99" i="28" s="1"/>
  <c r="E100" i="28"/>
  <c r="G100" i="28" s="1"/>
  <c r="E101" i="28"/>
  <c r="G101" i="28" s="1"/>
  <c r="E102" i="28"/>
  <c r="G102" i="28" s="1"/>
  <c r="E103" i="28"/>
  <c r="G103" i="28" s="1"/>
  <c r="E104" i="28"/>
  <c r="G104" i="28" s="1"/>
  <c r="E105" i="28"/>
  <c r="G105" i="28" s="1"/>
  <c r="E106" i="28"/>
  <c r="G106" i="28" s="1"/>
  <c r="E107" i="28"/>
  <c r="G107" i="28" s="1"/>
  <c r="E108" i="28"/>
  <c r="G108" i="28" s="1"/>
  <c r="E109" i="28"/>
  <c r="G109" i="28" s="1"/>
  <c r="E110" i="28"/>
  <c r="G110" i="28" s="1"/>
  <c r="E111" i="28"/>
  <c r="G111" i="28" s="1"/>
  <c r="E112" i="28"/>
  <c r="G112" i="28" s="1"/>
  <c r="E113" i="28"/>
  <c r="G113" i="28" s="1"/>
  <c r="E114" i="28"/>
  <c r="G114" i="28" s="1"/>
  <c r="E115" i="28"/>
  <c r="G115" i="28" s="1"/>
  <c r="E116" i="28"/>
  <c r="G116" i="28" s="1"/>
  <c r="E117" i="28"/>
  <c r="G117" i="28" s="1"/>
  <c r="E118" i="28"/>
  <c r="G118" i="28" s="1"/>
  <c r="E119" i="28"/>
  <c r="G119" i="28" s="1"/>
  <c r="E120" i="28"/>
  <c r="G120" i="28" s="1"/>
  <c r="E121" i="28"/>
  <c r="G121" i="28" s="1"/>
  <c r="E122" i="28"/>
  <c r="G122" i="28" s="1"/>
  <c r="E123" i="28"/>
  <c r="G123" i="28" s="1"/>
  <c r="E124" i="28"/>
  <c r="G124" i="28" s="1"/>
  <c r="E125" i="28"/>
  <c r="G125" i="28" s="1"/>
  <c r="E126" i="28"/>
  <c r="G126" i="28" s="1"/>
  <c r="E127" i="28"/>
  <c r="G127" i="28" s="1"/>
  <c r="C128" i="28"/>
  <c r="G4" i="28" l="1"/>
  <c r="G128" i="28" s="1"/>
  <c r="E128" i="28"/>
  <c r="F74" i="26"/>
  <c r="F73" i="26"/>
  <c r="F8" i="26"/>
  <c r="F34" i="27"/>
  <c r="F123" i="26"/>
  <c r="F95" i="25"/>
  <c r="F61" i="25"/>
  <c r="F99" i="27" l="1"/>
  <c r="F99" i="26"/>
  <c r="F127" i="27"/>
  <c r="F127" i="26"/>
  <c r="F66" i="26"/>
  <c r="F66" i="27"/>
  <c r="F89" i="26"/>
  <c r="F59" i="26"/>
  <c r="F29" i="26"/>
  <c r="F7" i="26"/>
  <c r="F19" i="26"/>
  <c r="F18" i="26"/>
  <c r="F64" i="26"/>
  <c r="F25" i="26"/>
  <c r="F96" i="26"/>
  <c r="F76" i="26"/>
  <c r="F49" i="26"/>
  <c r="F21" i="26"/>
  <c r="F88" i="26"/>
  <c r="F35" i="26"/>
  <c r="F114" i="26"/>
  <c r="F65" i="26"/>
  <c r="F22" i="26"/>
  <c r="F60" i="26"/>
  <c r="F6" i="26"/>
  <c r="F32" i="26"/>
  <c r="F5" i="26"/>
  <c r="F77" i="26"/>
  <c r="F87" i="26"/>
  <c r="F86" i="26"/>
  <c r="F20" i="26" l="1"/>
  <c r="F10" i="27" l="1"/>
  <c r="F111" i="26"/>
  <c r="F24" i="26"/>
  <c r="F19" i="25"/>
  <c r="F18" i="25"/>
  <c r="F30" i="26"/>
  <c r="F112" i="26"/>
  <c r="F97" i="26"/>
  <c r="F15" i="27" l="1"/>
  <c r="F56" i="27"/>
  <c r="F93" i="25"/>
  <c r="F91" i="25"/>
  <c r="F90" i="25"/>
  <c r="F54" i="27"/>
  <c r="E4" i="27"/>
  <c r="G4" i="27"/>
  <c r="E5" i="27"/>
  <c r="G5" i="27" s="1"/>
  <c r="E6" i="27"/>
  <c r="G6" i="27" s="1"/>
  <c r="E7" i="27"/>
  <c r="G7" i="27" s="1"/>
  <c r="E8" i="27"/>
  <c r="G8" i="27"/>
  <c r="E9" i="27"/>
  <c r="G9" i="27"/>
  <c r="E10" i="27"/>
  <c r="G10" i="27" s="1"/>
  <c r="E11" i="27"/>
  <c r="G11" i="27"/>
  <c r="E12" i="27"/>
  <c r="G12" i="27" s="1"/>
  <c r="E13" i="27"/>
  <c r="G13" i="27" s="1"/>
  <c r="E14" i="27"/>
  <c r="G14" i="27" s="1"/>
  <c r="E15" i="27"/>
  <c r="E16" i="27"/>
  <c r="G16" i="27" s="1"/>
  <c r="E17" i="27"/>
  <c r="G17" i="27" s="1"/>
  <c r="E18" i="27"/>
  <c r="G18" i="27"/>
  <c r="E19" i="27"/>
  <c r="G19" i="27"/>
  <c r="E20" i="27"/>
  <c r="G20" i="27" s="1"/>
  <c r="E21" i="27"/>
  <c r="G21" i="27" s="1"/>
  <c r="E22" i="27"/>
  <c r="G22" i="27" s="1"/>
  <c r="E23" i="27"/>
  <c r="G23" i="27" s="1"/>
  <c r="E24" i="27"/>
  <c r="G24" i="27" s="1"/>
  <c r="E25" i="27"/>
  <c r="G25" i="27"/>
  <c r="E26" i="27"/>
  <c r="G26" i="27"/>
  <c r="E27" i="27"/>
  <c r="G27" i="27" s="1"/>
  <c r="E28" i="27"/>
  <c r="G28" i="27" s="1"/>
  <c r="E29" i="27"/>
  <c r="G29" i="27"/>
  <c r="E30" i="27"/>
  <c r="G30" i="27" s="1"/>
  <c r="E31" i="27"/>
  <c r="G31" i="27" s="1"/>
  <c r="E32" i="27"/>
  <c r="G32" i="27"/>
  <c r="E33" i="27"/>
  <c r="G33" i="27" s="1"/>
  <c r="E34" i="27"/>
  <c r="G34" i="27" s="1"/>
  <c r="E35" i="27"/>
  <c r="G35" i="27" s="1"/>
  <c r="E36" i="27"/>
  <c r="G36" i="27"/>
  <c r="E37" i="27"/>
  <c r="G37" i="27" s="1"/>
  <c r="E38" i="27"/>
  <c r="G38" i="27" s="1"/>
  <c r="E39" i="27"/>
  <c r="G39" i="27" s="1"/>
  <c r="E40" i="27"/>
  <c r="G40" i="27"/>
  <c r="E41" i="27"/>
  <c r="G41" i="27" s="1"/>
  <c r="E42" i="27"/>
  <c r="G42" i="27" s="1"/>
  <c r="E43" i="27"/>
  <c r="G43" i="27"/>
  <c r="E44" i="27"/>
  <c r="G44" i="27" s="1"/>
  <c r="E45" i="27"/>
  <c r="G45" i="27"/>
  <c r="E46" i="27"/>
  <c r="G46" i="27" s="1"/>
  <c r="E47" i="27"/>
  <c r="G47" i="27" s="1"/>
  <c r="E48" i="27"/>
  <c r="G48" i="27" s="1"/>
  <c r="E49" i="27"/>
  <c r="G49" i="27" s="1"/>
  <c r="E50" i="27"/>
  <c r="G50" i="27"/>
  <c r="E51" i="27"/>
  <c r="G51" i="27" s="1"/>
  <c r="E52" i="27"/>
  <c r="G52" i="27"/>
  <c r="E53" i="27"/>
  <c r="G53" i="27"/>
  <c r="E54" i="27"/>
  <c r="G54" i="27" s="1"/>
  <c r="E55" i="27"/>
  <c r="G55" i="27" s="1"/>
  <c r="E56" i="27"/>
  <c r="G56" i="27" s="1"/>
  <c r="E57" i="27"/>
  <c r="G57" i="27" s="1"/>
  <c r="E58" i="27"/>
  <c r="G58" i="27"/>
  <c r="E59" i="27"/>
  <c r="G59" i="27" s="1"/>
  <c r="E60" i="27"/>
  <c r="G60" i="27" s="1"/>
  <c r="E61" i="27"/>
  <c r="G61" i="27" s="1"/>
  <c r="E62" i="27"/>
  <c r="G62" i="27" s="1"/>
  <c r="E63" i="27"/>
  <c r="G63" i="27" s="1"/>
  <c r="E64" i="27"/>
  <c r="G64" i="27"/>
  <c r="E65" i="27"/>
  <c r="G65" i="27"/>
  <c r="E66" i="27"/>
  <c r="G66" i="27"/>
  <c r="E67" i="27"/>
  <c r="G67" i="27" s="1"/>
  <c r="E68" i="27"/>
  <c r="G68" i="27" s="1"/>
  <c r="E69" i="27"/>
  <c r="G69" i="27" s="1"/>
  <c r="E70" i="27"/>
  <c r="G70" i="27" s="1"/>
  <c r="E71" i="27"/>
  <c r="G71" i="27" s="1"/>
  <c r="E72" i="27"/>
  <c r="G72" i="27"/>
  <c r="E73" i="27"/>
  <c r="G73" i="27" s="1"/>
  <c r="E74" i="27"/>
  <c r="G74" i="27"/>
  <c r="E75" i="27"/>
  <c r="G75" i="27" s="1"/>
  <c r="E76" i="27"/>
  <c r="G76" i="27" s="1"/>
  <c r="E77" i="27"/>
  <c r="G77" i="27" s="1"/>
  <c r="E78" i="27"/>
  <c r="G78" i="27" s="1"/>
  <c r="E79" i="27"/>
  <c r="G79" i="27" s="1"/>
  <c r="E80" i="27"/>
  <c r="G80" i="27"/>
  <c r="E81" i="27"/>
  <c r="G81" i="27" s="1"/>
  <c r="E82" i="27"/>
  <c r="G82" i="27" s="1"/>
  <c r="E83" i="27"/>
  <c r="G83" i="27" s="1"/>
  <c r="E84" i="27"/>
  <c r="G84" i="27" s="1"/>
  <c r="E85" i="27"/>
  <c r="G85" i="27" s="1"/>
  <c r="E86" i="27"/>
  <c r="G86" i="27" s="1"/>
  <c r="E87" i="27"/>
  <c r="G87" i="27" s="1"/>
  <c r="E88" i="27"/>
  <c r="G88" i="27"/>
  <c r="E89" i="27"/>
  <c r="G89" i="27" s="1"/>
  <c r="E90" i="27"/>
  <c r="G90" i="27" s="1"/>
  <c r="E91" i="27"/>
  <c r="G91" i="27" s="1"/>
  <c r="E92" i="27"/>
  <c r="G92" i="27"/>
  <c r="E93" i="27"/>
  <c r="G93" i="27" s="1"/>
  <c r="E94" i="27"/>
  <c r="G94" i="27" s="1"/>
  <c r="E95" i="27"/>
  <c r="G95" i="27" s="1"/>
  <c r="E96" i="27"/>
  <c r="G96" i="27" s="1"/>
  <c r="E97" i="27"/>
  <c r="G97" i="27" s="1"/>
  <c r="E98" i="27"/>
  <c r="G98" i="27" s="1"/>
  <c r="E99" i="27"/>
  <c r="G99" i="27"/>
  <c r="E100" i="27"/>
  <c r="G100" i="27"/>
  <c r="E101" i="27"/>
  <c r="G101" i="27"/>
  <c r="E102" i="27"/>
  <c r="G102" i="27" s="1"/>
  <c r="E103" i="27"/>
  <c r="G103" i="27" s="1"/>
  <c r="E104" i="27"/>
  <c r="G104" i="27" s="1"/>
  <c r="E105" i="27"/>
  <c r="G105" i="27" s="1"/>
  <c r="E106" i="27"/>
  <c r="G106" i="27"/>
  <c r="E107" i="27"/>
  <c r="G107" i="27"/>
  <c r="E108" i="27"/>
  <c r="G108" i="27" s="1"/>
  <c r="E109" i="27"/>
  <c r="G109" i="27" s="1"/>
  <c r="E110" i="27"/>
  <c r="G110" i="27" s="1"/>
  <c r="E111" i="27"/>
  <c r="G111" i="27" s="1"/>
  <c r="E112" i="27"/>
  <c r="G112" i="27" s="1"/>
  <c r="E113" i="27"/>
  <c r="G113" i="27"/>
  <c r="E114" i="27"/>
  <c r="G114" i="27" s="1"/>
  <c r="E115" i="27"/>
  <c r="G115" i="27" s="1"/>
  <c r="E116" i="27"/>
  <c r="G116" i="27" s="1"/>
  <c r="E117" i="27"/>
  <c r="G117" i="27" s="1"/>
  <c r="E118" i="27"/>
  <c r="G118" i="27" s="1"/>
  <c r="E119" i="27"/>
  <c r="G119" i="27" s="1"/>
  <c r="E120" i="27"/>
  <c r="G120" i="27" s="1"/>
  <c r="E121" i="27"/>
  <c r="G121" i="27"/>
  <c r="E122" i="27"/>
  <c r="G122" i="27"/>
  <c r="E123" i="27"/>
  <c r="G123" i="27" s="1"/>
  <c r="E124" i="27"/>
  <c r="G124" i="27" s="1"/>
  <c r="E125" i="27"/>
  <c r="G125" i="27" s="1"/>
  <c r="E126" i="27"/>
  <c r="G126" i="27" s="1"/>
  <c r="E127" i="27"/>
  <c r="G127" i="27" s="1"/>
  <c r="C128" i="27"/>
  <c r="F128" i="27" l="1"/>
  <c r="G15" i="27"/>
  <c r="G128" i="27" s="1"/>
  <c r="E128" i="27"/>
  <c r="F32" i="25" l="1"/>
  <c r="F5" i="25"/>
  <c r="F114" i="25"/>
  <c r="F35" i="25"/>
  <c r="F64" i="25"/>
  <c r="F7" i="25"/>
  <c r="F29" i="25"/>
  <c r="F97" i="25" l="1"/>
  <c r="F60" i="25"/>
  <c r="F42" i="25" l="1"/>
  <c r="F123" i="25" l="1"/>
  <c r="F77" i="25"/>
  <c r="F111" i="25" l="1"/>
  <c r="F10" i="25" l="1"/>
  <c r="F56" i="25"/>
  <c r="F15" i="25"/>
  <c r="F16" i="26" l="1"/>
  <c r="F83" i="25"/>
  <c r="F86" i="25" l="1"/>
  <c r="F58" i="25"/>
  <c r="F9" i="25"/>
  <c r="F59" i="25"/>
  <c r="F21" i="25" l="1"/>
  <c r="F49" i="25"/>
  <c r="F76" i="25"/>
  <c r="F94" i="26" l="1"/>
  <c r="F87" i="25"/>
  <c r="F89" i="25"/>
  <c r="F8" i="25"/>
  <c r="F16" i="25" l="1"/>
  <c r="F30" i="25"/>
  <c r="E4" i="26"/>
  <c r="G4" i="26"/>
  <c r="E5" i="26"/>
  <c r="G5" i="26" s="1"/>
  <c r="E6" i="26"/>
  <c r="G6" i="26" s="1"/>
  <c r="E7" i="26"/>
  <c r="G7" i="26" s="1"/>
  <c r="E8" i="26"/>
  <c r="G8" i="26" s="1"/>
  <c r="E9" i="26"/>
  <c r="G9" i="26" s="1"/>
  <c r="E10" i="26"/>
  <c r="F10" i="26" s="1"/>
  <c r="E11" i="26"/>
  <c r="G11" i="26" s="1"/>
  <c r="E12" i="26"/>
  <c r="G12" i="26" s="1"/>
  <c r="E13" i="26"/>
  <c r="G13" i="26" s="1"/>
  <c r="E14" i="26"/>
  <c r="G14" i="26" s="1"/>
  <c r="E15" i="26"/>
  <c r="F15" i="26" s="1"/>
  <c r="G15" i="26" s="1"/>
  <c r="E16" i="26"/>
  <c r="G16" i="26" s="1"/>
  <c r="E17" i="26"/>
  <c r="G17" i="26" s="1"/>
  <c r="E18" i="26"/>
  <c r="G18" i="26" s="1"/>
  <c r="E19" i="26"/>
  <c r="G19" i="26"/>
  <c r="E20" i="26"/>
  <c r="G20" i="26" s="1"/>
  <c r="E21" i="26"/>
  <c r="G21" i="26" s="1"/>
  <c r="E22" i="26"/>
  <c r="G22" i="26" s="1"/>
  <c r="E23" i="26"/>
  <c r="G23" i="26" s="1"/>
  <c r="E24" i="26"/>
  <c r="G24" i="26" s="1"/>
  <c r="E25" i="26"/>
  <c r="G25" i="26" s="1"/>
  <c r="E26" i="26"/>
  <c r="G26" i="26"/>
  <c r="E27" i="26"/>
  <c r="G27" i="26"/>
  <c r="E28" i="26"/>
  <c r="G28" i="26" s="1"/>
  <c r="E29" i="26"/>
  <c r="G29" i="26" s="1"/>
  <c r="E30" i="26"/>
  <c r="G30" i="26" s="1"/>
  <c r="E31" i="26"/>
  <c r="G31" i="26" s="1"/>
  <c r="E32" i="26"/>
  <c r="G32" i="26" s="1"/>
  <c r="E33" i="26"/>
  <c r="G33" i="26" s="1"/>
  <c r="E34" i="26"/>
  <c r="F34" i="26" s="1"/>
  <c r="G34" i="26"/>
  <c r="E35" i="26"/>
  <c r="G35" i="26" s="1"/>
  <c r="E36" i="26"/>
  <c r="G36" i="26" s="1"/>
  <c r="E37" i="26"/>
  <c r="G37" i="26" s="1"/>
  <c r="E38" i="26"/>
  <c r="G38" i="26" s="1"/>
  <c r="E39" i="26"/>
  <c r="G39" i="26" s="1"/>
  <c r="E40" i="26"/>
  <c r="G40" i="26" s="1"/>
  <c r="E41" i="26"/>
  <c r="G41" i="26" s="1"/>
  <c r="E42" i="26"/>
  <c r="G42" i="26" s="1"/>
  <c r="E43" i="26"/>
  <c r="G43" i="26" s="1"/>
  <c r="E44" i="26"/>
  <c r="G44" i="26"/>
  <c r="E45" i="26"/>
  <c r="G45" i="26" s="1"/>
  <c r="E46" i="26"/>
  <c r="G46" i="26" s="1"/>
  <c r="E47" i="26"/>
  <c r="G47" i="26" s="1"/>
  <c r="E48" i="26"/>
  <c r="G48" i="26" s="1"/>
  <c r="E49" i="26"/>
  <c r="G49" i="26" s="1"/>
  <c r="E50" i="26"/>
  <c r="G50" i="26" s="1"/>
  <c r="E51" i="26"/>
  <c r="G51" i="26" s="1"/>
  <c r="E52" i="26"/>
  <c r="G52" i="26" s="1"/>
  <c r="E53" i="26"/>
  <c r="G53" i="26" s="1"/>
  <c r="E54" i="26"/>
  <c r="E55" i="26"/>
  <c r="G55" i="26" s="1"/>
  <c r="E56" i="26"/>
  <c r="F56" i="26" s="1"/>
  <c r="E57" i="26"/>
  <c r="F57" i="26" s="1"/>
  <c r="E58" i="26"/>
  <c r="G58" i="26" s="1"/>
  <c r="E59" i="26"/>
  <c r="G59" i="26" s="1"/>
  <c r="E60" i="26"/>
  <c r="G60" i="26" s="1"/>
  <c r="E61" i="26"/>
  <c r="E62" i="26"/>
  <c r="G62" i="26" s="1"/>
  <c r="E63" i="26"/>
  <c r="G63" i="26" s="1"/>
  <c r="E64" i="26"/>
  <c r="G64" i="26" s="1"/>
  <c r="E65" i="26"/>
  <c r="G65" i="26" s="1"/>
  <c r="E66" i="26"/>
  <c r="G66" i="26" s="1"/>
  <c r="E67" i="26"/>
  <c r="G67" i="26" s="1"/>
  <c r="E68" i="26"/>
  <c r="F68" i="26" s="1"/>
  <c r="G68" i="26" s="1"/>
  <c r="E69" i="26"/>
  <c r="G69" i="26" s="1"/>
  <c r="E70" i="26"/>
  <c r="G70" i="26" s="1"/>
  <c r="E71" i="26"/>
  <c r="G71" i="26" s="1"/>
  <c r="E72" i="26"/>
  <c r="G72" i="26" s="1"/>
  <c r="E73" i="26"/>
  <c r="G73" i="26" s="1"/>
  <c r="E74" i="26"/>
  <c r="G74" i="26" s="1"/>
  <c r="E75" i="26"/>
  <c r="G75" i="26" s="1"/>
  <c r="E76" i="26"/>
  <c r="G76" i="26" s="1"/>
  <c r="E77" i="26"/>
  <c r="G77" i="26" s="1"/>
  <c r="E78" i="26"/>
  <c r="G78" i="26" s="1"/>
  <c r="E79" i="26"/>
  <c r="G79" i="26" s="1"/>
  <c r="E80" i="26"/>
  <c r="G80" i="26" s="1"/>
  <c r="E81" i="26"/>
  <c r="G81" i="26" s="1"/>
  <c r="E82" i="26"/>
  <c r="F82" i="26" s="1"/>
  <c r="E83" i="26"/>
  <c r="F83" i="26" s="1"/>
  <c r="E84" i="26"/>
  <c r="G84" i="26" s="1"/>
  <c r="E85" i="26"/>
  <c r="G85" i="26" s="1"/>
  <c r="E86" i="26"/>
  <c r="G86" i="26" s="1"/>
  <c r="E87" i="26"/>
  <c r="G87" i="26" s="1"/>
  <c r="E88" i="26"/>
  <c r="G88" i="26" s="1"/>
  <c r="E89" i="26"/>
  <c r="G89" i="26" s="1"/>
  <c r="E90" i="26"/>
  <c r="G90" i="26" s="1"/>
  <c r="E91" i="26"/>
  <c r="G91" i="26" s="1"/>
  <c r="E92" i="26"/>
  <c r="F92" i="26" s="1"/>
  <c r="E93" i="26"/>
  <c r="G93" i="26" s="1"/>
  <c r="E94" i="26"/>
  <c r="G94" i="26" s="1"/>
  <c r="E95" i="26"/>
  <c r="F95" i="26" s="1"/>
  <c r="E96" i="26"/>
  <c r="G96" i="26"/>
  <c r="E97" i="26"/>
  <c r="G97" i="26" s="1"/>
  <c r="E98" i="26"/>
  <c r="G98" i="26" s="1"/>
  <c r="E99" i="26"/>
  <c r="G99" i="26" s="1"/>
  <c r="E100" i="26"/>
  <c r="F100" i="26" s="1"/>
  <c r="E101" i="26"/>
  <c r="G101" i="26" s="1"/>
  <c r="E102" i="26"/>
  <c r="G102" i="26" s="1"/>
  <c r="E103" i="26"/>
  <c r="G103" i="26" s="1"/>
  <c r="E104" i="26"/>
  <c r="G104" i="26" s="1"/>
  <c r="E105" i="26"/>
  <c r="G105" i="26" s="1"/>
  <c r="E106" i="26"/>
  <c r="G106" i="26" s="1"/>
  <c r="E107" i="26"/>
  <c r="G107" i="26" s="1"/>
  <c r="E108" i="26"/>
  <c r="G108" i="26" s="1"/>
  <c r="E109" i="26"/>
  <c r="G109" i="26" s="1"/>
  <c r="E110" i="26"/>
  <c r="G110" i="26" s="1"/>
  <c r="E111" i="26"/>
  <c r="G111" i="26" s="1"/>
  <c r="E112" i="26"/>
  <c r="G112" i="26" s="1"/>
  <c r="E113" i="26"/>
  <c r="G113" i="26" s="1"/>
  <c r="E114" i="26"/>
  <c r="G114" i="26" s="1"/>
  <c r="E115" i="26"/>
  <c r="G115" i="26" s="1"/>
  <c r="E116" i="26"/>
  <c r="G116" i="26" s="1"/>
  <c r="E117" i="26"/>
  <c r="G117" i="26" s="1"/>
  <c r="E118" i="26"/>
  <c r="E119" i="26"/>
  <c r="G119" i="26" s="1"/>
  <c r="E120" i="26"/>
  <c r="G120" i="26" s="1"/>
  <c r="E121" i="26"/>
  <c r="G121" i="26" s="1"/>
  <c r="E122" i="26"/>
  <c r="G122" i="26" s="1"/>
  <c r="E123" i="26"/>
  <c r="G123" i="26" s="1"/>
  <c r="E124" i="26"/>
  <c r="G124" i="26" s="1"/>
  <c r="E125" i="26"/>
  <c r="G125" i="26" s="1"/>
  <c r="E126" i="26"/>
  <c r="G126" i="26" s="1"/>
  <c r="E127" i="26"/>
  <c r="G127" i="26" s="1"/>
  <c r="C128" i="26"/>
  <c r="G92" i="26" l="1"/>
  <c r="G57" i="26"/>
  <c r="F118" i="26"/>
  <c r="G118" i="26" s="1"/>
  <c r="G83" i="26"/>
  <c r="G56" i="26"/>
  <c r="G82" i="26"/>
  <c r="F61" i="26"/>
  <c r="G61" i="26" s="1"/>
  <c r="G95" i="26"/>
  <c r="F54" i="26"/>
  <c r="F128" i="26" s="1"/>
  <c r="G100" i="26"/>
  <c r="E128" i="26"/>
  <c r="G10" i="26"/>
  <c r="G54" i="26" l="1"/>
  <c r="G128" i="26" s="1"/>
  <c r="H128" i="25"/>
  <c r="I128" i="25"/>
  <c r="J128" i="25"/>
  <c r="K128" i="25"/>
  <c r="L128" i="25"/>
  <c r="C128" i="25" l="1"/>
  <c r="E127" i="25"/>
  <c r="E126" i="25"/>
  <c r="G126" i="25" s="1"/>
  <c r="E125" i="25"/>
  <c r="G125" i="25" s="1"/>
  <c r="E124" i="25"/>
  <c r="G124" i="25" s="1"/>
  <c r="E123" i="25"/>
  <c r="G123" i="25" s="1"/>
  <c r="E122" i="25"/>
  <c r="G122" i="25" s="1"/>
  <c r="E121" i="25"/>
  <c r="G121" i="25" s="1"/>
  <c r="E120" i="25"/>
  <c r="G120" i="25" s="1"/>
  <c r="E119" i="25"/>
  <c r="E118" i="25"/>
  <c r="G118" i="25" s="1"/>
  <c r="E117" i="25"/>
  <c r="G117" i="25" s="1"/>
  <c r="E116" i="25"/>
  <c r="G116" i="25" s="1"/>
  <c r="E115" i="25"/>
  <c r="G115" i="25" s="1"/>
  <c r="E114" i="25"/>
  <c r="G114" i="25" s="1"/>
  <c r="E113" i="25"/>
  <c r="G113" i="25" s="1"/>
  <c r="E112" i="25"/>
  <c r="F112" i="25" s="1"/>
  <c r="E111" i="25"/>
  <c r="G111" i="25" s="1"/>
  <c r="E110" i="25"/>
  <c r="G110" i="25" s="1"/>
  <c r="E109" i="25"/>
  <c r="G109" i="25" s="1"/>
  <c r="E108" i="25"/>
  <c r="G108" i="25" s="1"/>
  <c r="E107" i="25"/>
  <c r="G107" i="25" s="1"/>
  <c r="E106" i="25"/>
  <c r="G106" i="25" s="1"/>
  <c r="E105" i="25"/>
  <c r="G105" i="25" s="1"/>
  <c r="E104" i="25"/>
  <c r="E103" i="25"/>
  <c r="G103" i="25" s="1"/>
  <c r="E102" i="25"/>
  <c r="G102" i="25" s="1"/>
  <c r="E101" i="25"/>
  <c r="G101" i="25" s="1"/>
  <c r="E100" i="25"/>
  <c r="E99" i="25"/>
  <c r="E98" i="25"/>
  <c r="G98" i="25" s="1"/>
  <c r="E97" i="25"/>
  <c r="G97" i="25" s="1"/>
  <c r="E96" i="25"/>
  <c r="G96" i="25" s="1"/>
  <c r="E95" i="25"/>
  <c r="G95" i="25" s="1"/>
  <c r="E94" i="25"/>
  <c r="E93" i="25"/>
  <c r="G93" i="25" s="1"/>
  <c r="E92" i="25"/>
  <c r="E91" i="25"/>
  <c r="G91" i="25" s="1"/>
  <c r="E90" i="25"/>
  <c r="G90" i="25" s="1"/>
  <c r="E89" i="25"/>
  <c r="G89" i="25" s="1"/>
  <c r="E88" i="25"/>
  <c r="E87" i="25"/>
  <c r="G87" i="25" s="1"/>
  <c r="E86" i="25"/>
  <c r="G86" i="25" s="1"/>
  <c r="E85" i="25"/>
  <c r="G85" i="25" s="1"/>
  <c r="E84" i="25"/>
  <c r="G84" i="25" s="1"/>
  <c r="E83" i="25"/>
  <c r="G83" i="25" s="1"/>
  <c r="E82" i="25"/>
  <c r="E81" i="25"/>
  <c r="G81" i="25" s="1"/>
  <c r="E80" i="25"/>
  <c r="G80" i="25" s="1"/>
  <c r="E79" i="25"/>
  <c r="E78" i="25"/>
  <c r="E77" i="25"/>
  <c r="G77" i="25" s="1"/>
  <c r="E76" i="25"/>
  <c r="G76" i="25" s="1"/>
  <c r="E75" i="25"/>
  <c r="G75" i="25" s="1"/>
  <c r="E74" i="25"/>
  <c r="E73" i="25"/>
  <c r="E72" i="25"/>
  <c r="G72" i="25" s="1"/>
  <c r="E71" i="25"/>
  <c r="G71" i="25" s="1"/>
  <c r="E70" i="25"/>
  <c r="G70" i="25" s="1"/>
  <c r="E69" i="25"/>
  <c r="G69" i="25" s="1"/>
  <c r="E68" i="25"/>
  <c r="E67" i="25"/>
  <c r="G67" i="25" s="1"/>
  <c r="E66" i="25"/>
  <c r="E65" i="25"/>
  <c r="E64" i="25"/>
  <c r="G64" i="25" s="1"/>
  <c r="E63" i="25"/>
  <c r="G63" i="25" s="1"/>
  <c r="E62" i="25"/>
  <c r="G62" i="25" s="1"/>
  <c r="E61" i="25"/>
  <c r="G61" i="25" s="1"/>
  <c r="E60" i="25"/>
  <c r="E59" i="25"/>
  <c r="G59" i="25" s="1"/>
  <c r="E58" i="25"/>
  <c r="G58" i="25" s="1"/>
  <c r="E57" i="25"/>
  <c r="E56" i="25"/>
  <c r="G56" i="25" s="1"/>
  <c r="E55" i="25"/>
  <c r="E54" i="25"/>
  <c r="E53" i="25"/>
  <c r="G53" i="25" s="1"/>
  <c r="E52" i="25"/>
  <c r="E51" i="25"/>
  <c r="G51" i="25" s="1"/>
  <c r="E50" i="25"/>
  <c r="G50" i="25" s="1"/>
  <c r="E49" i="25"/>
  <c r="G49" i="25" s="1"/>
  <c r="E48" i="25"/>
  <c r="G48" i="25" s="1"/>
  <c r="E47" i="25"/>
  <c r="G47" i="25" s="1"/>
  <c r="E46" i="25"/>
  <c r="G46" i="25" s="1"/>
  <c r="E45" i="25"/>
  <c r="G45" i="25" s="1"/>
  <c r="E44" i="25"/>
  <c r="G44" i="25" s="1"/>
  <c r="E43" i="25"/>
  <c r="E42" i="25"/>
  <c r="G42" i="25" s="1"/>
  <c r="E41" i="25"/>
  <c r="G41" i="25" s="1"/>
  <c r="E40" i="25"/>
  <c r="G40" i="25" s="1"/>
  <c r="E39" i="25"/>
  <c r="G39" i="25" s="1"/>
  <c r="E38" i="25"/>
  <c r="G38" i="25" s="1"/>
  <c r="E37" i="25"/>
  <c r="G37" i="25" s="1"/>
  <c r="E36" i="25"/>
  <c r="G36" i="25" s="1"/>
  <c r="E35" i="25"/>
  <c r="G35" i="25" s="1"/>
  <c r="E34" i="25"/>
  <c r="E33" i="25"/>
  <c r="G33" i="25" s="1"/>
  <c r="E32" i="25"/>
  <c r="G32" i="25" s="1"/>
  <c r="E31" i="25"/>
  <c r="G31" i="25" s="1"/>
  <c r="E30" i="25"/>
  <c r="G30" i="25" s="1"/>
  <c r="E29" i="25"/>
  <c r="G29" i="25" s="1"/>
  <c r="E28" i="25"/>
  <c r="E27" i="25"/>
  <c r="E26" i="25"/>
  <c r="G26" i="25" s="1"/>
  <c r="E25" i="25"/>
  <c r="E24" i="25"/>
  <c r="E23" i="25"/>
  <c r="G23" i="25" s="1"/>
  <c r="E22" i="25"/>
  <c r="E21" i="25"/>
  <c r="G21" i="25" s="1"/>
  <c r="E20" i="25"/>
  <c r="E19" i="25"/>
  <c r="G19" i="25" s="1"/>
  <c r="E18" i="25"/>
  <c r="G18" i="25" s="1"/>
  <c r="E17" i="25"/>
  <c r="G17" i="25" s="1"/>
  <c r="E16" i="25"/>
  <c r="G16" i="25" s="1"/>
  <c r="E15" i="25"/>
  <c r="G15" i="25" s="1"/>
  <c r="E14" i="25"/>
  <c r="G14" i="25" s="1"/>
  <c r="E13" i="25"/>
  <c r="G13" i="25" s="1"/>
  <c r="E12" i="25"/>
  <c r="G12" i="25" s="1"/>
  <c r="E11" i="25"/>
  <c r="G11" i="25" s="1"/>
  <c r="E10" i="25"/>
  <c r="G10" i="25" s="1"/>
  <c r="E9" i="25"/>
  <c r="G9" i="25" s="1"/>
  <c r="E8" i="25"/>
  <c r="G8" i="25" s="1"/>
  <c r="E7" i="25"/>
  <c r="G7" i="25" s="1"/>
  <c r="E6" i="25"/>
  <c r="E5" i="25"/>
  <c r="G5" i="25" s="1"/>
  <c r="E4" i="25"/>
  <c r="G4" i="25" s="1"/>
  <c r="F34" i="25" l="1"/>
  <c r="G34" i="25" s="1"/>
  <c r="F82" i="25"/>
  <c r="G82" i="25" s="1"/>
  <c r="F73" i="25"/>
  <c r="G73" i="25" s="1"/>
  <c r="F74" i="25"/>
  <c r="G74" i="25" s="1"/>
  <c r="F52" i="25"/>
  <c r="G52" i="25" s="1"/>
  <c r="F28" i="25"/>
  <c r="G28" i="25" s="1"/>
  <c r="F27" i="25"/>
  <c r="G27" i="25" s="1"/>
  <c r="F54" i="25"/>
  <c r="G54" i="25" s="1"/>
  <c r="F66" i="25"/>
  <c r="G66" i="25" s="1"/>
  <c r="F24" i="25"/>
  <c r="G24" i="25" s="1"/>
  <c r="F100" i="25"/>
  <c r="G100" i="25" s="1"/>
  <c r="F43" i="25"/>
  <c r="G43" i="25" s="1"/>
  <c r="F55" i="25"/>
  <c r="G55" i="25" s="1"/>
  <c r="F127" i="25"/>
  <c r="G127" i="25" s="1"/>
  <c r="F20" i="25"/>
  <c r="G20" i="25" s="1"/>
  <c r="F68" i="25"/>
  <c r="G68" i="25" s="1"/>
  <c r="F57" i="25"/>
  <c r="G57" i="25" s="1"/>
  <c r="F78" i="25"/>
  <c r="G78" i="25" s="1"/>
  <c r="F79" i="25"/>
  <c r="G79" i="25" s="1"/>
  <c r="G112" i="25"/>
  <c r="F6" i="25"/>
  <c r="F22" i="25"/>
  <c r="G22" i="25" s="1"/>
  <c r="F94" i="25"/>
  <c r="G94" i="25" s="1"/>
  <c r="F65" i="25"/>
  <c r="G65" i="25" s="1"/>
  <c r="F119" i="25"/>
  <c r="G119" i="25" s="1"/>
  <c r="F92" i="25"/>
  <c r="G92" i="25" s="1"/>
  <c r="F99" i="25"/>
  <c r="G99" i="25" s="1"/>
  <c r="F88" i="25"/>
  <c r="G88" i="25" s="1"/>
  <c r="F104" i="25"/>
  <c r="G104" i="25" s="1"/>
  <c r="F25" i="25"/>
  <c r="G25" i="25" s="1"/>
  <c r="G60" i="25"/>
  <c r="E128" i="25"/>
  <c r="F128" i="25" l="1"/>
  <c r="G6" i="25"/>
  <c r="G128" i="25" s="1"/>
  <c r="G31" i="16" l="1"/>
  <c r="G103" i="16"/>
  <c r="G36" i="16"/>
  <c r="G94" i="16"/>
  <c r="G93" i="16"/>
  <c r="G91" i="16"/>
  <c r="G90" i="16"/>
  <c r="G59" i="16"/>
  <c r="G16" i="16"/>
  <c r="D127" i="16" l="1"/>
  <c r="F126" i="16"/>
  <c r="F125" i="16"/>
  <c r="H125" i="16" s="1"/>
  <c r="F124" i="16"/>
  <c r="H124" i="16" s="1"/>
  <c r="F123" i="16"/>
  <c r="H123" i="16" s="1"/>
  <c r="F122" i="16"/>
  <c r="H122" i="16" s="1"/>
  <c r="F121" i="16"/>
  <c r="H121" i="16" s="1"/>
  <c r="F120" i="16"/>
  <c r="H120" i="16" s="1"/>
  <c r="G119" i="16"/>
  <c r="F119" i="16"/>
  <c r="G118" i="16"/>
  <c r="F118" i="16"/>
  <c r="F117" i="16"/>
  <c r="H117" i="16" s="1"/>
  <c r="F116" i="16"/>
  <c r="H116" i="16" s="1"/>
  <c r="G115" i="16"/>
  <c r="F115" i="16"/>
  <c r="F114" i="16"/>
  <c r="H114" i="16" s="1"/>
  <c r="G113" i="16"/>
  <c r="F113" i="16"/>
  <c r="F112" i="16"/>
  <c r="H112" i="16" s="1"/>
  <c r="G111" i="16"/>
  <c r="F111" i="16"/>
  <c r="F110" i="16"/>
  <c r="H110" i="16" s="1"/>
  <c r="F109" i="16"/>
  <c r="F108" i="16"/>
  <c r="H108" i="16" s="1"/>
  <c r="F107" i="16"/>
  <c r="H107" i="16" s="1"/>
  <c r="F106" i="16"/>
  <c r="H106" i="16" s="1"/>
  <c r="F105" i="16"/>
  <c r="H105" i="16" s="1"/>
  <c r="F104" i="16"/>
  <c r="H104" i="16" s="1"/>
  <c r="F103" i="16"/>
  <c r="H103" i="16" s="1"/>
  <c r="F102" i="16"/>
  <c r="H102" i="16" s="1"/>
  <c r="F101" i="16"/>
  <c r="H101" i="16" s="1"/>
  <c r="G100" i="16"/>
  <c r="F100" i="16"/>
  <c r="F99" i="16"/>
  <c r="H99" i="16" s="1"/>
  <c r="F98" i="16"/>
  <c r="H98" i="16" s="1"/>
  <c r="F97" i="16"/>
  <c r="H97" i="16" s="1"/>
  <c r="F96" i="16"/>
  <c r="H96" i="16" s="1"/>
  <c r="F95" i="16"/>
  <c r="H95" i="16" s="1"/>
  <c r="F94" i="16"/>
  <c r="H94" i="16" s="1"/>
  <c r="F93" i="16"/>
  <c r="H93" i="16" s="1"/>
  <c r="F92" i="16"/>
  <c r="H92" i="16" s="1"/>
  <c r="F91" i="16"/>
  <c r="H91" i="16" s="1"/>
  <c r="F90" i="16"/>
  <c r="H90" i="16" s="1"/>
  <c r="F89" i="16"/>
  <c r="H89" i="16" s="1"/>
  <c r="G88" i="16"/>
  <c r="F88" i="16"/>
  <c r="F87" i="16"/>
  <c r="H87" i="16" s="1"/>
  <c r="G86" i="16"/>
  <c r="F86" i="16"/>
  <c r="F85" i="16"/>
  <c r="H85" i="16" s="1"/>
  <c r="F84" i="16"/>
  <c r="H84" i="16" s="1"/>
  <c r="F83" i="16"/>
  <c r="H83" i="16" s="1"/>
  <c r="F82" i="16"/>
  <c r="H82" i="16" s="1"/>
  <c r="F81" i="16"/>
  <c r="H81" i="16" s="1"/>
  <c r="F80" i="16"/>
  <c r="H80" i="16" s="1"/>
  <c r="F79" i="16"/>
  <c r="H79" i="16" s="1"/>
  <c r="G78" i="16"/>
  <c r="F78" i="16"/>
  <c r="F77" i="16"/>
  <c r="H77" i="16" s="1"/>
  <c r="G76" i="16"/>
  <c r="F76" i="16"/>
  <c r="F75" i="16"/>
  <c r="G74" i="16"/>
  <c r="F74" i="16"/>
  <c r="G73" i="16"/>
  <c r="F73" i="16"/>
  <c r="F72" i="16"/>
  <c r="H72" i="16" s="1"/>
  <c r="F71" i="16"/>
  <c r="H71" i="16" s="1"/>
  <c r="F70" i="16"/>
  <c r="H70" i="16" s="1"/>
  <c r="F69" i="16"/>
  <c r="H69" i="16" s="1"/>
  <c r="F68" i="16"/>
  <c r="H68" i="16" s="1"/>
  <c r="F67" i="16"/>
  <c r="H67" i="16" s="1"/>
  <c r="F66" i="16"/>
  <c r="H66" i="16" s="1"/>
  <c r="G65" i="16"/>
  <c r="F65" i="16"/>
  <c r="G64" i="16"/>
  <c r="F64" i="16"/>
  <c r="F63" i="16"/>
  <c r="H63" i="16" s="1"/>
  <c r="F62" i="16"/>
  <c r="G61" i="16"/>
  <c r="F61" i="16"/>
  <c r="G60" i="16"/>
  <c r="F60" i="16"/>
  <c r="F59" i="16"/>
  <c r="H59" i="16" s="1"/>
  <c r="G58" i="16"/>
  <c r="F58" i="16"/>
  <c r="F57" i="16"/>
  <c r="H57" i="16" s="1"/>
  <c r="G56" i="16"/>
  <c r="F56" i="16"/>
  <c r="F55" i="16"/>
  <c r="H55" i="16" s="1"/>
  <c r="F54" i="16"/>
  <c r="H54" i="16" s="1"/>
  <c r="F53" i="16"/>
  <c r="H53" i="16" s="1"/>
  <c r="G52" i="16"/>
  <c r="F52" i="16"/>
  <c r="F51" i="16"/>
  <c r="H51" i="16" s="1"/>
  <c r="F50" i="16"/>
  <c r="H50" i="16" s="1"/>
  <c r="G49" i="16"/>
  <c r="F49" i="16"/>
  <c r="F48" i="16"/>
  <c r="H48" i="16" s="1"/>
  <c r="F47" i="16"/>
  <c r="H47" i="16" s="1"/>
  <c r="F46" i="16"/>
  <c r="H46" i="16" s="1"/>
  <c r="F45" i="16"/>
  <c r="H45" i="16" s="1"/>
  <c r="F44" i="16"/>
  <c r="H44" i="16" s="1"/>
  <c r="F43" i="16"/>
  <c r="F42" i="16"/>
  <c r="H42" i="16" s="1"/>
  <c r="F41" i="16"/>
  <c r="H41" i="16" s="1"/>
  <c r="F40" i="16"/>
  <c r="H40" i="16" s="1"/>
  <c r="F39" i="16"/>
  <c r="H39" i="16" s="1"/>
  <c r="F38" i="16"/>
  <c r="H38" i="16" s="1"/>
  <c r="F37" i="16"/>
  <c r="H37" i="16" s="1"/>
  <c r="F36" i="16"/>
  <c r="H36" i="16" s="1"/>
  <c r="G35" i="16"/>
  <c r="F35" i="16"/>
  <c r="F34" i="16"/>
  <c r="H34" i="16" s="1"/>
  <c r="F33" i="16"/>
  <c r="H33" i="16" s="1"/>
  <c r="F32" i="16"/>
  <c r="H32" i="16" s="1"/>
  <c r="F31" i="16"/>
  <c r="H31" i="16" s="1"/>
  <c r="F30" i="16"/>
  <c r="H30" i="16" s="1"/>
  <c r="F29" i="16"/>
  <c r="H29" i="16" s="1"/>
  <c r="F28" i="16"/>
  <c r="H28" i="16" s="1"/>
  <c r="G27" i="16"/>
  <c r="F27" i="16"/>
  <c r="F26" i="16"/>
  <c r="H26" i="16" s="1"/>
  <c r="F25" i="16"/>
  <c r="H25" i="16" s="1"/>
  <c r="F24" i="16"/>
  <c r="H24" i="16" s="1"/>
  <c r="F23" i="16"/>
  <c r="H23" i="16" s="1"/>
  <c r="G22" i="16"/>
  <c r="F22" i="16"/>
  <c r="G21" i="16"/>
  <c r="F21" i="16"/>
  <c r="G20" i="16"/>
  <c r="F20" i="16"/>
  <c r="F19" i="16"/>
  <c r="H19" i="16" s="1"/>
  <c r="F18" i="16"/>
  <c r="H18" i="16" s="1"/>
  <c r="F17" i="16"/>
  <c r="H17" i="16" s="1"/>
  <c r="F16" i="16"/>
  <c r="H16" i="16" s="1"/>
  <c r="G15" i="16"/>
  <c r="F15" i="16"/>
  <c r="F14" i="16"/>
  <c r="H14" i="16" s="1"/>
  <c r="F13" i="16"/>
  <c r="H13" i="16" s="1"/>
  <c r="F12" i="16"/>
  <c r="H12" i="16" s="1"/>
  <c r="F11" i="16"/>
  <c r="H11" i="16" s="1"/>
  <c r="F10" i="16"/>
  <c r="H10" i="16" s="1"/>
  <c r="G9" i="16"/>
  <c r="F9" i="16"/>
  <c r="F8" i="16"/>
  <c r="H8" i="16" s="1"/>
  <c r="F7" i="16"/>
  <c r="H7" i="16" s="1"/>
  <c r="F6" i="16"/>
  <c r="H6" i="16" s="1"/>
  <c r="F5" i="16"/>
  <c r="H5" i="16" s="1"/>
  <c r="F4" i="16"/>
  <c r="G112" i="14"/>
  <c r="G20" i="14"/>
  <c r="G10" i="15"/>
  <c r="G10" i="14"/>
  <c r="G116" i="14"/>
  <c r="H115" i="16" l="1"/>
  <c r="H22" i="16"/>
  <c r="H60" i="16"/>
  <c r="H21" i="16"/>
  <c r="H9" i="16"/>
  <c r="H119" i="16"/>
  <c r="H35" i="16"/>
  <c r="H88" i="16"/>
  <c r="H113" i="16"/>
  <c r="H76" i="16"/>
  <c r="H27" i="16"/>
  <c r="H78" i="16"/>
  <c r="H111" i="16"/>
  <c r="H74" i="16"/>
  <c r="H86" i="16"/>
  <c r="H15" i="16"/>
  <c r="H52" i="16"/>
  <c r="H64" i="16"/>
  <c r="H65" i="16"/>
  <c r="H20" i="16"/>
  <c r="H56" i="16"/>
  <c r="H118" i="16"/>
  <c r="H73" i="16"/>
  <c r="G75" i="16"/>
  <c r="H75" i="16" s="1"/>
  <c r="H100" i="16"/>
  <c r="F127" i="16"/>
  <c r="H58" i="16"/>
  <c r="G62" i="16"/>
  <c r="H62" i="16" s="1"/>
  <c r="H4" i="16"/>
  <c r="H49" i="16"/>
  <c r="G109" i="16"/>
  <c r="H109" i="16" s="1"/>
  <c r="H61" i="16"/>
  <c r="G126" i="16"/>
  <c r="H126" i="16" s="1"/>
  <c r="G43" i="16"/>
  <c r="H43" i="16" s="1"/>
  <c r="G88" i="15"/>
  <c r="H127" i="16" l="1"/>
  <c r="G127" i="16"/>
  <c r="G74" i="15"/>
  <c r="G73" i="15"/>
  <c r="G21" i="15" l="1"/>
  <c r="G48" i="14" l="1"/>
  <c r="G48" i="15"/>
  <c r="G34" i="15" l="1"/>
  <c r="G34" i="14"/>
  <c r="G4" i="14"/>
  <c r="G4" i="15"/>
  <c r="G114" i="15"/>
  <c r="G35" i="15"/>
  <c r="G120" i="15" l="1"/>
  <c r="G27" i="15"/>
  <c r="G52" i="15"/>
  <c r="G86" i="15" l="1"/>
  <c r="G60" i="15"/>
  <c r="G21" i="9" l="1"/>
  <c r="G8" i="12" l="1"/>
  <c r="G7" i="12"/>
  <c r="G14" i="4"/>
  <c r="G14" i="5"/>
  <c r="G14" i="6"/>
  <c r="G12" i="4"/>
  <c r="G12" i="6"/>
  <c r="G8" i="5"/>
  <c r="G8" i="6"/>
  <c r="G7" i="4"/>
  <c r="G7" i="5"/>
  <c r="G7" i="6"/>
  <c r="G64" i="15" l="1"/>
  <c r="G24" i="14"/>
  <c r="G24" i="15"/>
  <c r="G113" i="15"/>
  <c r="G113" i="14"/>
  <c r="G119" i="14" l="1"/>
  <c r="G76" i="13" l="1"/>
  <c r="G36" i="15" l="1"/>
  <c r="G36" i="13"/>
  <c r="G55" i="14" l="1"/>
  <c r="G55" i="15"/>
  <c r="G65" i="15" l="1"/>
  <c r="G22" i="15" l="1"/>
  <c r="G61" i="14" l="1"/>
  <c r="G95" i="15" l="1"/>
  <c r="G95" i="14"/>
  <c r="G32" i="15" l="1"/>
  <c r="G32" i="14"/>
  <c r="G5" i="15" l="1"/>
  <c r="G5" i="14"/>
  <c r="G74" i="14" l="1"/>
  <c r="G73" i="14" l="1"/>
  <c r="G40" i="15" l="1"/>
  <c r="G40" i="12"/>
  <c r="G5" i="5"/>
  <c r="G78" i="14" l="1"/>
  <c r="G6" i="15" l="1"/>
  <c r="G54" i="15"/>
  <c r="G54" i="14"/>
  <c r="G49" i="13" l="1"/>
  <c r="G59" i="15"/>
  <c r="G98" i="14" l="1"/>
  <c r="G98" i="15"/>
  <c r="G42" i="15"/>
  <c r="G42" i="14"/>
  <c r="G123" i="14"/>
  <c r="G123" i="15"/>
  <c r="G96" i="15"/>
  <c r="G96" i="14"/>
  <c r="G85" i="13"/>
  <c r="G85" i="15"/>
  <c r="G121" i="14"/>
  <c r="G121" i="15"/>
  <c r="G17" i="15"/>
  <c r="G17" i="13"/>
  <c r="G99" i="15"/>
  <c r="G99" i="14"/>
  <c r="G31" i="14"/>
  <c r="G31" i="15"/>
  <c r="G104" i="15"/>
  <c r="G104" i="14"/>
  <c r="G111" i="14"/>
  <c r="G111" i="15"/>
  <c r="G15" i="15" l="1"/>
  <c r="G56" i="15" l="1"/>
  <c r="G125" i="15"/>
  <c r="G125" i="13"/>
  <c r="G58" i="15"/>
  <c r="G9" i="15"/>
  <c r="G46" i="15"/>
  <c r="G46" i="14"/>
  <c r="G60" i="14" l="1"/>
  <c r="G58" i="14"/>
  <c r="G9" i="14"/>
  <c r="G59" i="14" l="1"/>
  <c r="G114" i="14"/>
  <c r="G77" i="14"/>
  <c r="G77" i="15"/>
  <c r="G29" i="15"/>
  <c r="G7" i="15"/>
  <c r="G7" i="14"/>
  <c r="G19" i="14"/>
  <c r="G19" i="13"/>
  <c r="G18" i="13"/>
  <c r="G18" i="12"/>
  <c r="G83" i="14"/>
  <c r="G110" i="15" l="1"/>
  <c r="G110" i="13"/>
  <c r="G6" i="14" l="1"/>
  <c r="G28" i="12"/>
  <c r="G28" i="13"/>
  <c r="G35" i="13"/>
  <c r="G75" i="15"/>
  <c r="G75" i="13"/>
  <c r="G10" i="13"/>
  <c r="G13" i="13"/>
  <c r="G13" i="15"/>
  <c r="G89" i="14"/>
  <c r="G88" i="14"/>
  <c r="G87" i="15"/>
  <c r="G90" i="15"/>
  <c r="G90" i="14"/>
  <c r="G91" i="15"/>
  <c r="G91" i="14"/>
  <c r="G93" i="15"/>
  <c r="G93" i="14"/>
  <c r="G52" i="14"/>
  <c r="G27" i="14"/>
  <c r="G120" i="14"/>
  <c r="G64" i="14"/>
  <c r="G65" i="14"/>
  <c r="G22" i="14"/>
  <c r="G30" i="14" l="1"/>
  <c r="G30" i="13"/>
  <c r="G97" i="14" l="1"/>
  <c r="G97" i="15"/>
  <c r="F4" i="15" l="1"/>
  <c r="H4" i="15" s="1"/>
  <c r="F5" i="15"/>
  <c r="H5" i="15" s="1"/>
  <c r="F6" i="15"/>
  <c r="H6" i="15" s="1"/>
  <c r="F7" i="15"/>
  <c r="H7" i="15" s="1"/>
  <c r="F8" i="15"/>
  <c r="F9" i="15"/>
  <c r="H9" i="15" s="1"/>
  <c r="F10" i="15"/>
  <c r="H10" i="15" s="1"/>
  <c r="F11" i="15"/>
  <c r="H11" i="15" s="1"/>
  <c r="F12" i="15"/>
  <c r="H12" i="15" s="1"/>
  <c r="F13" i="15"/>
  <c r="H13" i="15" s="1"/>
  <c r="F14" i="15"/>
  <c r="H14" i="15" s="1"/>
  <c r="F15" i="15"/>
  <c r="H15" i="15" s="1"/>
  <c r="F16" i="15"/>
  <c r="G16" i="15" s="1"/>
  <c r="F17" i="15"/>
  <c r="H17" i="15" s="1"/>
  <c r="F18" i="15"/>
  <c r="H18" i="15" s="1"/>
  <c r="F19" i="15"/>
  <c r="H19" i="15" s="1"/>
  <c r="F20" i="15"/>
  <c r="H20" i="15" s="1"/>
  <c r="F21" i="15"/>
  <c r="H21" i="15" s="1"/>
  <c r="F22" i="15"/>
  <c r="H22" i="15" s="1"/>
  <c r="F23" i="15"/>
  <c r="H23" i="15" s="1"/>
  <c r="F24" i="15"/>
  <c r="H24" i="15" s="1"/>
  <c r="F25" i="15"/>
  <c r="H25" i="15" s="1"/>
  <c r="F26" i="15"/>
  <c r="H26" i="15" s="1"/>
  <c r="F27" i="15"/>
  <c r="H27" i="15" s="1"/>
  <c r="F28" i="15"/>
  <c r="H28" i="15" s="1"/>
  <c r="F29" i="15"/>
  <c r="H29" i="15" s="1"/>
  <c r="F30" i="15"/>
  <c r="H30" i="15" s="1"/>
  <c r="F31" i="15"/>
  <c r="H31" i="15" s="1"/>
  <c r="F32" i="15"/>
  <c r="H32" i="15" s="1"/>
  <c r="F33" i="15"/>
  <c r="F34" i="15"/>
  <c r="H34" i="15" s="1"/>
  <c r="F35" i="15"/>
  <c r="H35" i="15" s="1"/>
  <c r="F36" i="15"/>
  <c r="H36" i="15" s="1"/>
  <c r="F37" i="15"/>
  <c r="H37" i="15" s="1"/>
  <c r="F38" i="15"/>
  <c r="H38" i="15" s="1"/>
  <c r="F39" i="15"/>
  <c r="H39" i="15" s="1"/>
  <c r="F40" i="15"/>
  <c r="H40" i="15" s="1"/>
  <c r="F41" i="15"/>
  <c r="H41" i="15" s="1"/>
  <c r="F42" i="15"/>
  <c r="H42" i="15" s="1"/>
  <c r="F43" i="15"/>
  <c r="F44" i="15"/>
  <c r="H44" i="15" s="1"/>
  <c r="F45" i="15"/>
  <c r="H45" i="15" s="1"/>
  <c r="F46" i="15"/>
  <c r="H46" i="15" s="1"/>
  <c r="F47" i="15"/>
  <c r="H47" i="15" s="1"/>
  <c r="F48" i="15"/>
  <c r="H48" i="15" s="1"/>
  <c r="F49" i="15"/>
  <c r="F50" i="15"/>
  <c r="H50" i="15" s="1"/>
  <c r="F51" i="15"/>
  <c r="H51" i="15" s="1"/>
  <c r="F52" i="15"/>
  <c r="H52" i="15" s="1"/>
  <c r="F53" i="15"/>
  <c r="H53" i="15" s="1"/>
  <c r="F54" i="15"/>
  <c r="H54" i="15" s="1"/>
  <c r="F55" i="15"/>
  <c r="H55" i="15" s="1"/>
  <c r="F56" i="15"/>
  <c r="H56" i="15" s="1"/>
  <c r="F57" i="15"/>
  <c r="H57" i="15" s="1"/>
  <c r="F58" i="15"/>
  <c r="H58" i="15" s="1"/>
  <c r="F59" i="15"/>
  <c r="H59" i="15" s="1"/>
  <c r="F60" i="15"/>
  <c r="H60" i="15" s="1"/>
  <c r="F61" i="15"/>
  <c r="F62" i="15"/>
  <c r="H62" i="15" s="1"/>
  <c r="F63" i="15"/>
  <c r="H63" i="15" s="1"/>
  <c r="F64" i="15"/>
  <c r="H64" i="15" s="1"/>
  <c r="F65" i="15"/>
  <c r="H65" i="15" s="1"/>
  <c r="F66" i="15"/>
  <c r="H66" i="15" s="1"/>
  <c r="F67" i="15"/>
  <c r="H67" i="15" s="1"/>
  <c r="F68" i="15"/>
  <c r="F69" i="15"/>
  <c r="H69" i="15" s="1"/>
  <c r="F70" i="15"/>
  <c r="H70" i="15" s="1"/>
  <c r="F71" i="15"/>
  <c r="H71" i="15" s="1"/>
  <c r="F72" i="15"/>
  <c r="H72" i="15" s="1"/>
  <c r="F73" i="15"/>
  <c r="H73" i="15" s="1"/>
  <c r="F74" i="15"/>
  <c r="H74" i="15" s="1"/>
  <c r="F75" i="15"/>
  <c r="H75" i="15" s="1"/>
  <c r="F76" i="15"/>
  <c r="G76" i="15" s="1"/>
  <c r="F77" i="15"/>
  <c r="H77" i="15" s="1"/>
  <c r="F78" i="15"/>
  <c r="F79" i="15"/>
  <c r="H79" i="15" s="1"/>
  <c r="F80" i="15"/>
  <c r="H80" i="15" s="1"/>
  <c r="F81" i="15"/>
  <c r="H81" i="15" s="1"/>
  <c r="F82" i="15"/>
  <c r="H82" i="15" s="1"/>
  <c r="F83" i="15"/>
  <c r="F84" i="15"/>
  <c r="H84" i="15" s="1"/>
  <c r="F85" i="15"/>
  <c r="H85" i="15" s="1"/>
  <c r="F86" i="15"/>
  <c r="H86" i="15" s="1"/>
  <c r="F87" i="15"/>
  <c r="H87" i="15" s="1"/>
  <c r="F88" i="15"/>
  <c r="H88" i="15" s="1"/>
  <c r="F89" i="15"/>
  <c r="G89" i="15" s="1"/>
  <c r="F90" i="15"/>
  <c r="H90" i="15" s="1"/>
  <c r="F91" i="15"/>
  <c r="H91" i="15" s="1"/>
  <c r="F92" i="15"/>
  <c r="H92" i="15" s="1"/>
  <c r="F93" i="15"/>
  <c r="H93" i="15" s="1"/>
  <c r="F94" i="15"/>
  <c r="H94" i="15" s="1"/>
  <c r="F95" i="15"/>
  <c r="H95" i="15" s="1"/>
  <c r="F96" i="15"/>
  <c r="H96" i="15" s="1"/>
  <c r="F97" i="15"/>
  <c r="H97" i="15" s="1"/>
  <c r="F98" i="15"/>
  <c r="H98" i="15" s="1"/>
  <c r="F99" i="15"/>
  <c r="H99" i="15" s="1"/>
  <c r="F100" i="15"/>
  <c r="F101" i="15"/>
  <c r="H101" i="15" s="1"/>
  <c r="F102" i="15"/>
  <c r="H102" i="15" s="1"/>
  <c r="F103" i="15"/>
  <c r="H103" i="15" s="1"/>
  <c r="F104" i="15"/>
  <c r="H104" i="15" s="1"/>
  <c r="F105" i="15"/>
  <c r="H105" i="15" s="1"/>
  <c r="F106" i="15"/>
  <c r="H106" i="15" s="1"/>
  <c r="F107" i="15"/>
  <c r="H107" i="15" s="1"/>
  <c r="F108" i="15"/>
  <c r="H108" i="15" s="1"/>
  <c r="F109" i="15"/>
  <c r="H109" i="15" s="1"/>
  <c r="F110" i="15"/>
  <c r="H110" i="15" s="1"/>
  <c r="F111" i="15"/>
  <c r="H111" i="15" s="1"/>
  <c r="F112" i="15"/>
  <c r="G112" i="15" s="1"/>
  <c r="H112" i="15" s="1"/>
  <c r="F113" i="15"/>
  <c r="H113" i="15" s="1"/>
  <c r="F114" i="15"/>
  <c r="H114" i="15" s="1"/>
  <c r="F115" i="15"/>
  <c r="H115" i="15" s="1"/>
  <c r="F116" i="15"/>
  <c r="F117" i="15"/>
  <c r="H117" i="15" s="1"/>
  <c r="F118" i="15"/>
  <c r="H118" i="15" s="1"/>
  <c r="F119" i="15"/>
  <c r="F120" i="15"/>
  <c r="H120" i="15" s="1"/>
  <c r="F121" i="15"/>
  <c r="H121" i="15" s="1"/>
  <c r="F122" i="15"/>
  <c r="H122" i="15" s="1"/>
  <c r="F123" i="15"/>
  <c r="H123" i="15" s="1"/>
  <c r="F124" i="15"/>
  <c r="H124" i="15" s="1"/>
  <c r="F125" i="15"/>
  <c r="H125" i="15" s="1"/>
  <c r="F126" i="15"/>
  <c r="H126" i="15" s="1"/>
  <c r="F127" i="15"/>
  <c r="D128" i="15"/>
  <c r="H76" i="15" l="1"/>
  <c r="G116" i="15"/>
  <c r="H116" i="15" s="1"/>
  <c r="G61" i="15"/>
  <c r="H61" i="15" s="1"/>
  <c r="G43" i="15"/>
  <c r="H43" i="15" s="1"/>
  <c r="G100" i="15"/>
  <c r="H100" i="15" s="1"/>
  <c r="G119" i="15"/>
  <c r="H119" i="15" s="1"/>
  <c r="G68" i="15"/>
  <c r="H68" i="15" s="1"/>
  <c r="G78" i="15"/>
  <c r="H78" i="15" s="1"/>
  <c r="G83" i="15"/>
  <c r="H83" i="15" s="1"/>
  <c r="G8" i="15"/>
  <c r="H8" i="15" s="1"/>
  <c r="G127" i="15"/>
  <c r="H127" i="15" s="1"/>
  <c r="G49" i="15"/>
  <c r="H49" i="15" s="1"/>
  <c r="H89" i="15"/>
  <c r="F128" i="15"/>
  <c r="H33" i="15"/>
  <c r="H16" i="15"/>
  <c r="G128" i="15" l="1"/>
  <c r="H128" i="15"/>
  <c r="G59" i="13"/>
  <c r="G78" i="13"/>
  <c r="G55" i="13"/>
  <c r="G32" i="13"/>
  <c r="G5" i="13"/>
  <c r="G121" i="13"/>
  <c r="G16" i="14" l="1"/>
  <c r="G83" i="13"/>
  <c r="G103" i="13"/>
  <c r="G103" i="14"/>
  <c r="G25" i="14"/>
  <c r="G25" i="13"/>
  <c r="G104" i="13"/>
  <c r="G61" i="13"/>
  <c r="G89" i="13"/>
  <c r="G88" i="13"/>
  <c r="G112" i="13"/>
  <c r="G94" i="14"/>
  <c r="G94" i="13"/>
  <c r="G20" i="13" l="1"/>
  <c r="G82" i="13"/>
  <c r="G82" i="14"/>
  <c r="G74" i="13"/>
  <c r="G73" i="13"/>
  <c r="G4" i="13"/>
  <c r="G56" i="14"/>
  <c r="G15" i="14"/>
  <c r="G113" i="13" l="1"/>
  <c r="G24" i="13" l="1"/>
  <c r="G119" i="13"/>
  <c r="G86" i="14"/>
  <c r="G86" i="13"/>
  <c r="G120" i="13"/>
  <c r="G27" i="13"/>
  <c r="G52" i="13"/>
  <c r="G31" i="13"/>
  <c r="G95" i="13"/>
  <c r="G99" i="13"/>
  <c r="G17" i="12"/>
  <c r="G17" i="9"/>
  <c r="G62" i="13"/>
  <c r="G62" i="14"/>
  <c r="G111" i="13"/>
  <c r="G34" i="13" l="1"/>
  <c r="G60" i="13"/>
  <c r="G6" i="13"/>
  <c r="G16" i="13"/>
  <c r="G123" i="13"/>
  <c r="G76" i="9"/>
  <c r="G98" i="13"/>
  <c r="G7" i="13"/>
  <c r="G29" i="13"/>
  <c r="G77" i="13"/>
  <c r="G93" i="13"/>
  <c r="G91" i="13"/>
  <c r="G90" i="13"/>
  <c r="G96" i="13"/>
  <c r="G64" i="13"/>
  <c r="G65" i="13"/>
  <c r="G42" i="13"/>
  <c r="G114" i="13"/>
  <c r="G48" i="13"/>
  <c r="G9" i="13"/>
  <c r="G58" i="13"/>
  <c r="G10" i="12"/>
  <c r="F4" i="14"/>
  <c r="H4" i="14" s="1"/>
  <c r="F5" i="14"/>
  <c r="H5" i="14" s="1"/>
  <c r="F6" i="14"/>
  <c r="H6" i="14" s="1"/>
  <c r="F7" i="14"/>
  <c r="H7" i="14" s="1"/>
  <c r="F8" i="14"/>
  <c r="G8" i="14" s="1"/>
  <c r="F9" i="14"/>
  <c r="H9" i="14" s="1"/>
  <c r="F10" i="14"/>
  <c r="H10" i="14" s="1"/>
  <c r="F11" i="14"/>
  <c r="H11" i="14" s="1"/>
  <c r="F12" i="14"/>
  <c r="H12" i="14" s="1"/>
  <c r="F13" i="14"/>
  <c r="F14" i="14"/>
  <c r="H14" i="14" s="1"/>
  <c r="F15" i="14"/>
  <c r="H15" i="14" s="1"/>
  <c r="F16" i="14"/>
  <c r="H16" i="14" s="1"/>
  <c r="F17" i="14"/>
  <c r="F18" i="14"/>
  <c r="H18" i="14" s="1"/>
  <c r="F19" i="14"/>
  <c r="H19" i="14" s="1"/>
  <c r="F20" i="14"/>
  <c r="H20" i="14" s="1"/>
  <c r="F21" i="14"/>
  <c r="G21" i="14" s="1"/>
  <c r="F22" i="14"/>
  <c r="H22" i="14" s="1"/>
  <c r="F23" i="14"/>
  <c r="H23" i="14" s="1"/>
  <c r="F24" i="14"/>
  <c r="H24" i="14" s="1"/>
  <c r="F25" i="14"/>
  <c r="H25" i="14" s="1"/>
  <c r="F26" i="14"/>
  <c r="H26" i="14" s="1"/>
  <c r="F27" i="14"/>
  <c r="H27" i="14" s="1"/>
  <c r="F28" i="14"/>
  <c r="H28" i="14" s="1"/>
  <c r="F29" i="14"/>
  <c r="G29" i="14" s="1"/>
  <c r="F30" i="14"/>
  <c r="H30" i="14" s="1"/>
  <c r="F31" i="14"/>
  <c r="H31" i="14" s="1"/>
  <c r="F32" i="14"/>
  <c r="H32" i="14" s="1"/>
  <c r="F33" i="14"/>
  <c r="H33" i="14" s="1"/>
  <c r="F34" i="14"/>
  <c r="H34" i="14" s="1"/>
  <c r="F35" i="14"/>
  <c r="F36" i="14"/>
  <c r="G36" i="14" s="1"/>
  <c r="F37" i="14"/>
  <c r="H37" i="14" s="1"/>
  <c r="F38" i="14"/>
  <c r="H38" i="14" s="1"/>
  <c r="F39" i="14"/>
  <c r="H39" i="14" s="1"/>
  <c r="F40" i="14"/>
  <c r="F41" i="14"/>
  <c r="H41" i="14" s="1"/>
  <c r="F42" i="14"/>
  <c r="H42" i="14" s="1"/>
  <c r="F43" i="14"/>
  <c r="F44" i="14"/>
  <c r="H44" i="14" s="1"/>
  <c r="F45" i="14"/>
  <c r="H45" i="14" s="1"/>
  <c r="F46" i="14"/>
  <c r="H46" i="14" s="1"/>
  <c r="F47" i="14"/>
  <c r="H47" i="14" s="1"/>
  <c r="F48" i="14"/>
  <c r="H48" i="14" s="1"/>
  <c r="F49" i="14"/>
  <c r="F50" i="14"/>
  <c r="H50" i="14" s="1"/>
  <c r="F51" i="14"/>
  <c r="H51" i="14" s="1"/>
  <c r="F52" i="14"/>
  <c r="H52" i="14" s="1"/>
  <c r="F53" i="14"/>
  <c r="H53" i="14" s="1"/>
  <c r="F54" i="14"/>
  <c r="H54" i="14" s="1"/>
  <c r="F55" i="14"/>
  <c r="H55" i="14" s="1"/>
  <c r="F56" i="14"/>
  <c r="H56" i="14" s="1"/>
  <c r="F57" i="14"/>
  <c r="H57" i="14" s="1"/>
  <c r="F58" i="14"/>
  <c r="H58" i="14" s="1"/>
  <c r="F59" i="14"/>
  <c r="H59" i="14" s="1"/>
  <c r="F60" i="14"/>
  <c r="H60" i="14" s="1"/>
  <c r="F61" i="14"/>
  <c r="H61" i="14" s="1"/>
  <c r="F62" i="14"/>
  <c r="H62" i="14" s="1"/>
  <c r="F63" i="14"/>
  <c r="H63" i="14" s="1"/>
  <c r="F64" i="14"/>
  <c r="H64" i="14" s="1"/>
  <c r="F65" i="14"/>
  <c r="H65" i="14" s="1"/>
  <c r="F66" i="14"/>
  <c r="H66" i="14" s="1"/>
  <c r="F67" i="14"/>
  <c r="H67" i="14" s="1"/>
  <c r="F68" i="14"/>
  <c r="F69" i="14"/>
  <c r="H69" i="14" s="1"/>
  <c r="F70" i="14"/>
  <c r="H70" i="14" s="1"/>
  <c r="F71" i="14"/>
  <c r="H71" i="14" s="1"/>
  <c r="F72" i="14"/>
  <c r="H72" i="14" s="1"/>
  <c r="F73" i="14"/>
  <c r="H73" i="14" s="1"/>
  <c r="F74" i="14"/>
  <c r="H74" i="14" s="1"/>
  <c r="F75" i="14"/>
  <c r="G75" i="14" s="1"/>
  <c r="F76" i="14"/>
  <c r="F77" i="14"/>
  <c r="H77" i="14" s="1"/>
  <c r="F78" i="14"/>
  <c r="H78" i="14" s="1"/>
  <c r="F79" i="14"/>
  <c r="H79" i="14" s="1"/>
  <c r="F80" i="14"/>
  <c r="H80" i="14" s="1"/>
  <c r="F81" i="14"/>
  <c r="H81" i="14" s="1"/>
  <c r="F82" i="14"/>
  <c r="H82" i="14" s="1"/>
  <c r="F83" i="14"/>
  <c r="H83" i="14" s="1"/>
  <c r="F84" i="14"/>
  <c r="H84" i="14" s="1"/>
  <c r="F85" i="14"/>
  <c r="F86" i="14"/>
  <c r="H86" i="14" s="1"/>
  <c r="F87" i="14"/>
  <c r="F88" i="14"/>
  <c r="H88" i="14" s="1"/>
  <c r="F89" i="14"/>
  <c r="H89" i="14" s="1"/>
  <c r="F90" i="14"/>
  <c r="H90" i="14" s="1"/>
  <c r="F91" i="14"/>
  <c r="H91" i="14" s="1"/>
  <c r="F92" i="14"/>
  <c r="H92" i="14" s="1"/>
  <c r="F93" i="14"/>
  <c r="H93" i="14" s="1"/>
  <c r="F94" i="14"/>
  <c r="H94" i="14" s="1"/>
  <c r="F95" i="14"/>
  <c r="H95" i="14" s="1"/>
  <c r="F96" i="14"/>
  <c r="F97" i="14"/>
  <c r="H97" i="14" s="1"/>
  <c r="F98" i="14"/>
  <c r="H98" i="14" s="1"/>
  <c r="F99" i="14"/>
  <c r="H99" i="14" s="1"/>
  <c r="F100" i="14"/>
  <c r="F101" i="14"/>
  <c r="H101" i="14" s="1"/>
  <c r="F102" i="14"/>
  <c r="H102" i="14" s="1"/>
  <c r="F103" i="14"/>
  <c r="H103" i="14" s="1"/>
  <c r="F104" i="14"/>
  <c r="H104" i="14" s="1"/>
  <c r="F105" i="14"/>
  <c r="H105" i="14" s="1"/>
  <c r="F106" i="14"/>
  <c r="H106" i="14" s="1"/>
  <c r="F107" i="14"/>
  <c r="H107" i="14" s="1"/>
  <c r="F108" i="14"/>
  <c r="H108" i="14" s="1"/>
  <c r="F109" i="14"/>
  <c r="H109" i="14" s="1"/>
  <c r="F110" i="14"/>
  <c r="F111" i="14"/>
  <c r="H111" i="14" s="1"/>
  <c r="F112" i="14"/>
  <c r="H112" i="14" s="1"/>
  <c r="F113" i="14"/>
  <c r="H113" i="14" s="1"/>
  <c r="F114" i="14"/>
  <c r="H114" i="14" s="1"/>
  <c r="F115" i="14"/>
  <c r="H115" i="14" s="1"/>
  <c r="F116" i="14"/>
  <c r="H116" i="14" s="1"/>
  <c r="F117" i="14"/>
  <c r="H117" i="14" s="1"/>
  <c r="F118" i="14"/>
  <c r="H118" i="14" s="1"/>
  <c r="F119" i="14"/>
  <c r="H119" i="14" s="1"/>
  <c r="F120" i="14"/>
  <c r="H120" i="14" s="1"/>
  <c r="F121" i="14"/>
  <c r="H121" i="14" s="1"/>
  <c r="F122" i="14"/>
  <c r="H122" i="14" s="1"/>
  <c r="F123" i="14"/>
  <c r="H123" i="14" s="1"/>
  <c r="F124" i="14"/>
  <c r="H124" i="14" s="1"/>
  <c r="F125" i="14"/>
  <c r="F126" i="14"/>
  <c r="H126" i="14" s="1"/>
  <c r="F127" i="14"/>
  <c r="G127" i="14" s="1"/>
  <c r="D128" i="14"/>
  <c r="H75" i="14" l="1"/>
  <c r="H21" i="14"/>
  <c r="G43" i="14"/>
  <c r="H43" i="14" s="1"/>
  <c r="G87" i="14"/>
  <c r="H87" i="14" s="1"/>
  <c r="G17" i="14"/>
  <c r="H17" i="14" s="1"/>
  <c r="H29" i="14"/>
  <c r="G85" i="14"/>
  <c r="H85" i="14" s="1"/>
  <c r="G125" i="14"/>
  <c r="H125" i="14" s="1"/>
  <c r="G68" i="14"/>
  <c r="H68" i="14" s="1"/>
  <c r="G110" i="14"/>
  <c r="H110" i="14" s="1"/>
  <c r="G76" i="14"/>
  <c r="H76" i="14" s="1"/>
  <c r="H36" i="14"/>
  <c r="G13" i="14"/>
  <c r="H13" i="14" s="1"/>
  <c r="F128" i="14"/>
  <c r="G40" i="14"/>
  <c r="H40" i="14" s="1"/>
  <c r="G49" i="14"/>
  <c r="H49" i="14" s="1"/>
  <c r="G100" i="14"/>
  <c r="H100" i="14" s="1"/>
  <c r="G35" i="14"/>
  <c r="H35" i="14" s="1"/>
  <c r="H96" i="14"/>
  <c r="H127" i="14"/>
  <c r="H8" i="14"/>
  <c r="G128" i="14" l="1"/>
  <c r="H128" i="14"/>
  <c r="G54" i="13"/>
  <c r="G32" i="12"/>
  <c r="G5" i="12"/>
  <c r="G18" i="9"/>
  <c r="G19" i="12"/>
  <c r="G35" i="12"/>
  <c r="G15" i="13"/>
  <c r="G56" i="13"/>
  <c r="G30" i="12"/>
  <c r="G5" i="6" l="1"/>
  <c r="G36" i="12"/>
  <c r="G64" i="12"/>
  <c r="G6" i="5"/>
  <c r="G63" i="13" l="1"/>
  <c r="G63" i="9"/>
  <c r="G35" i="9" l="1"/>
  <c r="G22" i="13"/>
  <c r="G22" i="9" l="1"/>
  <c r="Q28" i="9" l="1"/>
  <c r="G68" i="9"/>
  <c r="G77" i="12"/>
  <c r="G11" i="6"/>
  <c r="G31" i="12"/>
  <c r="G36" i="9"/>
  <c r="G78" i="9"/>
  <c r="G86" i="12"/>
  <c r="G110" i="12"/>
  <c r="G110" i="9"/>
  <c r="G95" i="9"/>
  <c r="G61" i="12"/>
  <c r="G82" i="12"/>
  <c r="G85" i="12"/>
  <c r="G4" i="12"/>
  <c r="G88" i="12" l="1"/>
  <c r="G16" i="6"/>
  <c r="G48" i="12"/>
  <c r="G5" i="9"/>
  <c r="G32" i="9"/>
  <c r="G123" i="12"/>
  <c r="G49" i="12"/>
  <c r="G91" i="12"/>
  <c r="G120" i="9"/>
  <c r="G93" i="12"/>
  <c r="G52" i="12"/>
  <c r="G87" i="12"/>
  <c r="G99" i="12"/>
  <c r="G25" i="12"/>
  <c r="G9" i="12"/>
  <c r="G58" i="9"/>
  <c r="G114" i="12"/>
  <c r="G83" i="12" l="1"/>
  <c r="G59" i="12"/>
  <c r="G98" i="12"/>
  <c r="G75" i="12"/>
  <c r="G56" i="12"/>
  <c r="G15" i="12"/>
  <c r="G90" i="12"/>
  <c r="G42" i="9"/>
  <c r="G121" i="12"/>
  <c r="G111" i="12"/>
  <c r="G96" i="9"/>
  <c r="G54" i="12" l="1"/>
  <c r="G29" i="12" l="1"/>
  <c r="G65" i="12"/>
  <c r="G22" i="12"/>
  <c r="G121" i="9" l="1"/>
  <c r="G64" i="9"/>
  <c r="G16" i="12"/>
  <c r="G60" i="12"/>
  <c r="G34" i="9"/>
  <c r="G62" i="9"/>
  <c r="G24" i="12"/>
  <c r="G6" i="12"/>
  <c r="G103" i="12"/>
  <c r="G112" i="12"/>
  <c r="G119" i="12"/>
  <c r="G17" i="6" l="1"/>
  <c r="G30" i="9"/>
  <c r="G119" i="9"/>
  <c r="G49" i="9"/>
  <c r="G103" i="9"/>
  <c r="H107" i="13" l="1"/>
  <c r="D128" i="13"/>
  <c r="F127" i="13"/>
  <c r="F126" i="13"/>
  <c r="H126" i="13" s="1"/>
  <c r="F125" i="13"/>
  <c r="H125" i="13" s="1"/>
  <c r="F124" i="13"/>
  <c r="H124" i="13" s="1"/>
  <c r="F123" i="13"/>
  <c r="H123" i="13" s="1"/>
  <c r="F122" i="13"/>
  <c r="H122" i="13" s="1"/>
  <c r="F121" i="13"/>
  <c r="H121" i="13" s="1"/>
  <c r="F120" i="13"/>
  <c r="H120" i="13" s="1"/>
  <c r="F119" i="13"/>
  <c r="H119" i="13" s="1"/>
  <c r="F118" i="13"/>
  <c r="H118" i="13" s="1"/>
  <c r="F117" i="13"/>
  <c r="H117" i="13" s="1"/>
  <c r="F116" i="13"/>
  <c r="F115" i="13"/>
  <c r="H115" i="13" s="1"/>
  <c r="F114" i="13"/>
  <c r="H114" i="13" s="1"/>
  <c r="F113" i="13"/>
  <c r="H113" i="13" s="1"/>
  <c r="F112" i="13"/>
  <c r="H112" i="13" s="1"/>
  <c r="F111" i="13"/>
  <c r="H111" i="13" s="1"/>
  <c r="F110" i="13"/>
  <c r="H110" i="13" s="1"/>
  <c r="F109" i="13"/>
  <c r="H109" i="13" s="1"/>
  <c r="F108" i="13"/>
  <c r="H108" i="13" s="1"/>
  <c r="F106" i="13"/>
  <c r="H106" i="13" s="1"/>
  <c r="F105" i="13"/>
  <c r="H105" i="13" s="1"/>
  <c r="F104" i="13"/>
  <c r="F103" i="13"/>
  <c r="H103" i="13" s="1"/>
  <c r="F102" i="13"/>
  <c r="H102" i="13" s="1"/>
  <c r="F101" i="13"/>
  <c r="H101" i="13" s="1"/>
  <c r="F100" i="13"/>
  <c r="F99" i="13"/>
  <c r="H99" i="13" s="1"/>
  <c r="F98" i="13"/>
  <c r="H98" i="13" s="1"/>
  <c r="F97" i="13"/>
  <c r="F96" i="13"/>
  <c r="H96" i="13" s="1"/>
  <c r="F95" i="13"/>
  <c r="H95" i="13" s="1"/>
  <c r="F94" i="13"/>
  <c r="H94" i="13" s="1"/>
  <c r="F93" i="13"/>
  <c r="H93" i="13" s="1"/>
  <c r="F92" i="13"/>
  <c r="H92" i="13" s="1"/>
  <c r="F91" i="13"/>
  <c r="H91" i="13" s="1"/>
  <c r="F90" i="13"/>
  <c r="H90" i="13" s="1"/>
  <c r="F89" i="13"/>
  <c r="H89" i="13" s="1"/>
  <c r="F88" i="13"/>
  <c r="H88" i="13" s="1"/>
  <c r="F87" i="13"/>
  <c r="F86" i="13"/>
  <c r="H86" i="13" s="1"/>
  <c r="F85" i="13"/>
  <c r="H85" i="13" s="1"/>
  <c r="F84" i="13"/>
  <c r="H84" i="13" s="1"/>
  <c r="F83" i="13"/>
  <c r="H83" i="13" s="1"/>
  <c r="F82" i="13"/>
  <c r="H82" i="13" s="1"/>
  <c r="F81" i="13"/>
  <c r="H81" i="13" s="1"/>
  <c r="F80" i="13"/>
  <c r="H80" i="13" s="1"/>
  <c r="F79" i="13"/>
  <c r="H79" i="13" s="1"/>
  <c r="F78" i="13"/>
  <c r="H78" i="13" s="1"/>
  <c r="F77" i="13"/>
  <c r="H77" i="13" s="1"/>
  <c r="F76" i="13"/>
  <c r="H76" i="13" s="1"/>
  <c r="F75" i="13"/>
  <c r="H75" i="13" s="1"/>
  <c r="F74" i="13"/>
  <c r="H74" i="13" s="1"/>
  <c r="F73" i="13"/>
  <c r="H73" i="13" s="1"/>
  <c r="F72" i="13"/>
  <c r="H72" i="13" s="1"/>
  <c r="F71" i="13"/>
  <c r="H71" i="13" s="1"/>
  <c r="F70" i="13"/>
  <c r="H70" i="13" s="1"/>
  <c r="F69" i="13"/>
  <c r="H69" i="13" s="1"/>
  <c r="F68" i="13"/>
  <c r="F67" i="13"/>
  <c r="H67" i="13" s="1"/>
  <c r="F66" i="13"/>
  <c r="H66" i="13" s="1"/>
  <c r="F65" i="13"/>
  <c r="H65" i="13" s="1"/>
  <c r="F64" i="13"/>
  <c r="H64" i="13" s="1"/>
  <c r="F63" i="13"/>
  <c r="H63" i="13" s="1"/>
  <c r="F62" i="13"/>
  <c r="H62" i="13" s="1"/>
  <c r="F61" i="13"/>
  <c r="H61" i="13" s="1"/>
  <c r="F60" i="13"/>
  <c r="H60" i="13" s="1"/>
  <c r="F59" i="13"/>
  <c r="H59" i="13" s="1"/>
  <c r="F58" i="13"/>
  <c r="H58" i="13" s="1"/>
  <c r="F57" i="13"/>
  <c r="H57" i="13" s="1"/>
  <c r="F56" i="13"/>
  <c r="H56" i="13" s="1"/>
  <c r="F55" i="13"/>
  <c r="H55" i="13" s="1"/>
  <c r="F54" i="13"/>
  <c r="H54" i="13" s="1"/>
  <c r="F53" i="13"/>
  <c r="H53" i="13" s="1"/>
  <c r="F52" i="13"/>
  <c r="H52" i="13" s="1"/>
  <c r="F51" i="13"/>
  <c r="H51" i="13" s="1"/>
  <c r="F50" i="13"/>
  <c r="H50" i="13" s="1"/>
  <c r="F49" i="13"/>
  <c r="H49" i="13" s="1"/>
  <c r="F48" i="13"/>
  <c r="H48" i="13" s="1"/>
  <c r="F47" i="13"/>
  <c r="H47" i="13" s="1"/>
  <c r="F46" i="13"/>
  <c r="F45" i="13"/>
  <c r="H45" i="13" s="1"/>
  <c r="F44" i="13"/>
  <c r="H44" i="13" s="1"/>
  <c r="F43" i="13"/>
  <c r="F42" i="13"/>
  <c r="H42" i="13" s="1"/>
  <c r="F41" i="13"/>
  <c r="H41" i="13" s="1"/>
  <c r="F40" i="13"/>
  <c r="F39" i="13"/>
  <c r="H39" i="13" s="1"/>
  <c r="F38" i="13"/>
  <c r="H38" i="13" s="1"/>
  <c r="F37" i="13"/>
  <c r="H37" i="13" s="1"/>
  <c r="F36" i="13"/>
  <c r="H36" i="13" s="1"/>
  <c r="F35" i="13"/>
  <c r="H35" i="13" s="1"/>
  <c r="F34" i="13"/>
  <c r="H34" i="13" s="1"/>
  <c r="F33" i="13"/>
  <c r="H33" i="13" s="1"/>
  <c r="F32" i="13"/>
  <c r="H32" i="13" s="1"/>
  <c r="F31" i="13"/>
  <c r="H31" i="13" s="1"/>
  <c r="F30" i="13"/>
  <c r="H30" i="13" s="1"/>
  <c r="F29" i="13"/>
  <c r="H29" i="13" s="1"/>
  <c r="F28" i="13"/>
  <c r="H28" i="13" s="1"/>
  <c r="F27" i="13"/>
  <c r="H27" i="13" s="1"/>
  <c r="F26" i="13"/>
  <c r="H26" i="13" s="1"/>
  <c r="F25" i="13"/>
  <c r="H25" i="13" s="1"/>
  <c r="F24" i="13"/>
  <c r="H24" i="13" s="1"/>
  <c r="F23" i="13"/>
  <c r="H23" i="13" s="1"/>
  <c r="F22" i="13"/>
  <c r="H22" i="13" s="1"/>
  <c r="F21" i="13"/>
  <c r="F20" i="13"/>
  <c r="H20" i="13" s="1"/>
  <c r="F19" i="13"/>
  <c r="H19" i="13" s="1"/>
  <c r="F18" i="13"/>
  <c r="H18" i="13" s="1"/>
  <c r="F17" i="13"/>
  <c r="H17" i="13" s="1"/>
  <c r="F16" i="13"/>
  <c r="H16" i="13" s="1"/>
  <c r="F15" i="13"/>
  <c r="H15" i="13" s="1"/>
  <c r="F14" i="13"/>
  <c r="H14" i="13" s="1"/>
  <c r="F13" i="13"/>
  <c r="H13" i="13" s="1"/>
  <c r="F12" i="13"/>
  <c r="H12" i="13" s="1"/>
  <c r="F11" i="13"/>
  <c r="H11" i="13" s="1"/>
  <c r="F10" i="13"/>
  <c r="H10" i="13" s="1"/>
  <c r="F9" i="13"/>
  <c r="H9" i="13" s="1"/>
  <c r="F8" i="13"/>
  <c r="F7" i="13"/>
  <c r="H7" i="13" s="1"/>
  <c r="F6" i="13"/>
  <c r="H6" i="13" s="1"/>
  <c r="F5" i="13"/>
  <c r="H5" i="13" s="1"/>
  <c r="F4" i="13"/>
  <c r="H4" i="13" s="1"/>
  <c r="G100" i="13" l="1"/>
  <c r="H100" i="13" s="1"/>
  <c r="G21" i="13"/>
  <c r="H21" i="13" s="1"/>
  <c r="G40" i="13"/>
  <c r="H40" i="13" s="1"/>
  <c r="G116" i="13"/>
  <c r="H116" i="13" s="1"/>
  <c r="G127" i="13"/>
  <c r="H127" i="13" s="1"/>
  <c r="G97" i="13"/>
  <c r="H97" i="13" s="1"/>
  <c r="G68" i="13"/>
  <c r="H68" i="13" s="1"/>
  <c r="G46" i="13"/>
  <c r="H46" i="13" s="1"/>
  <c r="G87" i="13"/>
  <c r="H87" i="13" s="1"/>
  <c r="G8" i="13"/>
  <c r="G43" i="13"/>
  <c r="H43" i="13" s="1"/>
  <c r="H104" i="13"/>
  <c r="F128" i="13"/>
  <c r="G31" i="9"/>
  <c r="G15" i="6"/>
  <c r="G114" i="9"/>
  <c r="G6" i="6"/>
  <c r="G19" i="9"/>
  <c r="G128" i="13" l="1"/>
  <c r="G130" i="13" s="1"/>
  <c r="H8" i="13"/>
  <c r="H128" i="13" s="1"/>
  <c r="G75" i="9"/>
  <c r="G123" i="9" l="1"/>
  <c r="G61" i="9"/>
  <c r="G9" i="6"/>
  <c r="G4" i="6"/>
  <c r="G27" i="9"/>
  <c r="G4" i="9"/>
  <c r="G48" i="9" l="1"/>
  <c r="G111" i="9"/>
  <c r="G86" i="9"/>
  <c r="G54" i="9" l="1"/>
  <c r="G10" i="6"/>
  <c r="G24" i="9"/>
  <c r="G19" i="6"/>
  <c r="G18" i="6"/>
  <c r="G77" i="9"/>
  <c r="G59" i="9"/>
  <c r="G99" i="9"/>
  <c r="G25" i="9"/>
  <c r="G91" i="9" l="1"/>
  <c r="G93" i="9"/>
  <c r="G90" i="9"/>
  <c r="G15" i="9"/>
  <c r="G56" i="9"/>
  <c r="G29" i="9"/>
  <c r="G4" i="5"/>
  <c r="G9" i="9"/>
  <c r="G60" i="9" l="1"/>
  <c r="G6" i="9"/>
  <c r="G82" i="9"/>
  <c r="G52" i="9"/>
  <c r="G13" i="6"/>
  <c r="G87" i="9"/>
  <c r="G88" i="9"/>
  <c r="G65" i="9"/>
  <c r="G16" i="9" l="1"/>
  <c r="G4" i="4"/>
  <c r="G83" i="9"/>
  <c r="G98" i="9"/>
  <c r="G89" i="9"/>
  <c r="D128" i="12" l="1"/>
  <c r="F127" i="12"/>
  <c r="G127" i="12" s="1"/>
  <c r="F126" i="12"/>
  <c r="F125" i="12"/>
  <c r="G125" i="12" s="1"/>
  <c r="F124" i="12"/>
  <c r="F123" i="12"/>
  <c r="H123" i="12" s="1"/>
  <c r="F122" i="12"/>
  <c r="F121" i="12"/>
  <c r="H121" i="12" s="1"/>
  <c r="F120" i="12"/>
  <c r="G120" i="12" s="1"/>
  <c r="F119" i="12"/>
  <c r="H119" i="12" s="1"/>
  <c r="F118" i="12"/>
  <c r="F117" i="12"/>
  <c r="F116" i="12"/>
  <c r="F115" i="12"/>
  <c r="F114" i="12"/>
  <c r="H114" i="12" s="1"/>
  <c r="F113" i="12"/>
  <c r="G113" i="12" s="1"/>
  <c r="F112" i="12"/>
  <c r="H112" i="12" s="1"/>
  <c r="F111" i="12"/>
  <c r="H111" i="12" s="1"/>
  <c r="F110" i="12"/>
  <c r="H110" i="12" s="1"/>
  <c r="F109" i="12"/>
  <c r="F108" i="12"/>
  <c r="F107" i="12"/>
  <c r="F106" i="12"/>
  <c r="F105" i="12"/>
  <c r="F104" i="12"/>
  <c r="G104" i="12" s="1"/>
  <c r="F103" i="12"/>
  <c r="H103" i="12" s="1"/>
  <c r="F102" i="12"/>
  <c r="F101" i="12"/>
  <c r="F100" i="12"/>
  <c r="F99" i="12"/>
  <c r="H99" i="12" s="1"/>
  <c r="F98" i="12"/>
  <c r="H98" i="12" s="1"/>
  <c r="F97" i="12"/>
  <c r="G97" i="12" s="1"/>
  <c r="F96" i="12"/>
  <c r="G96" i="12" s="1"/>
  <c r="F95" i="12"/>
  <c r="G95" i="12" s="1"/>
  <c r="F94" i="12"/>
  <c r="G94" i="12" s="1"/>
  <c r="F93" i="12"/>
  <c r="H93" i="12" s="1"/>
  <c r="F92" i="12"/>
  <c r="F91" i="12"/>
  <c r="H91" i="12" s="1"/>
  <c r="F90" i="12"/>
  <c r="H90" i="12" s="1"/>
  <c r="F89" i="12"/>
  <c r="G89" i="12" s="1"/>
  <c r="F88" i="12"/>
  <c r="H88" i="12" s="1"/>
  <c r="F87" i="12"/>
  <c r="H87" i="12" s="1"/>
  <c r="F86" i="12"/>
  <c r="H86" i="12" s="1"/>
  <c r="F85" i="12"/>
  <c r="H85" i="12" s="1"/>
  <c r="F84" i="12"/>
  <c r="F83" i="12"/>
  <c r="H83" i="12" s="1"/>
  <c r="F82" i="12"/>
  <c r="H82" i="12" s="1"/>
  <c r="F81" i="12"/>
  <c r="F80" i="12"/>
  <c r="F79" i="12"/>
  <c r="F78" i="12"/>
  <c r="G78" i="12" s="1"/>
  <c r="F77" i="12"/>
  <c r="H77" i="12" s="1"/>
  <c r="F76" i="12"/>
  <c r="G76" i="12" s="1"/>
  <c r="F75" i="12"/>
  <c r="H75" i="12" s="1"/>
  <c r="F74" i="12"/>
  <c r="G74" i="12" s="1"/>
  <c r="F73" i="12"/>
  <c r="G73" i="12" s="1"/>
  <c r="F72" i="12"/>
  <c r="F71" i="12"/>
  <c r="F70" i="12"/>
  <c r="F69" i="12"/>
  <c r="F68" i="12"/>
  <c r="G68" i="12" s="1"/>
  <c r="F67" i="12"/>
  <c r="F66" i="12"/>
  <c r="F65" i="12"/>
  <c r="H65" i="12" s="1"/>
  <c r="F64" i="12"/>
  <c r="H64" i="12" s="1"/>
  <c r="F63" i="12"/>
  <c r="G63" i="12" s="1"/>
  <c r="F62" i="12"/>
  <c r="G62" i="12" s="1"/>
  <c r="F61" i="12"/>
  <c r="H61" i="12" s="1"/>
  <c r="F60" i="12"/>
  <c r="H60" i="12" s="1"/>
  <c r="F59" i="12"/>
  <c r="H59" i="12" s="1"/>
  <c r="F58" i="12"/>
  <c r="G58" i="12" s="1"/>
  <c r="F57" i="12"/>
  <c r="F56" i="12"/>
  <c r="H56" i="12" s="1"/>
  <c r="F55" i="12"/>
  <c r="G55" i="12" s="1"/>
  <c r="F54" i="12"/>
  <c r="H54" i="12" s="1"/>
  <c r="F53" i="12"/>
  <c r="F52" i="12"/>
  <c r="H52" i="12" s="1"/>
  <c r="F51" i="12"/>
  <c r="F50" i="12"/>
  <c r="F49" i="12"/>
  <c r="H49" i="12" s="1"/>
  <c r="F48" i="12"/>
  <c r="H48" i="12" s="1"/>
  <c r="F47" i="12"/>
  <c r="F46" i="12"/>
  <c r="F45" i="12"/>
  <c r="F44" i="12"/>
  <c r="F43" i="12"/>
  <c r="G43" i="12" s="1"/>
  <c r="F42" i="12"/>
  <c r="G42" i="12" s="1"/>
  <c r="F41" i="12"/>
  <c r="F40" i="12"/>
  <c r="H40" i="12" s="1"/>
  <c r="F39" i="12"/>
  <c r="F38" i="12"/>
  <c r="F37" i="12"/>
  <c r="F36" i="12"/>
  <c r="H36" i="12" s="1"/>
  <c r="F35" i="12"/>
  <c r="H35" i="12" s="1"/>
  <c r="F34" i="12"/>
  <c r="G34" i="12" s="1"/>
  <c r="F33" i="12"/>
  <c r="H33" i="12" s="1"/>
  <c r="F32" i="12"/>
  <c r="H32" i="12" s="1"/>
  <c r="F31" i="12"/>
  <c r="H31" i="12" s="1"/>
  <c r="F30" i="12"/>
  <c r="H30" i="12" s="1"/>
  <c r="F29" i="12"/>
  <c r="H29" i="12" s="1"/>
  <c r="F28" i="12"/>
  <c r="H28" i="12" s="1"/>
  <c r="F27" i="12"/>
  <c r="G27" i="12" s="1"/>
  <c r="F26" i="12"/>
  <c r="F25" i="12"/>
  <c r="H25" i="12" s="1"/>
  <c r="F24" i="12"/>
  <c r="H24" i="12" s="1"/>
  <c r="F23" i="12"/>
  <c r="F22" i="12"/>
  <c r="H22" i="12" s="1"/>
  <c r="F21" i="12"/>
  <c r="F20" i="12"/>
  <c r="H20" i="12" s="1"/>
  <c r="F19" i="12"/>
  <c r="H19" i="12" s="1"/>
  <c r="F18" i="12"/>
  <c r="H18" i="12" s="1"/>
  <c r="F17" i="12"/>
  <c r="H17" i="12" s="1"/>
  <c r="F16" i="12"/>
  <c r="H16" i="12" s="1"/>
  <c r="F15" i="12"/>
  <c r="H15" i="12" s="1"/>
  <c r="F14" i="12"/>
  <c r="F13" i="12"/>
  <c r="G13" i="12" s="1"/>
  <c r="F12" i="12"/>
  <c r="F11" i="12"/>
  <c r="F10" i="12"/>
  <c r="H10" i="12" s="1"/>
  <c r="F9" i="12"/>
  <c r="H9" i="12" s="1"/>
  <c r="F8" i="12"/>
  <c r="F7" i="12"/>
  <c r="H7" i="12" s="1"/>
  <c r="F6" i="12"/>
  <c r="H6" i="12" s="1"/>
  <c r="F5" i="12"/>
  <c r="H5" i="12" s="1"/>
  <c r="F4" i="12"/>
  <c r="H4" i="12" s="1"/>
  <c r="G115" i="12" l="1"/>
  <c r="H115" i="12" s="1"/>
  <c r="G50" i="12"/>
  <c r="H50" i="12" s="1"/>
  <c r="G37" i="12"/>
  <c r="H37" i="12" s="1"/>
  <c r="G117" i="12"/>
  <c r="H117" i="12" s="1"/>
  <c r="G67" i="12"/>
  <c r="H67" i="12" s="1"/>
  <c r="G100" i="12"/>
  <c r="H100" i="12" s="1"/>
  <c r="G118" i="12"/>
  <c r="H118" i="12" s="1"/>
  <c r="G69" i="12"/>
  <c r="H69" i="12" s="1"/>
  <c r="G81" i="12"/>
  <c r="H81" i="12" s="1"/>
  <c r="G51" i="12"/>
  <c r="H51" i="12" s="1"/>
  <c r="G84" i="12"/>
  <c r="H84" i="12" s="1"/>
  <c r="G23" i="12"/>
  <c r="H23" i="12" s="1"/>
  <c r="G57" i="12"/>
  <c r="H57" i="12" s="1"/>
  <c r="G105" i="12"/>
  <c r="H105" i="12" s="1"/>
  <c r="G101" i="12"/>
  <c r="H101" i="12" s="1"/>
  <c r="G106" i="12"/>
  <c r="H106" i="12" s="1"/>
  <c r="G122" i="12"/>
  <c r="H122" i="12" s="1"/>
  <c r="G107" i="12"/>
  <c r="H107" i="12" s="1"/>
  <c r="G21" i="12"/>
  <c r="H21" i="12" s="1"/>
  <c r="G44" i="12"/>
  <c r="H44" i="12" s="1"/>
  <c r="G92" i="12"/>
  <c r="H92" i="12" s="1"/>
  <c r="G108" i="12"/>
  <c r="H108" i="12" s="1"/>
  <c r="G124" i="12"/>
  <c r="H124" i="12" s="1"/>
  <c r="G39" i="12"/>
  <c r="H39" i="12" s="1"/>
  <c r="G45" i="12"/>
  <c r="H45" i="12" s="1"/>
  <c r="G109" i="12"/>
  <c r="H109" i="12" s="1"/>
  <c r="G70" i="12"/>
  <c r="H70" i="12" s="1"/>
  <c r="G41" i="12"/>
  <c r="H41" i="12" s="1"/>
  <c r="G26" i="12"/>
  <c r="H26" i="12" s="1"/>
  <c r="G12" i="12"/>
  <c r="H12" i="12" s="1"/>
  <c r="G14" i="12"/>
  <c r="H14" i="12" s="1"/>
  <c r="G126" i="12"/>
  <c r="H126" i="12" s="1"/>
  <c r="G66" i="12"/>
  <c r="H66" i="12" s="1"/>
  <c r="G38" i="12"/>
  <c r="H38" i="12" s="1"/>
  <c r="G102" i="12"/>
  <c r="H102" i="12" s="1"/>
  <c r="G47" i="12"/>
  <c r="H47" i="12" s="1"/>
  <c r="G79" i="12"/>
  <c r="H79" i="12" s="1"/>
  <c r="G53" i="12"/>
  <c r="H53" i="12" s="1"/>
  <c r="G71" i="12"/>
  <c r="H71" i="12" s="1"/>
  <c r="G72" i="12"/>
  <c r="H72" i="12" s="1"/>
  <c r="G11" i="12"/>
  <c r="H11" i="12" s="1"/>
  <c r="G80" i="12"/>
  <c r="H80" i="12" s="1"/>
  <c r="H97" i="12"/>
  <c r="H58" i="12"/>
  <c r="H125" i="12"/>
  <c r="G116" i="12"/>
  <c r="H116" i="12" s="1"/>
  <c r="H34" i="12"/>
  <c r="H113" i="12"/>
  <c r="H76" i="12"/>
  <c r="H74" i="12"/>
  <c r="H13" i="12"/>
  <c r="A46" i="12"/>
  <c r="G46" i="12"/>
  <c r="H96" i="12"/>
  <c r="H127" i="12"/>
  <c r="H95" i="12"/>
  <c r="H63" i="12"/>
  <c r="H94" i="12"/>
  <c r="H78" i="12"/>
  <c r="H62" i="12"/>
  <c r="H43" i="12"/>
  <c r="H27" i="12"/>
  <c r="H42" i="12"/>
  <c r="H89" i="12"/>
  <c r="H73" i="12"/>
  <c r="H120" i="12"/>
  <c r="H104" i="12"/>
  <c r="H8" i="12"/>
  <c r="H55" i="12"/>
  <c r="H68" i="12"/>
  <c r="F128" i="12"/>
  <c r="G128" i="12" l="1"/>
  <c r="H46" i="12"/>
  <c r="H128" i="12" s="1"/>
  <c r="D128" i="9" l="1"/>
  <c r="F127" i="9"/>
  <c r="F126" i="9"/>
  <c r="F125" i="9"/>
  <c r="F124" i="9"/>
  <c r="F123" i="9"/>
  <c r="H123" i="9" s="1"/>
  <c r="F122" i="9"/>
  <c r="F121" i="9"/>
  <c r="H121" i="9" s="1"/>
  <c r="F120" i="9"/>
  <c r="H120" i="9" s="1"/>
  <c r="F119" i="9"/>
  <c r="H119" i="9" s="1"/>
  <c r="F118" i="9"/>
  <c r="F117" i="9"/>
  <c r="F116" i="9"/>
  <c r="F115" i="9"/>
  <c r="G115" i="9" s="1"/>
  <c r="F114" i="9"/>
  <c r="H114" i="9" s="1"/>
  <c r="F113" i="9"/>
  <c r="F112" i="9"/>
  <c r="F111" i="9"/>
  <c r="H111" i="9" s="1"/>
  <c r="F110" i="9"/>
  <c r="H110" i="9" s="1"/>
  <c r="F109" i="9"/>
  <c r="F108" i="9"/>
  <c r="F107" i="9"/>
  <c r="G107" i="9" s="1"/>
  <c r="F106" i="9"/>
  <c r="F105" i="9"/>
  <c r="F104" i="9"/>
  <c r="F103" i="9"/>
  <c r="H103" i="9" s="1"/>
  <c r="F102" i="9"/>
  <c r="F101" i="9"/>
  <c r="F100" i="9"/>
  <c r="F99" i="9"/>
  <c r="H99" i="9" s="1"/>
  <c r="F98" i="9"/>
  <c r="H98" i="9" s="1"/>
  <c r="F97" i="9"/>
  <c r="F96" i="9"/>
  <c r="H96" i="9" s="1"/>
  <c r="F95" i="9"/>
  <c r="H95" i="9" s="1"/>
  <c r="F94" i="9"/>
  <c r="F93" i="9"/>
  <c r="H93" i="9" s="1"/>
  <c r="F92" i="9"/>
  <c r="F91" i="9"/>
  <c r="H91" i="9" s="1"/>
  <c r="F90" i="9"/>
  <c r="H90" i="9" s="1"/>
  <c r="F89" i="9"/>
  <c r="H89" i="9" s="1"/>
  <c r="F88" i="9"/>
  <c r="H88" i="9" s="1"/>
  <c r="F87" i="9"/>
  <c r="H87" i="9" s="1"/>
  <c r="F86" i="9"/>
  <c r="H86" i="9" s="1"/>
  <c r="F85" i="9"/>
  <c r="F84" i="9"/>
  <c r="F83" i="9"/>
  <c r="H83" i="9" s="1"/>
  <c r="F82" i="9"/>
  <c r="H82" i="9" s="1"/>
  <c r="F81" i="9"/>
  <c r="F80" i="9"/>
  <c r="F79" i="9"/>
  <c r="F78" i="9"/>
  <c r="H78" i="9" s="1"/>
  <c r="F77" i="9"/>
  <c r="H77" i="9" s="1"/>
  <c r="F76" i="9"/>
  <c r="H76" i="9" s="1"/>
  <c r="F75" i="9"/>
  <c r="H75" i="9" s="1"/>
  <c r="F74" i="9"/>
  <c r="F73" i="9"/>
  <c r="F72" i="9"/>
  <c r="F71" i="9"/>
  <c r="F70" i="9"/>
  <c r="F69" i="9"/>
  <c r="F68" i="9"/>
  <c r="H68" i="9" s="1"/>
  <c r="F67" i="9"/>
  <c r="G67" i="9" s="1"/>
  <c r="F66" i="9"/>
  <c r="F65" i="9"/>
  <c r="H65" i="9" s="1"/>
  <c r="F64" i="9"/>
  <c r="H64" i="9" s="1"/>
  <c r="F63" i="9"/>
  <c r="H63" i="9" s="1"/>
  <c r="F62" i="9"/>
  <c r="H62" i="9" s="1"/>
  <c r="F61" i="9"/>
  <c r="H61" i="9" s="1"/>
  <c r="F60" i="9"/>
  <c r="H60" i="9" s="1"/>
  <c r="F59" i="9"/>
  <c r="H59" i="9" s="1"/>
  <c r="F58" i="9"/>
  <c r="H58" i="9" s="1"/>
  <c r="F57" i="9"/>
  <c r="F56" i="9"/>
  <c r="H56" i="9" s="1"/>
  <c r="F55" i="9"/>
  <c r="F54" i="9"/>
  <c r="H54" i="9" s="1"/>
  <c r="F53" i="9"/>
  <c r="F52" i="9"/>
  <c r="H52" i="9" s="1"/>
  <c r="F51" i="9"/>
  <c r="G51" i="9" s="1"/>
  <c r="F50" i="9"/>
  <c r="F49" i="9"/>
  <c r="H49" i="9" s="1"/>
  <c r="F48" i="9"/>
  <c r="H48" i="9" s="1"/>
  <c r="F47" i="9"/>
  <c r="F46" i="9"/>
  <c r="F45" i="9"/>
  <c r="F44" i="9"/>
  <c r="F43" i="9"/>
  <c r="G43" i="9" s="1"/>
  <c r="F42" i="9"/>
  <c r="H42" i="9" s="1"/>
  <c r="F41" i="9"/>
  <c r="F40" i="9"/>
  <c r="F39" i="9"/>
  <c r="F38" i="9"/>
  <c r="F37" i="9"/>
  <c r="F36" i="9"/>
  <c r="H36" i="9" s="1"/>
  <c r="F35" i="9"/>
  <c r="H35" i="9" s="1"/>
  <c r="F34" i="9"/>
  <c r="H34" i="9" s="1"/>
  <c r="F33" i="9"/>
  <c r="F32" i="9"/>
  <c r="H32" i="9" s="1"/>
  <c r="F31" i="9"/>
  <c r="H31" i="9" s="1"/>
  <c r="F30" i="9"/>
  <c r="H30" i="9" s="1"/>
  <c r="F29" i="9"/>
  <c r="H29" i="9" s="1"/>
  <c r="F28" i="9"/>
  <c r="F27" i="9"/>
  <c r="H27" i="9" s="1"/>
  <c r="F26" i="9"/>
  <c r="F25" i="9"/>
  <c r="H25" i="9" s="1"/>
  <c r="F24" i="9"/>
  <c r="H24" i="9" s="1"/>
  <c r="F23" i="9"/>
  <c r="F22" i="9"/>
  <c r="H22" i="9" s="1"/>
  <c r="F21" i="9"/>
  <c r="H21" i="9" s="1"/>
  <c r="F20" i="9"/>
  <c r="F19" i="9"/>
  <c r="H19" i="9" s="1"/>
  <c r="F18" i="9"/>
  <c r="H18" i="9" s="1"/>
  <c r="F17" i="9"/>
  <c r="H17" i="9" s="1"/>
  <c r="F16" i="9"/>
  <c r="H16" i="9" s="1"/>
  <c r="F15" i="9"/>
  <c r="H15" i="9" s="1"/>
  <c r="F14" i="9"/>
  <c r="G14" i="9" s="1"/>
  <c r="F13" i="9"/>
  <c r="G13" i="9" s="1"/>
  <c r="F12" i="9"/>
  <c r="G12" i="9" s="1"/>
  <c r="F11" i="9"/>
  <c r="F10" i="9"/>
  <c r="G10" i="9" s="1"/>
  <c r="F9" i="9"/>
  <c r="H9" i="9" s="1"/>
  <c r="F8" i="9"/>
  <c r="G8" i="9" s="1"/>
  <c r="F7" i="9"/>
  <c r="F6" i="9"/>
  <c r="H6" i="9" s="1"/>
  <c r="F5" i="9"/>
  <c r="H5" i="9" s="1"/>
  <c r="F4" i="9"/>
  <c r="H4" i="9" s="1"/>
  <c r="G7" i="9" l="1"/>
  <c r="H7" i="9" s="1"/>
  <c r="H43" i="9"/>
  <c r="H107" i="9"/>
  <c r="G80" i="9"/>
  <c r="H80" i="9" s="1"/>
  <c r="G94" i="9"/>
  <c r="H94" i="9" s="1"/>
  <c r="G101" i="9"/>
  <c r="H101" i="9" s="1"/>
  <c r="H115" i="9"/>
  <c r="G38" i="9"/>
  <c r="H38" i="9" s="1"/>
  <c r="G45" i="9"/>
  <c r="H45" i="9" s="1"/>
  <c r="G74" i="9"/>
  <c r="H74" i="9" s="1"/>
  <c r="G81" i="9"/>
  <c r="H81" i="9" s="1"/>
  <c r="G102" i="9"/>
  <c r="H102" i="9" s="1"/>
  <c r="G109" i="9"/>
  <c r="H109" i="9" s="1"/>
  <c r="G116" i="9"/>
  <c r="H116" i="9" s="1"/>
  <c r="H14" i="9"/>
  <c r="G39" i="9"/>
  <c r="H39" i="9" s="1"/>
  <c r="G46" i="9"/>
  <c r="H46" i="9" s="1"/>
  <c r="G53" i="9"/>
  <c r="H53" i="9" s="1"/>
  <c r="H67" i="9"/>
  <c r="G117" i="9"/>
  <c r="H117" i="9" s="1"/>
  <c r="G26" i="9"/>
  <c r="H26" i="9" s="1"/>
  <c r="G118" i="9"/>
  <c r="H118" i="9" s="1"/>
  <c r="G105" i="9"/>
  <c r="H105" i="9" s="1"/>
  <c r="G70" i="9"/>
  <c r="H70" i="9" s="1"/>
  <c r="G84" i="9"/>
  <c r="H84" i="9" s="1"/>
  <c r="G106" i="9"/>
  <c r="H106" i="9" s="1"/>
  <c r="G113" i="9"/>
  <c r="H113" i="9" s="1"/>
  <c r="G127" i="9"/>
  <c r="H127" i="9" s="1"/>
  <c r="G72" i="9"/>
  <c r="H72" i="9" s="1"/>
  <c r="G79" i="9"/>
  <c r="H79" i="9" s="1"/>
  <c r="G100" i="9"/>
  <c r="H100" i="9" s="1"/>
  <c r="G122" i="9"/>
  <c r="H122" i="9" s="1"/>
  <c r="H13" i="9"/>
  <c r="G23" i="9"/>
  <c r="H23" i="9" s="1"/>
  <c r="G37" i="9"/>
  <c r="H37" i="9" s="1"/>
  <c r="G44" i="9"/>
  <c r="H44" i="9" s="1"/>
  <c r="H51" i="9"/>
  <c r="G66" i="9"/>
  <c r="H66" i="9" s="1"/>
  <c r="G73" i="9"/>
  <c r="H73" i="9" s="1"/>
  <c r="G108" i="9"/>
  <c r="H108" i="9" s="1"/>
  <c r="G124" i="9"/>
  <c r="H124" i="9" s="1"/>
  <c r="H10" i="9"/>
  <c r="G33" i="9"/>
  <c r="H33" i="9" s="1"/>
  <c r="G40" i="9"/>
  <c r="H40" i="9" s="1"/>
  <c r="G47" i="9"/>
  <c r="H47" i="9" s="1"/>
  <c r="G97" i="9"/>
  <c r="H97" i="9" s="1"/>
  <c r="G104" i="9"/>
  <c r="H104" i="9" s="1"/>
  <c r="G125" i="9"/>
  <c r="H125" i="9" s="1"/>
  <c r="G11" i="9"/>
  <c r="H11" i="9" s="1"/>
  <c r="G41" i="9"/>
  <c r="H41" i="9" s="1"/>
  <c r="G55" i="9"/>
  <c r="H55" i="9" s="1"/>
  <c r="G69" i="9"/>
  <c r="H69" i="9" s="1"/>
  <c r="G112" i="9"/>
  <c r="H112" i="9" s="1"/>
  <c r="G126" i="9"/>
  <c r="H126" i="9" s="1"/>
  <c r="G20" i="9"/>
  <c r="H20" i="9" s="1"/>
  <c r="H12" i="9"/>
  <c r="G28" i="9"/>
  <c r="H28" i="9" s="1"/>
  <c r="G50" i="9"/>
  <c r="H50" i="9" s="1"/>
  <c r="G57" i="9"/>
  <c r="H57" i="9" s="1"/>
  <c r="G71" i="9"/>
  <c r="H71" i="9" s="1"/>
  <c r="G85" i="9"/>
  <c r="H85" i="9" s="1"/>
  <c r="G92" i="9"/>
  <c r="H92" i="9" s="1"/>
  <c r="F128" i="9"/>
  <c r="H8" i="9"/>
  <c r="H128" i="9" l="1"/>
  <c r="G128" i="9"/>
  <c r="D20" i="6"/>
  <c r="F19" i="6"/>
  <c r="H19" i="6" s="1"/>
  <c r="F18" i="6"/>
  <c r="H18" i="6" s="1"/>
  <c r="F17" i="6"/>
  <c r="H17" i="6" s="1"/>
  <c r="F16" i="6"/>
  <c r="H16" i="6" s="1"/>
  <c r="F15" i="6"/>
  <c r="H15" i="6" s="1"/>
  <c r="F14" i="6"/>
  <c r="H14" i="6" s="1"/>
  <c r="F13" i="6"/>
  <c r="H13" i="6" s="1"/>
  <c r="F12" i="6"/>
  <c r="H12" i="6" s="1"/>
  <c r="F11" i="6"/>
  <c r="H11" i="6" s="1"/>
  <c r="F10" i="6"/>
  <c r="H10" i="6" s="1"/>
  <c r="F9" i="6"/>
  <c r="H9" i="6" s="1"/>
  <c r="F8" i="6"/>
  <c r="H8" i="6" s="1"/>
  <c r="F7" i="6"/>
  <c r="H7" i="6" s="1"/>
  <c r="F6" i="6"/>
  <c r="H6" i="6" s="1"/>
  <c r="F5" i="6"/>
  <c r="H5" i="6" s="1"/>
  <c r="F4" i="6"/>
  <c r="H4" i="6" s="1"/>
  <c r="F20" i="6" l="1"/>
  <c r="G20" i="6" l="1"/>
  <c r="H20" i="6"/>
  <c r="D9" i="5"/>
  <c r="F8" i="5"/>
  <c r="F7" i="5"/>
  <c r="F6" i="5"/>
  <c r="H6" i="5" s="1"/>
  <c r="F5" i="5"/>
  <c r="H5" i="5" s="1"/>
  <c r="F4" i="5"/>
  <c r="H4" i="5" s="1"/>
  <c r="D5" i="4"/>
  <c r="Y4" i="4"/>
  <c r="W4" i="4"/>
  <c r="U4" i="4"/>
  <c r="S4" i="4"/>
  <c r="Q4" i="4"/>
  <c r="F4" i="4"/>
  <c r="H4" i="4" s="1"/>
  <c r="F5" i="4" l="1"/>
  <c r="F9" i="5"/>
  <c r="G5" i="4" l="1"/>
  <c r="G9" i="5"/>
  <c r="H9" i="5"/>
  <c r="H5" i="4"/>
</calcChain>
</file>

<file path=xl/sharedStrings.xml><?xml version="1.0" encoding="utf-8"?>
<sst xmlns="http://schemas.openxmlformats.org/spreadsheetml/2006/main" count="5771" uniqueCount="469">
  <si>
    <t>Zeek Camel MILK PROCUREMENT April 2024</t>
  </si>
  <si>
    <t xml:space="preserve">Sr No. </t>
  </si>
  <si>
    <t>Farmer Code</t>
  </si>
  <si>
    <t xml:space="preserve">Farmer Name </t>
  </si>
  <si>
    <t>Milk Qty. (Ltr.)</t>
  </si>
  <si>
    <t>Avg. Rate (OMR/Ltr.)</t>
  </si>
  <si>
    <t>Amount (OMR)</t>
  </si>
  <si>
    <t>paid</t>
  </si>
  <si>
    <t>balance</t>
  </si>
  <si>
    <t>ID No.</t>
  </si>
  <si>
    <t xml:space="preserve"> Bank Account No. </t>
  </si>
  <si>
    <t xml:space="preserve">Bank Name </t>
  </si>
  <si>
    <t>IFSC Code</t>
  </si>
  <si>
    <t>Phone No.</t>
  </si>
  <si>
    <t>Remarks</t>
  </si>
  <si>
    <t xml:space="preserve">Said Mohammed Ali Safrar  </t>
  </si>
  <si>
    <t>0.400</t>
  </si>
  <si>
    <t>10600316800001</t>
  </si>
  <si>
    <t>NBO</t>
  </si>
  <si>
    <t>NBOMOMRX</t>
  </si>
  <si>
    <t>27-08-2024</t>
  </si>
  <si>
    <t>2616</t>
  </si>
  <si>
    <t xml:space="preserve"> </t>
  </si>
  <si>
    <t>Hassan Ghaly</t>
  </si>
  <si>
    <t>Sakku Mathew</t>
  </si>
  <si>
    <t>Said Al bahanata</t>
  </si>
  <si>
    <t>Cost Accountant</t>
  </si>
  <si>
    <t>Said Al Bahanata</t>
  </si>
  <si>
    <t>DGM</t>
  </si>
  <si>
    <t>Zeek Camel MILK PROCUREMENT May 2024</t>
  </si>
  <si>
    <t>Paid</t>
  </si>
  <si>
    <t>Balance</t>
  </si>
  <si>
    <t xml:space="preserve">Ali Said Mohammed Kashoob  </t>
  </si>
  <si>
    <t>12-08-24-feeds</t>
  </si>
  <si>
    <t>052-11-24</t>
  </si>
  <si>
    <t>Majid Bakhit Ahmed Matraf Al Manjawi</t>
  </si>
  <si>
    <t>13-08-24-FEEDS</t>
  </si>
  <si>
    <t>Mohammed Ali Said Kashob</t>
  </si>
  <si>
    <t>13-08-2024-feeds</t>
  </si>
  <si>
    <t>Bakhit Ali Said Kashoob</t>
  </si>
  <si>
    <t>12-08-24-FEEDS</t>
  </si>
  <si>
    <t>Ali Masoud Mohammed Kashoob</t>
  </si>
  <si>
    <t>20-08-2024-feeds</t>
  </si>
  <si>
    <t>Suresh Bose</t>
  </si>
  <si>
    <t>Sr.Operations Officer</t>
  </si>
  <si>
    <t>Zeek Camel MILK PROCUREMENT June 2024</t>
  </si>
  <si>
    <t>Said Ali Ahmed Kashoob</t>
  </si>
  <si>
    <t xml:space="preserve">Mohammed Suhail Musallam Kashoob  </t>
  </si>
  <si>
    <t>Musallam Ali Musallam Kashoub</t>
  </si>
  <si>
    <t>Said Ahmed Mubarak Ghafram Al Shahri</t>
  </si>
  <si>
    <t>01-09-2024-feeds</t>
  </si>
  <si>
    <t xml:space="preserve">Ahmed Amer Bakhit Tabook </t>
  </si>
  <si>
    <t>18-09-2024</t>
  </si>
  <si>
    <t xml:space="preserve">Muahmmad Ali Ahmed Kashoob  </t>
  </si>
  <si>
    <t xml:space="preserve">Haithem  Mohammed Mubarak Al Shahri  </t>
  </si>
  <si>
    <t>23-09-2024</t>
  </si>
  <si>
    <t>Ganem Bakhit Said Al Hilali</t>
  </si>
  <si>
    <t>16-09-2024</t>
  </si>
  <si>
    <t>Bakhit Mohammed Omar Ghafram Al Shahri</t>
  </si>
  <si>
    <t xml:space="preserve">Musalim Ali Mubark Kashoob  </t>
  </si>
  <si>
    <t>25-09-2024</t>
  </si>
  <si>
    <t xml:space="preserve">Musood Said Mohammed Salim Jaboob  </t>
  </si>
  <si>
    <t>Salim Said Ahmed Hamdiya Al Shihri</t>
  </si>
  <si>
    <t>Shihab Ahmed Ali Ahmed Kashob</t>
  </si>
  <si>
    <t>Hassan Ahmed Said  Kashoob</t>
  </si>
  <si>
    <t>dcf feed</t>
  </si>
  <si>
    <t>Hafeed Said Masoud Thuaar</t>
  </si>
  <si>
    <t>Mustahil Said Ahmed Hamdiya Al shahri</t>
  </si>
  <si>
    <t>02-09-2024-feeds</t>
  </si>
  <si>
    <t>006-11-24</t>
  </si>
  <si>
    <t>Zeek Camel MILK PROCUREMENT July 2024</t>
  </si>
  <si>
    <t>Amer Bakhit Amer Tabuk</t>
  </si>
  <si>
    <t>0401002500740014</t>
  </si>
  <si>
    <t>Bank muscat</t>
  </si>
  <si>
    <t>BMUSOMRX</t>
  </si>
  <si>
    <t>70402001256001</t>
  </si>
  <si>
    <t>Sohar Islamic</t>
  </si>
  <si>
    <t>BSHROMRUISL</t>
  </si>
  <si>
    <t xml:space="preserve">Ramas Salim Abood Ali Sakrun  </t>
  </si>
  <si>
    <t>01045372718001</t>
  </si>
  <si>
    <t>Bank Dhofar</t>
  </si>
  <si>
    <t>BDOFOMRU</t>
  </si>
  <si>
    <t>Salim Said Mohammed Kashob</t>
  </si>
  <si>
    <t>0401002555140024</t>
  </si>
  <si>
    <t xml:space="preserve">Mohammed Ahmed Masoud Kashoob </t>
  </si>
  <si>
    <t>0401003743050028</t>
  </si>
  <si>
    <t>DCF Feed</t>
  </si>
  <si>
    <t>Mohammed Muslem Ahmed Kashoob</t>
  </si>
  <si>
    <t>0401002454440019</t>
  </si>
  <si>
    <t>3129376149500</t>
  </si>
  <si>
    <t xml:space="preserve">OMAN ARAB BANK </t>
  </si>
  <si>
    <t>OMABOMRU</t>
  </si>
  <si>
    <t>Ahmed Said Omar Hamdiyya</t>
  </si>
  <si>
    <t>250010021051</t>
  </si>
  <si>
    <t>Bank Sohar</t>
  </si>
  <si>
    <t>BSHROMRU</t>
  </si>
  <si>
    <t>Mohammed Said Omar Hamdiya Al Shahri</t>
  </si>
  <si>
    <t>3109602412500</t>
  </si>
  <si>
    <t xml:space="preserve">Salim Mohammed Faraj Hamdiya Al Shihri  </t>
  </si>
  <si>
    <t>1023628795017</t>
  </si>
  <si>
    <t xml:space="preserve">Bakhit Said Mubarak Al Hilali  </t>
  </si>
  <si>
    <t>3109076970500</t>
  </si>
  <si>
    <t>Salim Mohammed Salim Kashoub</t>
  </si>
  <si>
    <t>250020015661</t>
  </si>
  <si>
    <t>2-10--2024</t>
  </si>
  <si>
    <t xml:space="preserve">Nasser Mohammed Omar Ghafram AlShahri  </t>
  </si>
  <si>
    <t>0401013722530017</t>
  </si>
  <si>
    <t>0396011991270034</t>
  </si>
  <si>
    <t>Salim Ali Musallam Kashoob</t>
  </si>
  <si>
    <t>3129135079500</t>
  </si>
  <si>
    <t>Salim Ali Salim Kashoob  Kashoob</t>
  </si>
  <si>
    <t>0401002542420017</t>
  </si>
  <si>
    <t>bank tarnsfer-01-10-2024</t>
  </si>
  <si>
    <t xml:space="preserve">Musallam Said Musallam Kashoub  </t>
  </si>
  <si>
    <t>0426051638080018</t>
  </si>
  <si>
    <t>Salim Said Mohammed Tabuk</t>
  </si>
  <si>
    <t>250010025861</t>
  </si>
  <si>
    <t>0397003862390016</t>
  </si>
  <si>
    <t xml:space="preserve">Musallam Mohammed Said Tabook  </t>
  </si>
  <si>
    <t xml:space="preserve">Ahmed Hassan Said Tabouk  </t>
  </si>
  <si>
    <t>0401025219180026</t>
  </si>
  <si>
    <t>0401021901870012</t>
  </si>
  <si>
    <t xml:space="preserve">Said Ahmed Said Matraf Al Manjawi  </t>
  </si>
  <si>
    <t>250010026761</t>
  </si>
  <si>
    <t xml:space="preserve">Ahmed Said Suhail Jaboob </t>
  </si>
  <si>
    <t>0401003154380037</t>
  </si>
  <si>
    <t>10600246430001</t>
  </si>
  <si>
    <t>Ahmed Mohammed Masaaod Kashoub</t>
  </si>
  <si>
    <t>01041236088001</t>
  </si>
  <si>
    <t>Salim Ali Salim Ali Sakroon</t>
  </si>
  <si>
    <t>0401002457230023</t>
  </si>
  <si>
    <t>00510049776001</t>
  </si>
  <si>
    <t>Bank Nizwa</t>
  </si>
  <si>
    <t>BNZWOMRX</t>
  </si>
  <si>
    <t>Said Ahmed Mohammad Jaabub</t>
  </si>
  <si>
    <t>01010424887001</t>
  </si>
  <si>
    <t xml:space="preserve">Said Salim Mohammed Taman Jaboob  </t>
  </si>
  <si>
    <t>01013042718001</t>
  </si>
  <si>
    <t>Musallam Lbakhiyat Suhail Tabook</t>
  </si>
  <si>
    <t>0401002368480024</t>
  </si>
  <si>
    <t>Ahmed Matoud Ahmed Al Manjawi</t>
  </si>
  <si>
    <t>0401002447480013</t>
  </si>
  <si>
    <t>Mana Mustahil Mohammed Safrar</t>
  </si>
  <si>
    <t>3109142379700</t>
  </si>
  <si>
    <t xml:space="preserve">Amer Musallam Ali Jaboob </t>
  </si>
  <si>
    <t>0406063938250017</t>
  </si>
  <si>
    <t>Said Bakhit Omar Hamdiyya Al Shihri</t>
  </si>
  <si>
    <t>0397003861720012</t>
  </si>
  <si>
    <t>0401040929530017</t>
  </si>
  <si>
    <t>Bakhit Ahmed Said Matraf Al Manjawi</t>
  </si>
  <si>
    <t>3109610972500</t>
  </si>
  <si>
    <t>Mohammed Said aHMED matraf al manjawi</t>
  </si>
  <si>
    <t>01015391328001</t>
  </si>
  <si>
    <t xml:space="preserve">Ali Said Ali Kashoob  </t>
  </si>
  <si>
    <t>1006345800017</t>
  </si>
  <si>
    <t xml:space="preserve">Mohammed Ahmed Said Nasib Hamdiya Al Shahri </t>
  </si>
  <si>
    <t>0401060574610015</t>
  </si>
  <si>
    <t>Mubark Said Ahmed Hamdiya Al shahri</t>
  </si>
  <si>
    <t>70402000236401</t>
  </si>
  <si>
    <t xml:space="preserve">Amer Bakhit Mohammed Hamdiyya Al Shahri  </t>
  </si>
  <si>
    <t>0401004168330028</t>
  </si>
  <si>
    <t xml:space="preserve">Bakhit Mohammed Faraj Hamdiyyya  Al Shahri  </t>
  </si>
  <si>
    <t>250020013161</t>
  </si>
  <si>
    <t>Ali Said  Ali AlSamaa AlShahri</t>
  </si>
  <si>
    <t>250010008191</t>
  </si>
  <si>
    <t>Said Musallam Ahmed Kashoob</t>
  </si>
  <si>
    <t>01010280056001</t>
  </si>
  <si>
    <t xml:space="preserve">Ali Said Nasib Hamdiyya Al Shihri  </t>
  </si>
  <si>
    <t>01010424946001</t>
  </si>
  <si>
    <t>Mohammed Said Mubarak Al Shahri</t>
  </si>
  <si>
    <t>0401055623200029</t>
  </si>
  <si>
    <t xml:space="preserve">Naif Said Ahmed Matraf Al Manjawi  </t>
  </si>
  <si>
    <t>259020001171</t>
  </si>
  <si>
    <t xml:space="preserve">Mohammed Ahmed Mustahil Ghafram Al Shihri  </t>
  </si>
  <si>
    <t>1083465317017</t>
  </si>
  <si>
    <t>10600185005017</t>
  </si>
  <si>
    <t>0406053352450011</t>
  </si>
  <si>
    <t xml:space="preserve">Khalid Salim Mohammed Kashoob  </t>
  </si>
  <si>
    <t>10600305438017</t>
  </si>
  <si>
    <t xml:space="preserve">Suhail Mahad Masoud Kashoob  </t>
  </si>
  <si>
    <t>10600425016017</t>
  </si>
  <si>
    <t>Ghazi Mohammed Musallam Ahmed Kashoob</t>
  </si>
  <si>
    <t>0401021032400027</t>
  </si>
  <si>
    <t>Mustahil Salim Ali Kashoub</t>
  </si>
  <si>
    <t>10600328300017</t>
  </si>
  <si>
    <t>Hamid Bakhit Ali Al Shihri</t>
  </si>
  <si>
    <t>0401003043210035</t>
  </si>
  <si>
    <t xml:space="preserve">Shahab Ahmed Masoud Said Jaboob  </t>
  </si>
  <si>
    <t>0401020830670037</t>
  </si>
  <si>
    <t xml:space="preserve">Ahmed Ali Said Kashoob </t>
  </si>
  <si>
    <t>0401022449160017</t>
  </si>
  <si>
    <t>Ahmed Mohammed Asalam Al Shahri</t>
  </si>
  <si>
    <t>0406003357550017</t>
  </si>
  <si>
    <t>16-123-24</t>
  </si>
  <si>
    <t xml:space="preserve">Suhail Ahmed Said Tabook </t>
  </si>
  <si>
    <t>0405016128350013</t>
  </si>
  <si>
    <t xml:space="preserve">Ahmed Salim Said Tabok </t>
  </si>
  <si>
    <t>401018312940034</t>
  </si>
  <si>
    <t xml:space="preserve">Masoud Suhail Musallam Kashoob  </t>
  </si>
  <si>
    <t>1006214426017</t>
  </si>
  <si>
    <t xml:space="preserve">Ahmed Mohammed Said Ghafram Al Shahri  </t>
  </si>
  <si>
    <t>0397004395630012</t>
  </si>
  <si>
    <t xml:space="preserve">Salim Masoud Musallam Kashoob </t>
  </si>
  <si>
    <t>10830442149001</t>
  </si>
  <si>
    <t>.100-DCF</t>
  </si>
  <si>
    <t xml:space="preserve">Masoud Musallam Asharun Tabook  </t>
  </si>
  <si>
    <t>250020000861</t>
  </si>
  <si>
    <t xml:space="preserve">Ali Masoud Musallam Asharun Tabook  </t>
  </si>
  <si>
    <t>0401064701700016</t>
  </si>
  <si>
    <t>Zayd Bakhit Ahmed Matraf Al Manjawi</t>
  </si>
  <si>
    <t>0426016435230025</t>
  </si>
  <si>
    <t>10600335276017</t>
  </si>
  <si>
    <t>0397043374350015</t>
  </si>
  <si>
    <t>70402002086601</t>
  </si>
  <si>
    <t>Ahmed Musallam Ahmed Kashob</t>
  </si>
  <si>
    <t>0426014294330028</t>
  </si>
  <si>
    <t>Hassan Musallam Ali Kashoob</t>
  </si>
  <si>
    <t>0401002507980018</t>
  </si>
  <si>
    <t>Salim Mohammed Salim Kashoob</t>
  </si>
  <si>
    <t xml:space="preserve">BDOFOMRU </t>
  </si>
  <si>
    <t>11-121-24</t>
  </si>
  <si>
    <t>0401064451530012</t>
  </si>
  <si>
    <t>Bakhit Said Mohammed Tabook</t>
  </si>
  <si>
    <t>01010424813001</t>
  </si>
  <si>
    <t>Salim Musallam Mahad Jaboob</t>
  </si>
  <si>
    <t>0401011600820022</t>
  </si>
  <si>
    <t>Nasser Mohammed Ali Kirdas Al shahri</t>
  </si>
  <si>
    <t>0426011704240014</t>
  </si>
  <si>
    <t xml:space="preserve">Hamed Bakhit Said Safrar </t>
  </si>
  <si>
    <t>10200385205017</t>
  </si>
  <si>
    <t xml:space="preserve">Abdullah Said Mohammed AL Maashani </t>
  </si>
  <si>
    <t>0397020239260014</t>
  </si>
  <si>
    <t>70402000236501</t>
  </si>
  <si>
    <t>19-11-*24</t>
  </si>
  <si>
    <t>Tariq Mohammed Mubarak Ghafram Al Shahri</t>
  </si>
  <si>
    <t>0426051487380017</t>
  </si>
  <si>
    <t>Suhail Bakhit Ali AL Aamri</t>
  </si>
  <si>
    <t>0401023410450014</t>
  </si>
  <si>
    <t>Salim Suhail Bakhit Al Aamri</t>
  </si>
  <si>
    <t>01011138819001</t>
  </si>
  <si>
    <t>Ali Suhail Bakhit Ali Al Amri</t>
  </si>
  <si>
    <t>0401016154910038</t>
  </si>
  <si>
    <t>2.55 dcf feed</t>
  </si>
  <si>
    <t>Suhail Said Mohammed Tabook</t>
  </si>
  <si>
    <t>0402021526840015</t>
  </si>
  <si>
    <t>Said Suhail Said  Mohammed Tabook</t>
  </si>
  <si>
    <t>0401016419740027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</si>
  <si>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</si>
  <si>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Said Nasser Salim Al Hamar</t>
  </si>
  <si>
    <t>01011379930001</t>
  </si>
  <si>
    <t>Musallam Suhail Said Mohammed Tabook</t>
  </si>
  <si>
    <t>0401049367210011</t>
  </si>
  <si>
    <t>0401020982150012</t>
  </si>
  <si>
    <t>Rami Salim Ahmed Jabuub</t>
  </si>
  <si>
    <t>Salim Ali Said Al Maashani</t>
  </si>
  <si>
    <t>0401004220520046</t>
  </si>
  <si>
    <t>Ahmed Salim Ali Al Maashni</t>
  </si>
  <si>
    <t>01040015868001</t>
  </si>
  <si>
    <t>Ali Bakhit Omar Al Shihri</t>
  </si>
  <si>
    <t>0397003886300018</t>
  </si>
  <si>
    <t>Said Salim Mohammed Ahmed Shnait Al Shahri</t>
  </si>
  <si>
    <t>1060696416017</t>
  </si>
  <si>
    <t>Ali Mohammed Atiyiq  AL Shihri</t>
  </si>
  <si>
    <t>010010181310</t>
  </si>
  <si>
    <t>01011409995001</t>
  </si>
  <si>
    <t>Ahmed Bakhit Omar Hamdiya Al Shahri</t>
  </si>
  <si>
    <t>0401003415780046</t>
  </si>
  <si>
    <t>Mohammed Masoud Shamlan Jaboob</t>
  </si>
  <si>
    <t>01011389433002</t>
  </si>
  <si>
    <t>10060308527001</t>
  </si>
  <si>
    <t>Muahmmad Musallam Ahmed qahoor Al Mahri</t>
  </si>
  <si>
    <t>0401015432000028</t>
  </si>
  <si>
    <t>Ahmed Musallam Ahmed Qahoor Al Mahri</t>
  </si>
  <si>
    <t>0301007881450011</t>
  </si>
  <si>
    <t xml:space="preserve">Hassan Bakhit Salim Kashoob </t>
  </si>
  <si>
    <t>01010420997002</t>
  </si>
  <si>
    <t xml:space="preserve">Bank Dofar </t>
  </si>
  <si>
    <t>Hassan Suhail Hassan Al Mahri</t>
  </si>
  <si>
    <t>0398004399440017</t>
  </si>
  <si>
    <t>Fatima Musallam Ahmed Qahur</t>
  </si>
  <si>
    <t>0401002589370018</t>
  </si>
  <si>
    <t xml:space="preserve">Said Masoud Salim Kashoob </t>
  </si>
  <si>
    <t>01010423509001</t>
  </si>
  <si>
    <t xml:space="preserve">Bank Dhofar </t>
  </si>
  <si>
    <t>Amer Salim Suhail Kashoub</t>
  </si>
  <si>
    <t>1060690528017</t>
  </si>
  <si>
    <t>01011463649001</t>
  </si>
  <si>
    <t>Ali Said Musallam Al Qahoor Al Mahri</t>
  </si>
  <si>
    <t>0401029037250016</t>
  </si>
  <si>
    <t>hassan labkhiyat suhail tabook</t>
  </si>
  <si>
    <t>0401017068080013</t>
  </si>
  <si>
    <t>15/10/2024,31-10-2024</t>
  </si>
  <si>
    <t>19-11-</t>
  </si>
  <si>
    <t>Said Labkhit suhail Tabuk</t>
  </si>
  <si>
    <t xml:space="preserve">Naif Mohammed Said Safrar </t>
  </si>
  <si>
    <t>Bakhit Ali Musallam Qahur Thuar</t>
  </si>
  <si>
    <t>0426019437310017</t>
  </si>
  <si>
    <t>Mohammed Salim Said Bait Qahoor</t>
  </si>
  <si>
    <t>0401021663270017</t>
  </si>
  <si>
    <t>0401051589440017</t>
  </si>
  <si>
    <t>Mohammed Said  farhan Tabook</t>
  </si>
  <si>
    <t>0406041686120022</t>
  </si>
  <si>
    <t>mohammed said mohammed  Al Batahari</t>
  </si>
  <si>
    <t>0397003514740011</t>
  </si>
  <si>
    <t>Musallam Ahmed Said Jaboob</t>
  </si>
  <si>
    <t>0401002489360026</t>
  </si>
  <si>
    <t>Abdullah Salim Musallam Ali Kashoob</t>
  </si>
  <si>
    <t>3107662398700</t>
  </si>
  <si>
    <t>Musallam Salim Ahmed Kashob</t>
  </si>
  <si>
    <t>0402018309360012</t>
  </si>
  <si>
    <t>Mohammed Mustahil Said Al Shahri</t>
  </si>
  <si>
    <t>01010522507001</t>
  </si>
  <si>
    <t xml:space="preserve">Hassan Aboud said Qahur </t>
  </si>
  <si>
    <t>0397003881940019</t>
  </si>
  <si>
    <t>Amer Mohammed Said Kashoob</t>
  </si>
  <si>
    <t>0401002460790021</t>
  </si>
  <si>
    <t>Zeek Camel MILK PROCUREMENT August 2024</t>
  </si>
  <si>
    <t>DCF FEED</t>
  </si>
  <si>
    <t>bank tarnsfer-02-12-2024</t>
  </si>
  <si>
    <t>1.010-dcf</t>
  </si>
  <si>
    <t>3.58 dcf</t>
  </si>
  <si>
    <t>Zeek Camel MILK PROCUREMENT September 2024</t>
  </si>
  <si>
    <t>03/12/2024  - 26-12-2024</t>
  </si>
  <si>
    <t>03-121-24</t>
  </si>
  <si>
    <t>Zeek Camel MILK PROCUREMENT October 2024</t>
  </si>
  <si>
    <t>will deduct from nov-24</t>
  </si>
  <si>
    <t>2.44-dcf</t>
  </si>
  <si>
    <t>Zeek Camel MILK PROCUREMENT November 2024</t>
  </si>
  <si>
    <t>`</t>
  </si>
  <si>
    <t>dcf</t>
  </si>
  <si>
    <t>29-01-2025 dcf</t>
  </si>
  <si>
    <t>-</t>
  </si>
  <si>
    <t xml:space="preserve">أسعار الاعلاف </t>
  </si>
  <si>
    <t xml:space="preserve">أسم المنتج </t>
  </si>
  <si>
    <t>الوزن بالكيلوا</t>
  </si>
  <si>
    <t xml:space="preserve">القيمه بالريال العماني </t>
  </si>
  <si>
    <t xml:space="preserve">تخفيض </t>
  </si>
  <si>
    <t>السعر بعد التخفيض</t>
  </si>
  <si>
    <t xml:space="preserve">مراعي ظفار </t>
  </si>
  <si>
    <t xml:space="preserve">العلف الكامل </t>
  </si>
  <si>
    <t>التسمين السريع</t>
  </si>
  <si>
    <t>علف ادرار الحليب</t>
  </si>
  <si>
    <t>BT</t>
  </si>
  <si>
    <t>bt</t>
  </si>
  <si>
    <t>13-2-25</t>
  </si>
  <si>
    <t>Zeek Camel MILK PROCUREMENT December 2024</t>
  </si>
  <si>
    <t>063-02-25</t>
  </si>
  <si>
    <t>29-01-25</t>
  </si>
  <si>
    <t>17-2-25</t>
  </si>
  <si>
    <t>20-02-25</t>
  </si>
  <si>
    <t>23-2-25</t>
  </si>
  <si>
    <t>28-7-25</t>
  </si>
  <si>
    <t>Zeek Camel MILK PROCUREMENT August 2025</t>
  </si>
  <si>
    <t>18-9-2025</t>
  </si>
  <si>
    <t>Hassan Salim Mohammed Kashoob</t>
  </si>
  <si>
    <t>3129622151700</t>
  </si>
  <si>
    <t>تم التنازل عن الكود من تاريخ 15-9-2025 لصالح حسن</t>
  </si>
  <si>
    <t>0401019960970018</t>
  </si>
  <si>
    <t>14-10-2025</t>
  </si>
  <si>
    <t>15-10-2025</t>
  </si>
  <si>
    <t>15-10-25</t>
  </si>
  <si>
    <t>0.020 from sep 2025</t>
  </si>
  <si>
    <t>28-09-25</t>
  </si>
  <si>
    <t>Zeek Camel MILK PROCUREMENT September 2025</t>
  </si>
  <si>
    <t>20-10-2025</t>
  </si>
  <si>
    <t>20-10-25</t>
  </si>
  <si>
    <t>Said Mahad Suhail Kashoob</t>
  </si>
  <si>
    <t>22-10-25</t>
  </si>
  <si>
    <t>26-10-2025</t>
  </si>
  <si>
    <t>.770-10-2025</t>
  </si>
  <si>
    <t>27-10-2025</t>
  </si>
  <si>
    <t>29-10-2025</t>
  </si>
  <si>
    <t>30-10-2025</t>
  </si>
  <si>
    <t>0.830-10-2025</t>
  </si>
  <si>
    <t>.540-10-2025</t>
  </si>
  <si>
    <t>50.61-deduct  frpm 10-2025</t>
  </si>
  <si>
    <t>.3-deduct  frpm 10-2025</t>
  </si>
  <si>
    <t>0.66-10-2025</t>
  </si>
  <si>
    <t>1.93-deduct  frpm 10-2025</t>
  </si>
  <si>
    <t>.82-10-2025</t>
  </si>
  <si>
    <t>Ahmed Aldahab</t>
  </si>
  <si>
    <t>Zeek Camel MILK PROCUREMENT October 2025</t>
  </si>
  <si>
    <t>16-11-25</t>
  </si>
  <si>
    <t>17-11-25</t>
  </si>
  <si>
    <t>19-11-25</t>
  </si>
  <si>
    <t>20-11-25</t>
  </si>
  <si>
    <t>25-11-25</t>
  </si>
  <si>
    <t>14-12-25</t>
  </si>
  <si>
    <t>16-12-25</t>
  </si>
  <si>
    <t>18-12-25</t>
  </si>
  <si>
    <t>22-12-25</t>
  </si>
  <si>
    <t>2722</t>
  </si>
  <si>
    <t>2687</t>
  </si>
  <si>
    <t>2685</t>
  </si>
  <si>
    <t>2684</t>
  </si>
  <si>
    <t>2683</t>
  </si>
  <si>
    <t>2681</t>
  </si>
  <si>
    <t>2677</t>
  </si>
  <si>
    <t>2676</t>
  </si>
  <si>
    <t>2675</t>
  </si>
  <si>
    <t>2674</t>
  </si>
  <si>
    <t>2673</t>
  </si>
  <si>
    <t>2672</t>
  </si>
  <si>
    <t>2671</t>
  </si>
  <si>
    <t>2670</t>
  </si>
  <si>
    <t>2669</t>
  </si>
  <si>
    <t>2668</t>
  </si>
  <si>
    <t>2667</t>
  </si>
  <si>
    <t>2665</t>
  </si>
  <si>
    <t>2663</t>
  </si>
  <si>
    <t>2662</t>
  </si>
  <si>
    <t>2661</t>
  </si>
  <si>
    <t>2660</t>
  </si>
  <si>
    <t>2657</t>
  </si>
  <si>
    <t>2656</t>
  </si>
  <si>
    <t>2655</t>
  </si>
  <si>
    <t>2654</t>
  </si>
  <si>
    <t>2653</t>
  </si>
  <si>
    <t>2652</t>
  </si>
  <si>
    <t>2651</t>
  </si>
  <si>
    <t>2650</t>
  </si>
  <si>
    <t>2649</t>
  </si>
  <si>
    <t>2648</t>
  </si>
  <si>
    <t>2647</t>
  </si>
  <si>
    <t>2646</t>
  </si>
  <si>
    <t>2645</t>
  </si>
  <si>
    <t>2644</t>
  </si>
  <si>
    <t>2643</t>
  </si>
  <si>
    <t>2642</t>
  </si>
  <si>
    <t>2641</t>
  </si>
  <si>
    <t>2640</t>
  </si>
  <si>
    <t>2639</t>
  </si>
  <si>
    <t>2638</t>
  </si>
  <si>
    <t>2637</t>
  </si>
  <si>
    <t>2636</t>
  </si>
  <si>
    <t>2635</t>
  </si>
  <si>
    <t>2634</t>
  </si>
  <si>
    <t>2633</t>
  </si>
  <si>
    <t>2632</t>
  </si>
  <si>
    <t>2631</t>
  </si>
  <si>
    <t>2630</t>
  </si>
  <si>
    <t>2629</t>
  </si>
  <si>
    <t>2628</t>
  </si>
  <si>
    <t>2627</t>
  </si>
  <si>
    <t>2626</t>
  </si>
  <si>
    <t>2625</t>
  </si>
  <si>
    <t>2624</t>
  </si>
  <si>
    <t>2623</t>
  </si>
  <si>
    <t>2622</t>
  </si>
  <si>
    <t>2621</t>
  </si>
  <si>
    <t>2620</t>
  </si>
  <si>
    <t>2619</t>
  </si>
  <si>
    <t>2618</t>
  </si>
  <si>
    <t>2617</t>
  </si>
  <si>
    <t>2615</t>
  </si>
  <si>
    <t>2614</t>
  </si>
  <si>
    <t>2613</t>
  </si>
  <si>
    <t>2612</t>
  </si>
  <si>
    <t>2611</t>
  </si>
  <si>
    <t>2610</t>
  </si>
  <si>
    <t>2609</t>
  </si>
  <si>
    <t>2608</t>
  </si>
  <si>
    <t>2607</t>
  </si>
  <si>
    <t>2606</t>
  </si>
  <si>
    <t>2604</t>
  </si>
  <si>
    <t>2603</t>
  </si>
  <si>
    <t>Zeek Camel MILK PROCUREMENT November 2025</t>
  </si>
  <si>
    <t>31-12-25</t>
  </si>
  <si>
    <t>Zeek Camel MILK PROCUREMENT 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</si>
</sst>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_(* #,##0.000_);_(* \(#,##0.000\);_(* &quot;-&quot;??_);_(@_)"/>
    <numFmt numFmtId="167" formatCode="#,##0.000"/>
    <numFmt numFmtId="168" formatCode="0.0"/>
    <numFmt numFmtId="169" formatCode="_ * #,##0.00_ ;_ * \-#,##0.00_ ;_ * &quot;-&quot;??_ ;_ @_ "/>
    <numFmt numFmtId="170" formatCode="_ * #,##0.0_ ;_ * \-#,##0.0_ ;_ * &quot;-&quot;??_ ;_ @_ "/>
    <numFmt numFmtId="171" formatCode="dd\-mm\-yyyy;@"/>
    <numFmt numFmtId="172" formatCode="dd\-mm\-yy;@"/>
  </numFmts>
  <fonts count="18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Times New Roman"/>
      <family val="1"/>
    </font>
    <font>
      <i/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 tint="4.9989318521683403E-2"/>
      <name val="Aptos Narrow"/>
      <family val="2"/>
      <scheme val="minor"/>
    </font>
    <font>
      <sz val="10"/>
      <color theme="1" tint="4.9989318521683403E-2"/>
      <name val="Times New Roman"/>
      <family val="1"/>
    </font>
    <font>
      <sz val="8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b/>
      <sz val="10"/>
      <color theme="1"/>
      <name val="Times New Roman"/>
      <family val="1"/>
    </font>
    <font>
      <b/>
      <sz val="10"/>
      <color theme="1" tint="4.9989318521683403E-2"/>
      <name val="Times New Roman"/>
      <family val="1"/>
    </font>
    <font>
      <sz val="10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3B5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</cellStyleXfs>
  <cellXfs count="322">
    <xf numFmtId="0" fontId="0" fillId="0" borderId="0" xfId="0"/>
    <xf numFmtId="0" fontId="1" fillId="2" borderId="1" xfId="0" applyFont="1" applyFill="1" applyBorder="1"/>
    <xf numFmtId="165" fontId="1" fillId="2" borderId="1" xfId="0" applyNumberFormat="1" applyFont="1" applyFill="1" applyBorder="1"/>
    <xf numFmtId="166" fontId="1" fillId="2" borderId="1" xfId="1" applyNumberFormat="1" applyFont="1" applyFill="1" applyBorder="1"/>
    <xf numFmtId="167" fontId="6" fillId="4" borderId="0" xfId="0" applyNumberFormat="1" applyFont="1" applyFill="1"/>
    <xf numFmtId="0" fontId="6" fillId="4" borderId="0" xfId="0" applyFont="1" applyFill="1" applyAlignment="1">
      <alignment horizontal="left"/>
    </xf>
    <xf numFmtId="0" fontId="6" fillId="4" borderId="0" xfId="0" applyFont="1" applyFill="1"/>
    <xf numFmtId="0" fontId="6" fillId="6" borderId="0" xfId="0" applyFont="1" applyFill="1"/>
    <xf numFmtId="167" fontId="5" fillId="4" borderId="0" xfId="0" applyNumberFormat="1" applyFont="1" applyFill="1"/>
    <xf numFmtId="0" fontId="5" fillId="4" borderId="0" xfId="0" applyFont="1" applyFill="1" applyAlignment="1">
      <alignment horizontal="left"/>
    </xf>
    <xf numFmtId="0" fontId="5" fillId="4" borderId="0" xfId="0" applyFont="1" applyFill="1"/>
    <xf numFmtId="0" fontId="5" fillId="0" borderId="0" xfId="0" applyFont="1"/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/>
    <xf numFmtId="0" fontId="6" fillId="4" borderId="1" xfId="0" quotePrefix="1" applyFont="1" applyFill="1" applyBorder="1" applyAlignment="1">
      <alignment horizontal="center"/>
    </xf>
    <xf numFmtId="167" fontId="6" fillId="4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1" fontId="6" fillId="4" borderId="1" xfId="0" quotePrefix="1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/>
    <xf numFmtId="0" fontId="6" fillId="3" borderId="1" xfId="0" quotePrefix="1" applyFont="1" applyFill="1" applyBorder="1" applyAlignment="1">
      <alignment horizontal="center"/>
    </xf>
    <xf numFmtId="167" fontId="6" fillId="3" borderId="1" xfId="0" applyNumberFormat="1" applyFont="1" applyFill="1" applyBorder="1" applyAlignment="1">
      <alignment horizontal="center"/>
    </xf>
    <xf numFmtId="167" fontId="6" fillId="3" borderId="0" xfId="0" applyNumberFormat="1" applyFont="1" applyFill="1" applyAlignment="1">
      <alignment horizontal="center"/>
    </xf>
    <xf numFmtId="0" fontId="6" fillId="3" borderId="8" xfId="0" applyFont="1" applyFill="1" applyBorder="1" applyAlignment="1">
      <alignment horizontal="left"/>
    </xf>
    <xf numFmtId="1" fontId="6" fillId="3" borderId="8" xfId="0" quotePrefix="1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7" fillId="3" borderId="1" xfId="2" applyFont="1" applyFill="1" applyBorder="1" applyAlignment="1">
      <alignment horizontal="left" vertical="center"/>
    </xf>
    <xf numFmtId="1" fontId="6" fillId="3" borderId="1" xfId="0" quotePrefix="1" applyNumberFormat="1" applyFont="1" applyFill="1" applyBorder="1" applyAlignment="1">
      <alignment horizontal="left"/>
    </xf>
    <xf numFmtId="0" fontId="6" fillId="0" borderId="0" xfId="0" applyFont="1"/>
    <xf numFmtId="0" fontId="7" fillId="4" borderId="1" xfId="2" applyFont="1" applyFill="1" applyBorder="1" applyAlignment="1">
      <alignment horizontal="left" vertical="center"/>
    </xf>
    <xf numFmtId="0" fontId="6" fillId="3" borderId="1" xfId="0" quotePrefix="1" applyFont="1" applyFill="1" applyBorder="1" applyAlignment="1">
      <alignment horizontal="left"/>
    </xf>
    <xf numFmtId="14" fontId="6" fillId="3" borderId="1" xfId="0" applyNumberFormat="1" applyFont="1" applyFill="1" applyBorder="1" applyAlignment="1">
      <alignment horizontal="center"/>
    </xf>
    <xf numFmtId="0" fontId="6" fillId="4" borderId="1" xfId="0" quotePrefix="1" applyFont="1" applyFill="1" applyBorder="1" applyAlignment="1">
      <alignment horizontal="left"/>
    </xf>
    <xf numFmtId="0" fontId="8" fillId="4" borderId="1" xfId="0" applyFont="1" applyFill="1" applyBorder="1" applyAlignment="1">
      <alignment horizontal="left"/>
    </xf>
    <xf numFmtId="165" fontId="6" fillId="4" borderId="1" xfId="0" quotePrefix="1" applyNumberFormat="1" applyFont="1" applyFill="1" applyBorder="1" applyAlignment="1">
      <alignment horizontal="center"/>
    </xf>
    <xf numFmtId="0" fontId="6" fillId="8" borderId="0" xfId="0" applyFont="1" applyFill="1"/>
    <xf numFmtId="168" fontId="6" fillId="4" borderId="1" xfId="0" applyNumberFormat="1" applyFont="1" applyFill="1" applyBorder="1" applyAlignment="1">
      <alignment horizontal="center"/>
    </xf>
    <xf numFmtId="168" fontId="6" fillId="3" borderId="1" xfId="0" applyNumberFormat="1" applyFont="1" applyFill="1" applyBorder="1" applyAlignment="1">
      <alignment horizontal="center"/>
    </xf>
    <xf numFmtId="165" fontId="6" fillId="3" borderId="1" xfId="0" quotePrefix="1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10" fillId="4" borderId="1" xfId="0" applyFont="1" applyFill="1" applyBorder="1" applyAlignment="1">
      <alignment vertical="center"/>
    </xf>
    <xf numFmtId="43" fontId="5" fillId="5" borderId="9" xfId="1" applyFont="1" applyFill="1" applyBorder="1" applyAlignment="1">
      <alignment horizontal="left" vertical="center"/>
    </xf>
    <xf numFmtId="43" fontId="6" fillId="5" borderId="10" xfId="1" applyFont="1" applyFill="1" applyBorder="1" applyAlignment="1">
      <alignment horizontal="center" vertical="center"/>
    </xf>
    <xf numFmtId="43" fontId="5" fillId="5" borderId="11" xfId="1" applyFont="1" applyFill="1" applyBorder="1" applyAlignment="1">
      <alignment horizontal="center" vertical="center"/>
    </xf>
    <xf numFmtId="43" fontId="5" fillId="5" borderId="12" xfId="1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166" fontId="5" fillId="5" borderId="12" xfId="1" applyNumberFormat="1" applyFont="1" applyFill="1" applyBorder="1" applyAlignment="1">
      <alignment horizontal="center" vertical="center"/>
    </xf>
    <xf numFmtId="166" fontId="5" fillId="4" borderId="12" xfId="1" applyNumberFormat="1" applyFont="1" applyFill="1" applyBorder="1" applyAlignment="1">
      <alignment horizontal="center" vertical="center"/>
    </xf>
    <xf numFmtId="1" fontId="5" fillId="5" borderId="12" xfId="0" applyNumberFormat="1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43" fontId="5" fillId="4" borderId="0" xfId="1" applyFont="1" applyFill="1" applyBorder="1"/>
    <xf numFmtId="43" fontId="6" fillId="4" borderId="0" xfId="1" applyFont="1" applyFill="1" applyBorder="1" applyAlignment="1">
      <alignment horizontal="center"/>
    </xf>
    <xf numFmtId="43" fontId="5" fillId="4" borderId="0" xfId="1" applyFont="1" applyFill="1" applyBorder="1" applyAlignment="1">
      <alignment horizontal="center"/>
    </xf>
    <xf numFmtId="164" fontId="6" fillId="4" borderId="0" xfId="0" applyNumberFormat="1" applyFont="1" applyFill="1" applyAlignment="1">
      <alignment horizontal="center"/>
    </xf>
    <xf numFmtId="43" fontId="5" fillId="4" borderId="0" xfId="1" applyFont="1" applyFill="1" applyBorder="1" applyAlignment="1">
      <alignment vertical="center"/>
    </xf>
    <xf numFmtId="1" fontId="5" fillId="4" borderId="0" xfId="1" applyNumberFormat="1" applyFont="1" applyFill="1" applyBorder="1" applyAlignment="1">
      <alignment vertical="center"/>
    </xf>
    <xf numFmtId="43" fontId="5" fillId="9" borderId="0" xfId="1" applyFont="1" applyFill="1" applyBorder="1"/>
    <xf numFmtId="0" fontId="6" fillId="4" borderId="0" xfId="0" applyFont="1" applyFill="1" applyAlignment="1">
      <alignment horizontal="center"/>
    </xf>
    <xf numFmtId="43" fontId="6" fillId="4" borderId="0" xfId="0" applyNumberFormat="1" applyFont="1" applyFill="1" applyAlignment="1">
      <alignment horizontal="center"/>
    </xf>
    <xf numFmtId="170" fontId="6" fillId="4" borderId="0" xfId="3" applyNumberFormat="1" applyFont="1" applyFill="1" applyAlignment="1"/>
    <xf numFmtId="1" fontId="6" fillId="4" borderId="0" xfId="0" applyNumberFormat="1" applyFont="1" applyFill="1"/>
    <xf numFmtId="0" fontId="6" fillId="0" borderId="0" xfId="0" applyFont="1" applyAlignment="1">
      <alignment horizontal="center"/>
    </xf>
    <xf numFmtId="168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8" fontId="6" fillId="4" borderId="0" xfId="0" applyNumberFormat="1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 applyAlignment="1">
      <alignment horizontal="left" vertical="center"/>
    </xf>
    <xf numFmtId="164" fontId="6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4" borderId="1" xfId="0" applyFont="1" applyFill="1" applyBorder="1" applyAlignment="1">
      <alignment horizontal="right"/>
    </xf>
    <xf numFmtId="0" fontId="6" fillId="3" borderId="0" xfId="0" applyFont="1" applyFill="1"/>
    <xf numFmtId="0" fontId="9" fillId="3" borderId="1" xfId="2" applyFont="1" applyFill="1" applyBorder="1" applyAlignment="1">
      <alignment horizontal="left"/>
    </xf>
    <xf numFmtId="0" fontId="9" fillId="3" borderId="1" xfId="2" quotePrefix="1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wrapText="1"/>
    </xf>
    <xf numFmtId="0" fontId="7" fillId="3" borderId="1" xfId="2" applyFont="1" applyFill="1" applyBorder="1" applyAlignment="1">
      <alignment horizontal="left"/>
    </xf>
    <xf numFmtId="0" fontId="8" fillId="4" borderId="1" xfId="0" applyFont="1" applyFill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6" fillId="0" borderId="1" xfId="0" quotePrefix="1" applyFont="1" applyBorder="1" applyAlignment="1">
      <alignment horizontal="left"/>
    </xf>
    <xf numFmtId="0" fontId="6" fillId="3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/>
    <xf numFmtId="0" fontId="10" fillId="3" borderId="1" xfId="0" applyFont="1" applyFill="1" applyBorder="1" applyAlignment="1">
      <alignment vertical="center"/>
    </xf>
    <xf numFmtId="0" fontId="5" fillId="5" borderId="13" xfId="0" applyFont="1" applyFill="1" applyBorder="1" applyAlignment="1">
      <alignment horizontal="right" vertical="center"/>
    </xf>
    <xf numFmtId="43" fontId="5" fillId="9" borderId="0" xfId="1" applyFont="1" applyFill="1" applyBorder="1" applyAlignment="1">
      <alignment horizontal="right"/>
    </xf>
    <xf numFmtId="0" fontId="6" fillId="4" borderId="0" xfId="0" applyFont="1" applyFill="1" applyAlignment="1">
      <alignment horizontal="right"/>
    </xf>
    <xf numFmtId="168" fontId="6" fillId="4" borderId="0" xfId="0" applyNumberFormat="1" applyFont="1" applyFill="1" applyAlignment="1">
      <alignment horizontal="right"/>
    </xf>
    <xf numFmtId="0" fontId="6" fillId="0" borderId="0" xfId="0" applyFont="1" applyAlignment="1">
      <alignment horizontal="right"/>
    </xf>
    <xf numFmtId="9" fontId="6" fillId="0" borderId="0" xfId="4" applyFont="1" applyAlignment="1">
      <alignment horizontal="center"/>
    </xf>
    <xf numFmtId="1" fontId="6" fillId="4" borderId="1" xfId="0" quotePrefix="1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43" fontId="5" fillId="9" borderId="0" xfId="1" applyFont="1" applyFill="1" applyBorder="1" applyAlignment="1">
      <alignment horizontal="center"/>
    </xf>
    <xf numFmtId="168" fontId="6" fillId="4" borderId="0" xfId="0" applyNumberFormat="1" applyFont="1" applyFill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6" fillId="10" borderId="1" xfId="0" applyFont="1" applyFill="1" applyBorder="1"/>
    <xf numFmtId="0" fontId="6" fillId="10" borderId="1" xfId="0" quotePrefix="1" applyFont="1" applyFill="1" applyBorder="1" applyAlignment="1">
      <alignment horizontal="center"/>
    </xf>
    <xf numFmtId="167" fontId="6" fillId="10" borderId="1" xfId="0" applyNumberFormat="1" applyFont="1" applyFill="1" applyBorder="1" applyAlignment="1">
      <alignment horizontal="center"/>
    </xf>
    <xf numFmtId="0" fontId="6" fillId="10" borderId="1" xfId="0" applyFont="1" applyFill="1" applyBorder="1" applyAlignment="1">
      <alignment horizontal="left"/>
    </xf>
    <xf numFmtId="1" fontId="6" fillId="10" borderId="1" xfId="0" quotePrefix="1" applyNumberFormat="1" applyFont="1" applyFill="1" applyBorder="1" applyAlignment="1">
      <alignment horizontal="left"/>
    </xf>
    <xf numFmtId="0" fontId="6" fillId="10" borderId="1" xfId="0" quotePrefix="1" applyFont="1" applyFill="1" applyBorder="1" applyAlignment="1">
      <alignment horizontal="left"/>
    </xf>
    <xf numFmtId="0" fontId="6" fillId="11" borderId="1" xfId="0" applyFont="1" applyFill="1" applyBorder="1" applyAlignment="1">
      <alignment horizontal="center"/>
    </xf>
    <xf numFmtId="0" fontId="6" fillId="11" borderId="1" xfId="0" applyFont="1" applyFill="1" applyBorder="1"/>
    <xf numFmtId="0" fontId="6" fillId="11" borderId="1" xfId="0" quotePrefix="1" applyFont="1" applyFill="1" applyBorder="1" applyAlignment="1">
      <alignment horizontal="center"/>
    </xf>
    <xf numFmtId="167" fontId="6" fillId="11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left"/>
    </xf>
    <xf numFmtId="1" fontId="6" fillId="11" borderId="1" xfId="0" quotePrefix="1" applyNumberFormat="1" applyFont="1" applyFill="1" applyBorder="1" applyAlignment="1">
      <alignment horizontal="left"/>
    </xf>
    <xf numFmtId="0" fontId="6" fillId="11" borderId="1" xfId="0" quotePrefix="1" applyFont="1" applyFill="1" applyBorder="1" applyAlignment="1">
      <alignment horizontal="left"/>
    </xf>
    <xf numFmtId="17" fontId="6" fillId="4" borderId="1" xfId="0" applyNumberFormat="1" applyFont="1" applyFill="1" applyBorder="1" applyAlignment="1">
      <alignment horizontal="center"/>
    </xf>
    <xf numFmtId="0" fontId="8" fillId="4" borderId="5" xfId="0" applyFont="1" applyFill="1" applyBorder="1" applyAlignment="1">
      <alignment horizontal="left"/>
    </xf>
    <xf numFmtId="0" fontId="11" fillId="4" borderId="1" xfId="0" applyFont="1" applyFill="1" applyBorder="1"/>
    <xf numFmtId="0" fontId="12" fillId="4" borderId="1" xfId="0" applyFont="1" applyFill="1" applyBorder="1" applyAlignment="1">
      <alignment horizontal="left"/>
    </xf>
    <xf numFmtId="14" fontId="6" fillId="3" borderId="1" xfId="0" applyNumberFormat="1" applyFont="1" applyFill="1" applyBorder="1" applyAlignment="1">
      <alignment horizontal="left"/>
    </xf>
    <xf numFmtId="14" fontId="8" fillId="3" borderId="1" xfId="0" applyNumberFormat="1" applyFont="1" applyFill="1" applyBorder="1" applyAlignment="1">
      <alignment horizontal="left"/>
    </xf>
    <xf numFmtId="14" fontId="8" fillId="3" borderId="5" xfId="0" applyNumberFormat="1" applyFont="1" applyFill="1" applyBorder="1" applyAlignment="1">
      <alignment horizontal="left"/>
    </xf>
    <xf numFmtId="0" fontId="6" fillId="4" borderId="8" xfId="0" applyFont="1" applyFill="1" applyBorder="1" applyAlignment="1">
      <alignment horizontal="left"/>
    </xf>
    <xf numFmtId="1" fontId="6" fillId="4" borderId="8" xfId="0" quotePrefix="1" applyNumberFormat="1" applyFont="1" applyFill="1" applyBorder="1" applyAlignment="1">
      <alignment horizontal="left"/>
    </xf>
    <xf numFmtId="14" fontId="6" fillId="3" borderId="5" xfId="0" applyNumberFormat="1" applyFont="1" applyFill="1" applyBorder="1" applyAlignment="1">
      <alignment horizontal="center"/>
    </xf>
    <xf numFmtId="0" fontId="6" fillId="10" borderId="0" xfId="0" applyFont="1" applyFill="1"/>
    <xf numFmtId="14" fontId="6" fillId="3" borderId="1" xfId="0" quotePrefix="1" applyNumberFormat="1" applyFont="1" applyFill="1" applyBorder="1" applyAlignment="1">
      <alignment horizontal="left"/>
    </xf>
    <xf numFmtId="14" fontId="6" fillId="4" borderId="1" xfId="0" applyNumberFormat="1" applyFont="1" applyFill="1" applyBorder="1" applyAlignment="1">
      <alignment horizontal="center"/>
    </xf>
    <xf numFmtId="14" fontId="8" fillId="4" borderId="1" xfId="0" applyNumberFormat="1" applyFont="1" applyFill="1" applyBorder="1" applyAlignment="1">
      <alignment horizontal="center"/>
    </xf>
    <xf numFmtId="168" fontId="6" fillId="10" borderId="1" xfId="0" applyNumberFormat="1" applyFont="1" applyFill="1" applyBorder="1" applyAlignment="1">
      <alignment horizontal="center"/>
    </xf>
    <xf numFmtId="165" fontId="6" fillId="10" borderId="1" xfId="0" quotePrefix="1" applyNumberFormat="1" applyFont="1" applyFill="1" applyBorder="1" applyAlignment="1">
      <alignment horizontal="center"/>
    </xf>
    <xf numFmtId="0" fontId="8" fillId="10" borderId="1" xfId="0" applyFont="1" applyFill="1" applyBorder="1" applyAlignment="1">
      <alignment horizontal="left"/>
    </xf>
    <xf numFmtId="14" fontId="6" fillId="4" borderId="0" xfId="0" applyNumberFormat="1" applyFont="1" applyFill="1"/>
    <xf numFmtId="14" fontId="6" fillId="0" borderId="0" xfId="0" applyNumberFormat="1" applyFont="1"/>
    <xf numFmtId="14" fontId="6" fillId="8" borderId="0" xfId="0" applyNumberFormat="1" applyFont="1" applyFill="1"/>
    <xf numFmtId="16" fontId="6" fillId="3" borderId="0" xfId="0" applyNumberFormat="1" applyFont="1" applyFill="1"/>
    <xf numFmtId="17" fontId="8" fillId="3" borderId="5" xfId="0" applyNumberFormat="1" applyFont="1" applyFill="1" applyBorder="1" applyAlignment="1">
      <alignment horizontal="left"/>
    </xf>
    <xf numFmtId="0" fontId="6" fillId="3" borderId="7" xfId="0" quotePrefix="1" applyFont="1" applyFill="1" applyBorder="1" applyAlignment="1">
      <alignment horizontal="left"/>
    </xf>
    <xf numFmtId="16" fontId="6" fillId="0" borderId="0" xfId="0" applyNumberFormat="1" applyFont="1"/>
    <xf numFmtId="0" fontId="11" fillId="11" borderId="1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left"/>
    </xf>
    <xf numFmtId="165" fontId="11" fillId="11" borderId="1" xfId="0" quotePrefix="1" applyNumberFormat="1" applyFont="1" applyFill="1" applyBorder="1" applyAlignment="1">
      <alignment horizontal="center"/>
    </xf>
    <xf numFmtId="167" fontId="11" fillId="11" borderId="1" xfId="0" applyNumberFormat="1" applyFont="1" applyFill="1" applyBorder="1" applyAlignment="1">
      <alignment horizontal="center"/>
    </xf>
    <xf numFmtId="0" fontId="11" fillId="11" borderId="1" xfId="0" quotePrefix="1" applyFont="1" applyFill="1" applyBorder="1" applyAlignment="1">
      <alignment horizontal="left"/>
    </xf>
    <xf numFmtId="1" fontId="11" fillId="11" borderId="1" xfId="0" quotePrefix="1" applyNumberFormat="1" applyFont="1" applyFill="1" applyBorder="1" applyAlignment="1">
      <alignment horizontal="left"/>
    </xf>
    <xf numFmtId="17" fontId="6" fillId="4" borderId="0" xfId="0" applyNumberFormat="1" applyFont="1" applyFill="1"/>
    <xf numFmtId="14" fontId="5" fillId="4" borderId="0" xfId="0" applyNumberFormat="1" applyFont="1" applyFill="1"/>
    <xf numFmtId="14" fontId="6" fillId="3" borderId="0" xfId="0" applyNumberFormat="1" applyFont="1" applyFill="1"/>
    <xf numFmtId="0" fontId="8" fillId="3" borderId="1" xfId="0" applyFont="1" applyFill="1" applyBorder="1" applyAlignment="1">
      <alignment horizontal="left"/>
    </xf>
    <xf numFmtId="0" fontId="11" fillId="3" borderId="1" xfId="0" applyFont="1" applyFill="1" applyBorder="1"/>
    <xf numFmtId="14" fontId="8" fillId="10" borderId="1" xfId="0" applyNumberFormat="1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/>
    </xf>
    <xf numFmtId="0" fontId="11" fillId="10" borderId="1" xfId="0" applyFont="1" applyFill="1" applyBorder="1" applyAlignment="1">
      <alignment horizontal="left"/>
    </xf>
    <xf numFmtId="165" fontId="11" fillId="10" borderId="1" xfId="0" quotePrefix="1" applyNumberFormat="1" applyFont="1" applyFill="1" applyBorder="1" applyAlignment="1">
      <alignment horizontal="center"/>
    </xf>
    <xf numFmtId="167" fontId="11" fillId="10" borderId="1" xfId="0" applyNumberFormat="1" applyFont="1" applyFill="1" applyBorder="1" applyAlignment="1">
      <alignment horizontal="center"/>
    </xf>
    <xf numFmtId="0" fontId="11" fillId="10" borderId="1" xfId="0" quotePrefix="1" applyFont="1" applyFill="1" applyBorder="1" applyAlignment="1">
      <alignment horizontal="left"/>
    </xf>
    <xf numFmtId="0" fontId="12" fillId="10" borderId="1" xfId="0" applyFont="1" applyFill="1" applyBorder="1" applyAlignment="1">
      <alignment horizontal="left"/>
    </xf>
    <xf numFmtId="17" fontId="6" fillId="3" borderId="1" xfId="0" applyNumberFormat="1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167" fontId="6" fillId="13" borderId="1" xfId="0" applyNumberFormat="1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/>
    </xf>
    <xf numFmtId="0" fontId="6" fillId="14" borderId="1" xfId="0" applyFont="1" applyFill="1" applyBorder="1"/>
    <xf numFmtId="0" fontId="6" fillId="14" borderId="1" xfId="0" quotePrefix="1" applyFont="1" applyFill="1" applyBorder="1" applyAlignment="1">
      <alignment horizontal="center"/>
    </xf>
    <xf numFmtId="167" fontId="6" fillId="14" borderId="1" xfId="0" applyNumberFormat="1" applyFont="1" applyFill="1" applyBorder="1" applyAlignment="1">
      <alignment horizontal="center"/>
    </xf>
    <xf numFmtId="0" fontId="6" fillId="14" borderId="1" xfId="0" applyFont="1" applyFill="1" applyBorder="1" applyAlignment="1">
      <alignment horizontal="left"/>
    </xf>
    <xf numFmtId="1" fontId="6" fillId="14" borderId="1" xfId="0" quotePrefix="1" applyNumberFormat="1" applyFont="1" applyFill="1" applyBorder="1" applyAlignment="1">
      <alignment horizontal="left"/>
    </xf>
    <xf numFmtId="0" fontId="7" fillId="14" borderId="1" xfId="2" applyFont="1" applyFill="1" applyBorder="1" applyAlignment="1">
      <alignment horizontal="left" vertical="center"/>
    </xf>
    <xf numFmtId="0" fontId="9" fillId="14" borderId="1" xfId="2" applyFont="1" applyFill="1" applyBorder="1" applyAlignment="1">
      <alignment horizontal="left"/>
    </xf>
    <xf numFmtId="0" fontId="6" fillId="14" borderId="1" xfId="0" quotePrefix="1" applyFont="1" applyFill="1" applyBorder="1" applyAlignment="1">
      <alignment horizontal="left"/>
    </xf>
    <xf numFmtId="0" fontId="6" fillId="14" borderId="0" xfId="0" applyFont="1" applyFill="1"/>
    <xf numFmtId="0" fontId="7" fillId="14" borderId="1" xfId="2" applyFont="1" applyFill="1" applyBorder="1" applyAlignment="1">
      <alignment horizontal="left"/>
    </xf>
    <xf numFmtId="165" fontId="6" fillId="14" borderId="1" xfId="0" quotePrefix="1" applyNumberFormat="1" applyFont="1" applyFill="1" applyBorder="1" applyAlignment="1">
      <alignment horizontal="center"/>
    </xf>
    <xf numFmtId="0" fontId="8" fillId="14" borderId="1" xfId="0" applyFont="1" applyFill="1" applyBorder="1" applyAlignment="1">
      <alignment horizontal="left"/>
    </xf>
    <xf numFmtId="0" fontId="8" fillId="14" borderId="1" xfId="0" quotePrefix="1" applyFont="1" applyFill="1" applyBorder="1" applyAlignment="1">
      <alignment horizontal="left"/>
    </xf>
    <xf numFmtId="0" fontId="6" fillId="14" borderId="0" xfId="0" applyFont="1" applyFill="1" applyAlignment="1">
      <alignment horizontal="center"/>
    </xf>
    <xf numFmtId="0" fontId="8" fillId="14" borderId="5" xfId="0" applyFont="1" applyFill="1" applyBorder="1" applyAlignment="1">
      <alignment horizontal="left"/>
    </xf>
    <xf numFmtId="168" fontId="6" fillId="14" borderId="1" xfId="0" applyNumberFormat="1" applyFont="1" applyFill="1" applyBorder="1" applyAlignment="1">
      <alignment horizontal="center"/>
    </xf>
    <xf numFmtId="0" fontId="6" fillId="14" borderId="2" xfId="0" applyFont="1" applyFill="1" applyBorder="1" applyAlignment="1">
      <alignment horizontal="center"/>
    </xf>
    <xf numFmtId="0" fontId="10" fillId="14" borderId="1" xfId="0" applyFont="1" applyFill="1" applyBorder="1" applyAlignment="1">
      <alignment vertical="center"/>
    </xf>
    <xf numFmtId="0" fontId="10" fillId="14" borderId="1" xfId="0" applyFont="1" applyFill="1" applyBorder="1"/>
    <xf numFmtId="166" fontId="6" fillId="0" borderId="0" xfId="0" applyNumberFormat="1" applyFont="1" applyAlignment="1">
      <alignment vertical="center"/>
    </xf>
    <xf numFmtId="171" fontId="6" fillId="4" borderId="0" xfId="0" applyNumberFormat="1" applyFont="1" applyFill="1"/>
    <xf numFmtId="171" fontId="5" fillId="4" borderId="0" xfId="0" applyNumberFormat="1" applyFont="1" applyFill="1"/>
    <xf numFmtId="171" fontId="6" fillId="3" borderId="0" xfId="0" applyNumberFormat="1" applyFont="1" applyFill="1"/>
    <xf numFmtId="171" fontId="6" fillId="3" borderId="1" xfId="0" applyNumberFormat="1" applyFont="1" applyFill="1" applyBorder="1" applyAlignment="1">
      <alignment horizontal="center"/>
    </xf>
    <xf numFmtId="171" fontId="6" fillId="4" borderId="1" xfId="0" applyNumberFormat="1" applyFont="1" applyFill="1" applyBorder="1" applyAlignment="1">
      <alignment horizontal="center" wrapText="1"/>
    </xf>
    <xf numFmtId="1" fontId="11" fillId="10" borderId="1" xfId="0" quotePrefix="1" applyNumberFormat="1" applyFont="1" applyFill="1" applyBorder="1" applyAlignment="1">
      <alignment horizontal="left"/>
    </xf>
    <xf numFmtId="0" fontId="9" fillId="4" borderId="1" xfId="2" applyFont="1" applyFill="1" applyBorder="1" applyAlignment="1">
      <alignment horizontal="left"/>
    </xf>
    <xf numFmtId="1" fontId="6" fillId="0" borderId="1" xfId="0" quotePrefix="1" applyNumberFormat="1" applyFont="1" applyBorder="1" applyAlignment="1">
      <alignment horizontal="left"/>
    </xf>
    <xf numFmtId="0" fontId="8" fillId="4" borderId="1" xfId="0" quotePrefix="1" applyFont="1" applyFill="1" applyBorder="1" applyAlignment="1">
      <alignment horizontal="left"/>
    </xf>
    <xf numFmtId="0" fontId="7" fillId="4" borderId="1" xfId="2" applyFont="1" applyFill="1" applyBorder="1" applyAlignment="1">
      <alignment horizontal="left"/>
    </xf>
    <xf numFmtId="172" fontId="6" fillId="3" borderId="1" xfId="0" applyNumberFormat="1" applyFont="1" applyFill="1" applyBorder="1" applyAlignment="1">
      <alignment horizontal="left"/>
    </xf>
    <xf numFmtId="172" fontId="6" fillId="3" borderId="1" xfId="0" quotePrefix="1" applyNumberFormat="1" applyFont="1" applyFill="1" applyBorder="1" applyAlignment="1">
      <alignment horizontal="left"/>
    </xf>
    <xf numFmtId="172" fontId="6" fillId="4" borderId="1" xfId="0" applyNumberFormat="1" applyFont="1" applyFill="1" applyBorder="1" applyAlignment="1">
      <alignment horizontal="left"/>
    </xf>
    <xf numFmtId="172" fontId="6" fillId="4" borderId="1" xfId="0" quotePrefix="1" applyNumberFormat="1" applyFont="1" applyFill="1" applyBorder="1" applyAlignment="1">
      <alignment horizontal="left"/>
    </xf>
    <xf numFmtId="172" fontId="8" fillId="3" borderId="1" xfId="0" applyNumberFormat="1" applyFont="1" applyFill="1" applyBorder="1" applyAlignment="1">
      <alignment horizontal="left"/>
    </xf>
    <xf numFmtId="172" fontId="6" fillId="10" borderId="1" xfId="0" quotePrefix="1" applyNumberFormat="1" applyFont="1" applyFill="1" applyBorder="1" applyAlignment="1">
      <alignment horizontal="left"/>
    </xf>
    <xf numFmtId="172" fontId="8" fillId="4" borderId="5" xfId="0" applyNumberFormat="1" applyFont="1" applyFill="1" applyBorder="1" applyAlignment="1">
      <alignment horizontal="left"/>
    </xf>
    <xf numFmtId="172" fontId="8" fillId="3" borderId="5" xfId="0" applyNumberFormat="1" applyFont="1" applyFill="1" applyBorder="1" applyAlignment="1">
      <alignment horizontal="left"/>
    </xf>
    <xf numFmtId="172" fontId="8" fillId="10" borderId="1" xfId="0" applyNumberFormat="1" applyFont="1" applyFill="1" applyBorder="1" applyAlignment="1">
      <alignment horizontal="left"/>
    </xf>
    <xf numFmtId="172" fontId="8" fillId="4" borderId="1" xfId="0" applyNumberFormat="1" applyFont="1" applyFill="1" applyBorder="1" applyAlignment="1">
      <alignment horizontal="left"/>
    </xf>
    <xf numFmtId="172" fontId="12" fillId="10" borderId="1" xfId="0" applyNumberFormat="1" applyFont="1" applyFill="1" applyBorder="1" applyAlignment="1">
      <alignment horizontal="left"/>
    </xf>
    <xf numFmtId="172" fontId="6" fillId="10" borderId="1" xfId="0" applyNumberFormat="1" applyFont="1" applyFill="1" applyBorder="1" applyAlignment="1">
      <alignment horizontal="left"/>
    </xf>
    <xf numFmtId="172" fontId="6" fillId="0" borderId="1" xfId="0" applyNumberFormat="1" applyFont="1" applyBorder="1" applyAlignment="1">
      <alignment horizontal="left"/>
    </xf>
    <xf numFmtId="172" fontId="6" fillId="3" borderId="5" xfId="0" applyNumberFormat="1" applyFont="1" applyFill="1" applyBorder="1" applyAlignment="1">
      <alignment horizontal="left"/>
    </xf>
    <xf numFmtId="172" fontId="5" fillId="5" borderId="13" xfId="0" applyNumberFormat="1" applyFont="1" applyFill="1" applyBorder="1" applyAlignment="1">
      <alignment horizontal="left" vertical="center"/>
    </xf>
    <xf numFmtId="172" fontId="5" fillId="9" borderId="0" xfId="1" applyNumberFormat="1" applyFont="1" applyFill="1" applyBorder="1" applyAlignment="1">
      <alignment horizontal="left"/>
    </xf>
    <xf numFmtId="172" fontId="6" fillId="4" borderId="0" xfId="0" applyNumberFormat="1" applyFont="1" applyFill="1" applyAlignment="1">
      <alignment horizontal="left"/>
    </xf>
    <xf numFmtId="172" fontId="6" fillId="0" borderId="0" xfId="0" applyNumberFormat="1" applyFont="1" applyAlignment="1">
      <alignment horizontal="left"/>
    </xf>
    <xf numFmtId="9" fontId="6" fillId="4" borderId="0" xfId="4" applyFont="1" applyFill="1" applyAlignment="1">
      <alignment horizontal="center"/>
    </xf>
    <xf numFmtId="14" fontId="8" fillId="10" borderId="1" xfId="0" applyNumberFormat="1" applyFont="1" applyFill="1" applyBorder="1" applyAlignment="1">
      <alignment horizontal="left"/>
    </xf>
    <xf numFmtId="14" fontId="6" fillId="4" borderId="1" xfId="0" applyNumberFormat="1" applyFont="1" applyFill="1" applyBorder="1" applyAlignment="1">
      <alignment horizontal="center" wrapText="1"/>
    </xf>
    <xf numFmtId="0" fontId="5" fillId="5" borderId="13" xfId="0" applyFont="1" applyFill="1" applyBorder="1" applyAlignment="1">
      <alignment horizontal="left" vertical="center"/>
    </xf>
    <xf numFmtId="43" fontId="5" fillId="9" borderId="0" xfId="1" applyFont="1" applyFill="1" applyBorder="1" applyAlignment="1">
      <alignment horizontal="left"/>
    </xf>
    <xf numFmtId="168" fontId="6" fillId="4" borderId="0" xfId="0" applyNumberFormat="1" applyFont="1" applyFill="1" applyAlignment="1">
      <alignment horizontal="left"/>
    </xf>
    <xf numFmtId="0" fontId="6" fillId="0" borderId="0" xfId="0" applyFont="1" applyAlignment="1">
      <alignment horizontal="left"/>
    </xf>
    <xf numFmtId="14" fontId="6" fillId="4" borderId="1" xfId="0" applyNumberFormat="1" applyFont="1" applyFill="1" applyBorder="1" applyAlignment="1">
      <alignment horizontal="left"/>
    </xf>
    <xf numFmtId="14" fontId="6" fillId="4" borderId="1" xfId="0" quotePrefix="1" applyNumberFormat="1" applyFont="1" applyFill="1" applyBorder="1" applyAlignment="1">
      <alignment horizontal="left"/>
    </xf>
    <xf numFmtId="14" fontId="8" fillId="4" borderId="1" xfId="0" applyNumberFormat="1" applyFont="1" applyFill="1" applyBorder="1" applyAlignment="1">
      <alignment horizontal="left"/>
    </xf>
    <xf numFmtId="14" fontId="8" fillId="4" borderId="5" xfId="0" applyNumberFormat="1" applyFont="1" applyFill="1" applyBorder="1" applyAlignment="1">
      <alignment horizontal="left"/>
    </xf>
    <xf numFmtId="14" fontId="5" fillId="5" borderId="13" xfId="0" applyNumberFormat="1" applyFont="1" applyFill="1" applyBorder="1" applyAlignment="1">
      <alignment horizontal="left" vertical="center"/>
    </xf>
    <xf numFmtId="14" fontId="5" fillId="9" borderId="0" xfId="1" applyNumberFormat="1" applyFont="1" applyFill="1" applyBorder="1" applyAlignment="1">
      <alignment horizontal="left"/>
    </xf>
    <xf numFmtId="14" fontId="6" fillId="10" borderId="1" xfId="0" applyNumberFormat="1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12" fillId="10" borderId="1" xfId="0" applyNumberFormat="1" applyFont="1" applyFill="1" applyBorder="1" applyAlignment="1">
      <alignment horizontal="left"/>
    </xf>
    <xf numFmtId="14" fontId="5" fillId="5" borderId="13" xfId="0" applyNumberFormat="1" applyFont="1" applyFill="1" applyBorder="1" applyAlignment="1">
      <alignment horizontal="center" vertical="center"/>
    </xf>
    <xf numFmtId="14" fontId="5" fillId="9" borderId="0" xfId="1" applyNumberFormat="1" applyFont="1" applyFill="1" applyBorder="1"/>
    <xf numFmtId="14" fontId="6" fillId="3" borderId="5" xfId="0" applyNumberFormat="1" applyFont="1" applyFill="1" applyBorder="1" applyAlignment="1">
      <alignment horizontal="left"/>
    </xf>
    <xf numFmtId="17" fontId="6" fillId="3" borderId="1" xfId="0" applyNumberFormat="1" applyFont="1" applyFill="1" applyBorder="1" applyAlignment="1">
      <alignment horizontal="left"/>
    </xf>
    <xf numFmtId="9" fontId="6" fillId="4" borderId="0" xfId="4" applyFont="1" applyFill="1" applyAlignment="1">
      <alignment horizontal="left"/>
    </xf>
    <xf numFmtId="14" fontId="6" fillId="10" borderId="1" xfId="0" applyNumberFormat="1" applyFont="1" applyFill="1" applyBorder="1" applyAlignment="1">
      <alignment horizontal="left"/>
    </xf>
    <xf numFmtId="0" fontId="14" fillId="4" borderId="0" xfId="0" applyFont="1" applyFill="1"/>
    <xf numFmtId="0" fontId="14" fillId="14" borderId="1" xfId="0" applyFont="1" applyFill="1" applyBorder="1" applyAlignment="1">
      <alignment horizontal="left"/>
    </xf>
    <xf numFmtId="167" fontId="14" fillId="4" borderId="0" xfId="0" applyNumberFormat="1" applyFont="1" applyFill="1"/>
    <xf numFmtId="0" fontId="14" fillId="0" borderId="0" xfId="0" applyFont="1" applyAlignment="1">
      <alignment vertical="center"/>
    </xf>
    <xf numFmtId="14" fontId="6" fillId="10" borderId="1" xfId="0" quotePrefix="1" applyNumberFormat="1" applyFont="1" applyFill="1" applyBorder="1" applyAlignment="1">
      <alignment horizontal="left"/>
    </xf>
    <xf numFmtId="14" fontId="6" fillId="10" borderId="0" xfId="0" applyNumberFormat="1" applyFont="1" applyFill="1"/>
    <xf numFmtId="14" fontId="5" fillId="3" borderId="1" xfId="0" applyNumberFormat="1" applyFont="1" applyFill="1" applyBorder="1" applyAlignment="1">
      <alignment horizontal="left"/>
    </xf>
    <xf numFmtId="14" fontId="5" fillId="3" borderId="0" xfId="0" applyNumberFormat="1" applyFont="1" applyFill="1"/>
    <xf numFmtId="14" fontId="5" fillId="10" borderId="1" xfId="0" applyNumberFormat="1" applyFont="1" applyFill="1" applyBorder="1" applyAlignment="1">
      <alignment horizontal="left"/>
    </xf>
    <xf numFmtId="14" fontId="5" fillId="4" borderId="1" xfId="0" quotePrefix="1" applyNumberFormat="1" applyFont="1" applyFill="1" applyBorder="1" applyAlignment="1">
      <alignment horizontal="left"/>
    </xf>
    <xf numFmtId="14" fontId="5" fillId="4" borderId="1" xfId="0" applyNumberFormat="1" applyFont="1" applyFill="1" applyBorder="1" applyAlignment="1">
      <alignment horizontal="left"/>
    </xf>
    <xf numFmtId="14" fontId="5" fillId="3" borderId="1" xfId="0" quotePrefix="1" applyNumberFormat="1" applyFont="1" applyFill="1" applyBorder="1" applyAlignment="1">
      <alignment horizontal="left"/>
    </xf>
    <xf numFmtId="171" fontId="5" fillId="3" borderId="0" xfId="0" applyNumberFormat="1" applyFont="1" applyFill="1"/>
    <xf numFmtId="14" fontId="5" fillId="0" borderId="1" xfId="0" applyNumberFormat="1" applyFont="1" applyBorder="1" applyAlignment="1">
      <alignment horizontal="left"/>
    </xf>
    <xf numFmtId="14" fontId="5" fillId="3" borderId="5" xfId="0" applyNumberFormat="1" applyFont="1" applyFill="1" applyBorder="1" applyAlignment="1">
      <alignment horizontal="left"/>
    </xf>
    <xf numFmtId="14" fontId="15" fillId="3" borderId="1" xfId="0" applyNumberFormat="1" applyFont="1" applyFill="1" applyBorder="1" applyAlignment="1">
      <alignment horizontal="left"/>
    </xf>
    <xf numFmtId="14" fontId="5" fillId="10" borderId="1" xfId="0" quotePrefix="1" applyNumberFormat="1" applyFont="1" applyFill="1" applyBorder="1" applyAlignment="1">
      <alignment horizontal="left"/>
    </xf>
    <xf numFmtId="14" fontId="5" fillId="3" borderId="0" xfId="0" applyNumberFormat="1" applyFont="1" applyFill="1" applyAlignment="1">
      <alignment horizontal="left"/>
    </xf>
    <xf numFmtId="14" fontId="15" fillId="4" borderId="5" xfId="0" applyNumberFormat="1" applyFont="1" applyFill="1" applyBorder="1" applyAlignment="1">
      <alignment horizontal="left"/>
    </xf>
    <xf numFmtId="14" fontId="15" fillId="0" borderId="5" xfId="0" applyNumberFormat="1" applyFont="1" applyBorder="1" applyAlignment="1">
      <alignment horizontal="left"/>
    </xf>
    <xf numFmtId="14" fontId="15" fillId="3" borderId="5" xfId="0" applyNumberFormat="1" applyFont="1" applyFill="1" applyBorder="1" applyAlignment="1">
      <alignment horizontal="left"/>
    </xf>
    <xf numFmtId="14" fontId="15" fillId="10" borderId="1" xfId="0" applyNumberFormat="1" applyFont="1" applyFill="1" applyBorder="1" applyAlignment="1">
      <alignment horizontal="left"/>
    </xf>
    <xf numFmtId="14" fontId="15" fillId="4" borderId="1" xfId="0" applyNumberFormat="1" applyFont="1" applyFill="1" applyBorder="1" applyAlignment="1">
      <alignment horizontal="left"/>
    </xf>
    <xf numFmtId="14" fontId="16" fillId="10" borderId="1" xfId="0" applyNumberFormat="1" applyFont="1" applyFill="1" applyBorder="1" applyAlignment="1">
      <alignment horizontal="left"/>
    </xf>
    <xf numFmtId="14" fontId="5" fillId="4" borderId="0" xfId="0" applyNumberFormat="1" applyFont="1" applyFill="1" applyAlignment="1">
      <alignment horizontal="left"/>
    </xf>
    <xf numFmtId="14" fontId="5" fillId="0" borderId="0" xfId="0" applyNumberFormat="1" applyFont="1" applyAlignment="1">
      <alignment horizontal="left"/>
    </xf>
    <xf numFmtId="0" fontId="6" fillId="15" borderId="1" xfId="0" applyFont="1" applyFill="1" applyBorder="1" applyAlignment="1">
      <alignment horizontal="center"/>
    </xf>
    <xf numFmtId="0" fontId="6" fillId="15" borderId="1" xfId="0" applyFont="1" applyFill="1" applyBorder="1" applyAlignment="1">
      <alignment horizontal="left"/>
    </xf>
    <xf numFmtId="168" fontId="6" fillId="15" borderId="1" xfId="0" applyNumberFormat="1" applyFont="1" applyFill="1" applyBorder="1" applyAlignment="1">
      <alignment horizontal="center"/>
    </xf>
    <xf numFmtId="165" fontId="6" fillId="15" borderId="1" xfId="0" quotePrefix="1" applyNumberFormat="1" applyFont="1" applyFill="1" applyBorder="1" applyAlignment="1">
      <alignment horizontal="center"/>
    </xf>
    <xf numFmtId="167" fontId="6" fillId="15" borderId="1" xfId="0" applyNumberFormat="1" applyFont="1" applyFill="1" applyBorder="1" applyAlignment="1">
      <alignment horizontal="center"/>
    </xf>
    <xf numFmtId="0" fontId="6" fillId="15" borderId="1" xfId="0" quotePrefix="1" applyFont="1" applyFill="1" applyBorder="1" applyAlignment="1">
      <alignment horizontal="left"/>
    </xf>
    <xf numFmtId="172" fontId="8" fillId="15" borderId="1" xfId="0" applyNumberFormat="1" applyFont="1" applyFill="1" applyBorder="1" applyAlignment="1">
      <alignment horizontal="left"/>
    </xf>
    <xf numFmtId="171" fontId="6" fillId="15" borderId="0" xfId="0" applyNumberFormat="1" applyFont="1" applyFill="1"/>
    <xf numFmtId="0" fontId="6" fillId="15" borderId="0" xfId="0" applyFont="1" applyFill="1"/>
    <xf numFmtId="0" fontId="8" fillId="15" borderId="1" xfId="0" applyFont="1" applyFill="1" applyBorder="1" applyAlignment="1">
      <alignment horizontal="left"/>
    </xf>
    <xf numFmtId="1" fontId="6" fillId="15" borderId="1" xfId="0" quotePrefix="1" applyNumberFormat="1" applyFont="1" applyFill="1" applyBorder="1" applyAlignment="1">
      <alignment horizontal="left"/>
    </xf>
    <xf numFmtId="14" fontId="8" fillId="15" borderId="1" xfId="0" applyNumberFormat="1" applyFont="1" applyFill="1" applyBorder="1" applyAlignment="1">
      <alignment horizontal="left"/>
    </xf>
    <xf numFmtId="14" fontId="6" fillId="15" borderId="0" xfId="0" applyNumberFormat="1" applyFont="1" applyFill="1"/>
    <xf numFmtId="14" fontId="15" fillId="15" borderId="1" xfId="0" applyNumberFormat="1" applyFont="1" applyFill="1" applyBorder="1" applyAlignment="1">
      <alignment horizontal="left"/>
    </xf>
    <xf numFmtId="0" fontId="6" fillId="4" borderId="7" xfId="0" quotePrefix="1" applyFont="1" applyFill="1" applyBorder="1" applyAlignment="1">
      <alignment horizontal="left"/>
    </xf>
    <xf numFmtId="167" fontId="6" fillId="3" borderId="0" xfId="0" applyNumberFormat="1" applyFont="1" applyFill="1"/>
    <xf numFmtId="0" fontId="9" fillId="4" borderId="1" xfId="2" quotePrefix="1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center"/>
    </xf>
    <xf numFmtId="167" fontId="6" fillId="10" borderId="0" xfId="0" applyNumberFormat="1" applyFont="1" applyFill="1"/>
    <xf numFmtId="17" fontId="8" fillId="0" borderId="5" xfId="0" applyNumberFormat="1" applyFont="1" applyBorder="1" applyAlignment="1">
      <alignment horizontal="left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left"/>
    </xf>
    <xf numFmtId="167" fontId="11" fillId="3" borderId="1" xfId="0" applyNumberFormat="1" applyFont="1" applyFill="1" applyBorder="1" applyAlignment="1">
      <alignment horizontal="center"/>
    </xf>
    <xf numFmtId="0" fontId="7" fillId="10" borderId="1" xfId="2" applyFont="1" applyFill="1" applyBorder="1" applyAlignment="1">
      <alignment horizontal="left"/>
    </xf>
    <xf numFmtId="0" fontId="6" fillId="10" borderId="2" xfId="0" applyFont="1" applyFill="1" applyBorder="1" applyAlignment="1">
      <alignment horizontal="center"/>
    </xf>
    <xf numFmtId="0" fontId="7" fillId="10" borderId="1" xfId="2" applyFont="1" applyFill="1" applyBorder="1" applyAlignment="1">
      <alignment horizontal="left" vertical="center"/>
    </xf>
    <xf numFmtId="167" fontId="6" fillId="4" borderId="0" xfId="0" applyNumberFormat="1" applyFont="1" applyFill="1" applyAlignment="1">
      <alignment horizontal="center"/>
    </xf>
    <xf numFmtId="0" fontId="10" fillId="10" borderId="1" xfId="0" applyFont="1" applyFill="1" applyBorder="1" applyAlignment="1">
      <alignment vertical="center"/>
    </xf>
    <xf numFmtId="0" fontId="9" fillId="10" borderId="1" xfId="2" quotePrefix="1" applyFont="1" applyFill="1" applyBorder="1" applyAlignment="1">
      <alignment horizontal="left" vertical="center"/>
    </xf>
    <xf numFmtId="0" fontId="9" fillId="10" borderId="1" xfId="2" applyFont="1" applyFill="1" applyBorder="1" applyAlignment="1">
      <alignment horizontal="left"/>
    </xf>
    <xf numFmtId="0" fontId="17" fillId="10" borderId="0" xfId="0" applyFont="1" applyFill="1"/>
    <xf numFmtId="167" fontId="6" fillId="10" borderId="0" xfId="0" applyNumberFormat="1" applyFont="1" applyFill="1" applyAlignment="1">
      <alignment horizontal="center"/>
    </xf>
    <xf numFmtId="0" fontId="6" fillId="10" borderId="8" xfId="0" applyFont="1" applyFill="1" applyBorder="1" applyAlignment="1">
      <alignment horizontal="left"/>
    </xf>
    <xf numFmtId="1" fontId="6" fillId="10" borderId="8" xfId="0" quotePrefix="1" applyNumberFormat="1" applyFont="1" applyFill="1" applyBorder="1" applyAlignment="1">
      <alignment horizontal="left"/>
    </xf>
    <xf numFmtId="0" fontId="10" fillId="4" borderId="1" xfId="0" applyFont="1" applyFill="1" applyBorder="1"/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left"/>
    </xf>
    <xf numFmtId="167" fontId="11" fillId="4" borderId="1" xfId="0" applyNumberFormat="1" applyFont="1" applyFill="1" applyBorder="1" applyAlignment="1">
      <alignment horizontal="center"/>
    </xf>
    <xf numFmtId="0" fontId="11" fillId="4" borderId="1" xfId="0" quotePrefix="1" applyFont="1" applyFill="1" applyBorder="1" applyAlignment="1">
      <alignment horizontal="left"/>
    </xf>
    <xf numFmtId="1" fontId="11" fillId="4" borderId="1" xfId="0" quotePrefix="1" applyNumberFormat="1" applyFont="1" applyFill="1" applyBorder="1" applyAlignment="1">
      <alignment horizontal="left"/>
    </xf>
    <xf numFmtId="0" fontId="6" fillId="15" borderId="1" xfId="0" quotePrefix="1" applyFont="1" applyFill="1" applyBorder="1" applyAlignment="1">
      <alignment horizontal="center"/>
    </xf>
    <xf numFmtId="0" fontId="6" fillId="15" borderId="1" xfId="0" applyFont="1" applyFill="1" applyBorder="1"/>
    <xf numFmtId="17" fontId="8" fillId="10" borderId="5" xfId="0" applyNumberFormat="1" applyFont="1" applyFill="1" applyBorder="1" applyAlignment="1">
      <alignment horizontal="left"/>
    </xf>
    <xf numFmtId="0" fontId="6" fillId="10" borderId="0" xfId="0" applyFont="1" applyFill="1" applyAlignment="1">
      <alignment wrapText="1"/>
    </xf>
    <xf numFmtId="0" fontId="7" fillId="15" borderId="1" xfId="2" applyFont="1" applyFill="1" applyBorder="1" applyAlignment="1">
      <alignment horizontal="left"/>
    </xf>
    <xf numFmtId="2" fontId="6" fillId="0" borderId="1" xfId="0" applyNumberFormat="1" applyFont="1" applyBorder="1" applyAlignment="1">
      <alignment horizontal="center"/>
    </xf>
    <xf numFmtId="0" fontId="7" fillId="10" borderId="0" xfId="0" applyFont="1" applyFill="1"/>
    <xf numFmtId="167" fontId="17" fillId="10" borderId="0" xfId="0" applyNumberFormat="1" applyFont="1" applyFill="1"/>
    <xf numFmtId="166" fontId="6" fillId="4" borderId="5" xfId="3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5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5" fillId="5" borderId="4" xfId="0" applyFont="1" applyFill="1" applyBorder="1" applyAlignment="1">
      <alignment vertical="center"/>
    </xf>
    <xf numFmtId="168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72" fontId="5" fillId="7" borderId="1" xfId="0" applyNumberFormat="1" applyFont="1" applyFill="1" applyBorder="1" applyAlignment="1">
      <alignment horizontal="left" vertical="center"/>
    </xf>
    <xf numFmtId="14" fontId="5" fillId="7" borderId="1" xfId="0" applyNumberFormat="1" applyFont="1" applyFill="1" applyBorder="1" applyAlignment="1">
      <alignment horizontal="center" vertical="center"/>
    </xf>
    <xf numFmtId="14" fontId="5" fillId="7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/>
    </xf>
  </cellXfs>
  <cellStyles count="5">
    <cellStyle name="Comma" xfId="1" builtinId="3"/>
    <cellStyle name="Comma 2" xfId="3" xr:uid="{3FDD1335-2F67-4D8B-8EA3-1FAD556310A9}"/>
    <cellStyle name="Explanatory Text" xfId="2" builtinId="53"/>
    <cellStyle name="Normal" xfId="0" builtinId="0"/>
    <cellStyle name="Percent" xfId="4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2D050"/>
      <color rgb="FFC7B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E88A6-95E0-4989-B0FB-4AD52AA5F0E5}">
  <dimension ref="A1:DL46"/>
  <sheetViews>
    <sheetView view="pageBreakPreview" zoomScaleNormal="96" zoomScaleSheetLayoutView="100" workbookViewId="0">
      <pane xSplit="3" ySplit="3" topLeftCell="D4" activePane="bottomRight" state="frozen"/>
      <selection activeCell="H7" sqref="H7"/>
      <selection pane="topRight" activeCell="H7" sqref="H7"/>
      <selection pane="bottomLeft" activeCell="H7" sqref="H7"/>
      <selection pane="bottomRight" activeCell="H7" sqref="H7"/>
    </sheetView>
  </sheetViews>
  <sheetFormatPr defaultColWidth="9.140625" defaultRowHeight="13.5" x14ac:dyDescent="0.25"/>
  <cols>
    <col min="1" max="1" width="4.7109375" style="28" customWidth="1"/>
    <col min="2" max="2" width="10.28515625" style="61" customWidth="1"/>
    <col min="3" max="3" width="38.28515625" style="28" customWidth="1"/>
    <col min="4" max="4" width="16" style="61" bestFit="1" customWidth="1"/>
    <col min="5" max="5" width="12.42578125" style="61" customWidth="1"/>
    <col min="6" max="6" width="16" style="61" bestFit="1" customWidth="1"/>
    <col min="7" max="8" width="16" style="61" customWidth="1"/>
    <col min="9" max="9" width="12.28515625" style="64" customWidth="1"/>
    <col min="10" max="10" width="21.42578125" style="63" bestFit="1" customWidth="1"/>
    <col min="11" max="11" width="20" style="64" customWidth="1"/>
    <col min="12" max="12" width="17.5703125" style="64" bestFit="1" customWidth="1"/>
    <col min="13" max="13" width="12" style="64" bestFit="1" customWidth="1"/>
    <col min="14" max="14" width="14.7109375" style="28" bestFit="1" customWidth="1"/>
    <col min="15" max="15" width="10.5703125" style="4" customWidth="1"/>
    <col min="16" max="17" width="9.140625" style="5"/>
    <col min="18" max="18" width="43" style="5" bestFit="1" customWidth="1"/>
    <col min="19" max="19" width="9.42578125" style="5" customWidth="1"/>
    <col min="20" max="20" width="9.42578125" style="6" bestFit="1" customWidth="1"/>
    <col min="21" max="21" width="9.42578125" style="6" customWidth="1"/>
    <col min="22" max="22" width="18" style="6" bestFit="1" customWidth="1"/>
    <col min="23" max="23" width="16.28515625" style="6" bestFit="1" customWidth="1"/>
    <col min="24" max="24" width="12.7109375" style="6" bestFit="1" customWidth="1"/>
    <col min="25" max="25" width="11.5703125" style="6" customWidth="1"/>
    <col min="26" max="116" width="9.140625" style="6"/>
    <col min="117" max="16384" width="9.140625" style="28"/>
  </cols>
  <sheetData>
    <row r="1" spans="1:116" s="7" customFormat="1" ht="30" customHeight="1" x14ac:dyDescent="0.25">
      <c r="A1" s="310" t="s">
        <v>0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2"/>
      <c r="O1" s="4"/>
      <c r="P1" s="5"/>
      <c r="Q1" s="5"/>
      <c r="R1" s="5"/>
      <c r="S1" s="5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</row>
    <row r="2" spans="1:116" s="11" customFormat="1" ht="19.5" customHeight="1" x14ac:dyDescent="0.25">
      <c r="A2" s="308" t="s">
        <v>1</v>
      </c>
      <c r="B2" s="313" t="s">
        <v>2</v>
      </c>
      <c r="C2" s="308" t="s">
        <v>3</v>
      </c>
      <c r="D2" s="314" t="s">
        <v>4</v>
      </c>
      <c r="E2" s="308" t="s">
        <v>5</v>
      </c>
      <c r="F2" s="308" t="s">
        <v>6</v>
      </c>
      <c r="G2" s="308" t="s">
        <v>7</v>
      </c>
      <c r="H2" s="308" t="s">
        <v>8</v>
      </c>
      <c r="I2" s="308" t="s">
        <v>9</v>
      </c>
      <c r="J2" s="308" t="s">
        <v>10</v>
      </c>
      <c r="K2" s="308" t="s">
        <v>11</v>
      </c>
      <c r="L2" s="308" t="s">
        <v>12</v>
      </c>
      <c r="M2" s="308" t="s">
        <v>13</v>
      </c>
      <c r="N2" s="309" t="s">
        <v>14</v>
      </c>
      <c r="O2" s="8"/>
      <c r="P2" s="9" t="s">
        <v>2</v>
      </c>
      <c r="Q2" s="9"/>
      <c r="R2" s="9" t="s">
        <v>3</v>
      </c>
      <c r="S2" s="9"/>
      <c r="T2" s="10" t="s">
        <v>9</v>
      </c>
      <c r="U2" s="10"/>
      <c r="V2" s="10" t="s">
        <v>10</v>
      </c>
      <c r="W2" s="10"/>
      <c r="X2" s="10" t="s">
        <v>12</v>
      </c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</row>
    <row r="3" spans="1:116" s="11" customFormat="1" ht="26.25" customHeight="1" x14ac:dyDescent="0.25">
      <c r="A3" s="308"/>
      <c r="B3" s="313"/>
      <c r="C3" s="308"/>
      <c r="D3" s="315"/>
      <c r="E3" s="308"/>
      <c r="F3" s="308"/>
      <c r="G3" s="308"/>
      <c r="H3" s="308"/>
      <c r="I3" s="308"/>
      <c r="J3" s="308"/>
      <c r="K3" s="308"/>
      <c r="L3" s="308"/>
      <c r="M3" s="308"/>
      <c r="N3" s="309"/>
      <c r="O3" s="8"/>
      <c r="P3" s="9"/>
      <c r="Q3" s="9"/>
      <c r="R3" s="9"/>
      <c r="S3" s="9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</row>
    <row r="4" spans="1:116" ht="14.25" thickBot="1" x14ac:dyDescent="0.3">
      <c r="A4" s="12">
        <v>13</v>
      </c>
      <c r="B4" s="12">
        <v>2616</v>
      </c>
      <c r="C4" s="13" t="s">
        <v>15</v>
      </c>
      <c r="D4" s="12">
        <v>382.1</v>
      </c>
      <c r="E4" s="14" t="s">
        <v>16</v>
      </c>
      <c r="F4" s="21">
        <f t="shared" ref="F4" si="0">D4*E4</f>
        <v>152.84</v>
      </c>
      <c r="G4" s="22">
        <f>140.65+9.7+2.49</f>
        <v>152.84</v>
      </c>
      <c r="H4" s="21">
        <f t="shared" ref="H4" si="1">F4-G4</f>
        <v>0</v>
      </c>
      <c r="I4" s="117">
        <v>6225617</v>
      </c>
      <c r="J4" s="118" t="s">
        <v>17</v>
      </c>
      <c r="K4" s="16" t="s">
        <v>18</v>
      </c>
      <c r="L4" s="29" t="s">
        <v>19</v>
      </c>
      <c r="M4" s="16">
        <v>98004554</v>
      </c>
      <c r="N4" s="17" t="s">
        <v>20</v>
      </c>
      <c r="O4" s="4">
        <v>45601</v>
      </c>
      <c r="P4" s="5" t="s">
        <v>21</v>
      </c>
      <c r="Q4" s="5" t="b">
        <f t="shared" ref="Q4" si="2">P4=B4</f>
        <v>0</v>
      </c>
      <c r="R4" s="5" t="s">
        <v>15</v>
      </c>
      <c r="S4" s="5" t="b">
        <f t="shared" ref="S4" si="3">R4=C4</f>
        <v>1</v>
      </c>
      <c r="T4" s="6">
        <v>6225617</v>
      </c>
      <c r="U4" s="6" t="b">
        <f t="shared" ref="U4" si="4">T4=I4</f>
        <v>1</v>
      </c>
      <c r="V4" s="6" t="s">
        <v>17</v>
      </c>
      <c r="W4" s="6" t="b">
        <f t="shared" ref="W4" si="5">V4=J4</f>
        <v>1</v>
      </c>
      <c r="X4" s="6" t="s">
        <v>19</v>
      </c>
      <c r="Y4" s="6" t="b">
        <f t="shared" ref="Y4" si="6">X4=L4</f>
        <v>1</v>
      </c>
    </row>
    <row r="5" spans="1:116" s="6" customFormat="1" ht="14.25" thickBot="1" x14ac:dyDescent="0.3">
      <c r="A5" s="41"/>
      <c r="B5" s="42"/>
      <c r="C5" s="43"/>
      <c r="D5" s="44">
        <f>SUM(D4:D4)</f>
        <v>382.1</v>
      </c>
      <c r="E5" s="45"/>
      <c r="F5" s="46">
        <f>SUM(F4:F4)</f>
        <v>152.84</v>
      </c>
      <c r="G5" s="46">
        <f>SUM(G4:G4)</f>
        <v>152.84</v>
      </c>
      <c r="H5" s="47">
        <f>SUM(H4:H4)</f>
        <v>0</v>
      </c>
      <c r="I5" s="45"/>
      <c r="J5" s="48"/>
      <c r="K5" s="45"/>
      <c r="L5" s="45"/>
      <c r="M5" s="45"/>
      <c r="N5" s="49"/>
      <c r="O5" s="4"/>
      <c r="P5" s="5"/>
      <c r="Q5" s="5"/>
      <c r="R5" s="5"/>
      <c r="S5" s="5"/>
    </row>
    <row r="6" spans="1:116" s="6" customFormat="1" x14ac:dyDescent="0.25">
      <c r="A6" s="50"/>
      <c r="B6" s="51"/>
      <c r="C6" s="50"/>
      <c r="D6" s="52"/>
      <c r="E6" s="53"/>
      <c r="F6" s="52"/>
      <c r="G6" s="52"/>
      <c r="H6" s="52"/>
      <c r="I6" s="54"/>
      <c r="J6" s="55"/>
      <c r="K6" s="54"/>
      <c r="L6" s="54"/>
      <c r="M6" s="54"/>
      <c r="N6" s="56"/>
      <c r="O6" s="4"/>
      <c r="P6" s="5"/>
      <c r="Q6" s="5"/>
      <c r="R6" s="5"/>
      <c r="S6" s="5"/>
    </row>
    <row r="7" spans="1:116" s="6" customFormat="1" x14ac:dyDescent="0.25">
      <c r="A7" s="28"/>
      <c r="B7" s="57"/>
      <c r="D7" s="58"/>
      <c r="E7" s="58" t="s">
        <v>22</v>
      </c>
      <c r="F7" s="58"/>
      <c r="G7" s="58">
        <f>117.12+2.04</f>
        <v>119.16000000000001</v>
      </c>
      <c r="H7" s="58"/>
      <c r="I7" s="59"/>
      <c r="J7" s="60"/>
      <c r="K7" s="59" t="s">
        <v>342</v>
      </c>
      <c r="O7" s="4"/>
      <c r="P7" s="5"/>
      <c r="Q7" s="5"/>
      <c r="R7" s="5"/>
      <c r="S7" s="5"/>
    </row>
    <row r="8" spans="1:116" x14ac:dyDescent="0.25">
      <c r="A8" s="28" t="s">
        <v>23</v>
      </c>
      <c r="E8" s="61" t="s">
        <v>22</v>
      </c>
      <c r="F8" s="306" t="s">
        <v>24</v>
      </c>
      <c r="G8" s="306"/>
      <c r="H8" s="306"/>
      <c r="I8" s="306"/>
      <c r="K8" s="307" t="s">
        <v>25</v>
      </c>
      <c r="L8" s="307"/>
      <c r="N8" s="65"/>
    </row>
    <row r="9" spans="1:116" s="64" customFormat="1" x14ac:dyDescent="0.25">
      <c r="A9" s="28" t="s">
        <v>26</v>
      </c>
      <c r="B9" s="61"/>
      <c r="D9" s="61"/>
      <c r="E9" s="61" t="s">
        <v>22</v>
      </c>
      <c r="F9" s="306"/>
      <c r="G9" s="306"/>
      <c r="H9" s="306"/>
      <c r="I9" s="306"/>
      <c r="J9" s="63"/>
      <c r="K9" s="307"/>
      <c r="L9" s="307"/>
      <c r="N9" s="28"/>
      <c r="O9" s="4"/>
      <c r="P9" s="5"/>
      <c r="Q9" s="5"/>
      <c r="R9" s="5"/>
      <c r="S9" s="5"/>
      <c r="T9" s="6"/>
      <c r="U9" s="6"/>
      <c r="V9" s="6" t="s">
        <v>27</v>
      </c>
      <c r="W9" s="6"/>
      <c r="X9" s="6"/>
      <c r="Y9" s="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66"/>
      <c r="BV9" s="66"/>
      <c r="BW9" s="66"/>
      <c r="BX9" s="66"/>
      <c r="BY9" s="66"/>
      <c r="BZ9" s="66"/>
      <c r="CA9" s="66"/>
      <c r="CB9" s="66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66"/>
      <c r="CT9" s="66"/>
      <c r="CU9" s="66"/>
      <c r="CV9" s="66"/>
      <c r="CW9" s="66"/>
      <c r="CX9" s="66"/>
      <c r="CY9" s="66"/>
      <c r="CZ9" s="66"/>
      <c r="DA9" s="66"/>
      <c r="DB9" s="66"/>
      <c r="DC9" s="66"/>
      <c r="DD9" s="66"/>
      <c r="DE9" s="66"/>
      <c r="DF9" s="66"/>
      <c r="DG9" s="66"/>
      <c r="DH9" s="66"/>
      <c r="DI9" s="66"/>
      <c r="DJ9" s="66"/>
      <c r="DK9" s="66"/>
      <c r="DL9" s="66"/>
    </row>
    <row r="10" spans="1:116" s="64" customFormat="1" x14ac:dyDescent="0.25">
      <c r="A10" s="28"/>
      <c r="B10" s="61"/>
      <c r="D10" s="61"/>
      <c r="E10" s="28"/>
      <c r="F10" s="62"/>
      <c r="G10" s="62"/>
      <c r="H10" s="62"/>
      <c r="J10" s="63"/>
      <c r="N10" s="28"/>
      <c r="O10" s="4"/>
      <c r="P10" s="5"/>
      <c r="Q10" s="5"/>
      <c r="R10" s="5"/>
      <c r="S10" s="5"/>
      <c r="T10" s="6"/>
      <c r="U10" s="6"/>
      <c r="V10" s="6" t="s">
        <v>28</v>
      </c>
      <c r="W10" s="6"/>
      <c r="X10" s="6"/>
      <c r="Y10" s="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66"/>
      <c r="CT10" s="66"/>
      <c r="CU10" s="66"/>
      <c r="CV10" s="66"/>
      <c r="CW10" s="66"/>
      <c r="CX10" s="66"/>
      <c r="CY10" s="66"/>
      <c r="CZ10" s="66"/>
      <c r="DA10" s="66"/>
      <c r="DB10" s="66"/>
      <c r="DC10" s="66"/>
      <c r="DD10" s="66"/>
      <c r="DE10" s="66"/>
      <c r="DF10" s="66"/>
      <c r="DG10" s="66"/>
      <c r="DH10" s="66"/>
      <c r="DI10" s="66"/>
      <c r="DJ10" s="66"/>
      <c r="DK10" s="66"/>
      <c r="DL10" s="66"/>
    </row>
    <row r="11" spans="1:116" s="64" customFormat="1" x14ac:dyDescent="0.25">
      <c r="A11" s="28"/>
      <c r="B11" s="61"/>
      <c r="C11" s="28"/>
      <c r="D11" s="61"/>
      <c r="E11" s="61"/>
      <c r="F11" s="62"/>
      <c r="G11" s="62"/>
      <c r="H11" s="62"/>
      <c r="J11" s="63"/>
      <c r="N11" s="28"/>
      <c r="O11" s="4"/>
      <c r="P11" s="5"/>
      <c r="Q11" s="5"/>
      <c r="R11" s="5"/>
      <c r="S11" s="5"/>
      <c r="T11" s="6"/>
      <c r="U11" s="6"/>
      <c r="V11" s="66"/>
      <c r="W11" s="6"/>
      <c r="X11" s="6"/>
      <c r="Y11" s="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66"/>
      <c r="CT11" s="66"/>
      <c r="CU11" s="66"/>
      <c r="CV11" s="66"/>
      <c r="CW11" s="66"/>
      <c r="CX11" s="66"/>
      <c r="CY11" s="66"/>
      <c r="CZ11" s="66"/>
      <c r="DA11" s="66"/>
      <c r="DB11" s="66"/>
      <c r="DC11" s="66"/>
      <c r="DD11" s="66"/>
      <c r="DE11" s="66"/>
      <c r="DF11" s="66"/>
      <c r="DG11" s="66"/>
      <c r="DH11" s="66"/>
      <c r="DI11" s="66"/>
      <c r="DJ11" s="66"/>
      <c r="DK11" s="66"/>
      <c r="DL11" s="66"/>
    </row>
    <row r="12" spans="1:116" s="64" customFormat="1" x14ac:dyDescent="0.25">
      <c r="A12" s="28"/>
      <c r="B12" s="61"/>
      <c r="C12" s="28"/>
      <c r="D12" s="61"/>
      <c r="E12" s="61"/>
      <c r="F12" s="62"/>
      <c r="G12" s="62">
        <f>101.5+1.3</f>
        <v>102.8</v>
      </c>
      <c r="H12" s="62"/>
      <c r="J12" s="63"/>
      <c r="K12" s="229" t="s">
        <v>343</v>
      </c>
      <c r="N12" s="28"/>
      <c r="O12" s="4"/>
      <c r="P12" s="67"/>
      <c r="Q12" s="67"/>
      <c r="R12" s="67"/>
      <c r="S12" s="67"/>
      <c r="T12" s="66"/>
      <c r="U12" s="66"/>
      <c r="V12" s="66"/>
      <c r="W12" s="6"/>
      <c r="X12" s="6"/>
      <c r="Y12" s="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66"/>
      <c r="CT12" s="66"/>
      <c r="CU12" s="66"/>
      <c r="CV12" s="66"/>
      <c r="CW12" s="66"/>
      <c r="CX12" s="66"/>
      <c r="CY12" s="66"/>
      <c r="CZ12" s="66"/>
      <c r="DA12" s="66"/>
      <c r="DB12" s="66"/>
      <c r="DC12" s="66"/>
      <c r="DD12" s="66"/>
      <c r="DE12" s="66"/>
      <c r="DF12" s="66"/>
      <c r="DG12" s="66"/>
      <c r="DH12" s="66"/>
      <c r="DI12" s="66"/>
      <c r="DJ12" s="66"/>
      <c r="DK12" s="66"/>
      <c r="DL12" s="66"/>
    </row>
    <row r="13" spans="1:116" s="64" customFormat="1" x14ac:dyDescent="0.25">
      <c r="A13" s="28"/>
      <c r="B13" s="61"/>
      <c r="C13" s="28"/>
      <c r="D13" s="68"/>
      <c r="E13" s="61"/>
      <c r="F13" s="68"/>
      <c r="G13" s="68"/>
      <c r="H13" s="68"/>
      <c r="J13" s="63"/>
      <c r="N13" s="28"/>
      <c r="O13" s="4"/>
      <c r="P13" s="67"/>
      <c r="Q13" s="67"/>
      <c r="R13" s="67"/>
      <c r="S13" s="67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6"/>
      <c r="CF13" s="66"/>
      <c r="CG13" s="66"/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66"/>
      <c r="CS13" s="66"/>
      <c r="CT13" s="66"/>
      <c r="CU13" s="66"/>
      <c r="CV13" s="66"/>
      <c r="CW13" s="66"/>
      <c r="CX13" s="66"/>
      <c r="CY13" s="66"/>
      <c r="CZ13" s="66"/>
      <c r="DA13" s="66"/>
      <c r="DB13" s="66"/>
      <c r="DC13" s="66"/>
      <c r="DD13" s="66"/>
      <c r="DE13" s="66"/>
      <c r="DF13" s="66"/>
      <c r="DG13" s="66"/>
      <c r="DH13" s="66"/>
      <c r="DI13" s="66"/>
      <c r="DJ13" s="66"/>
      <c r="DK13" s="66"/>
      <c r="DL13" s="66"/>
    </row>
    <row r="14" spans="1:116" s="64" customFormat="1" x14ac:dyDescent="0.25">
      <c r="A14" s="28"/>
      <c r="B14" s="61"/>
      <c r="C14" s="28"/>
      <c r="D14" s="61"/>
      <c r="E14" s="61"/>
      <c r="F14" s="62"/>
      <c r="G14" s="62">
        <f>105.37+3.11</f>
        <v>108.48</v>
      </c>
      <c r="H14" s="62"/>
      <c r="J14" s="63"/>
      <c r="N14" s="28"/>
      <c r="O14" s="4"/>
      <c r="P14" s="67"/>
      <c r="Q14" s="67"/>
      <c r="R14" s="67"/>
      <c r="S14" s="67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66"/>
      <c r="BV14" s="66"/>
      <c r="BW14" s="66"/>
      <c r="BX14" s="66"/>
      <c r="BY14" s="66"/>
      <c r="BZ14" s="66"/>
      <c r="CA14" s="66"/>
      <c r="CB14" s="66"/>
      <c r="CC14" s="66"/>
      <c r="CD14" s="66"/>
      <c r="CE14" s="66"/>
      <c r="CF14" s="66"/>
      <c r="CG14" s="66"/>
      <c r="CH14" s="66"/>
      <c r="CI14" s="66"/>
      <c r="CJ14" s="66"/>
      <c r="CK14" s="66"/>
      <c r="CL14" s="66"/>
      <c r="CM14" s="66"/>
      <c r="CN14" s="66"/>
      <c r="CO14" s="66"/>
      <c r="CP14" s="66"/>
      <c r="CQ14" s="66"/>
      <c r="CR14" s="66"/>
      <c r="CS14" s="66"/>
      <c r="CT14" s="66"/>
      <c r="CU14" s="66"/>
      <c r="CV14" s="66"/>
      <c r="CW14" s="66"/>
      <c r="CX14" s="66"/>
      <c r="CY14" s="66"/>
      <c r="CZ14" s="66"/>
      <c r="DA14" s="66"/>
      <c r="DB14" s="66"/>
      <c r="DC14" s="66"/>
      <c r="DD14" s="66"/>
      <c r="DE14" s="66"/>
      <c r="DF14" s="66"/>
      <c r="DG14" s="66"/>
      <c r="DH14" s="66"/>
      <c r="DI14" s="66"/>
      <c r="DJ14" s="66"/>
      <c r="DK14" s="66"/>
      <c r="DL14" s="66"/>
    </row>
    <row r="15" spans="1:116" s="64" customFormat="1" x14ac:dyDescent="0.25">
      <c r="A15" s="28"/>
      <c r="B15" s="61"/>
      <c r="C15" s="28"/>
      <c r="D15" s="61"/>
      <c r="E15" s="61"/>
      <c r="F15" s="62"/>
      <c r="G15" s="62"/>
      <c r="H15" s="62"/>
      <c r="J15" s="63"/>
      <c r="N15" s="28"/>
      <c r="O15" s="4"/>
      <c r="P15" s="67"/>
      <c r="Q15" s="67"/>
      <c r="R15" s="67"/>
      <c r="S15" s="67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66"/>
      <c r="BV15" s="66"/>
      <c r="BW15" s="66"/>
      <c r="BX15" s="66"/>
      <c r="BY15" s="66"/>
      <c r="BZ15" s="66"/>
      <c r="CA15" s="66"/>
      <c r="CB15" s="66"/>
      <c r="CC15" s="66"/>
      <c r="CD15" s="66"/>
      <c r="CE15" s="66"/>
      <c r="CF15" s="66"/>
      <c r="CG15" s="66"/>
      <c r="CH15" s="66"/>
      <c r="CI15" s="66"/>
      <c r="CJ15" s="66"/>
      <c r="CK15" s="66"/>
      <c r="CL15" s="66"/>
      <c r="CM15" s="66"/>
      <c r="CN15" s="66"/>
      <c r="CO15" s="66"/>
      <c r="CP15" s="66"/>
      <c r="CQ15" s="66"/>
      <c r="CR15" s="66"/>
      <c r="CS15" s="66"/>
      <c r="CT15" s="66"/>
      <c r="CU15" s="66"/>
      <c r="CV15" s="66"/>
      <c r="CW15" s="66"/>
      <c r="CX15" s="66"/>
      <c r="CY15" s="66"/>
      <c r="CZ15" s="66"/>
      <c r="DA15" s="66"/>
      <c r="DB15" s="66"/>
      <c r="DC15" s="66"/>
      <c r="DD15" s="66"/>
      <c r="DE15" s="66"/>
      <c r="DF15" s="66"/>
      <c r="DG15" s="66"/>
      <c r="DH15" s="66"/>
      <c r="DI15" s="66"/>
      <c r="DJ15" s="66"/>
      <c r="DK15" s="66"/>
      <c r="DL15" s="66"/>
    </row>
    <row r="16" spans="1:116" s="64" customFormat="1" x14ac:dyDescent="0.25">
      <c r="A16" s="28"/>
      <c r="B16" s="61"/>
      <c r="C16" s="28"/>
      <c r="D16" s="61"/>
      <c r="E16" s="61"/>
      <c r="F16" s="62"/>
      <c r="G16" s="62"/>
      <c r="H16" s="62"/>
      <c r="J16" s="63"/>
      <c r="N16" s="28"/>
      <c r="O16" s="4"/>
      <c r="P16" s="67"/>
      <c r="Q16" s="67"/>
      <c r="R16" s="67"/>
      <c r="S16" s="67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66"/>
      <c r="BR16" s="66"/>
      <c r="BS16" s="66"/>
      <c r="BT16" s="66"/>
      <c r="BU16" s="66"/>
      <c r="BV16" s="66"/>
      <c r="BW16" s="66"/>
      <c r="BX16" s="66"/>
      <c r="BY16" s="66"/>
      <c r="BZ16" s="66"/>
      <c r="CA16" s="66"/>
      <c r="CB16" s="66"/>
      <c r="CC16" s="66"/>
      <c r="CD16" s="66"/>
      <c r="CE16" s="66"/>
      <c r="CF16" s="66"/>
      <c r="CG16" s="66"/>
      <c r="CH16" s="66"/>
      <c r="CI16" s="66"/>
      <c r="CJ16" s="66"/>
      <c r="CK16" s="66"/>
      <c r="CL16" s="66"/>
      <c r="CM16" s="66"/>
      <c r="CN16" s="66"/>
      <c r="CO16" s="66"/>
      <c r="CP16" s="66"/>
      <c r="CQ16" s="66"/>
      <c r="CR16" s="66"/>
      <c r="CS16" s="66"/>
      <c r="CT16" s="66"/>
      <c r="CU16" s="66"/>
      <c r="CV16" s="66"/>
      <c r="CW16" s="66"/>
      <c r="CX16" s="66"/>
      <c r="CY16" s="66"/>
      <c r="CZ16" s="66"/>
      <c r="DA16" s="66"/>
      <c r="DB16" s="66"/>
      <c r="DC16" s="66"/>
      <c r="DD16" s="66"/>
      <c r="DE16" s="66"/>
      <c r="DF16" s="66"/>
      <c r="DG16" s="66"/>
      <c r="DH16" s="66"/>
      <c r="DI16" s="66"/>
      <c r="DJ16" s="66"/>
      <c r="DK16" s="66"/>
      <c r="DL16" s="66"/>
    </row>
    <row r="17" spans="1:116" s="64" customFormat="1" x14ac:dyDescent="0.25">
      <c r="A17" s="28"/>
      <c r="B17" s="61"/>
      <c r="C17" s="28"/>
      <c r="D17" s="61"/>
      <c r="E17" s="61"/>
      <c r="F17" s="62"/>
      <c r="G17" s="62"/>
      <c r="H17" s="62"/>
      <c r="J17" s="63"/>
      <c r="N17" s="28"/>
      <c r="O17" s="4"/>
      <c r="P17" s="67"/>
      <c r="Q17" s="67"/>
      <c r="R17" s="67"/>
      <c r="S17" s="67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  <c r="BO17" s="66"/>
      <c r="BP17" s="66"/>
      <c r="BQ17" s="66"/>
      <c r="BR17" s="66"/>
      <c r="BS17" s="66"/>
      <c r="BT17" s="66"/>
      <c r="BU17" s="66"/>
      <c r="BV17" s="66"/>
      <c r="BW17" s="66"/>
      <c r="BX17" s="66"/>
      <c r="BY17" s="66"/>
      <c r="BZ17" s="66"/>
      <c r="CA17" s="66"/>
      <c r="CB17" s="66"/>
      <c r="CC17" s="66"/>
      <c r="CD17" s="66"/>
      <c r="CE17" s="66"/>
      <c r="CF17" s="66"/>
      <c r="CG17" s="66"/>
      <c r="CH17" s="66"/>
      <c r="CI17" s="66"/>
      <c r="CJ17" s="66"/>
      <c r="CK17" s="66"/>
      <c r="CL17" s="66"/>
      <c r="CM17" s="66"/>
      <c r="CN17" s="66"/>
      <c r="CO17" s="66"/>
      <c r="CP17" s="66"/>
      <c r="CQ17" s="66"/>
      <c r="CR17" s="66"/>
      <c r="CS17" s="66"/>
      <c r="CT17" s="66"/>
      <c r="CU17" s="66"/>
      <c r="CV17" s="66"/>
      <c r="CW17" s="66"/>
      <c r="CX17" s="66"/>
      <c r="CY17" s="66"/>
      <c r="CZ17" s="66"/>
      <c r="DA17" s="66"/>
      <c r="DB17" s="66"/>
      <c r="DC17" s="66"/>
      <c r="DD17" s="66"/>
      <c r="DE17" s="66"/>
      <c r="DF17" s="66"/>
      <c r="DG17" s="66"/>
      <c r="DH17" s="66"/>
      <c r="DI17" s="66"/>
      <c r="DJ17" s="66"/>
      <c r="DK17" s="66"/>
      <c r="DL17" s="66"/>
    </row>
    <row r="18" spans="1:116" s="64" customFormat="1" x14ac:dyDescent="0.25">
      <c r="A18" s="28"/>
      <c r="B18" s="61"/>
      <c r="C18" s="28"/>
      <c r="D18" s="61"/>
      <c r="E18" s="61"/>
      <c r="F18" s="62"/>
      <c r="G18" s="62"/>
      <c r="H18" s="62"/>
      <c r="J18" s="63"/>
      <c r="N18" s="28"/>
      <c r="O18" s="4"/>
      <c r="P18" s="67"/>
      <c r="Q18" s="67"/>
      <c r="R18" s="67"/>
      <c r="S18" s="67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66"/>
      <c r="BM18" s="66"/>
      <c r="BN18" s="66"/>
      <c r="BO18" s="66"/>
      <c r="BP18" s="66"/>
      <c r="BQ18" s="66"/>
      <c r="BR18" s="66"/>
      <c r="BS18" s="66"/>
      <c r="BT18" s="66"/>
      <c r="BU18" s="66"/>
      <c r="BV18" s="66"/>
      <c r="BW18" s="66"/>
      <c r="BX18" s="66"/>
      <c r="BY18" s="66"/>
      <c r="BZ18" s="66"/>
      <c r="CA18" s="66"/>
      <c r="CB18" s="66"/>
      <c r="CC18" s="66"/>
      <c r="CD18" s="66"/>
      <c r="CE18" s="66"/>
      <c r="CF18" s="66"/>
      <c r="CG18" s="66"/>
      <c r="CH18" s="66"/>
      <c r="CI18" s="66"/>
      <c r="CJ18" s="66"/>
      <c r="CK18" s="66"/>
      <c r="CL18" s="66"/>
      <c r="CM18" s="66"/>
      <c r="CN18" s="66"/>
      <c r="CO18" s="66"/>
      <c r="CP18" s="66"/>
      <c r="CQ18" s="66"/>
      <c r="CR18" s="66"/>
      <c r="CS18" s="66"/>
      <c r="CT18" s="66"/>
      <c r="CU18" s="66"/>
      <c r="CV18" s="66"/>
      <c r="CW18" s="66"/>
      <c r="CX18" s="66"/>
      <c r="CY18" s="66"/>
      <c r="CZ18" s="66"/>
      <c r="DA18" s="66"/>
      <c r="DB18" s="66"/>
      <c r="DC18" s="66"/>
      <c r="DD18" s="66"/>
      <c r="DE18" s="66"/>
      <c r="DF18" s="66"/>
      <c r="DG18" s="66"/>
      <c r="DH18" s="66"/>
      <c r="DI18" s="66"/>
      <c r="DJ18" s="66"/>
      <c r="DK18" s="66"/>
      <c r="DL18" s="66"/>
    </row>
    <row r="19" spans="1:116" s="64" customFormat="1" x14ac:dyDescent="0.25">
      <c r="A19" s="28"/>
      <c r="B19" s="61"/>
      <c r="C19" s="28"/>
      <c r="D19" s="61"/>
      <c r="E19" s="61"/>
      <c r="F19" s="62"/>
      <c r="G19" s="62"/>
      <c r="H19" s="62"/>
      <c r="J19" s="63"/>
      <c r="N19" s="28"/>
      <c r="O19" s="4"/>
      <c r="P19" s="67"/>
      <c r="Q19" s="67"/>
      <c r="R19" s="67"/>
      <c r="S19" s="67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66"/>
      <c r="BT19" s="66"/>
      <c r="BU19" s="66"/>
      <c r="BV19" s="66"/>
      <c r="BW19" s="66"/>
      <c r="BX19" s="66"/>
      <c r="BY19" s="66"/>
      <c r="BZ19" s="66"/>
      <c r="CA19" s="66"/>
      <c r="CB19" s="66"/>
      <c r="CC19" s="66"/>
      <c r="CD19" s="66"/>
      <c r="CE19" s="66"/>
      <c r="CF19" s="66"/>
      <c r="CG19" s="66"/>
      <c r="CH19" s="66"/>
      <c r="CI19" s="66"/>
      <c r="CJ19" s="66"/>
      <c r="CK19" s="66"/>
      <c r="CL19" s="66"/>
      <c r="CM19" s="66"/>
      <c r="CN19" s="66"/>
      <c r="CO19" s="66"/>
      <c r="CP19" s="66"/>
      <c r="CQ19" s="66"/>
      <c r="CR19" s="66"/>
      <c r="CS19" s="66"/>
      <c r="CT19" s="66"/>
      <c r="CU19" s="66"/>
      <c r="CV19" s="66"/>
      <c r="CW19" s="66"/>
      <c r="CX19" s="66"/>
      <c r="CY19" s="66"/>
      <c r="CZ19" s="66"/>
      <c r="DA19" s="66"/>
      <c r="DB19" s="66"/>
      <c r="DC19" s="66"/>
      <c r="DD19" s="66"/>
      <c r="DE19" s="66"/>
      <c r="DF19" s="66"/>
      <c r="DG19" s="66"/>
      <c r="DH19" s="66"/>
      <c r="DI19" s="66"/>
      <c r="DJ19" s="66"/>
      <c r="DK19" s="66"/>
      <c r="DL19" s="66"/>
    </row>
    <row r="20" spans="1:116" s="64" customFormat="1" x14ac:dyDescent="0.25">
      <c r="A20" s="28"/>
      <c r="B20" s="61"/>
      <c r="C20" s="28"/>
      <c r="D20" s="61"/>
      <c r="E20" s="61"/>
      <c r="F20" s="62"/>
      <c r="G20" s="62"/>
      <c r="H20" s="62"/>
      <c r="J20" s="63"/>
      <c r="N20" s="28"/>
      <c r="O20" s="4"/>
      <c r="P20" s="67"/>
      <c r="Q20" s="67"/>
      <c r="R20" s="67"/>
      <c r="S20" s="67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66"/>
      <c r="BV20" s="66"/>
      <c r="BW20" s="66"/>
      <c r="BX20" s="66"/>
      <c r="BY20" s="66"/>
      <c r="BZ20" s="66"/>
      <c r="CA20" s="66"/>
      <c r="CB20" s="66"/>
      <c r="CC20" s="66"/>
      <c r="CD20" s="66"/>
      <c r="CE20" s="66"/>
      <c r="CF20" s="66"/>
      <c r="CG20" s="66"/>
      <c r="CH20" s="66"/>
      <c r="CI20" s="66"/>
      <c r="CJ20" s="66"/>
      <c r="CK20" s="66"/>
      <c r="CL20" s="66"/>
      <c r="CM20" s="66"/>
      <c r="CN20" s="66"/>
      <c r="CO20" s="66"/>
      <c r="CP20" s="66"/>
      <c r="CQ20" s="66"/>
      <c r="CR20" s="66"/>
      <c r="CS20" s="66"/>
      <c r="CT20" s="66"/>
      <c r="CU20" s="66"/>
      <c r="CV20" s="66"/>
      <c r="CW20" s="66"/>
      <c r="CX20" s="66"/>
      <c r="CY20" s="66"/>
      <c r="CZ20" s="66"/>
      <c r="DA20" s="66"/>
      <c r="DB20" s="66"/>
      <c r="DC20" s="66"/>
      <c r="DD20" s="66"/>
      <c r="DE20" s="66"/>
      <c r="DF20" s="66"/>
      <c r="DG20" s="66"/>
      <c r="DH20" s="66"/>
      <c r="DI20" s="66"/>
      <c r="DJ20" s="66"/>
      <c r="DK20" s="66"/>
      <c r="DL20" s="66"/>
    </row>
    <row r="21" spans="1:116" s="64" customFormat="1" x14ac:dyDescent="0.25">
      <c r="A21" s="28"/>
      <c r="B21" s="61"/>
      <c r="C21" s="28"/>
      <c r="D21" s="61"/>
      <c r="E21" s="61"/>
      <c r="F21" s="62"/>
      <c r="G21" s="62"/>
      <c r="H21" s="62"/>
      <c r="J21" s="63"/>
      <c r="N21" s="28"/>
      <c r="O21" s="4"/>
      <c r="P21" s="67"/>
      <c r="Q21" s="67"/>
      <c r="R21" s="67"/>
      <c r="S21" s="67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6"/>
      <c r="BM21" s="66"/>
      <c r="BN21" s="66"/>
      <c r="BO21" s="66"/>
      <c r="BP21" s="66"/>
      <c r="BQ21" s="66"/>
      <c r="BR21" s="66"/>
      <c r="BS21" s="66"/>
      <c r="BT21" s="66"/>
      <c r="BU21" s="66"/>
      <c r="BV21" s="66"/>
      <c r="BW21" s="66"/>
      <c r="BX21" s="66"/>
      <c r="BY21" s="66"/>
      <c r="BZ21" s="66"/>
      <c r="CA21" s="66"/>
      <c r="CB21" s="66"/>
      <c r="CC21" s="66"/>
      <c r="CD21" s="66"/>
      <c r="CE21" s="66"/>
      <c r="CF21" s="66"/>
      <c r="CG21" s="66"/>
      <c r="CH21" s="66"/>
      <c r="CI21" s="66"/>
      <c r="CJ21" s="66"/>
      <c r="CK21" s="66"/>
      <c r="CL21" s="66"/>
      <c r="CM21" s="66"/>
      <c r="CN21" s="66"/>
      <c r="CO21" s="66"/>
      <c r="CP21" s="66"/>
      <c r="CQ21" s="66"/>
      <c r="CR21" s="66"/>
      <c r="CS21" s="66"/>
      <c r="CT21" s="66"/>
      <c r="CU21" s="66"/>
      <c r="CV21" s="66"/>
      <c r="CW21" s="66"/>
      <c r="CX21" s="66"/>
      <c r="CY21" s="66"/>
      <c r="CZ21" s="66"/>
      <c r="DA21" s="66"/>
      <c r="DB21" s="66"/>
      <c r="DC21" s="66"/>
      <c r="DD21" s="66"/>
      <c r="DE21" s="66"/>
      <c r="DF21" s="66"/>
      <c r="DG21" s="66"/>
      <c r="DH21" s="66"/>
      <c r="DI21" s="66"/>
      <c r="DJ21" s="66"/>
      <c r="DK21" s="66"/>
      <c r="DL21" s="66"/>
    </row>
    <row r="22" spans="1:116" s="64" customFormat="1" x14ac:dyDescent="0.25">
      <c r="A22" s="28"/>
      <c r="B22" s="61"/>
      <c r="C22" s="28"/>
      <c r="D22" s="61"/>
      <c r="E22" s="61"/>
      <c r="F22" s="62"/>
      <c r="G22" s="62"/>
      <c r="H22" s="62"/>
      <c r="J22" s="63"/>
      <c r="N22" s="28"/>
      <c r="O22" s="4"/>
      <c r="P22" s="67"/>
      <c r="Q22" s="67"/>
      <c r="R22" s="67"/>
      <c r="S22" s="67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66"/>
      <c r="BO22" s="66"/>
      <c r="BP22" s="66"/>
      <c r="BQ22" s="66"/>
      <c r="BR22" s="66"/>
      <c r="BS22" s="66"/>
      <c r="BT22" s="66"/>
      <c r="BU22" s="66"/>
      <c r="BV22" s="66"/>
      <c r="BW22" s="66"/>
      <c r="BX22" s="66"/>
      <c r="BY22" s="66"/>
      <c r="BZ22" s="66"/>
      <c r="CA22" s="66"/>
      <c r="CB22" s="66"/>
      <c r="CC22" s="66"/>
      <c r="CD22" s="66"/>
      <c r="CE22" s="66"/>
      <c r="CF22" s="66"/>
      <c r="CG22" s="66"/>
      <c r="CH22" s="66"/>
      <c r="CI22" s="66"/>
      <c r="CJ22" s="66"/>
      <c r="CK22" s="66"/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66"/>
      <c r="DF22" s="66"/>
      <c r="DG22" s="66"/>
      <c r="DH22" s="66"/>
      <c r="DI22" s="66"/>
      <c r="DJ22" s="66"/>
      <c r="DK22" s="66"/>
      <c r="DL22" s="66"/>
    </row>
    <row r="23" spans="1:116" s="64" customFormat="1" x14ac:dyDescent="0.25">
      <c r="A23" s="28"/>
      <c r="B23" s="61"/>
      <c r="C23" s="28"/>
      <c r="D23" s="61"/>
      <c r="E23" s="61"/>
      <c r="F23" s="62"/>
      <c r="G23" s="62"/>
      <c r="H23" s="62"/>
      <c r="J23" s="63"/>
      <c r="N23" s="28"/>
      <c r="O23" s="4"/>
      <c r="P23" s="67"/>
      <c r="Q23" s="67"/>
      <c r="R23" s="67"/>
      <c r="S23" s="67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6"/>
      <c r="BM23" s="66"/>
      <c r="BN23" s="66"/>
      <c r="BO23" s="66"/>
      <c r="BP23" s="66"/>
      <c r="BQ23" s="66"/>
      <c r="BR23" s="66"/>
      <c r="BS23" s="66"/>
      <c r="BT23" s="66"/>
      <c r="BU23" s="66"/>
      <c r="BV23" s="66"/>
      <c r="BW23" s="66"/>
      <c r="BX23" s="66"/>
      <c r="BY23" s="66"/>
      <c r="BZ23" s="66"/>
      <c r="CA23" s="66"/>
      <c r="CB23" s="66"/>
      <c r="CC23" s="66"/>
      <c r="CD23" s="66"/>
      <c r="CE23" s="66"/>
      <c r="CF23" s="66"/>
      <c r="CG23" s="66"/>
      <c r="CH23" s="66"/>
      <c r="CI23" s="66"/>
      <c r="CJ23" s="66"/>
      <c r="CK23" s="66"/>
      <c r="CL23" s="66"/>
      <c r="CM23" s="66"/>
      <c r="CN23" s="66"/>
      <c r="CO23" s="66"/>
      <c r="CP23" s="66"/>
      <c r="CQ23" s="66"/>
      <c r="CR23" s="66"/>
      <c r="CS23" s="66"/>
      <c r="CT23" s="66"/>
      <c r="CU23" s="66"/>
      <c r="CV23" s="66"/>
      <c r="CW23" s="66"/>
      <c r="CX23" s="66"/>
      <c r="CY23" s="66"/>
      <c r="CZ23" s="66"/>
      <c r="DA23" s="66"/>
      <c r="DB23" s="66"/>
      <c r="DC23" s="66"/>
      <c r="DD23" s="66"/>
      <c r="DE23" s="66"/>
      <c r="DF23" s="66"/>
      <c r="DG23" s="66"/>
      <c r="DH23" s="66"/>
      <c r="DI23" s="66"/>
      <c r="DJ23" s="66"/>
      <c r="DK23" s="66"/>
      <c r="DL23" s="66"/>
    </row>
    <row r="24" spans="1:116" s="64" customFormat="1" x14ac:dyDescent="0.25">
      <c r="A24" s="28"/>
      <c r="B24" s="61"/>
      <c r="C24" s="28"/>
      <c r="D24" s="61"/>
      <c r="E24" s="61"/>
      <c r="F24" s="62"/>
      <c r="G24" s="62"/>
      <c r="H24" s="62"/>
      <c r="J24" s="63"/>
      <c r="N24" s="28"/>
      <c r="O24" s="4"/>
      <c r="P24" s="67"/>
      <c r="Q24" s="67"/>
      <c r="R24" s="67"/>
      <c r="S24" s="67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66"/>
      <c r="BO24" s="66"/>
      <c r="BP24" s="66"/>
      <c r="BQ24" s="66"/>
      <c r="BR24" s="66"/>
      <c r="BS24" s="66"/>
      <c r="BT24" s="66"/>
      <c r="BU24" s="66"/>
      <c r="BV24" s="66"/>
      <c r="BW24" s="66"/>
      <c r="BX24" s="66"/>
      <c r="BY24" s="66"/>
      <c r="BZ24" s="66"/>
      <c r="CA24" s="66"/>
      <c r="CB24" s="66"/>
      <c r="CC24" s="66"/>
      <c r="CD24" s="66"/>
      <c r="CE24" s="66"/>
      <c r="CF24" s="66"/>
      <c r="CG24" s="66"/>
      <c r="CH24" s="66"/>
      <c r="CI24" s="66"/>
      <c r="CJ24" s="66"/>
      <c r="CK24" s="66"/>
      <c r="CL24" s="66"/>
      <c r="CM24" s="66"/>
      <c r="CN24" s="66"/>
      <c r="CO24" s="66"/>
      <c r="CP24" s="66"/>
      <c r="CQ24" s="66"/>
      <c r="CR24" s="66"/>
      <c r="CS24" s="66"/>
      <c r="CT24" s="66"/>
      <c r="CU24" s="66"/>
      <c r="CV24" s="66"/>
      <c r="CW24" s="66"/>
      <c r="CX24" s="66"/>
      <c r="CY24" s="66"/>
      <c r="CZ24" s="66"/>
      <c r="DA24" s="66"/>
      <c r="DB24" s="66"/>
      <c r="DC24" s="66"/>
      <c r="DD24" s="66"/>
      <c r="DE24" s="66"/>
      <c r="DF24" s="66"/>
      <c r="DG24" s="66"/>
      <c r="DH24" s="66"/>
      <c r="DI24" s="66"/>
      <c r="DJ24" s="66"/>
      <c r="DK24" s="66"/>
      <c r="DL24" s="66"/>
    </row>
    <row r="25" spans="1:116" s="64" customFormat="1" x14ac:dyDescent="0.25">
      <c r="B25" s="61"/>
      <c r="C25" s="28"/>
      <c r="D25" s="61"/>
      <c r="E25" s="61"/>
      <c r="F25" s="62"/>
      <c r="G25" s="62"/>
      <c r="H25" s="62"/>
      <c r="J25" s="63"/>
      <c r="N25" s="28"/>
      <c r="O25" s="4"/>
      <c r="P25" s="67"/>
      <c r="Q25" s="67"/>
      <c r="R25" s="67"/>
      <c r="S25" s="67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66"/>
      <c r="BN25" s="66"/>
      <c r="BO25" s="66"/>
      <c r="BP25" s="66"/>
      <c r="BQ25" s="66"/>
      <c r="BR25" s="66"/>
      <c r="BS25" s="66"/>
      <c r="BT25" s="66"/>
      <c r="BU25" s="66"/>
      <c r="BV25" s="66"/>
      <c r="BW25" s="66"/>
      <c r="BX25" s="66"/>
      <c r="BY25" s="66"/>
      <c r="BZ25" s="66"/>
      <c r="CA25" s="66"/>
      <c r="CB25" s="66"/>
      <c r="CC25" s="66"/>
      <c r="CD25" s="66"/>
      <c r="CE25" s="66"/>
      <c r="CF25" s="66"/>
      <c r="CG25" s="66"/>
      <c r="CH25" s="66"/>
      <c r="CI25" s="66"/>
      <c r="CJ25" s="66"/>
      <c r="CK25" s="66"/>
      <c r="CL25" s="66"/>
      <c r="CM25" s="66"/>
      <c r="CN25" s="66"/>
      <c r="CO25" s="66"/>
      <c r="CP25" s="66"/>
      <c r="CQ25" s="66"/>
      <c r="CR25" s="66"/>
      <c r="CS25" s="66"/>
      <c r="CT25" s="66"/>
      <c r="CU25" s="66"/>
      <c r="CV25" s="66"/>
      <c r="CW25" s="66"/>
      <c r="CX25" s="66"/>
      <c r="CY25" s="66"/>
      <c r="CZ25" s="66"/>
      <c r="DA25" s="66"/>
      <c r="DB25" s="66"/>
      <c r="DC25" s="66"/>
      <c r="DD25" s="66"/>
      <c r="DE25" s="66"/>
      <c r="DF25" s="66"/>
      <c r="DG25" s="66"/>
      <c r="DH25" s="66"/>
      <c r="DI25" s="66"/>
      <c r="DJ25" s="66"/>
      <c r="DK25" s="66"/>
      <c r="DL25" s="66"/>
    </row>
    <row r="26" spans="1:116" s="64" customFormat="1" x14ac:dyDescent="0.25">
      <c r="B26" s="61"/>
      <c r="C26" s="28"/>
      <c r="D26" s="61"/>
      <c r="E26" s="61"/>
      <c r="F26" s="62"/>
      <c r="G26" s="62"/>
      <c r="H26" s="62"/>
      <c r="J26" s="63"/>
      <c r="N26" s="28"/>
      <c r="O26" s="4"/>
      <c r="P26" s="67"/>
      <c r="Q26" s="67"/>
      <c r="R26" s="67"/>
      <c r="S26" s="67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66"/>
      <c r="BP26" s="66"/>
      <c r="BQ26" s="66"/>
      <c r="BR26" s="66"/>
      <c r="BS26" s="66"/>
      <c r="BT26" s="66"/>
      <c r="BU26" s="66"/>
      <c r="BV26" s="66"/>
      <c r="BW26" s="66"/>
      <c r="BX26" s="66"/>
      <c r="BY26" s="66"/>
      <c r="BZ26" s="66"/>
      <c r="CA26" s="66"/>
      <c r="CB26" s="66"/>
      <c r="CC26" s="66"/>
      <c r="CD26" s="66"/>
      <c r="CE26" s="66"/>
      <c r="CF26" s="66"/>
      <c r="CG26" s="66"/>
      <c r="CH26" s="66"/>
      <c r="CI26" s="66"/>
      <c r="CJ26" s="66"/>
      <c r="CK26" s="66"/>
      <c r="CL26" s="66"/>
      <c r="CM26" s="66"/>
      <c r="CN26" s="66"/>
      <c r="CO26" s="66"/>
      <c r="CP26" s="66"/>
      <c r="CQ26" s="66"/>
      <c r="CR26" s="66"/>
      <c r="CS26" s="66"/>
      <c r="CT26" s="66"/>
      <c r="CU26" s="66"/>
      <c r="CV26" s="66"/>
      <c r="CW26" s="66"/>
      <c r="CX26" s="66"/>
      <c r="CY26" s="66"/>
      <c r="CZ26" s="66"/>
      <c r="DA26" s="66"/>
      <c r="DB26" s="66"/>
      <c r="DC26" s="66"/>
      <c r="DD26" s="66"/>
      <c r="DE26" s="66"/>
      <c r="DF26" s="66"/>
      <c r="DG26" s="66"/>
      <c r="DH26" s="66"/>
      <c r="DI26" s="66"/>
      <c r="DJ26" s="66"/>
      <c r="DK26" s="66"/>
      <c r="DL26" s="66"/>
    </row>
    <row r="27" spans="1:116" s="64" customFormat="1" x14ac:dyDescent="0.25">
      <c r="B27" s="61"/>
      <c r="C27" s="28"/>
      <c r="D27" s="61"/>
      <c r="E27" s="61"/>
      <c r="F27" s="62"/>
      <c r="G27" s="62"/>
      <c r="H27" s="62"/>
      <c r="J27" s="63"/>
      <c r="N27" s="28"/>
      <c r="O27" s="4"/>
      <c r="P27" s="67"/>
      <c r="Q27" s="67"/>
      <c r="R27" s="67"/>
      <c r="S27" s="67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6"/>
      <c r="BM27" s="66"/>
      <c r="BN27" s="66"/>
      <c r="BO27" s="66"/>
      <c r="BP27" s="66"/>
      <c r="BQ27" s="66"/>
      <c r="BR27" s="66"/>
      <c r="BS27" s="66"/>
      <c r="BT27" s="66"/>
      <c r="BU27" s="66"/>
      <c r="BV27" s="66"/>
      <c r="BW27" s="66"/>
      <c r="BX27" s="66"/>
      <c r="BY27" s="66"/>
      <c r="BZ27" s="66"/>
      <c r="CA27" s="66"/>
      <c r="CB27" s="66"/>
      <c r="CC27" s="66"/>
      <c r="CD27" s="66"/>
      <c r="CE27" s="66"/>
      <c r="CF27" s="66"/>
      <c r="CG27" s="66"/>
      <c r="CH27" s="66"/>
      <c r="CI27" s="66"/>
      <c r="CJ27" s="66"/>
      <c r="CK27" s="66"/>
      <c r="CL27" s="66"/>
      <c r="CM27" s="66"/>
      <c r="CN27" s="66"/>
      <c r="CO27" s="66"/>
      <c r="CP27" s="66"/>
      <c r="CQ27" s="66"/>
      <c r="CR27" s="66"/>
      <c r="CS27" s="66"/>
      <c r="CT27" s="66"/>
      <c r="CU27" s="66"/>
      <c r="CV27" s="66"/>
      <c r="CW27" s="66"/>
      <c r="CX27" s="66"/>
      <c r="CY27" s="66"/>
      <c r="CZ27" s="66"/>
      <c r="DA27" s="66"/>
      <c r="DB27" s="66"/>
      <c r="DC27" s="66"/>
      <c r="DD27" s="66"/>
      <c r="DE27" s="66"/>
      <c r="DF27" s="66"/>
      <c r="DG27" s="66"/>
      <c r="DH27" s="66"/>
      <c r="DI27" s="66"/>
      <c r="DJ27" s="66"/>
      <c r="DK27" s="66"/>
      <c r="DL27" s="66"/>
    </row>
    <row r="28" spans="1:116" s="64" customFormat="1" x14ac:dyDescent="0.25">
      <c r="B28" s="61"/>
      <c r="C28" s="28"/>
      <c r="D28" s="61"/>
      <c r="E28" s="61"/>
      <c r="F28" s="62"/>
      <c r="G28" s="62"/>
      <c r="H28" s="62"/>
      <c r="J28" s="63"/>
      <c r="N28" s="28"/>
      <c r="O28" s="4"/>
      <c r="P28" s="67"/>
      <c r="Q28" s="67"/>
      <c r="R28" s="67"/>
      <c r="S28" s="67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66"/>
      <c r="BU28" s="66"/>
      <c r="BV28" s="66"/>
      <c r="BW28" s="66"/>
      <c r="BX28" s="66"/>
      <c r="BY28" s="66"/>
      <c r="BZ28" s="66"/>
      <c r="CA28" s="66"/>
      <c r="CB28" s="66"/>
      <c r="CC28" s="66"/>
      <c r="CD28" s="66"/>
      <c r="CE28" s="66"/>
      <c r="CF28" s="66"/>
      <c r="CG28" s="66"/>
      <c r="CH28" s="66"/>
      <c r="CI28" s="66"/>
      <c r="CJ28" s="66"/>
      <c r="CK28" s="66"/>
      <c r="CL28" s="66"/>
      <c r="CM28" s="66"/>
      <c r="CN28" s="66"/>
      <c r="CO28" s="66"/>
      <c r="CP28" s="66"/>
      <c r="CQ28" s="66"/>
      <c r="CR28" s="66"/>
      <c r="CS28" s="66"/>
      <c r="CT28" s="66"/>
      <c r="CU28" s="66"/>
      <c r="CV28" s="66"/>
      <c r="CW28" s="66"/>
      <c r="CX28" s="66"/>
      <c r="CY28" s="66"/>
      <c r="CZ28" s="66"/>
      <c r="DA28" s="66"/>
      <c r="DB28" s="66"/>
      <c r="DC28" s="66"/>
      <c r="DD28" s="66"/>
      <c r="DE28" s="66"/>
      <c r="DF28" s="66"/>
      <c r="DG28" s="66"/>
      <c r="DH28" s="66"/>
      <c r="DI28" s="66"/>
      <c r="DJ28" s="66"/>
      <c r="DK28" s="66"/>
      <c r="DL28" s="66"/>
    </row>
    <row r="29" spans="1:116" s="64" customFormat="1" x14ac:dyDescent="0.25">
      <c r="B29" s="61"/>
      <c r="C29" s="28"/>
      <c r="D29" s="61"/>
      <c r="E29" s="61"/>
      <c r="F29" s="62"/>
      <c r="G29" s="62"/>
      <c r="H29" s="62"/>
      <c r="J29" s="63"/>
      <c r="N29" s="28"/>
      <c r="O29" s="4"/>
      <c r="P29" s="67"/>
      <c r="Q29" s="67"/>
      <c r="R29" s="67"/>
      <c r="S29" s="67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66"/>
      <c r="BY29" s="66"/>
      <c r="BZ29" s="66"/>
      <c r="CA29" s="66"/>
      <c r="CB29" s="66"/>
      <c r="CC29" s="66"/>
      <c r="CD29" s="66"/>
      <c r="CE29" s="66"/>
      <c r="CF29" s="66"/>
      <c r="CG29" s="66"/>
      <c r="CH29" s="66"/>
      <c r="CI29" s="66"/>
      <c r="CJ29" s="66"/>
      <c r="CK29" s="66"/>
      <c r="CL29" s="66"/>
      <c r="CM29" s="66"/>
      <c r="CN29" s="66"/>
      <c r="CO29" s="66"/>
      <c r="CP29" s="66"/>
      <c r="CQ29" s="66"/>
      <c r="CR29" s="66"/>
      <c r="CS29" s="66"/>
      <c r="CT29" s="66"/>
      <c r="CU29" s="66"/>
      <c r="CV29" s="66"/>
      <c r="CW29" s="66"/>
      <c r="CX29" s="66"/>
      <c r="CY29" s="66"/>
      <c r="CZ29" s="66"/>
      <c r="DA29" s="66"/>
      <c r="DB29" s="66"/>
      <c r="DC29" s="66"/>
      <c r="DD29" s="66"/>
      <c r="DE29" s="66"/>
      <c r="DF29" s="66"/>
      <c r="DG29" s="66"/>
      <c r="DH29" s="66"/>
      <c r="DI29" s="66"/>
      <c r="DJ29" s="66"/>
      <c r="DK29" s="66"/>
      <c r="DL29" s="66"/>
    </row>
    <row r="30" spans="1:116" s="64" customFormat="1" x14ac:dyDescent="0.25">
      <c r="B30" s="61"/>
      <c r="C30" s="28"/>
      <c r="D30" s="61"/>
      <c r="E30" s="61"/>
      <c r="F30" s="62"/>
      <c r="G30" s="62"/>
      <c r="H30" s="62"/>
      <c r="J30" s="63"/>
      <c r="N30" s="28"/>
      <c r="O30" s="4"/>
      <c r="P30" s="67"/>
      <c r="Q30" s="67"/>
      <c r="R30" s="67"/>
      <c r="S30" s="67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  <c r="BR30" s="66"/>
      <c r="BS30" s="66"/>
      <c r="BT30" s="66"/>
      <c r="BU30" s="66"/>
      <c r="BV30" s="66"/>
      <c r="BW30" s="66"/>
      <c r="BX30" s="66"/>
      <c r="BY30" s="66"/>
      <c r="BZ30" s="66"/>
      <c r="CA30" s="66"/>
      <c r="CB30" s="66"/>
      <c r="CC30" s="66"/>
      <c r="CD30" s="66"/>
      <c r="CE30" s="66"/>
      <c r="CF30" s="66"/>
      <c r="CG30" s="66"/>
      <c r="CH30" s="66"/>
      <c r="CI30" s="66"/>
      <c r="CJ30" s="66"/>
      <c r="CK30" s="66"/>
      <c r="CL30" s="66"/>
      <c r="CM30" s="66"/>
      <c r="CN30" s="66"/>
      <c r="CO30" s="66"/>
      <c r="CP30" s="66"/>
      <c r="CQ30" s="66"/>
      <c r="CR30" s="66"/>
      <c r="CS30" s="66"/>
      <c r="CT30" s="66"/>
      <c r="CU30" s="66"/>
      <c r="CV30" s="66"/>
      <c r="CW30" s="66"/>
      <c r="CX30" s="66"/>
      <c r="CY30" s="66"/>
      <c r="CZ30" s="66"/>
      <c r="DA30" s="66"/>
      <c r="DB30" s="66"/>
      <c r="DC30" s="66"/>
      <c r="DD30" s="66"/>
      <c r="DE30" s="66"/>
      <c r="DF30" s="66"/>
      <c r="DG30" s="66"/>
      <c r="DH30" s="66"/>
      <c r="DI30" s="66"/>
      <c r="DJ30" s="66"/>
      <c r="DK30" s="66"/>
      <c r="DL30" s="66"/>
    </row>
    <row r="31" spans="1:116" s="64" customFormat="1" x14ac:dyDescent="0.25">
      <c r="B31" s="61"/>
      <c r="C31" s="28"/>
      <c r="D31" s="61"/>
      <c r="E31" s="61"/>
      <c r="F31" s="62"/>
      <c r="G31" s="62"/>
      <c r="H31" s="62"/>
      <c r="J31" s="63"/>
      <c r="N31" s="28"/>
      <c r="O31" s="4"/>
      <c r="P31" s="67"/>
      <c r="Q31" s="67"/>
      <c r="R31" s="67"/>
      <c r="S31" s="67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66"/>
      <c r="BV31" s="66"/>
      <c r="BW31" s="66"/>
      <c r="BX31" s="66"/>
      <c r="BY31" s="66"/>
      <c r="BZ31" s="66"/>
      <c r="CA31" s="66"/>
      <c r="CB31" s="66"/>
      <c r="CC31" s="66"/>
      <c r="CD31" s="66"/>
      <c r="CE31" s="66"/>
      <c r="CF31" s="66"/>
      <c r="CG31" s="66"/>
      <c r="CH31" s="66"/>
      <c r="CI31" s="66"/>
      <c r="CJ31" s="66"/>
      <c r="CK31" s="66"/>
      <c r="CL31" s="66"/>
      <c r="CM31" s="66"/>
      <c r="CN31" s="66"/>
      <c r="CO31" s="66"/>
      <c r="CP31" s="66"/>
      <c r="CQ31" s="66"/>
      <c r="CR31" s="66"/>
      <c r="CS31" s="66"/>
      <c r="CT31" s="66"/>
      <c r="CU31" s="66"/>
      <c r="CV31" s="66"/>
      <c r="CW31" s="66"/>
      <c r="CX31" s="66"/>
      <c r="CY31" s="66"/>
      <c r="CZ31" s="66"/>
      <c r="DA31" s="66"/>
      <c r="DB31" s="66"/>
      <c r="DC31" s="66"/>
      <c r="DD31" s="66"/>
      <c r="DE31" s="66"/>
      <c r="DF31" s="66"/>
      <c r="DG31" s="66"/>
      <c r="DH31" s="66"/>
      <c r="DI31" s="66"/>
      <c r="DJ31" s="66"/>
      <c r="DK31" s="66"/>
      <c r="DL31" s="66"/>
    </row>
    <row r="32" spans="1:116" s="64" customFormat="1" x14ac:dyDescent="0.25">
      <c r="B32" s="61"/>
      <c r="C32" s="28"/>
      <c r="D32" s="61"/>
      <c r="E32" s="61"/>
      <c r="F32" s="62"/>
      <c r="G32" s="62"/>
      <c r="H32" s="62"/>
      <c r="J32" s="63"/>
      <c r="N32" s="28"/>
      <c r="O32" s="4"/>
      <c r="P32" s="67"/>
      <c r="Q32" s="67"/>
      <c r="R32" s="67"/>
      <c r="S32" s="67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6"/>
      <c r="BM32" s="66"/>
      <c r="BN32" s="66"/>
      <c r="BO32" s="66"/>
      <c r="BP32" s="66"/>
      <c r="BQ32" s="66"/>
      <c r="BR32" s="66"/>
      <c r="BS32" s="66"/>
      <c r="BT32" s="66"/>
      <c r="BU32" s="66"/>
      <c r="BV32" s="66"/>
      <c r="BW32" s="66"/>
      <c r="BX32" s="66"/>
      <c r="BY32" s="66"/>
      <c r="BZ32" s="66"/>
      <c r="CA32" s="66"/>
      <c r="CB32" s="66"/>
      <c r="CC32" s="66"/>
      <c r="CD32" s="66"/>
      <c r="CE32" s="66"/>
      <c r="CF32" s="66"/>
      <c r="CG32" s="66"/>
      <c r="CH32" s="66"/>
      <c r="CI32" s="66"/>
      <c r="CJ32" s="66"/>
      <c r="CK32" s="66"/>
      <c r="CL32" s="66"/>
      <c r="CM32" s="66"/>
      <c r="CN32" s="66"/>
      <c r="CO32" s="66"/>
      <c r="CP32" s="66"/>
      <c r="CQ32" s="66"/>
      <c r="CR32" s="66"/>
      <c r="CS32" s="66"/>
      <c r="CT32" s="66"/>
      <c r="CU32" s="66"/>
      <c r="CV32" s="66"/>
      <c r="CW32" s="66"/>
      <c r="CX32" s="66"/>
      <c r="CY32" s="66"/>
      <c r="CZ32" s="66"/>
      <c r="DA32" s="66"/>
      <c r="DB32" s="66"/>
      <c r="DC32" s="66"/>
      <c r="DD32" s="66"/>
      <c r="DE32" s="66"/>
      <c r="DF32" s="66"/>
      <c r="DG32" s="66"/>
      <c r="DH32" s="66"/>
      <c r="DI32" s="66"/>
      <c r="DJ32" s="66"/>
      <c r="DK32" s="66"/>
      <c r="DL32" s="66"/>
    </row>
    <row r="33" spans="2:116" s="64" customFormat="1" x14ac:dyDescent="0.25">
      <c r="B33" s="61"/>
      <c r="C33" s="28"/>
      <c r="D33" s="61"/>
      <c r="E33" s="61"/>
      <c r="F33" s="62"/>
      <c r="G33" s="62"/>
      <c r="H33" s="62"/>
      <c r="J33" s="63"/>
      <c r="N33" s="28"/>
      <c r="O33" s="4"/>
      <c r="P33" s="67"/>
      <c r="Q33" s="67"/>
      <c r="R33" s="67"/>
      <c r="S33" s="67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6"/>
      <c r="BM33" s="66"/>
      <c r="BN33" s="66"/>
      <c r="BO33" s="66"/>
      <c r="BP33" s="66"/>
      <c r="BQ33" s="66"/>
      <c r="BR33" s="66"/>
      <c r="BS33" s="66"/>
      <c r="BT33" s="66"/>
      <c r="BU33" s="66"/>
      <c r="BV33" s="66"/>
      <c r="BW33" s="66"/>
      <c r="BX33" s="66"/>
      <c r="BY33" s="66"/>
      <c r="BZ33" s="66"/>
      <c r="CA33" s="66"/>
      <c r="CB33" s="66"/>
      <c r="CC33" s="66"/>
      <c r="CD33" s="66"/>
      <c r="CE33" s="66"/>
      <c r="CF33" s="66"/>
      <c r="CG33" s="66"/>
      <c r="CH33" s="66"/>
      <c r="CI33" s="66"/>
      <c r="CJ33" s="66"/>
      <c r="CK33" s="66"/>
      <c r="CL33" s="66"/>
      <c r="CM33" s="66"/>
      <c r="CN33" s="66"/>
      <c r="CO33" s="66"/>
      <c r="CP33" s="66"/>
      <c r="CQ33" s="66"/>
      <c r="CR33" s="66"/>
      <c r="CS33" s="66"/>
      <c r="CT33" s="66"/>
      <c r="CU33" s="66"/>
      <c r="CV33" s="66"/>
      <c r="CW33" s="66"/>
      <c r="CX33" s="66"/>
      <c r="CY33" s="66"/>
      <c r="CZ33" s="66"/>
      <c r="DA33" s="66"/>
      <c r="DB33" s="66"/>
      <c r="DC33" s="66"/>
      <c r="DD33" s="66"/>
      <c r="DE33" s="66"/>
      <c r="DF33" s="66"/>
      <c r="DG33" s="66"/>
      <c r="DH33" s="66"/>
      <c r="DI33" s="66"/>
      <c r="DJ33" s="66"/>
      <c r="DK33" s="66"/>
      <c r="DL33" s="66"/>
    </row>
    <row r="34" spans="2:116" s="64" customFormat="1" x14ac:dyDescent="0.25">
      <c r="B34" s="61"/>
      <c r="C34" s="28"/>
      <c r="D34" s="61"/>
      <c r="E34" s="61"/>
      <c r="F34" s="62"/>
      <c r="G34" s="62"/>
      <c r="H34" s="62"/>
      <c r="J34" s="63"/>
      <c r="N34" s="28"/>
      <c r="O34" s="4"/>
      <c r="P34" s="67"/>
      <c r="Q34" s="67"/>
      <c r="R34" s="67"/>
      <c r="S34" s="67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6"/>
      <c r="BM34" s="66"/>
      <c r="BN34" s="66"/>
      <c r="BO34" s="66"/>
      <c r="BP34" s="66"/>
      <c r="BQ34" s="66"/>
      <c r="BR34" s="66"/>
      <c r="BS34" s="66"/>
      <c r="BT34" s="66"/>
      <c r="BU34" s="66"/>
      <c r="BV34" s="66"/>
      <c r="BW34" s="66"/>
      <c r="BX34" s="66"/>
      <c r="BY34" s="66"/>
      <c r="BZ34" s="66"/>
      <c r="CA34" s="66"/>
      <c r="CB34" s="66"/>
      <c r="CC34" s="66"/>
      <c r="CD34" s="66"/>
      <c r="CE34" s="66"/>
      <c r="CF34" s="66"/>
      <c r="CG34" s="66"/>
      <c r="CH34" s="66"/>
      <c r="CI34" s="66"/>
      <c r="CJ34" s="66"/>
      <c r="CK34" s="66"/>
      <c r="CL34" s="66"/>
      <c r="CM34" s="66"/>
      <c r="CN34" s="66"/>
      <c r="CO34" s="66"/>
      <c r="CP34" s="66"/>
      <c r="CQ34" s="66"/>
      <c r="CR34" s="66"/>
      <c r="CS34" s="66"/>
      <c r="CT34" s="66"/>
      <c r="CU34" s="66"/>
      <c r="CV34" s="66"/>
      <c r="CW34" s="66"/>
      <c r="CX34" s="66"/>
      <c r="CY34" s="66"/>
      <c r="CZ34" s="66"/>
      <c r="DA34" s="66"/>
      <c r="DB34" s="66"/>
      <c r="DC34" s="66"/>
      <c r="DD34" s="66"/>
      <c r="DE34" s="66"/>
      <c r="DF34" s="66"/>
      <c r="DG34" s="66"/>
      <c r="DH34" s="66"/>
      <c r="DI34" s="66"/>
      <c r="DJ34" s="66"/>
      <c r="DK34" s="66"/>
      <c r="DL34" s="66"/>
    </row>
    <row r="35" spans="2:116" s="64" customFormat="1" x14ac:dyDescent="0.25">
      <c r="B35" s="61"/>
      <c r="C35" s="28"/>
      <c r="D35" s="61"/>
      <c r="E35" s="61"/>
      <c r="F35" s="62"/>
      <c r="G35" s="62"/>
      <c r="H35" s="62"/>
      <c r="J35" s="63"/>
      <c r="N35" s="28"/>
      <c r="O35" s="4"/>
      <c r="P35" s="67"/>
      <c r="Q35" s="67"/>
      <c r="R35" s="67"/>
      <c r="S35" s="67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66"/>
      <c r="BP35" s="66"/>
      <c r="BQ35" s="66"/>
      <c r="BR35" s="66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66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66"/>
      <c r="CS35" s="66"/>
      <c r="CT35" s="66"/>
      <c r="CU35" s="66"/>
      <c r="CV35" s="66"/>
      <c r="CW35" s="66"/>
      <c r="CX35" s="66"/>
      <c r="CY35" s="66"/>
      <c r="CZ35" s="66"/>
      <c r="DA35" s="66"/>
      <c r="DB35" s="66"/>
      <c r="DC35" s="66"/>
      <c r="DD35" s="66"/>
      <c r="DE35" s="66"/>
      <c r="DF35" s="66"/>
      <c r="DG35" s="66"/>
      <c r="DH35" s="66"/>
      <c r="DI35" s="66"/>
      <c r="DJ35" s="66"/>
      <c r="DK35" s="66"/>
      <c r="DL35" s="66"/>
    </row>
    <row r="36" spans="2:116" s="64" customFormat="1" x14ac:dyDescent="0.25">
      <c r="B36" s="61"/>
      <c r="C36" s="28"/>
      <c r="D36" s="61"/>
      <c r="E36" s="61"/>
      <c r="F36" s="62"/>
      <c r="G36" s="62"/>
      <c r="H36" s="62"/>
      <c r="J36" s="63"/>
      <c r="N36" s="28"/>
      <c r="O36" s="4"/>
      <c r="P36" s="67"/>
      <c r="Q36" s="67"/>
      <c r="R36" s="67"/>
      <c r="S36" s="67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/>
      <c r="BJ36" s="66"/>
      <c r="BK36" s="66"/>
      <c r="BL36" s="66"/>
      <c r="BM36" s="66"/>
      <c r="BN36" s="66"/>
      <c r="BO36" s="66"/>
      <c r="BP36" s="66"/>
      <c r="BQ36" s="66"/>
      <c r="BR36" s="66"/>
      <c r="BS36" s="66"/>
      <c r="BT36" s="66"/>
      <c r="BU36" s="66"/>
      <c r="BV36" s="66"/>
      <c r="BW36" s="66"/>
      <c r="BX36" s="66"/>
      <c r="BY36" s="66"/>
      <c r="BZ36" s="66"/>
      <c r="CA36" s="66"/>
      <c r="CB36" s="66"/>
      <c r="CC36" s="66"/>
      <c r="CD36" s="66"/>
      <c r="CE36" s="66"/>
      <c r="CF36" s="66"/>
      <c r="CG36" s="66"/>
      <c r="CH36" s="66"/>
      <c r="CI36" s="66"/>
      <c r="CJ36" s="66"/>
      <c r="CK36" s="66"/>
      <c r="CL36" s="66"/>
      <c r="CM36" s="66"/>
      <c r="CN36" s="66"/>
      <c r="CO36" s="66"/>
      <c r="CP36" s="66"/>
      <c r="CQ36" s="66"/>
      <c r="CR36" s="66"/>
      <c r="CS36" s="66"/>
      <c r="CT36" s="66"/>
      <c r="CU36" s="66"/>
      <c r="CV36" s="66"/>
      <c r="CW36" s="66"/>
      <c r="CX36" s="66"/>
      <c r="CY36" s="66"/>
      <c r="CZ36" s="66"/>
      <c r="DA36" s="66"/>
      <c r="DB36" s="66"/>
      <c r="DC36" s="66"/>
      <c r="DD36" s="66"/>
      <c r="DE36" s="66"/>
      <c r="DF36" s="66"/>
      <c r="DG36" s="66"/>
      <c r="DH36" s="66"/>
      <c r="DI36" s="66"/>
      <c r="DJ36" s="66"/>
      <c r="DK36" s="66"/>
      <c r="DL36" s="66"/>
    </row>
    <row r="37" spans="2:116" s="64" customFormat="1" x14ac:dyDescent="0.25">
      <c r="B37" s="61"/>
      <c r="C37" s="28"/>
      <c r="D37" s="61"/>
      <c r="E37" s="61"/>
      <c r="F37" s="62"/>
      <c r="G37" s="62"/>
      <c r="H37" s="62"/>
      <c r="J37" s="63"/>
      <c r="N37" s="28"/>
      <c r="O37" s="4"/>
      <c r="P37" s="67"/>
      <c r="Q37" s="67"/>
      <c r="R37" s="67"/>
      <c r="S37" s="67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6"/>
      <c r="BV37" s="66"/>
      <c r="BW37" s="66"/>
      <c r="BX37" s="66"/>
      <c r="BY37" s="66"/>
      <c r="BZ37" s="66"/>
      <c r="CA37" s="66"/>
      <c r="CB37" s="66"/>
      <c r="CC37" s="66"/>
      <c r="CD37" s="66"/>
      <c r="CE37" s="66"/>
      <c r="CF37" s="66"/>
      <c r="CG37" s="66"/>
      <c r="CH37" s="66"/>
      <c r="CI37" s="66"/>
      <c r="CJ37" s="66"/>
      <c r="CK37" s="66"/>
      <c r="CL37" s="66"/>
      <c r="CM37" s="66"/>
      <c r="CN37" s="66"/>
      <c r="CO37" s="66"/>
      <c r="CP37" s="66"/>
      <c r="CQ37" s="66"/>
      <c r="CR37" s="66"/>
      <c r="CS37" s="66"/>
      <c r="CT37" s="66"/>
      <c r="CU37" s="66"/>
      <c r="CV37" s="66"/>
      <c r="CW37" s="66"/>
      <c r="CX37" s="66"/>
      <c r="CY37" s="66"/>
      <c r="CZ37" s="66"/>
      <c r="DA37" s="66"/>
      <c r="DB37" s="66"/>
      <c r="DC37" s="66"/>
      <c r="DD37" s="66"/>
      <c r="DE37" s="66"/>
      <c r="DF37" s="66"/>
      <c r="DG37" s="66"/>
      <c r="DH37" s="66"/>
      <c r="DI37" s="66"/>
      <c r="DJ37" s="66"/>
      <c r="DK37" s="66"/>
      <c r="DL37" s="66"/>
    </row>
    <row r="38" spans="2:116" s="64" customFormat="1" x14ac:dyDescent="0.25">
      <c r="B38" s="61"/>
      <c r="C38" s="28"/>
      <c r="D38" s="61"/>
      <c r="E38" s="61"/>
      <c r="F38" s="62"/>
      <c r="G38" s="62"/>
      <c r="H38" s="62"/>
      <c r="J38" s="63"/>
      <c r="N38" s="28"/>
      <c r="O38" s="4"/>
      <c r="P38" s="67"/>
      <c r="Q38" s="67"/>
      <c r="R38" s="67"/>
      <c r="S38" s="67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6"/>
      <c r="BM38" s="66"/>
      <c r="BN38" s="66"/>
      <c r="BO38" s="66"/>
      <c r="BP38" s="66"/>
      <c r="BQ38" s="66"/>
      <c r="BR38" s="66"/>
      <c r="BS38" s="66"/>
      <c r="BT38" s="66"/>
      <c r="BU38" s="66"/>
      <c r="BV38" s="66"/>
      <c r="BW38" s="66"/>
      <c r="BX38" s="66"/>
      <c r="BY38" s="66"/>
      <c r="BZ38" s="66"/>
      <c r="CA38" s="66"/>
      <c r="CB38" s="66"/>
      <c r="CC38" s="66"/>
      <c r="CD38" s="66"/>
      <c r="CE38" s="66"/>
      <c r="CF38" s="66"/>
      <c r="CG38" s="66"/>
      <c r="CH38" s="66"/>
      <c r="CI38" s="66"/>
      <c r="CJ38" s="66"/>
      <c r="CK38" s="66"/>
      <c r="CL38" s="66"/>
      <c r="CM38" s="66"/>
      <c r="CN38" s="66"/>
      <c r="CO38" s="66"/>
      <c r="CP38" s="66"/>
      <c r="CQ38" s="66"/>
      <c r="CR38" s="66"/>
      <c r="CS38" s="66"/>
      <c r="CT38" s="66"/>
      <c r="CU38" s="66"/>
      <c r="CV38" s="66"/>
      <c r="CW38" s="66"/>
      <c r="CX38" s="66"/>
      <c r="CY38" s="66"/>
      <c r="CZ38" s="66"/>
      <c r="DA38" s="66"/>
      <c r="DB38" s="66"/>
      <c r="DC38" s="66"/>
      <c r="DD38" s="66"/>
      <c r="DE38" s="66"/>
      <c r="DF38" s="66"/>
      <c r="DG38" s="66"/>
      <c r="DH38" s="66"/>
      <c r="DI38" s="66"/>
      <c r="DJ38" s="66"/>
      <c r="DK38" s="66"/>
      <c r="DL38" s="66"/>
    </row>
    <row r="39" spans="2:116" s="64" customFormat="1" x14ac:dyDescent="0.25">
      <c r="B39" s="61"/>
      <c r="C39" s="28"/>
      <c r="D39" s="61"/>
      <c r="E39" s="61"/>
      <c r="F39" s="62"/>
      <c r="G39" s="62"/>
      <c r="H39" s="62"/>
      <c r="J39" s="63"/>
      <c r="N39" s="28"/>
      <c r="O39" s="4"/>
      <c r="P39" s="67"/>
      <c r="Q39" s="67"/>
      <c r="R39" s="67"/>
      <c r="S39" s="67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6"/>
      <c r="BM39" s="66"/>
      <c r="BN39" s="66"/>
      <c r="BO39" s="66"/>
      <c r="BP39" s="66"/>
      <c r="BQ39" s="66"/>
      <c r="BR39" s="66"/>
      <c r="BS39" s="66"/>
      <c r="BT39" s="66"/>
      <c r="BU39" s="66"/>
      <c r="BV39" s="66"/>
      <c r="BW39" s="66"/>
      <c r="BX39" s="66"/>
      <c r="BY39" s="66"/>
      <c r="BZ39" s="66"/>
      <c r="CA39" s="66"/>
      <c r="CB39" s="66"/>
      <c r="CC39" s="66"/>
      <c r="CD39" s="66"/>
      <c r="CE39" s="66"/>
      <c r="CF39" s="66"/>
      <c r="CG39" s="66"/>
      <c r="CH39" s="66"/>
      <c r="CI39" s="66"/>
      <c r="CJ39" s="66"/>
      <c r="CK39" s="66"/>
      <c r="CL39" s="66"/>
      <c r="CM39" s="66"/>
      <c r="CN39" s="66"/>
      <c r="CO39" s="66"/>
      <c r="CP39" s="66"/>
      <c r="CQ39" s="66"/>
      <c r="CR39" s="66"/>
      <c r="CS39" s="66"/>
      <c r="CT39" s="66"/>
      <c r="CU39" s="66"/>
      <c r="CV39" s="66"/>
      <c r="CW39" s="66"/>
      <c r="CX39" s="66"/>
      <c r="CY39" s="66"/>
      <c r="CZ39" s="66"/>
      <c r="DA39" s="66"/>
      <c r="DB39" s="66"/>
      <c r="DC39" s="66"/>
      <c r="DD39" s="66"/>
      <c r="DE39" s="66"/>
      <c r="DF39" s="66"/>
      <c r="DG39" s="66"/>
      <c r="DH39" s="66"/>
      <c r="DI39" s="66"/>
      <c r="DJ39" s="66"/>
      <c r="DK39" s="66"/>
      <c r="DL39" s="66"/>
    </row>
    <row r="40" spans="2:116" s="64" customFormat="1" x14ac:dyDescent="0.25">
      <c r="B40" s="61"/>
      <c r="C40" s="28"/>
      <c r="D40" s="61"/>
      <c r="E40" s="61"/>
      <c r="F40" s="62"/>
      <c r="G40" s="62"/>
      <c r="H40" s="62"/>
      <c r="J40" s="63"/>
      <c r="N40" s="28"/>
      <c r="O40" s="4"/>
      <c r="P40" s="67"/>
      <c r="Q40" s="67"/>
      <c r="R40" s="67"/>
      <c r="S40" s="67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66"/>
      <c r="CS40" s="66"/>
      <c r="CT40" s="66"/>
      <c r="CU40" s="66"/>
      <c r="CV40" s="66"/>
      <c r="CW40" s="66"/>
      <c r="CX40" s="66"/>
      <c r="CY40" s="66"/>
      <c r="CZ40" s="66"/>
      <c r="DA40" s="66"/>
      <c r="DB40" s="66"/>
      <c r="DC40" s="66"/>
      <c r="DD40" s="66"/>
      <c r="DE40" s="66"/>
      <c r="DF40" s="66"/>
      <c r="DG40" s="66"/>
      <c r="DH40" s="66"/>
      <c r="DI40" s="66"/>
      <c r="DJ40" s="66"/>
      <c r="DK40" s="66"/>
      <c r="DL40" s="66"/>
    </row>
    <row r="41" spans="2:116" s="64" customFormat="1" x14ac:dyDescent="0.25">
      <c r="B41" s="61"/>
      <c r="C41" s="28"/>
      <c r="D41" s="61"/>
      <c r="E41" s="61"/>
      <c r="F41" s="62"/>
      <c r="G41" s="62"/>
      <c r="H41" s="62"/>
      <c r="J41" s="63"/>
      <c r="N41" s="28"/>
      <c r="O41" s="4"/>
      <c r="P41" s="67"/>
      <c r="Q41" s="67"/>
      <c r="R41" s="67"/>
      <c r="S41" s="67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66"/>
      <c r="BP41" s="66"/>
      <c r="BQ41" s="66"/>
      <c r="BR41" s="66"/>
      <c r="BS41" s="66"/>
      <c r="BT41" s="66"/>
      <c r="BU41" s="66"/>
      <c r="BV41" s="66"/>
      <c r="BW41" s="66"/>
      <c r="BX41" s="66"/>
      <c r="BY41" s="66"/>
      <c r="BZ41" s="66"/>
      <c r="CA41" s="66"/>
      <c r="CB41" s="66"/>
      <c r="CC41" s="66"/>
      <c r="CD41" s="66"/>
      <c r="CE41" s="66"/>
      <c r="CF41" s="66"/>
      <c r="CG41" s="66"/>
      <c r="CH41" s="66"/>
      <c r="CI41" s="66"/>
      <c r="CJ41" s="66"/>
      <c r="CK41" s="66"/>
      <c r="CL41" s="66"/>
      <c r="CM41" s="66"/>
      <c r="CN41" s="66"/>
      <c r="CO41" s="66"/>
      <c r="CP41" s="66"/>
      <c r="CQ41" s="66"/>
      <c r="CR41" s="66"/>
      <c r="CS41" s="66"/>
      <c r="CT41" s="66"/>
      <c r="CU41" s="66"/>
      <c r="CV41" s="66"/>
      <c r="CW41" s="66"/>
      <c r="CX41" s="66"/>
      <c r="CY41" s="66"/>
      <c r="CZ41" s="66"/>
      <c r="DA41" s="66"/>
      <c r="DB41" s="66"/>
      <c r="DC41" s="66"/>
      <c r="DD41" s="66"/>
      <c r="DE41" s="66"/>
      <c r="DF41" s="66"/>
      <c r="DG41" s="66"/>
      <c r="DH41" s="66"/>
      <c r="DI41" s="66"/>
      <c r="DJ41" s="66"/>
      <c r="DK41" s="66"/>
      <c r="DL41" s="66"/>
    </row>
    <row r="42" spans="2:116" s="64" customFormat="1" x14ac:dyDescent="0.25">
      <c r="B42" s="61"/>
      <c r="C42" s="28"/>
      <c r="D42" s="61"/>
      <c r="E42" s="61"/>
      <c r="F42" s="62"/>
      <c r="G42" s="62"/>
      <c r="H42" s="62"/>
      <c r="J42" s="63"/>
      <c r="N42" s="28"/>
      <c r="O42" s="4"/>
      <c r="P42" s="67"/>
      <c r="Q42" s="67"/>
      <c r="R42" s="67"/>
      <c r="S42" s="67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66"/>
      <c r="BP42" s="66"/>
      <c r="BQ42" s="66"/>
      <c r="BR42" s="66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66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66"/>
      <c r="CS42" s="66"/>
      <c r="CT42" s="66"/>
      <c r="CU42" s="66"/>
      <c r="CV42" s="66"/>
      <c r="CW42" s="66"/>
      <c r="CX42" s="66"/>
      <c r="CY42" s="66"/>
      <c r="CZ42" s="66"/>
      <c r="DA42" s="66"/>
      <c r="DB42" s="66"/>
      <c r="DC42" s="66"/>
      <c r="DD42" s="66"/>
      <c r="DE42" s="66"/>
      <c r="DF42" s="66"/>
      <c r="DG42" s="66"/>
      <c r="DH42" s="66"/>
      <c r="DI42" s="66"/>
      <c r="DJ42" s="66"/>
      <c r="DK42" s="66"/>
      <c r="DL42" s="66"/>
    </row>
    <row r="43" spans="2:116" x14ac:dyDescent="0.25">
      <c r="P43" s="67"/>
      <c r="Q43" s="67"/>
      <c r="R43" s="67"/>
      <c r="S43" s="67"/>
      <c r="T43" s="66"/>
      <c r="U43" s="66"/>
      <c r="V43" s="66"/>
      <c r="W43" s="66"/>
      <c r="X43" s="66"/>
      <c r="Y43" s="66"/>
    </row>
    <row r="44" spans="2:116" x14ac:dyDescent="0.25">
      <c r="P44" s="67"/>
      <c r="Q44" s="67"/>
      <c r="R44" s="67"/>
      <c r="S44" s="67"/>
      <c r="T44" s="66"/>
      <c r="U44" s="66"/>
      <c r="V44" s="66"/>
      <c r="W44" s="66"/>
      <c r="X44" s="66"/>
      <c r="Y44" s="66"/>
    </row>
    <row r="45" spans="2:116" x14ac:dyDescent="0.25">
      <c r="P45" s="67"/>
      <c r="Q45" s="67"/>
      <c r="R45" s="67"/>
      <c r="S45" s="67"/>
      <c r="T45" s="66"/>
      <c r="U45" s="66"/>
      <c r="W45" s="66"/>
      <c r="X45" s="66"/>
      <c r="Y45" s="66"/>
    </row>
    <row r="46" spans="2:116" x14ac:dyDescent="0.25">
      <c r="W46" s="66"/>
      <c r="X46" s="66"/>
      <c r="Y46" s="66"/>
    </row>
  </sheetData>
  <autoFilter ref="A2:N5" xr:uid="{A4FE88A6-95E0-4989-B0FB-4AD52AA5F0E5}"/>
  <mergeCells count="19">
    <mergeCell ref="M2:M3"/>
    <mergeCell ref="N2:N3"/>
    <mergeCell ref="F8:I8"/>
    <mergeCell ref="K8:L8"/>
    <mergeCell ref="A1:N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F9:I9"/>
    <mergeCell ref="K9:L9"/>
    <mergeCell ref="J2:J3"/>
    <mergeCell ref="K2:K3"/>
    <mergeCell ref="L2:L3"/>
  </mergeCells>
  <conditionalFormatting sqref="J4">
    <cfRule type="duplicateValues" dxfId="9" priority="1"/>
  </conditionalFormatting>
  <pageMargins left="0.7" right="0.7" top="0.75" bottom="0.75" header="0.3" footer="0.3"/>
  <pageSetup paperSize="8" scale="96" orientation="landscape" r:id="rId1"/>
  <rowBreaks count="1" manualBreakCount="1">
    <brk id="8" max="11" man="1"/>
  </rowBreaks>
  <colBreaks count="1" manualBreakCount="1">
    <brk id="12" max="2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79A32-ABB0-4BA8-9FBF-BB8061F957C0}">
  <dimension ref="A1:K46"/>
  <sheetViews>
    <sheetView zoomScale="96" zoomScaleNormal="96" zoomScaleSheetLayoutView="100" workbookViewId="0">
      <pane xSplit="3" ySplit="3" topLeftCell="D4" activePane="bottomRight" state="frozen"/>
      <selection activeCell="H7" sqref="H7"/>
      <selection pane="topRight" activeCell="H7" sqref="H7"/>
      <selection pane="bottomLeft" activeCell="H7" sqref="H7"/>
      <selection pane="bottomRight" activeCell="D35" sqref="D35"/>
    </sheetView>
  </sheetViews>
  <sheetFormatPr defaultColWidth="9.140625" defaultRowHeight="13.5" x14ac:dyDescent="0.25"/>
  <cols>
    <col min="1" max="1" width="4.7109375" style="28" customWidth="1"/>
    <col min="2" max="2" width="10.28515625" style="61" customWidth="1"/>
    <col min="3" max="3" width="38.28515625" style="28" customWidth="1"/>
    <col min="4" max="4" width="16" style="61" bestFit="1" customWidth="1"/>
    <col min="5" max="5" width="12.42578125" style="61" customWidth="1"/>
    <col min="6" max="6" width="16" style="61" bestFit="1" customWidth="1"/>
    <col min="7" max="8" width="16" style="61" customWidth="1"/>
    <col min="9" max="9" width="12.28515625" style="64" customWidth="1"/>
    <col min="10" max="10" width="30.85546875" style="89" customWidth="1"/>
    <col min="11" max="11" width="10.5703125" style="4" customWidth="1"/>
    <col min="12" max="16384" width="9.140625" style="28"/>
  </cols>
  <sheetData>
    <row r="1" spans="1:11" s="7" customFormat="1" ht="30" customHeight="1" x14ac:dyDescent="0.25">
      <c r="A1" s="310" t="s">
        <v>29</v>
      </c>
      <c r="B1" s="311"/>
      <c r="C1" s="311"/>
      <c r="D1" s="311"/>
      <c r="E1" s="311"/>
      <c r="F1" s="311"/>
      <c r="G1" s="311"/>
      <c r="H1" s="311"/>
      <c r="I1" s="311"/>
      <c r="J1" s="312"/>
      <c r="K1" s="4"/>
    </row>
    <row r="2" spans="1:11" s="11" customFormat="1" ht="19.5" customHeight="1" x14ac:dyDescent="0.25">
      <c r="A2" s="308" t="s">
        <v>1</v>
      </c>
      <c r="B2" s="313" t="s">
        <v>2</v>
      </c>
      <c r="C2" s="308" t="s">
        <v>3</v>
      </c>
      <c r="D2" s="314" t="s">
        <v>4</v>
      </c>
      <c r="E2" s="308" t="s">
        <v>5</v>
      </c>
      <c r="F2" s="308" t="s">
        <v>6</v>
      </c>
      <c r="G2" s="308" t="s">
        <v>30</v>
      </c>
      <c r="H2" s="308" t="s">
        <v>31</v>
      </c>
      <c r="I2" s="308" t="s">
        <v>9</v>
      </c>
      <c r="J2" s="316" t="s">
        <v>14</v>
      </c>
      <c r="K2" s="8"/>
    </row>
    <row r="3" spans="1:11" s="11" customFormat="1" ht="26.25" customHeight="1" x14ac:dyDescent="0.25">
      <c r="A3" s="308"/>
      <c r="B3" s="313"/>
      <c r="C3" s="308"/>
      <c r="D3" s="315"/>
      <c r="E3" s="308"/>
      <c r="F3" s="308"/>
      <c r="G3" s="308"/>
      <c r="H3" s="308"/>
      <c r="I3" s="308"/>
      <c r="J3" s="316"/>
      <c r="K3" s="8"/>
    </row>
    <row r="4" spans="1:11" s="6" customFormat="1" x14ac:dyDescent="0.25">
      <c r="A4" s="12">
        <v>26</v>
      </c>
      <c r="B4" s="12">
        <v>2629</v>
      </c>
      <c r="C4" s="13" t="s">
        <v>32</v>
      </c>
      <c r="D4" s="12">
        <v>667.7</v>
      </c>
      <c r="E4" s="14" t="s">
        <v>16</v>
      </c>
      <c r="F4" s="21">
        <f t="shared" ref="F4:F5" si="0">D4*E4</f>
        <v>267.08000000000004</v>
      </c>
      <c r="G4" s="21">
        <f>266.91+0.17</f>
        <v>267.08000000000004</v>
      </c>
      <c r="H4" s="154">
        <f t="shared" ref="H4:H5" si="1">F4-G4</f>
        <v>0</v>
      </c>
      <c r="I4" s="16">
        <v>6488371</v>
      </c>
      <c r="J4" s="71" t="s">
        <v>33</v>
      </c>
      <c r="K4" s="75" t="s">
        <v>34</v>
      </c>
    </row>
    <row r="5" spans="1:11" s="6" customFormat="1" x14ac:dyDescent="0.25">
      <c r="A5" s="12">
        <v>37</v>
      </c>
      <c r="B5" s="12">
        <v>2640</v>
      </c>
      <c r="C5" s="13" t="s">
        <v>35</v>
      </c>
      <c r="D5" s="12">
        <v>420.7</v>
      </c>
      <c r="E5" s="14" t="s">
        <v>16</v>
      </c>
      <c r="F5" s="21">
        <f t="shared" si="0"/>
        <v>168.28</v>
      </c>
      <c r="G5" s="21">
        <f>168.01+0.27</f>
        <v>168.28</v>
      </c>
      <c r="H5" s="21">
        <f t="shared" si="1"/>
        <v>0</v>
      </c>
      <c r="I5" s="16">
        <v>25021829</v>
      </c>
      <c r="J5" s="71" t="s">
        <v>36</v>
      </c>
      <c r="K5" s="4">
        <v>45810</v>
      </c>
    </row>
    <row r="6" spans="1:11" s="6" customFormat="1" x14ac:dyDescent="0.25">
      <c r="A6" s="12">
        <v>70</v>
      </c>
      <c r="B6" s="12">
        <v>2674</v>
      </c>
      <c r="C6" s="13" t="s">
        <v>37</v>
      </c>
      <c r="D6" s="12">
        <v>540.20000000000005</v>
      </c>
      <c r="E6" s="34">
        <v>0.4</v>
      </c>
      <c r="F6" s="21">
        <f t="shared" ref="F6:F8" si="2">D6*E6</f>
        <v>216.08000000000004</v>
      </c>
      <c r="G6" s="21">
        <f>215.27+0.81</f>
        <v>216.08</v>
      </c>
      <c r="H6" s="21">
        <f t="shared" ref="H6" si="3">F6-G6</f>
        <v>0</v>
      </c>
      <c r="I6" s="16">
        <v>6332118</v>
      </c>
      <c r="J6" s="71" t="s">
        <v>38</v>
      </c>
      <c r="K6" s="4"/>
    </row>
    <row r="7" spans="1:11" s="6" customFormat="1" x14ac:dyDescent="0.25">
      <c r="A7" s="12">
        <v>71</v>
      </c>
      <c r="B7" s="12">
        <v>2675</v>
      </c>
      <c r="C7" s="13" t="s">
        <v>39</v>
      </c>
      <c r="D7" s="12">
        <v>457.2</v>
      </c>
      <c r="E7" s="34">
        <v>0.4</v>
      </c>
      <c r="F7" s="21">
        <f t="shared" si="2"/>
        <v>182.88</v>
      </c>
      <c r="G7" s="21">
        <f>117.12+2.04</f>
        <v>119.16000000000001</v>
      </c>
      <c r="H7" s="21" t="s">
        <v>22</v>
      </c>
      <c r="I7" s="16">
        <v>6332123</v>
      </c>
      <c r="J7" s="77" t="s">
        <v>40</v>
      </c>
      <c r="K7" s="4" t="s">
        <v>342</v>
      </c>
    </row>
    <row r="8" spans="1:11" s="6" customFormat="1" ht="14.25" thickBot="1" x14ac:dyDescent="0.3">
      <c r="A8" s="12">
        <v>98</v>
      </c>
      <c r="B8" s="12">
        <v>2708</v>
      </c>
      <c r="C8" s="16" t="s">
        <v>41</v>
      </c>
      <c r="D8" s="36">
        <v>255.3</v>
      </c>
      <c r="E8" s="34">
        <v>0.4</v>
      </c>
      <c r="F8" s="21">
        <f t="shared" si="2"/>
        <v>102.12</v>
      </c>
      <c r="G8" s="21">
        <f>114.99+3.81</f>
        <v>118.8</v>
      </c>
      <c r="H8" s="154" t="s">
        <v>22</v>
      </c>
      <c r="I8" s="32">
        <v>426432</v>
      </c>
      <c r="J8" s="77" t="s">
        <v>42</v>
      </c>
      <c r="K8" s="4" t="s">
        <v>342</v>
      </c>
    </row>
    <row r="9" spans="1:11" s="6" customFormat="1" ht="14.25" thickBot="1" x14ac:dyDescent="0.3">
      <c r="A9" s="41"/>
      <c r="B9" s="42"/>
      <c r="C9" s="43"/>
      <c r="D9" s="44">
        <f>SUM(D4:D8)</f>
        <v>2341.1000000000004</v>
      </c>
      <c r="E9" s="45"/>
      <c r="F9" s="46">
        <f>SUM(F4:F8)</f>
        <v>936.44</v>
      </c>
      <c r="G9" s="46">
        <f>SUM(G4:G8)</f>
        <v>889.4</v>
      </c>
      <c r="H9" s="46">
        <f>SUM(H4:H8)</f>
        <v>0</v>
      </c>
      <c r="I9" s="45"/>
      <c r="J9" s="85"/>
      <c r="K9" s="4"/>
    </row>
    <row r="10" spans="1:11" s="6" customFormat="1" x14ac:dyDescent="0.25">
      <c r="A10" s="50"/>
      <c r="B10" s="51"/>
      <c r="C10" s="50"/>
      <c r="D10" s="52"/>
      <c r="E10" s="53"/>
      <c r="F10" s="52"/>
      <c r="G10" s="52"/>
      <c r="H10" s="52"/>
      <c r="I10" s="54"/>
      <c r="J10" s="86"/>
      <c r="K10" s="4"/>
    </row>
    <row r="11" spans="1:11" s="6" customFormat="1" x14ac:dyDescent="0.25">
      <c r="A11" s="28"/>
      <c r="B11" s="57"/>
      <c r="D11" s="58"/>
      <c r="E11" s="58"/>
      <c r="F11" s="58"/>
      <c r="G11" s="58"/>
      <c r="H11" s="58"/>
      <c r="I11" s="59"/>
      <c r="J11" s="87"/>
      <c r="K11" s="4"/>
    </row>
    <row r="12" spans="1:11" x14ac:dyDescent="0.25">
      <c r="A12" s="28" t="s">
        <v>23</v>
      </c>
      <c r="E12" s="61" t="s">
        <v>43</v>
      </c>
      <c r="F12" s="306"/>
      <c r="G12" s="306"/>
      <c r="H12" s="306"/>
      <c r="I12" s="306"/>
      <c r="J12" s="88"/>
      <c r="K12" s="228" t="s">
        <v>343</v>
      </c>
    </row>
    <row r="13" spans="1:11" s="64" customFormat="1" x14ac:dyDescent="0.25">
      <c r="A13" s="28" t="s">
        <v>26</v>
      </c>
      <c r="B13" s="61"/>
      <c r="D13" s="61"/>
      <c r="E13" s="61" t="s">
        <v>44</v>
      </c>
      <c r="F13" s="306"/>
      <c r="G13" s="306"/>
      <c r="H13" s="306"/>
      <c r="I13" s="306"/>
      <c r="J13" s="89"/>
      <c r="K13" s="4"/>
    </row>
    <row r="14" spans="1:11" s="64" customFormat="1" x14ac:dyDescent="0.25">
      <c r="A14" s="28"/>
      <c r="B14" s="61"/>
      <c r="D14" s="61"/>
      <c r="E14" s="28"/>
      <c r="F14" s="62"/>
      <c r="G14" s="90">
        <f>105.37+3.11</f>
        <v>108.48</v>
      </c>
      <c r="H14" s="62"/>
      <c r="J14" s="89"/>
      <c r="K14" s="4"/>
    </row>
    <row r="15" spans="1:11" s="64" customFormat="1" x14ac:dyDescent="0.25">
      <c r="A15" s="28"/>
      <c r="B15" s="61"/>
      <c r="C15" s="28"/>
      <c r="D15" s="61"/>
      <c r="E15" s="61"/>
      <c r="F15" s="62"/>
      <c r="G15" s="62"/>
      <c r="H15" s="62"/>
      <c r="J15" s="89"/>
      <c r="K15" s="4"/>
    </row>
    <row r="16" spans="1:11" s="64" customFormat="1" x14ac:dyDescent="0.25">
      <c r="A16" s="28"/>
      <c r="B16" s="61"/>
      <c r="C16" s="28"/>
      <c r="D16" s="61"/>
      <c r="E16" s="61"/>
      <c r="F16" s="62"/>
      <c r="G16" s="62"/>
      <c r="H16" s="62"/>
      <c r="J16" s="89"/>
      <c r="K16" s="4"/>
    </row>
    <row r="17" spans="1:11" s="64" customFormat="1" x14ac:dyDescent="0.25">
      <c r="A17" s="28"/>
      <c r="B17" s="61"/>
      <c r="C17" s="28"/>
      <c r="D17" s="68"/>
      <c r="E17" s="61"/>
      <c r="F17" s="68"/>
      <c r="G17" s="68"/>
      <c r="H17" s="68"/>
      <c r="J17" s="89"/>
      <c r="K17" s="4"/>
    </row>
    <row r="18" spans="1:11" s="64" customFormat="1" x14ac:dyDescent="0.25">
      <c r="A18" s="28"/>
      <c r="B18" s="61"/>
      <c r="C18" s="28"/>
      <c r="D18" s="61"/>
      <c r="E18" s="61"/>
      <c r="F18" s="62"/>
      <c r="G18" s="62"/>
      <c r="H18" s="62"/>
      <c r="J18" s="89"/>
      <c r="K18" s="4"/>
    </row>
    <row r="19" spans="1:11" s="64" customFormat="1" x14ac:dyDescent="0.25">
      <c r="A19" s="28"/>
      <c r="B19" s="61"/>
      <c r="C19" s="28"/>
      <c r="D19" s="61"/>
      <c r="E19" s="61"/>
      <c r="F19" s="62"/>
      <c r="G19" s="62"/>
      <c r="H19" s="62"/>
      <c r="J19" s="89"/>
      <c r="K19" s="4"/>
    </row>
    <row r="20" spans="1:11" s="64" customFormat="1" x14ac:dyDescent="0.25">
      <c r="A20" s="28"/>
      <c r="B20" s="61"/>
      <c r="C20" s="28"/>
      <c r="D20" s="61"/>
      <c r="E20" s="61"/>
      <c r="F20" s="62"/>
      <c r="G20" s="62"/>
      <c r="H20" s="62"/>
      <c r="J20" s="89"/>
      <c r="K20" s="4"/>
    </row>
    <row r="21" spans="1:11" s="64" customFormat="1" x14ac:dyDescent="0.25">
      <c r="A21" s="28"/>
      <c r="B21" s="61"/>
      <c r="C21" s="28"/>
      <c r="D21" s="61"/>
      <c r="E21" s="61"/>
      <c r="F21" s="62"/>
      <c r="G21" s="62"/>
      <c r="H21" s="62"/>
      <c r="J21" s="89"/>
      <c r="K21" s="4"/>
    </row>
    <row r="22" spans="1:11" s="64" customFormat="1" x14ac:dyDescent="0.25">
      <c r="A22" s="28"/>
      <c r="B22" s="61"/>
      <c r="C22" s="28"/>
      <c r="D22" s="61"/>
      <c r="E22" s="61"/>
      <c r="F22" s="62"/>
      <c r="G22" s="62"/>
      <c r="H22" s="62"/>
      <c r="J22" s="89"/>
      <c r="K22" s="4"/>
    </row>
    <row r="23" spans="1:11" s="64" customFormat="1" x14ac:dyDescent="0.25">
      <c r="A23" s="28"/>
      <c r="B23" s="61"/>
      <c r="C23" s="28"/>
      <c r="D23" s="61"/>
      <c r="E23" s="61"/>
      <c r="F23" s="62"/>
      <c r="G23" s="62"/>
      <c r="H23" s="62"/>
      <c r="J23" s="89"/>
      <c r="K23" s="4"/>
    </row>
    <row r="24" spans="1:11" s="64" customFormat="1" x14ac:dyDescent="0.25">
      <c r="A24" s="28"/>
      <c r="B24" s="61"/>
      <c r="C24" s="28"/>
      <c r="D24" s="61"/>
      <c r="E24" s="61"/>
      <c r="F24" s="62"/>
      <c r="G24" s="62"/>
      <c r="H24" s="62"/>
      <c r="J24" s="89"/>
      <c r="K24" s="4"/>
    </row>
    <row r="25" spans="1:11" s="64" customFormat="1" x14ac:dyDescent="0.25">
      <c r="A25" s="28"/>
      <c r="B25" s="61"/>
      <c r="C25" s="28"/>
      <c r="D25" s="61"/>
      <c r="E25" s="61"/>
      <c r="F25" s="62"/>
      <c r="G25" s="62"/>
      <c r="H25" s="62"/>
      <c r="J25" s="89"/>
      <c r="K25" s="4"/>
    </row>
    <row r="26" spans="1:11" s="64" customFormat="1" x14ac:dyDescent="0.25">
      <c r="A26" s="28"/>
      <c r="B26" s="61"/>
      <c r="C26" s="28"/>
      <c r="D26" s="61"/>
      <c r="E26" s="61"/>
      <c r="F26" s="62"/>
      <c r="G26" s="62"/>
      <c r="H26" s="62"/>
      <c r="J26" s="89"/>
      <c r="K26" s="4"/>
    </row>
    <row r="27" spans="1:11" s="64" customFormat="1" x14ac:dyDescent="0.25">
      <c r="A27" s="28"/>
      <c r="B27" s="61"/>
      <c r="C27" s="28"/>
      <c r="D27" s="61"/>
      <c r="E27" s="61"/>
      <c r="F27" s="62"/>
      <c r="G27" s="62"/>
      <c r="H27" s="62"/>
      <c r="J27" s="89"/>
      <c r="K27" s="4"/>
    </row>
    <row r="28" spans="1:11" s="64" customFormat="1" x14ac:dyDescent="0.25">
      <c r="A28" s="28"/>
      <c r="B28" s="61"/>
      <c r="C28" s="28"/>
      <c r="D28" s="61"/>
      <c r="E28" s="61"/>
      <c r="F28" s="62"/>
      <c r="G28" s="62"/>
      <c r="H28" s="62"/>
      <c r="J28" s="89"/>
      <c r="K28" s="4"/>
    </row>
    <row r="29" spans="1:11" s="64" customFormat="1" x14ac:dyDescent="0.25">
      <c r="B29" s="61"/>
      <c r="C29" s="28"/>
      <c r="D29" s="61"/>
      <c r="E29" s="61"/>
      <c r="F29" s="62"/>
      <c r="G29" s="62"/>
      <c r="H29" s="62"/>
      <c r="J29" s="89"/>
      <c r="K29" s="4"/>
    </row>
    <row r="30" spans="1:11" s="64" customFormat="1" x14ac:dyDescent="0.25">
      <c r="B30" s="61"/>
      <c r="C30" s="28"/>
      <c r="D30" s="61"/>
      <c r="E30" s="61"/>
      <c r="F30" s="62"/>
      <c r="G30" s="62"/>
      <c r="H30" s="62"/>
      <c r="J30" s="89"/>
      <c r="K30" s="4"/>
    </row>
    <row r="31" spans="1:11" s="64" customFormat="1" x14ac:dyDescent="0.25">
      <c r="B31" s="61"/>
      <c r="C31" s="28"/>
      <c r="D31" s="61"/>
      <c r="E31" s="61"/>
      <c r="F31" s="62"/>
      <c r="G31" s="62"/>
      <c r="H31" s="62"/>
      <c r="J31" s="89"/>
      <c r="K31" s="4"/>
    </row>
    <row r="32" spans="1:11" s="64" customFormat="1" x14ac:dyDescent="0.25">
      <c r="B32" s="61"/>
      <c r="C32" s="28"/>
      <c r="D32" s="61"/>
      <c r="E32" s="61"/>
      <c r="F32" s="62"/>
      <c r="G32" s="62"/>
      <c r="H32" s="62"/>
      <c r="J32" s="89"/>
      <c r="K32" s="4"/>
    </row>
    <row r="33" spans="2:11" s="64" customFormat="1" x14ac:dyDescent="0.25">
      <c r="B33" s="61"/>
      <c r="C33" s="28"/>
      <c r="D33" s="61"/>
      <c r="E33" s="61"/>
      <c r="F33" s="62"/>
      <c r="G33" s="62"/>
      <c r="H33" s="62"/>
      <c r="J33" s="89"/>
      <c r="K33" s="4"/>
    </row>
    <row r="34" spans="2:11" s="64" customFormat="1" x14ac:dyDescent="0.25">
      <c r="B34" s="61"/>
      <c r="C34" s="28"/>
      <c r="D34" s="61"/>
      <c r="E34" s="61"/>
      <c r="F34" s="62"/>
      <c r="G34" s="62"/>
      <c r="H34" s="62"/>
      <c r="J34" s="89"/>
      <c r="K34" s="4"/>
    </row>
    <row r="35" spans="2:11" s="64" customFormat="1" x14ac:dyDescent="0.25">
      <c r="B35" s="61"/>
      <c r="C35" s="28"/>
      <c r="D35" s="61"/>
      <c r="E35" s="61"/>
      <c r="F35" s="62"/>
      <c r="G35" s="62"/>
      <c r="H35" s="62"/>
      <c r="J35" s="89"/>
      <c r="K35" s="4"/>
    </row>
    <row r="36" spans="2:11" s="64" customFormat="1" x14ac:dyDescent="0.25">
      <c r="B36" s="61"/>
      <c r="C36" s="28"/>
      <c r="D36" s="61"/>
      <c r="E36" s="61"/>
      <c r="F36" s="62"/>
      <c r="G36" s="62"/>
      <c r="H36" s="62"/>
      <c r="J36" s="89"/>
      <c r="K36" s="4"/>
    </row>
    <row r="37" spans="2:11" s="64" customFormat="1" x14ac:dyDescent="0.25">
      <c r="B37" s="61"/>
      <c r="C37" s="28"/>
      <c r="D37" s="61"/>
      <c r="E37" s="61"/>
      <c r="F37" s="62"/>
      <c r="G37" s="62"/>
      <c r="H37" s="62"/>
      <c r="J37" s="89"/>
      <c r="K37" s="4"/>
    </row>
    <row r="38" spans="2:11" s="64" customFormat="1" x14ac:dyDescent="0.25">
      <c r="B38" s="61"/>
      <c r="C38" s="28"/>
      <c r="D38" s="61"/>
      <c r="E38" s="61"/>
      <c r="F38" s="62"/>
      <c r="G38" s="62"/>
      <c r="H38" s="62"/>
      <c r="J38" s="89"/>
      <c r="K38" s="4"/>
    </row>
    <row r="39" spans="2:11" s="64" customFormat="1" x14ac:dyDescent="0.25">
      <c r="B39" s="61"/>
      <c r="C39" s="28"/>
      <c r="D39" s="61"/>
      <c r="E39" s="61"/>
      <c r="F39" s="62"/>
      <c r="G39" s="62"/>
      <c r="H39" s="62"/>
      <c r="J39" s="89"/>
      <c r="K39" s="4"/>
    </row>
    <row r="40" spans="2:11" s="64" customFormat="1" x14ac:dyDescent="0.25">
      <c r="B40" s="61"/>
      <c r="C40" s="28"/>
      <c r="D40" s="61"/>
      <c r="E40" s="61"/>
      <c r="F40" s="62"/>
      <c r="G40" s="62"/>
      <c r="H40" s="62"/>
      <c r="J40" s="89"/>
      <c r="K40" s="4"/>
    </row>
    <row r="41" spans="2:11" s="64" customFormat="1" x14ac:dyDescent="0.25">
      <c r="B41" s="61"/>
      <c r="C41" s="28"/>
      <c r="D41" s="61"/>
      <c r="E41" s="61"/>
      <c r="F41" s="62"/>
      <c r="G41" s="62"/>
      <c r="H41" s="62"/>
      <c r="J41" s="89"/>
      <c r="K41" s="4"/>
    </row>
    <row r="42" spans="2:11" s="64" customFormat="1" x14ac:dyDescent="0.25">
      <c r="B42" s="61"/>
      <c r="C42" s="28"/>
      <c r="D42" s="61"/>
      <c r="E42" s="61"/>
      <c r="F42" s="62"/>
      <c r="G42" s="62"/>
      <c r="H42" s="62"/>
      <c r="J42" s="89"/>
      <c r="K42" s="4"/>
    </row>
    <row r="43" spans="2:11" s="64" customFormat="1" x14ac:dyDescent="0.25">
      <c r="B43" s="61"/>
      <c r="C43" s="28"/>
      <c r="D43" s="61"/>
      <c r="E43" s="61"/>
      <c r="F43" s="62"/>
      <c r="G43" s="62"/>
      <c r="H43" s="62"/>
      <c r="J43" s="89"/>
      <c r="K43" s="4"/>
    </row>
    <row r="44" spans="2:11" s="64" customFormat="1" x14ac:dyDescent="0.25">
      <c r="B44" s="61"/>
      <c r="C44" s="28"/>
      <c r="D44" s="61"/>
      <c r="E44" s="61"/>
      <c r="F44" s="62"/>
      <c r="G44" s="62"/>
      <c r="H44" s="62"/>
      <c r="J44" s="89"/>
      <c r="K44" s="4"/>
    </row>
    <row r="45" spans="2:11" s="64" customFormat="1" x14ac:dyDescent="0.25">
      <c r="B45" s="61"/>
      <c r="C45" s="28"/>
      <c r="D45" s="61"/>
      <c r="E45" s="61"/>
      <c r="F45" s="62"/>
      <c r="G45" s="62"/>
      <c r="H45" s="62"/>
      <c r="J45" s="89"/>
      <c r="K45" s="4"/>
    </row>
    <row r="46" spans="2:11" s="64" customFormat="1" x14ac:dyDescent="0.25">
      <c r="B46" s="61"/>
      <c r="C46" s="28"/>
      <c r="D46" s="61"/>
      <c r="E46" s="61"/>
      <c r="F46" s="62"/>
      <c r="G46" s="62"/>
      <c r="H46" s="62"/>
      <c r="J46" s="89"/>
      <c r="K46" s="4"/>
    </row>
  </sheetData>
  <autoFilter ref="A2:J9" xr:uid="{4E679A32-ABB0-4BA8-9FBF-BB8061F957C0}"/>
  <mergeCells count="13">
    <mergeCell ref="F13:I13"/>
    <mergeCell ref="J2:J3"/>
    <mergeCell ref="F12:I12"/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8" scale="51" orientation="landscape" r:id="rId1"/>
  <rowBreaks count="1" manualBreakCount="1">
    <brk id="12" max="1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D4BBD-CA77-43E2-A74A-76EC6A10EDDF}">
  <dimension ref="A1:K57"/>
  <sheetViews>
    <sheetView zoomScale="96" zoomScaleNormal="96" zoomScaleSheetLayoutView="100" workbookViewId="0">
      <pane xSplit="3" ySplit="3" topLeftCell="D4" activePane="bottomRight" state="frozen"/>
      <selection activeCell="H7" sqref="H7"/>
      <selection pane="topRight" activeCell="H7" sqref="H7"/>
      <selection pane="bottomLeft" activeCell="H7" sqref="H7"/>
      <selection pane="bottomRight" activeCell="C26" sqref="C26"/>
    </sheetView>
  </sheetViews>
  <sheetFormatPr defaultColWidth="9.140625" defaultRowHeight="13.5" x14ac:dyDescent="0.25"/>
  <cols>
    <col min="1" max="1" width="4.7109375" style="28" customWidth="1"/>
    <col min="2" max="2" width="10.28515625" style="61" customWidth="1"/>
    <col min="3" max="3" width="38.28515625" style="28" customWidth="1"/>
    <col min="4" max="4" width="16" style="61" bestFit="1" customWidth="1"/>
    <col min="5" max="5" width="12.42578125" style="61" customWidth="1"/>
    <col min="6" max="6" width="16" style="61" bestFit="1" customWidth="1"/>
    <col min="7" max="8" width="16" style="61" customWidth="1"/>
    <col min="9" max="9" width="12.28515625" style="64" customWidth="1"/>
    <col min="10" max="10" width="21.7109375" style="61" customWidth="1"/>
    <col min="11" max="11" width="15.85546875" style="127" bestFit="1" customWidth="1"/>
    <col min="12" max="16384" width="9.140625" style="28"/>
  </cols>
  <sheetData>
    <row r="1" spans="1:11" s="7" customFormat="1" ht="30" customHeight="1" x14ac:dyDescent="0.25">
      <c r="A1" s="310" t="s">
        <v>45</v>
      </c>
      <c r="B1" s="311"/>
      <c r="C1" s="311"/>
      <c r="D1" s="311"/>
      <c r="E1" s="311"/>
      <c r="F1" s="311"/>
      <c r="G1" s="311"/>
      <c r="H1" s="311"/>
      <c r="I1" s="311"/>
      <c r="J1" s="312"/>
      <c r="K1" s="127"/>
    </row>
    <row r="2" spans="1:11" s="11" customFormat="1" ht="19.5" customHeight="1" x14ac:dyDescent="0.25">
      <c r="A2" s="308" t="s">
        <v>1</v>
      </c>
      <c r="B2" s="313" t="s">
        <v>2</v>
      </c>
      <c r="C2" s="308" t="s">
        <v>3</v>
      </c>
      <c r="D2" s="314" t="s">
        <v>4</v>
      </c>
      <c r="E2" s="308" t="s">
        <v>5</v>
      </c>
      <c r="F2" s="308" t="s">
        <v>6</v>
      </c>
      <c r="G2" s="308" t="s">
        <v>30</v>
      </c>
      <c r="H2" s="308" t="s">
        <v>31</v>
      </c>
      <c r="I2" s="308" t="s">
        <v>9</v>
      </c>
      <c r="J2" s="309" t="s">
        <v>14</v>
      </c>
      <c r="K2" s="141"/>
    </row>
    <row r="3" spans="1:11" s="11" customFormat="1" ht="26.25" customHeight="1" x14ac:dyDescent="0.25">
      <c r="A3" s="308"/>
      <c r="B3" s="313"/>
      <c r="C3" s="308"/>
      <c r="D3" s="315"/>
      <c r="E3" s="308"/>
      <c r="F3" s="308"/>
      <c r="G3" s="308"/>
      <c r="H3" s="308"/>
      <c r="I3" s="308"/>
      <c r="J3" s="309"/>
      <c r="K3" s="141"/>
    </row>
    <row r="4" spans="1:11" s="6" customFormat="1" x14ac:dyDescent="0.25">
      <c r="A4" s="12">
        <v>2</v>
      </c>
      <c r="B4" s="12">
        <v>2604</v>
      </c>
      <c r="C4" s="13" t="s">
        <v>46</v>
      </c>
      <c r="D4" s="12">
        <v>410.3</v>
      </c>
      <c r="E4" s="14" t="s">
        <v>16</v>
      </c>
      <c r="F4" s="21">
        <f t="shared" ref="F4:F11" si="0">D4*E4</f>
        <v>164.12</v>
      </c>
      <c r="G4" s="21">
        <f>161.261+2.859</f>
        <v>164.12</v>
      </c>
      <c r="H4" s="21">
        <f t="shared" ref="H4:H11" si="1">F4-G4</f>
        <v>0</v>
      </c>
      <c r="I4" s="16">
        <v>3946807</v>
      </c>
      <c r="J4" s="122">
        <v>45567</v>
      </c>
      <c r="K4" s="127">
        <v>45609</v>
      </c>
    </row>
    <row r="5" spans="1:11" s="6" customFormat="1" x14ac:dyDescent="0.25">
      <c r="A5" s="12">
        <v>7</v>
      </c>
      <c r="B5" s="12">
        <v>2610</v>
      </c>
      <c r="C5" s="13" t="s">
        <v>47</v>
      </c>
      <c r="D5" s="12">
        <v>526</v>
      </c>
      <c r="E5" s="14" t="s">
        <v>16</v>
      </c>
      <c r="F5" s="21">
        <f t="shared" si="0"/>
        <v>210.4</v>
      </c>
      <c r="G5" s="21">
        <f>210.35+0.05</f>
        <v>210.4</v>
      </c>
      <c r="H5" s="21">
        <f t="shared" si="1"/>
        <v>0</v>
      </c>
      <c r="I5" s="16">
        <v>1183461</v>
      </c>
      <c r="J5" s="91"/>
      <c r="K5" s="127">
        <v>45644</v>
      </c>
    </row>
    <row r="6" spans="1:11" s="6" customFormat="1" x14ac:dyDescent="0.25">
      <c r="A6" s="12">
        <v>15</v>
      </c>
      <c r="B6" s="12">
        <v>2618</v>
      </c>
      <c r="C6" s="13" t="s">
        <v>48</v>
      </c>
      <c r="D6" s="12">
        <v>522.1</v>
      </c>
      <c r="E6" s="14" t="s">
        <v>16</v>
      </c>
      <c r="F6" s="21">
        <f t="shared" si="0"/>
        <v>208.84000000000003</v>
      </c>
      <c r="G6" s="21">
        <f>208.55+0.29</f>
        <v>208.84</v>
      </c>
      <c r="H6" s="21">
        <f t="shared" si="1"/>
        <v>0</v>
      </c>
      <c r="I6" s="16">
        <v>6552811</v>
      </c>
      <c r="J6" s="122">
        <v>45587</v>
      </c>
      <c r="K6" s="127"/>
    </row>
    <row r="7" spans="1:11" s="6" customFormat="1" x14ac:dyDescent="0.25">
      <c r="A7" s="12">
        <v>20</v>
      </c>
      <c r="B7" s="12">
        <v>2623</v>
      </c>
      <c r="C7" s="13" t="s">
        <v>49</v>
      </c>
      <c r="D7" s="12">
        <v>297.89999999999998</v>
      </c>
      <c r="E7" s="14" t="s">
        <v>16</v>
      </c>
      <c r="F7" s="15">
        <f t="shared" si="0"/>
        <v>119.16</v>
      </c>
      <c r="G7" s="15">
        <f>117.12+2.04</f>
        <v>119.16000000000001</v>
      </c>
      <c r="H7" s="15">
        <f t="shared" si="1"/>
        <v>0</v>
      </c>
      <c r="I7" s="16">
        <v>1994004</v>
      </c>
      <c r="J7" s="12" t="s">
        <v>50</v>
      </c>
      <c r="K7" s="127" t="s">
        <v>342</v>
      </c>
    </row>
    <row r="8" spans="1:11" s="6" customFormat="1" x14ac:dyDescent="0.25">
      <c r="A8" s="12">
        <v>23</v>
      </c>
      <c r="B8" s="12">
        <v>2626</v>
      </c>
      <c r="C8" s="13" t="s">
        <v>51</v>
      </c>
      <c r="D8" s="12">
        <v>297</v>
      </c>
      <c r="E8" s="14" t="s">
        <v>16</v>
      </c>
      <c r="F8" s="15">
        <f t="shared" si="0"/>
        <v>118.80000000000001</v>
      </c>
      <c r="G8" s="15">
        <f>114.99+3.81</f>
        <v>118.8</v>
      </c>
      <c r="H8" s="15">
        <f t="shared" si="1"/>
        <v>0</v>
      </c>
      <c r="I8" s="16">
        <v>3083395</v>
      </c>
      <c r="J8" s="12" t="s">
        <v>52</v>
      </c>
      <c r="K8" s="127" t="s">
        <v>342</v>
      </c>
    </row>
    <row r="9" spans="1:11" s="6" customFormat="1" x14ac:dyDescent="0.25">
      <c r="A9" s="12">
        <v>29</v>
      </c>
      <c r="B9" s="12">
        <v>2632</v>
      </c>
      <c r="C9" s="13" t="s">
        <v>53</v>
      </c>
      <c r="D9" s="12">
        <v>328.1</v>
      </c>
      <c r="E9" s="14" t="s">
        <v>16</v>
      </c>
      <c r="F9" s="21">
        <f t="shared" si="0"/>
        <v>131.24</v>
      </c>
      <c r="G9" s="21">
        <f>131.19+0.05</f>
        <v>131.24</v>
      </c>
      <c r="H9" s="21">
        <f t="shared" si="1"/>
        <v>0</v>
      </c>
      <c r="I9" s="16">
        <v>18395066</v>
      </c>
      <c r="J9" s="122">
        <v>45567</v>
      </c>
      <c r="K9" s="127">
        <v>45609</v>
      </c>
    </row>
    <row r="10" spans="1:11" s="6" customFormat="1" x14ac:dyDescent="0.25">
      <c r="A10" s="12">
        <v>51</v>
      </c>
      <c r="B10" s="12">
        <v>2654</v>
      </c>
      <c r="C10" s="13" t="s">
        <v>54</v>
      </c>
      <c r="D10" s="12">
        <v>497.7</v>
      </c>
      <c r="E10" s="20" t="s">
        <v>16</v>
      </c>
      <c r="F10" s="21">
        <f t="shared" si="0"/>
        <v>199.08</v>
      </c>
      <c r="G10" s="21">
        <f>198.34+0.74</f>
        <v>199.08</v>
      </c>
      <c r="H10" s="21">
        <f t="shared" si="1"/>
        <v>0</v>
      </c>
      <c r="I10" s="16">
        <v>6073815</v>
      </c>
      <c r="J10" s="12" t="s">
        <v>55</v>
      </c>
      <c r="K10" s="127">
        <v>45603</v>
      </c>
    </row>
    <row r="11" spans="1:11" s="6" customFormat="1" x14ac:dyDescent="0.25">
      <c r="A11" s="12">
        <v>52</v>
      </c>
      <c r="B11" s="12">
        <v>2655</v>
      </c>
      <c r="C11" s="13" t="s">
        <v>56</v>
      </c>
      <c r="D11" s="12">
        <v>303.8</v>
      </c>
      <c r="E11" s="14" t="s">
        <v>16</v>
      </c>
      <c r="F11" s="21">
        <f t="shared" si="0"/>
        <v>121.52000000000001</v>
      </c>
      <c r="G11" s="21">
        <f>121.08+0.44</f>
        <v>121.52</v>
      </c>
      <c r="H11" s="21">
        <f t="shared" si="1"/>
        <v>0</v>
      </c>
      <c r="I11" s="16">
        <v>20987274</v>
      </c>
      <c r="J11" s="110" t="s">
        <v>57</v>
      </c>
      <c r="K11" s="127">
        <v>45637</v>
      </c>
    </row>
    <row r="12" spans="1:11" s="35" customFormat="1" x14ac:dyDescent="0.25">
      <c r="A12" s="12">
        <v>69</v>
      </c>
      <c r="B12" s="57">
        <v>2673</v>
      </c>
      <c r="C12" s="13" t="s">
        <v>58</v>
      </c>
      <c r="D12" s="12">
        <v>257</v>
      </c>
      <c r="E12" s="34">
        <v>0.4</v>
      </c>
      <c r="F12" s="15">
        <f t="shared" ref="F12:F19" si="2">D12*E12</f>
        <v>102.80000000000001</v>
      </c>
      <c r="G12" s="15">
        <f>101.5+1.3</f>
        <v>102.8</v>
      </c>
      <c r="H12" s="15">
        <f t="shared" ref="H12:H19" si="3">F12-G12</f>
        <v>0</v>
      </c>
      <c r="I12" s="33">
        <v>8393437</v>
      </c>
      <c r="J12" s="122">
        <v>45588</v>
      </c>
      <c r="K12" s="141" t="s">
        <v>343</v>
      </c>
    </row>
    <row r="13" spans="1:11" s="6" customFormat="1" x14ac:dyDescent="0.25">
      <c r="A13" s="12">
        <v>72</v>
      </c>
      <c r="B13" s="12">
        <v>2676</v>
      </c>
      <c r="C13" s="13" t="s">
        <v>59</v>
      </c>
      <c r="D13" s="12">
        <v>258</v>
      </c>
      <c r="E13" s="34">
        <v>0.4</v>
      </c>
      <c r="F13" s="21">
        <f t="shared" si="2"/>
        <v>103.2</v>
      </c>
      <c r="G13" s="21">
        <f>100.38+2.82</f>
        <v>103.19999999999999</v>
      </c>
      <c r="H13" s="21">
        <f t="shared" si="3"/>
        <v>0</v>
      </c>
      <c r="I13" s="32">
        <v>568083</v>
      </c>
      <c r="J13" s="12" t="s">
        <v>60</v>
      </c>
      <c r="K13" s="127">
        <v>45601</v>
      </c>
    </row>
    <row r="14" spans="1:11" s="6" customFormat="1" x14ac:dyDescent="0.25">
      <c r="A14" s="12">
        <v>76</v>
      </c>
      <c r="B14" s="12">
        <v>2681</v>
      </c>
      <c r="C14" s="13" t="s">
        <v>61</v>
      </c>
      <c r="D14" s="12">
        <v>271.2</v>
      </c>
      <c r="E14" s="34">
        <v>0.4</v>
      </c>
      <c r="F14" s="15">
        <f t="shared" si="2"/>
        <v>108.48</v>
      </c>
      <c r="G14" s="15">
        <f>105.37+3.11</f>
        <v>108.48</v>
      </c>
      <c r="H14" s="15">
        <f t="shared" si="3"/>
        <v>0</v>
      </c>
      <c r="I14" s="32">
        <v>23172723</v>
      </c>
      <c r="J14" s="93" t="s">
        <v>57</v>
      </c>
      <c r="K14" s="127"/>
    </row>
    <row r="15" spans="1:11" s="6" customFormat="1" x14ac:dyDescent="0.25">
      <c r="A15" s="12">
        <v>82</v>
      </c>
      <c r="B15" s="12">
        <v>2687</v>
      </c>
      <c r="C15" s="112" t="s">
        <v>62</v>
      </c>
      <c r="D15" s="36">
        <v>289.89999999999998</v>
      </c>
      <c r="E15" s="34">
        <v>0.4</v>
      </c>
      <c r="F15" s="21">
        <f t="shared" si="2"/>
        <v>115.96</v>
      </c>
      <c r="G15" s="21">
        <f>113.3+2.66</f>
        <v>115.96</v>
      </c>
      <c r="H15" s="21">
        <f t="shared" si="3"/>
        <v>0</v>
      </c>
      <c r="I15" s="32">
        <v>14175595</v>
      </c>
      <c r="J15" s="123">
        <v>45553</v>
      </c>
      <c r="K15" s="127">
        <v>45615</v>
      </c>
    </row>
    <row r="16" spans="1:11" s="6" customFormat="1" x14ac:dyDescent="0.25">
      <c r="A16" s="12">
        <v>91</v>
      </c>
      <c r="B16" s="12">
        <v>2698</v>
      </c>
      <c r="C16" s="16" t="s">
        <v>63</v>
      </c>
      <c r="D16" s="36">
        <v>604</v>
      </c>
      <c r="E16" s="34">
        <v>0.4</v>
      </c>
      <c r="F16" s="21">
        <f t="shared" si="2"/>
        <v>241.60000000000002</v>
      </c>
      <c r="G16" s="21">
        <f>240.58+1.02</f>
        <v>241.60000000000002</v>
      </c>
      <c r="H16" s="21">
        <f t="shared" si="3"/>
        <v>0</v>
      </c>
      <c r="I16" s="32">
        <v>21332246</v>
      </c>
      <c r="J16" s="123">
        <v>45635</v>
      </c>
      <c r="K16" s="127"/>
    </row>
    <row r="17" spans="1:11" s="6" customFormat="1" x14ac:dyDescent="0.25">
      <c r="A17" s="96">
        <v>101</v>
      </c>
      <c r="B17" s="96">
        <v>2712</v>
      </c>
      <c r="C17" s="100" t="s">
        <v>64</v>
      </c>
      <c r="D17" s="124">
        <v>327.5</v>
      </c>
      <c r="E17" s="125">
        <v>0.4</v>
      </c>
      <c r="F17" s="99">
        <f t="shared" si="2"/>
        <v>131</v>
      </c>
      <c r="G17" s="99">
        <f>130.95+0.05</f>
        <v>131</v>
      </c>
      <c r="H17" s="99">
        <f t="shared" si="3"/>
        <v>0</v>
      </c>
      <c r="I17" s="102">
        <v>2439264</v>
      </c>
      <c r="J17" s="145">
        <v>45567</v>
      </c>
      <c r="K17" s="127" t="s">
        <v>65</v>
      </c>
    </row>
    <row r="18" spans="1:11" s="6" customFormat="1" x14ac:dyDescent="0.25">
      <c r="A18" s="12">
        <v>109</v>
      </c>
      <c r="B18" s="39">
        <v>2722</v>
      </c>
      <c r="C18" s="13" t="s">
        <v>66</v>
      </c>
      <c r="D18" s="12">
        <v>424.3</v>
      </c>
      <c r="E18" s="34">
        <v>0.4</v>
      </c>
      <c r="F18" s="21">
        <f t="shared" si="2"/>
        <v>169.72000000000003</v>
      </c>
      <c r="G18" s="21">
        <f>167.23+2.49</f>
        <v>169.72</v>
      </c>
      <c r="H18" s="21">
        <f t="shared" si="3"/>
        <v>0</v>
      </c>
      <c r="I18" s="32">
        <v>675043</v>
      </c>
      <c r="J18" s="92" t="s">
        <v>57</v>
      </c>
      <c r="K18" s="127">
        <v>45602</v>
      </c>
    </row>
    <row r="19" spans="1:11" s="6" customFormat="1" ht="14.25" thickBot="1" x14ac:dyDescent="0.3">
      <c r="A19" s="12">
        <v>116</v>
      </c>
      <c r="B19" s="39">
        <v>2730</v>
      </c>
      <c r="C19" s="40" t="s">
        <v>67</v>
      </c>
      <c r="D19" s="12">
        <v>403.6</v>
      </c>
      <c r="E19" s="34">
        <v>0.4</v>
      </c>
      <c r="F19" s="21">
        <f t="shared" si="2"/>
        <v>161.44000000000003</v>
      </c>
      <c r="G19" s="21">
        <f>155.37+6.07</f>
        <v>161.44</v>
      </c>
      <c r="H19" s="21">
        <f t="shared" si="3"/>
        <v>0</v>
      </c>
      <c r="I19" s="32">
        <v>5138892</v>
      </c>
      <c r="J19" s="92" t="s">
        <v>68</v>
      </c>
      <c r="K19" s="127" t="s">
        <v>69</v>
      </c>
    </row>
    <row r="20" spans="1:11" s="6" customFormat="1" ht="14.25" thickBot="1" x14ac:dyDescent="0.3">
      <c r="A20" s="41"/>
      <c r="B20" s="42"/>
      <c r="C20" s="43"/>
      <c r="D20" s="44">
        <f>SUM(D4:D19)</f>
        <v>6018.4000000000005</v>
      </c>
      <c r="E20" s="45"/>
      <c r="F20" s="46">
        <f>SUM(F4:F19)</f>
        <v>2407.36</v>
      </c>
      <c r="G20" s="46">
        <f>SUM(G4:G19)</f>
        <v>2407.3599999999997</v>
      </c>
      <c r="H20" s="46">
        <f>SUM(H4:H19)</f>
        <v>0</v>
      </c>
      <c r="I20" s="45"/>
      <c r="J20" s="49"/>
      <c r="K20" s="127"/>
    </row>
    <row r="21" spans="1:11" s="6" customFormat="1" x14ac:dyDescent="0.25">
      <c r="A21" s="50"/>
      <c r="B21" s="51"/>
      <c r="C21" s="50"/>
      <c r="D21" s="52"/>
      <c r="E21" s="53"/>
      <c r="F21" s="52"/>
      <c r="G21" s="52"/>
      <c r="H21" s="52"/>
      <c r="I21" s="54"/>
      <c r="J21" s="94"/>
      <c r="K21" s="127"/>
    </row>
    <row r="22" spans="1:11" s="6" customFormat="1" x14ac:dyDescent="0.25">
      <c r="A22" s="28"/>
      <c r="B22" s="57"/>
      <c r="D22" s="58"/>
      <c r="E22" s="58"/>
      <c r="F22" s="58"/>
      <c r="G22" s="58"/>
      <c r="H22" s="58"/>
      <c r="I22" s="59"/>
      <c r="J22" s="57"/>
      <c r="K22" s="127"/>
    </row>
    <row r="23" spans="1:11" x14ac:dyDescent="0.25">
      <c r="A23" s="28" t="s">
        <v>23</v>
      </c>
      <c r="E23" s="61" t="s">
        <v>43</v>
      </c>
      <c r="F23" s="306"/>
      <c r="G23" s="306"/>
      <c r="H23" s="306"/>
      <c r="I23" s="306"/>
      <c r="J23" s="95"/>
    </row>
    <row r="24" spans="1:11" s="64" customFormat="1" x14ac:dyDescent="0.25">
      <c r="A24" s="28" t="s">
        <v>26</v>
      </c>
      <c r="B24" s="61"/>
      <c r="D24" s="61"/>
      <c r="E24" s="61" t="s">
        <v>44</v>
      </c>
      <c r="F24" s="306"/>
      <c r="G24" s="306"/>
      <c r="H24" s="306"/>
      <c r="I24" s="306"/>
      <c r="J24" s="61"/>
      <c r="K24" s="127"/>
    </row>
    <row r="25" spans="1:11" s="64" customFormat="1" x14ac:dyDescent="0.25">
      <c r="A25" s="28"/>
      <c r="B25" s="61"/>
      <c r="D25" s="61"/>
      <c r="E25" s="28"/>
      <c r="F25" s="62"/>
      <c r="G25" s="62"/>
      <c r="H25" s="62"/>
      <c r="J25" s="61"/>
      <c r="K25" s="127"/>
    </row>
    <row r="26" spans="1:11" s="64" customFormat="1" x14ac:dyDescent="0.25">
      <c r="A26" s="28"/>
      <c r="B26" s="61"/>
      <c r="C26" s="28"/>
      <c r="D26" s="61"/>
      <c r="E26" s="61"/>
      <c r="F26" s="62"/>
      <c r="G26" s="62"/>
      <c r="H26" s="62"/>
      <c r="J26" s="61"/>
      <c r="K26" s="127"/>
    </row>
    <row r="27" spans="1:11" s="64" customFormat="1" x14ac:dyDescent="0.25">
      <c r="A27" s="28"/>
      <c r="B27" s="61"/>
      <c r="C27" s="28"/>
      <c r="D27" s="61"/>
      <c r="E27" s="61"/>
      <c r="F27" s="62"/>
      <c r="G27" s="62"/>
      <c r="H27" s="62"/>
      <c r="J27" s="61"/>
      <c r="K27" s="127"/>
    </row>
    <row r="28" spans="1:11" s="64" customFormat="1" x14ac:dyDescent="0.25">
      <c r="A28" s="28"/>
      <c r="B28" s="61"/>
      <c r="C28" s="28"/>
      <c r="D28" s="68"/>
      <c r="E28" s="61"/>
      <c r="F28" s="68"/>
      <c r="G28" s="68"/>
      <c r="H28" s="68"/>
      <c r="J28" s="61"/>
      <c r="K28" s="127"/>
    </row>
    <row r="29" spans="1:11" s="64" customFormat="1" x14ac:dyDescent="0.25">
      <c r="A29" s="28"/>
      <c r="B29" s="61"/>
      <c r="C29" s="28"/>
      <c r="D29" s="61"/>
      <c r="E29" s="61"/>
      <c r="F29" s="62"/>
      <c r="G29" s="62"/>
      <c r="H29" s="62"/>
      <c r="J29" s="61"/>
      <c r="K29" s="127"/>
    </row>
    <row r="30" spans="1:11" s="64" customFormat="1" x14ac:dyDescent="0.25">
      <c r="A30" s="28"/>
      <c r="B30" s="61"/>
      <c r="C30" s="28"/>
      <c r="D30" s="61"/>
      <c r="E30" s="61"/>
      <c r="F30" s="62"/>
      <c r="G30" s="62"/>
      <c r="H30" s="62"/>
      <c r="J30" s="61"/>
      <c r="K30" s="127"/>
    </row>
    <row r="31" spans="1:11" s="64" customFormat="1" x14ac:dyDescent="0.25">
      <c r="A31" s="28"/>
      <c r="B31" s="61"/>
      <c r="C31" s="28"/>
      <c r="D31" s="61"/>
      <c r="E31" s="61"/>
      <c r="F31" s="62"/>
      <c r="G31" s="62"/>
      <c r="H31" s="62"/>
      <c r="J31" s="61"/>
      <c r="K31" s="127"/>
    </row>
    <row r="32" spans="1:11" s="64" customFormat="1" x14ac:dyDescent="0.25">
      <c r="A32" s="28"/>
      <c r="B32" s="61"/>
      <c r="C32" s="28"/>
      <c r="D32" s="61"/>
      <c r="E32" s="61"/>
      <c r="F32" s="62"/>
      <c r="G32" s="62"/>
      <c r="H32" s="62"/>
      <c r="J32" s="61"/>
      <c r="K32" s="127"/>
    </row>
    <row r="33" spans="1:11" s="64" customFormat="1" x14ac:dyDescent="0.25">
      <c r="A33" s="28"/>
      <c r="B33" s="61"/>
      <c r="C33" s="28"/>
      <c r="D33" s="61"/>
      <c r="E33" s="61"/>
      <c r="F33" s="62"/>
      <c r="G33" s="62"/>
      <c r="H33" s="62"/>
      <c r="J33" s="61"/>
      <c r="K33" s="127"/>
    </row>
    <row r="34" spans="1:11" s="64" customFormat="1" x14ac:dyDescent="0.25">
      <c r="A34" s="28"/>
      <c r="B34" s="61"/>
      <c r="C34" s="28"/>
      <c r="D34" s="61"/>
      <c r="E34" s="61"/>
      <c r="F34" s="62"/>
      <c r="G34" s="62"/>
      <c r="H34" s="62"/>
      <c r="J34" s="61"/>
      <c r="K34" s="127"/>
    </row>
    <row r="35" spans="1:11" s="64" customFormat="1" x14ac:dyDescent="0.25">
      <c r="A35" s="28"/>
      <c r="B35" s="61"/>
      <c r="C35" s="28"/>
      <c r="D35" s="61"/>
      <c r="E35" s="61"/>
      <c r="F35" s="62"/>
      <c r="G35" s="62"/>
      <c r="H35" s="62"/>
      <c r="J35" s="61"/>
      <c r="K35" s="127"/>
    </row>
    <row r="36" spans="1:11" s="64" customFormat="1" x14ac:dyDescent="0.25">
      <c r="A36" s="28"/>
      <c r="B36" s="61"/>
      <c r="C36" s="28"/>
      <c r="D36" s="61"/>
      <c r="E36" s="61"/>
      <c r="F36" s="62"/>
      <c r="G36" s="62"/>
      <c r="H36" s="62"/>
      <c r="J36" s="61"/>
      <c r="K36" s="127"/>
    </row>
    <row r="37" spans="1:11" s="64" customFormat="1" x14ac:dyDescent="0.25">
      <c r="A37" s="28"/>
      <c r="B37" s="61"/>
      <c r="C37" s="28"/>
      <c r="D37" s="61"/>
      <c r="E37" s="61"/>
      <c r="F37" s="62"/>
      <c r="G37" s="62"/>
      <c r="H37" s="62"/>
      <c r="J37" s="61"/>
      <c r="K37" s="127"/>
    </row>
    <row r="38" spans="1:11" s="64" customFormat="1" x14ac:dyDescent="0.25">
      <c r="A38" s="28"/>
      <c r="B38" s="61"/>
      <c r="C38" s="28"/>
      <c r="D38" s="61"/>
      <c r="E38" s="61"/>
      <c r="F38" s="62"/>
      <c r="G38" s="62"/>
      <c r="H38" s="62"/>
      <c r="J38" s="61"/>
      <c r="K38" s="127"/>
    </row>
    <row r="39" spans="1:11" s="64" customFormat="1" x14ac:dyDescent="0.25">
      <c r="A39" s="28"/>
      <c r="B39" s="61"/>
      <c r="C39" s="28"/>
      <c r="D39" s="61"/>
      <c r="E39" s="61"/>
      <c r="F39" s="62"/>
      <c r="G39" s="62"/>
      <c r="H39" s="62"/>
      <c r="J39" s="61"/>
      <c r="K39" s="127"/>
    </row>
    <row r="40" spans="1:11" s="64" customFormat="1" x14ac:dyDescent="0.25">
      <c r="B40" s="61"/>
      <c r="C40" s="28"/>
      <c r="D40" s="61"/>
      <c r="E40" s="61"/>
      <c r="F40" s="62"/>
      <c r="G40" s="62"/>
      <c r="H40" s="62"/>
      <c r="J40" s="61"/>
      <c r="K40" s="127"/>
    </row>
    <row r="41" spans="1:11" s="64" customFormat="1" x14ac:dyDescent="0.25">
      <c r="B41" s="61"/>
      <c r="C41" s="28"/>
      <c r="D41" s="61"/>
      <c r="E41" s="61"/>
      <c r="F41" s="62"/>
      <c r="G41" s="62"/>
      <c r="H41" s="62"/>
      <c r="J41" s="61"/>
      <c r="K41" s="127"/>
    </row>
    <row r="42" spans="1:11" s="64" customFormat="1" x14ac:dyDescent="0.25">
      <c r="B42" s="61"/>
      <c r="C42" s="28"/>
      <c r="D42" s="61"/>
      <c r="E42" s="61"/>
      <c r="F42" s="62"/>
      <c r="G42" s="62"/>
      <c r="H42" s="62"/>
      <c r="J42" s="61"/>
      <c r="K42" s="127"/>
    </row>
    <row r="43" spans="1:11" s="64" customFormat="1" x14ac:dyDescent="0.25">
      <c r="B43" s="61"/>
      <c r="C43" s="28"/>
      <c r="D43" s="61"/>
      <c r="E43" s="61"/>
      <c r="F43" s="62"/>
      <c r="G43" s="62"/>
      <c r="H43" s="62"/>
      <c r="J43" s="61"/>
      <c r="K43" s="127"/>
    </row>
    <row r="44" spans="1:11" s="64" customFormat="1" x14ac:dyDescent="0.25">
      <c r="B44" s="61"/>
      <c r="C44" s="28"/>
      <c r="D44" s="61"/>
      <c r="E44" s="61"/>
      <c r="F44" s="62"/>
      <c r="G44" s="62"/>
      <c r="H44" s="62"/>
      <c r="J44" s="61"/>
      <c r="K44" s="127"/>
    </row>
    <row r="45" spans="1:11" s="64" customFormat="1" x14ac:dyDescent="0.25">
      <c r="B45" s="61"/>
      <c r="C45" s="28"/>
      <c r="D45" s="61"/>
      <c r="E45" s="61"/>
      <c r="F45" s="62"/>
      <c r="G45" s="62"/>
      <c r="H45" s="62"/>
      <c r="J45" s="61"/>
      <c r="K45" s="127"/>
    </row>
    <row r="46" spans="1:11" s="64" customFormat="1" x14ac:dyDescent="0.25">
      <c r="B46" s="61"/>
      <c r="C46" s="28"/>
      <c r="D46" s="61"/>
      <c r="E46" s="61"/>
      <c r="F46" s="62"/>
      <c r="G46" s="62"/>
      <c r="H46" s="62"/>
      <c r="J46" s="61"/>
      <c r="K46" s="127"/>
    </row>
    <row r="47" spans="1:11" s="64" customFormat="1" x14ac:dyDescent="0.25">
      <c r="B47" s="61"/>
      <c r="C47" s="28"/>
      <c r="D47" s="61"/>
      <c r="E47" s="61"/>
      <c r="F47" s="62"/>
      <c r="G47" s="62"/>
      <c r="H47" s="62"/>
      <c r="J47" s="61"/>
      <c r="K47" s="127"/>
    </row>
    <row r="48" spans="1:11" s="64" customFormat="1" x14ac:dyDescent="0.25">
      <c r="B48" s="61"/>
      <c r="C48" s="28"/>
      <c r="D48" s="61"/>
      <c r="E48" s="61"/>
      <c r="F48" s="62"/>
      <c r="G48" s="62"/>
      <c r="H48" s="62"/>
      <c r="J48" s="61"/>
      <c r="K48" s="127"/>
    </row>
    <row r="49" spans="2:11" s="64" customFormat="1" x14ac:dyDescent="0.25">
      <c r="B49" s="61"/>
      <c r="C49" s="28"/>
      <c r="D49" s="61"/>
      <c r="E49" s="61"/>
      <c r="F49" s="62"/>
      <c r="G49" s="62"/>
      <c r="H49" s="62"/>
      <c r="J49" s="61"/>
      <c r="K49" s="127"/>
    </row>
    <row r="50" spans="2:11" s="64" customFormat="1" x14ac:dyDescent="0.25">
      <c r="B50" s="61"/>
      <c r="C50" s="28"/>
      <c r="D50" s="61"/>
      <c r="E50" s="61"/>
      <c r="F50" s="62"/>
      <c r="G50" s="62"/>
      <c r="H50" s="62"/>
      <c r="J50" s="61"/>
      <c r="K50" s="127"/>
    </row>
    <row r="51" spans="2:11" s="64" customFormat="1" x14ac:dyDescent="0.25">
      <c r="B51" s="61"/>
      <c r="C51" s="28"/>
      <c r="D51" s="61"/>
      <c r="E51" s="61"/>
      <c r="F51" s="62"/>
      <c r="G51" s="62"/>
      <c r="H51" s="62"/>
      <c r="J51" s="61"/>
      <c r="K51" s="127"/>
    </row>
    <row r="52" spans="2:11" s="64" customFormat="1" x14ac:dyDescent="0.25">
      <c r="B52" s="61"/>
      <c r="C52" s="28"/>
      <c r="D52" s="61"/>
      <c r="E52" s="61"/>
      <c r="F52" s="62"/>
      <c r="G52" s="62"/>
      <c r="H52" s="62"/>
      <c r="J52" s="61"/>
      <c r="K52" s="127"/>
    </row>
    <row r="53" spans="2:11" s="64" customFormat="1" x14ac:dyDescent="0.25">
      <c r="B53" s="61"/>
      <c r="C53" s="28"/>
      <c r="D53" s="61"/>
      <c r="E53" s="61"/>
      <c r="F53" s="62"/>
      <c r="G53" s="62"/>
      <c r="H53" s="62"/>
      <c r="J53" s="61"/>
      <c r="K53" s="127"/>
    </row>
    <row r="54" spans="2:11" s="64" customFormat="1" x14ac:dyDescent="0.25">
      <c r="B54" s="61"/>
      <c r="C54" s="28"/>
      <c r="D54" s="61"/>
      <c r="E54" s="61"/>
      <c r="F54" s="62"/>
      <c r="G54" s="62"/>
      <c r="H54" s="62"/>
      <c r="J54" s="61"/>
      <c r="K54" s="127"/>
    </row>
    <row r="55" spans="2:11" s="64" customFormat="1" x14ac:dyDescent="0.25">
      <c r="B55" s="61"/>
      <c r="C55" s="28"/>
      <c r="D55" s="61"/>
      <c r="E55" s="61"/>
      <c r="F55" s="62"/>
      <c r="G55" s="62"/>
      <c r="H55" s="62"/>
      <c r="J55" s="61"/>
      <c r="K55" s="127"/>
    </row>
    <row r="56" spans="2:11" s="64" customFormat="1" x14ac:dyDescent="0.25">
      <c r="B56" s="61"/>
      <c r="C56" s="28"/>
      <c r="D56" s="61"/>
      <c r="E56" s="61"/>
      <c r="F56" s="62"/>
      <c r="G56" s="62"/>
      <c r="H56" s="62"/>
      <c r="J56" s="61"/>
      <c r="K56" s="127"/>
    </row>
    <row r="57" spans="2:11" s="64" customFormat="1" x14ac:dyDescent="0.25">
      <c r="B57" s="61"/>
      <c r="C57" s="28"/>
      <c r="D57" s="61"/>
      <c r="E57" s="61"/>
      <c r="F57" s="62"/>
      <c r="G57" s="62"/>
      <c r="H57" s="62"/>
      <c r="J57" s="61"/>
      <c r="K57" s="127"/>
    </row>
  </sheetData>
  <autoFilter ref="A2:J20" xr:uid="{516D4BBD-CA77-43E2-A74A-76EC6A10EDDF}"/>
  <mergeCells count="13">
    <mergeCell ref="F24:I24"/>
    <mergeCell ref="J2:J3"/>
    <mergeCell ref="F23:I23"/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8" scale="51" orientation="landscape" r:id="rId1"/>
  <rowBreaks count="1" manualBreakCount="1">
    <brk id="23" max="1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F6D2A-9EF4-48D5-9A16-B0305334B5EB}">
  <dimension ref="A1:Q165"/>
  <sheetViews>
    <sheetView zoomScale="96" zoomScaleNormal="96" zoomScaleSheetLayoutView="100" workbookViewId="0">
      <pane xSplit="3" ySplit="3" topLeftCell="D97" activePane="bottomRight" state="frozen"/>
      <selection activeCell="H7" sqref="H7"/>
      <selection pane="topRight" activeCell="H7" sqref="H7"/>
      <selection pane="bottomLeft" activeCell="H7" sqref="H7"/>
      <selection pane="bottomRight" activeCell="H7" sqref="H7"/>
    </sheetView>
  </sheetViews>
  <sheetFormatPr defaultColWidth="9.140625" defaultRowHeight="13.5" x14ac:dyDescent="0.25"/>
  <cols>
    <col min="1" max="1" width="4.7109375" style="28" customWidth="1"/>
    <col min="2" max="2" width="10.28515625" style="61" customWidth="1"/>
    <col min="3" max="3" width="38.28515625" style="28" customWidth="1"/>
    <col min="4" max="4" width="16" style="61" bestFit="1" customWidth="1"/>
    <col min="5" max="5" width="12.42578125" style="61" customWidth="1"/>
    <col min="6" max="6" width="16" style="61" bestFit="1" customWidth="1"/>
    <col min="7" max="8" width="16" style="61" customWidth="1"/>
    <col min="9" max="9" width="12.28515625" style="64" customWidth="1"/>
    <col min="10" max="10" width="21.42578125" style="63" bestFit="1" customWidth="1"/>
    <col min="11" max="11" width="20" style="64" customWidth="1"/>
    <col min="12" max="12" width="17.5703125" style="64" bestFit="1" customWidth="1"/>
    <col min="13" max="13" width="12" style="64" bestFit="1" customWidth="1"/>
    <col min="14" max="14" width="26.7109375" style="28" customWidth="1"/>
    <col min="15" max="15" width="12.5703125" style="28" customWidth="1"/>
    <col min="16" max="16" width="10.5703125" style="28" bestFit="1" customWidth="1"/>
    <col min="17" max="16384" width="9.140625" style="28"/>
  </cols>
  <sheetData>
    <row r="1" spans="1:16" s="7" customFormat="1" ht="30" customHeight="1" x14ac:dyDescent="0.25">
      <c r="A1" s="310" t="s">
        <v>70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2"/>
    </row>
    <row r="2" spans="1:16" s="11" customFormat="1" ht="19.5" customHeight="1" x14ac:dyDescent="0.25">
      <c r="A2" s="308" t="s">
        <v>1</v>
      </c>
      <c r="B2" s="313" t="s">
        <v>2</v>
      </c>
      <c r="C2" s="308" t="s">
        <v>3</v>
      </c>
      <c r="D2" s="314" t="s">
        <v>4</v>
      </c>
      <c r="E2" s="308" t="s">
        <v>5</v>
      </c>
      <c r="F2" s="308" t="s">
        <v>6</v>
      </c>
      <c r="G2" s="308" t="s">
        <v>6</v>
      </c>
      <c r="H2" s="308" t="s">
        <v>6</v>
      </c>
      <c r="I2" s="308" t="s">
        <v>9</v>
      </c>
      <c r="J2" s="308" t="s">
        <v>10</v>
      </c>
      <c r="K2" s="308" t="s">
        <v>11</v>
      </c>
      <c r="L2" s="308" t="s">
        <v>12</v>
      </c>
      <c r="M2" s="308" t="s">
        <v>13</v>
      </c>
      <c r="N2" s="309" t="s">
        <v>14</v>
      </c>
    </row>
    <row r="3" spans="1:16" s="11" customFormat="1" ht="26.25" customHeight="1" x14ac:dyDescent="0.25">
      <c r="A3" s="308"/>
      <c r="B3" s="313"/>
      <c r="C3" s="308"/>
      <c r="D3" s="315"/>
      <c r="E3" s="308"/>
      <c r="F3" s="308"/>
      <c r="G3" s="308"/>
      <c r="H3" s="308"/>
      <c r="I3" s="308"/>
      <c r="J3" s="308"/>
      <c r="K3" s="308"/>
      <c r="L3" s="308"/>
      <c r="M3" s="308"/>
      <c r="N3" s="309"/>
    </row>
    <row r="4" spans="1:16" s="6" customFormat="1" x14ac:dyDescent="0.25">
      <c r="A4" s="18">
        <v>1</v>
      </c>
      <c r="B4" s="18">
        <v>2603</v>
      </c>
      <c r="C4" s="19" t="s">
        <v>71</v>
      </c>
      <c r="D4" s="18">
        <v>758</v>
      </c>
      <c r="E4" s="20" t="s">
        <v>16</v>
      </c>
      <c r="F4" s="21">
        <f t="shared" ref="F4:F67" si="0">D4*E4</f>
        <v>303.2</v>
      </c>
      <c r="G4" s="21">
        <f>300.7+2.5</f>
        <v>303.2</v>
      </c>
      <c r="H4" s="21">
        <f>F4-G4</f>
        <v>0</v>
      </c>
      <c r="I4" s="25">
        <v>5744412</v>
      </c>
      <c r="J4" s="27" t="s">
        <v>72</v>
      </c>
      <c r="K4" s="25" t="s">
        <v>73</v>
      </c>
      <c r="L4" s="132" t="s">
        <v>74</v>
      </c>
      <c r="M4" s="25">
        <v>92566993</v>
      </c>
      <c r="N4" s="114">
        <v>45601</v>
      </c>
      <c r="O4" s="127">
        <v>45608</v>
      </c>
    </row>
    <row r="5" spans="1:16" s="6" customFormat="1" x14ac:dyDescent="0.25">
      <c r="A5" s="18">
        <v>2</v>
      </c>
      <c r="B5" s="18">
        <v>2604</v>
      </c>
      <c r="C5" s="19" t="s">
        <v>46</v>
      </c>
      <c r="D5" s="18">
        <v>539.1</v>
      </c>
      <c r="E5" s="20" t="s">
        <v>16</v>
      </c>
      <c r="F5" s="21">
        <f t="shared" si="0"/>
        <v>215.64000000000001</v>
      </c>
      <c r="G5" s="21">
        <f>215.391+0.249</f>
        <v>215.64</v>
      </c>
      <c r="H5" s="21">
        <f t="shared" ref="H5:H68" si="1">F5-G5</f>
        <v>0</v>
      </c>
      <c r="I5" s="72">
        <v>3946807</v>
      </c>
      <c r="J5" s="27" t="s">
        <v>75</v>
      </c>
      <c r="K5" s="25" t="s">
        <v>76</v>
      </c>
      <c r="L5" s="25" t="s">
        <v>77</v>
      </c>
      <c r="M5" s="25">
        <v>99702767</v>
      </c>
      <c r="N5" s="25"/>
      <c r="O5" s="127">
        <v>45609</v>
      </c>
      <c r="P5" s="127">
        <v>45630</v>
      </c>
    </row>
    <row r="6" spans="1:16" s="6" customFormat="1" x14ac:dyDescent="0.25">
      <c r="A6" s="18">
        <v>3</v>
      </c>
      <c r="B6" s="18">
        <v>2606</v>
      </c>
      <c r="C6" s="19" t="s">
        <v>78</v>
      </c>
      <c r="D6" s="18">
        <v>325.2</v>
      </c>
      <c r="E6" s="20" t="s">
        <v>16</v>
      </c>
      <c r="F6" s="21">
        <f t="shared" si="0"/>
        <v>130.08000000000001</v>
      </c>
      <c r="G6" s="21">
        <f>128.38+1.7</f>
        <v>130.07999999999998</v>
      </c>
      <c r="H6" s="21">
        <f t="shared" si="1"/>
        <v>0</v>
      </c>
      <c r="I6" s="25">
        <v>13974337</v>
      </c>
      <c r="J6" s="27" t="s">
        <v>79</v>
      </c>
      <c r="K6" s="25" t="s">
        <v>80</v>
      </c>
      <c r="L6" s="30" t="s">
        <v>81</v>
      </c>
      <c r="M6" s="25">
        <v>99291110</v>
      </c>
      <c r="N6" s="114">
        <v>45567</v>
      </c>
      <c r="O6" s="31">
        <v>45601</v>
      </c>
    </row>
    <row r="7" spans="1:16" s="6" customFormat="1" x14ac:dyDescent="0.25">
      <c r="A7" s="18">
        <v>4</v>
      </c>
      <c r="B7" s="18">
        <v>2607</v>
      </c>
      <c r="C7" s="19" t="s">
        <v>82</v>
      </c>
      <c r="D7" s="18">
        <v>361.6</v>
      </c>
      <c r="E7" s="20" t="s">
        <v>16</v>
      </c>
      <c r="F7" s="21">
        <f t="shared" si="0"/>
        <v>144.64000000000001</v>
      </c>
      <c r="G7" s="21">
        <f>F7</f>
        <v>144.64000000000001</v>
      </c>
      <c r="H7" s="21">
        <f t="shared" si="1"/>
        <v>0</v>
      </c>
      <c r="I7" s="25">
        <v>6488366</v>
      </c>
      <c r="J7" s="27" t="s">
        <v>83</v>
      </c>
      <c r="K7" s="25" t="s">
        <v>342</v>
      </c>
      <c r="L7" s="30" t="s">
        <v>74</v>
      </c>
      <c r="M7" s="25">
        <v>95479797</v>
      </c>
      <c r="N7" s="114">
        <v>45567</v>
      </c>
      <c r="O7" s="127">
        <v>45601</v>
      </c>
    </row>
    <row r="8" spans="1:16" s="6" customFormat="1" x14ac:dyDescent="0.25">
      <c r="A8" s="96">
        <v>5</v>
      </c>
      <c r="B8" s="96">
        <v>2608</v>
      </c>
      <c r="C8" s="97" t="s">
        <v>84</v>
      </c>
      <c r="D8" s="96">
        <v>312.89999999999998</v>
      </c>
      <c r="E8" s="98" t="s">
        <v>16</v>
      </c>
      <c r="F8" s="99">
        <f t="shared" si="0"/>
        <v>125.16</v>
      </c>
      <c r="G8" s="99">
        <f>F8</f>
        <v>125.16</v>
      </c>
      <c r="H8" s="99">
        <f t="shared" si="1"/>
        <v>0</v>
      </c>
      <c r="I8" s="100">
        <v>1233627</v>
      </c>
      <c r="J8" s="101" t="s">
        <v>85</v>
      </c>
      <c r="K8" s="25" t="s">
        <v>342</v>
      </c>
      <c r="L8" s="102" t="s">
        <v>74</v>
      </c>
      <c r="M8" s="100">
        <v>92788274</v>
      </c>
      <c r="N8" s="96" t="s">
        <v>86</v>
      </c>
    </row>
    <row r="9" spans="1:16" s="6" customFormat="1" x14ac:dyDescent="0.25">
      <c r="A9" s="18">
        <v>6</v>
      </c>
      <c r="B9" s="18">
        <v>2609</v>
      </c>
      <c r="C9" s="19" t="s">
        <v>87</v>
      </c>
      <c r="D9" s="18">
        <v>357.2</v>
      </c>
      <c r="E9" s="20" t="s">
        <v>16</v>
      </c>
      <c r="F9" s="21">
        <f t="shared" si="0"/>
        <v>142.88</v>
      </c>
      <c r="G9" s="21">
        <f>138.24+4.64</f>
        <v>142.88</v>
      </c>
      <c r="H9" s="21">
        <f t="shared" si="1"/>
        <v>0</v>
      </c>
      <c r="I9" s="25">
        <v>1248701</v>
      </c>
      <c r="J9" s="27" t="s">
        <v>88</v>
      </c>
      <c r="K9" s="25" t="s">
        <v>73</v>
      </c>
      <c r="L9" s="30" t="s">
        <v>74</v>
      </c>
      <c r="M9" s="25">
        <v>90911500</v>
      </c>
      <c r="N9" s="31">
        <v>45567</v>
      </c>
      <c r="O9" s="31">
        <v>45601</v>
      </c>
    </row>
    <row r="10" spans="1:16" s="6" customFormat="1" x14ac:dyDescent="0.25">
      <c r="A10" s="155">
        <v>7</v>
      </c>
      <c r="B10" s="155">
        <v>2610</v>
      </c>
      <c r="C10" s="156" t="s">
        <v>47</v>
      </c>
      <c r="D10" s="155">
        <v>621.5</v>
      </c>
      <c r="E10" s="157" t="s">
        <v>16</v>
      </c>
      <c r="F10" s="158">
        <f t="shared" si="0"/>
        <v>248.60000000000002</v>
      </c>
      <c r="G10" s="158">
        <f>F10</f>
        <v>248.60000000000002</v>
      </c>
      <c r="H10" s="158">
        <f t="shared" si="1"/>
        <v>0</v>
      </c>
      <c r="I10" s="159">
        <v>1183461</v>
      </c>
      <c r="J10" s="160" t="s">
        <v>89</v>
      </c>
      <c r="K10" s="159" t="s">
        <v>90</v>
      </c>
      <c r="L10" s="161" t="s">
        <v>91</v>
      </c>
      <c r="M10" s="159">
        <v>95622123</v>
      </c>
      <c r="N10" s="160"/>
    </row>
    <row r="11" spans="1:16" s="6" customFormat="1" x14ac:dyDescent="0.25">
      <c r="A11" s="155">
        <v>8</v>
      </c>
      <c r="B11" s="155">
        <v>2611</v>
      </c>
      <c r="C11" s="156" t="s">
        <v>92</v>
      </c>
      <c r="D11" s="155">
        <v>401.3</v>
      </c>
      <c r="E11" s="157" t="s">
        <v>16</v>
      </c>
      <c r="F11" s="158">
        <f t="shared" si="0"/>
        <v>160.52000000000001</v>
      </c>
      <c r="G11" s="158">
        <f t="shared" ref="G11" si="2">F11</f>
        <v>160.52000000000001</v>
      </c>
      <c r="H11" s="158">
        <f t="shared" si="1"/>
        <v>0</v>
      </c>
      <c r="I11" s="159">
        <v>1348989</v>
      </c>
      <c r="J11" s="160" t="s">
        <v>93</v>
      </c>
      <c r="K11" s="159" t="s">
        <v>94</v>
      </c>
      <c r="L11" s="162" t="s">
        <v>95</v>
      </c>
      <c r="M11" s="159">
        <v>99678203</v>
      </c>
      <c r="N11" s="159" t="s">
        <v>22</v>
      </c>
    </row>
    <row r="12" spans="1:16" s="6" customFormat="1" x14ac:dyDescent="0.25">
      <c r="A12" s="155">
        <v>9</v>
      </c>
      <c r="B12" s="155">
        <v>2612</v>
      </c>
      <c r="C12" s="156" t="s">
        <v>96</v>
      </c>
      <c r="D12" s="155">
        <v>945.9</v>
      </c>
      <c r="E12" s="157" t="s">
        <v>16</v>
      </c>
      <c r="F12" s="158">
        <f t="shared" si="0"/>
        <v>378.36</v>
      </c>
      <c r="G12" s="158">
        <f>F12</f>
        <v>378.36</v>
      </c>
      <c r="H12" s="158">
        <f t="shared" si="1"/>
        <v>0</v>
      </c>
      <c r="I12" s="159">
        <v>896658</v>
      </c>
      <c r="J12" s="160" t="s">
        <v>97</v>
      </c>
      <c r="K12" s="227" t="s">
        <v>343</v>
      </c>
      <c r="L12" s="161" t="s">
        <v>91</v>
      </c>
      <c r="M12" s="159">
        <v>99831783</v>
      </c>
      <c r="N12" s="155"/>
    </row>
    <row r="13" spans="1:16" s="72" customFormat="1" x14ac:dyDescent="0.25">
      <c r="A13" s="18">
        <v>10</v>
      </c>
      <c r="B13" s="18">
        <v>2613</v>
      </c>
      <c r="C13" s="19" t="s">
        <v>98</v>
      </c>
      <c r="D13" s="18">
        <v>344.5</v>
      </c>
      <c r="E13" s="20" t="s">
        <v>16</v>
      </c>
      <c r="F13" s="21">
        <f t="shared" si="0"/>
        <v>137.80000000000001</v>
      </c>
      <c r="G13" s="21">
        <f>F13</f>
        <v>137.80000000000001</v>
      </c>
      <c r="H13" s="21">
        <f t="shared" si="1"/>
        <v>0</v>
      </c>
      <c r="I13" s="25">
        <v>2884732</v>
      </c>
      <c r="J13" s="27" t="s">
        <v>99</v>
      </c>
      <c r="K13" s="25" t="s">
        <v>18</v>
      </c>
      <c r="L13" s="30" t="s">
        <v>19</v>
      </c>
      <c r="M13" s="25">
        <v>95878851</v>
      </c>
      <c r="N13" s="27">
        <v>45630</v>
      </c>
    </row>
    <row r="14" spans="1:16" s="6" customFormat="1" x14ac:dyDescent="0.25">
      <c r="A14" s="155">
        <v>11</v>
      </c>
      <c r="B14" s="155">
        <v>2614</v>
      </c>
      <c r="C14" s="156" t="s">
        <v>100</v>
      </c>
      <c r="D14" s="155">
        <v>594.79999999999995</v>
      </c>
      <c r="E14" s="157" t="s">
        <v>16</v>
      </c>
      <c r="F14" s="158">
        <f t="shared" si="0"/>
        <v>237.92</v>
      </c>
      <c r="G14" s="158">
        <f>F14</f>
        <v>237.92</v>
      </c>
      <c r="H14" s="158">
        <f t="shared" si="1"/>
        <v>0</v>
      </c>
      <c r="I14" s="159">
        <v>1015515</v>
      </c>
      <c r="J14" s="160" t="s">
        <v>101</v>
      </c>
      <c r="K14" s="159" t="s">
        <v>90</v>
      </c>
      <c r="L14" s="161" t="s">
        <v>91</v>
      </c>
      <c r="M14" s="159">
        <v>92350077</v>
      </c>
      <c r="N14" s="160"/>
    </row>
    <row r="15" spans="1:16" s="6" customFormat="1" x14ac:dyDescent="0.25">
      <c r="A15" s="18">
        <v>12</v>
      </c>
      <c r="B15" s="18">
        <v>2615</v>
      </c>
      <c r="C15" s="19" t="s">
        <v>102</v>
      </c>
      <c r="D15" s="18">
        <v>835.3</v>
      </c>
      <c r="E15" s="20" t="s">
        <v>16</v>
      </c>
      <c r="F15" s="21">
        <f t="shared" si="0"/>
        <v>334.12</v>
      </c>
      <c r="G15" s="21">
        <f>332.55+1.57</f>
        <v>334.12</v>
      </c>
      <c r="H15" s="21">
        <f t="shared" si="1"/>
        <v>0</v>
      </c>
      <c r="I15" s="25">
        <v>1248772</v>
      </c>
      <c r="J15" s="27" t="s">
        <v>103</v>
      </c>
      <c r="K15" s="25" t="s">
        <v>94</v>
      </c>
      <c r="L15" s="73" t="s">
        <v>95</v>
      </c>
      <c r="M15" s="25">
        <v>91102881</v>
      </c>
      <c r="N15" s="114">
        <v>45545</v>
      </c>
      <c r="O15" s="128">
        <v>45601</v>
      </c>
    </row>
    <row r="16" spans="1:16" x14ac:dyDescent="0.25">
      <c r="A16" s="18">
        <v>13</v>
      </c>
      <c r="B16" s="18">
        <v>2616</v>
      </c>
      <c r="C16" s="19" t="s">
        <v>15</v>
      </c>
      <c r="D16" s="18">
        <v>286.2</v>
      </c>
      <c r="E16" s="20" t="s">
        <v>16</v>
      </c>
      <c r="F16" s="21">
        <f t="shared" si="0"/>
        <v>114.48</v>
      </c>
      <c r="G16" s="22">
        <f>112.77+1.71</f>
        <v>114.47999999999999</v>
      </c>
      <c r="H16" s="21">
        <f t="shared" si="1"/>
        <v>0</v>
      </c>
      <c r="I16" s="23">
        <v>6225617</v>
      </c>
      <c r="J16" s="24" t="s">
        <v>17</v>
      </c>
      <c r="K16" s="25" t="s">
        <v>18</v>
      </c>
      <c r="L16" s="26" t="s">
        <v>19</v>
      </c>
      <c r="M16" s="25">
        <v>98004554</v>
      </c>
      <c r="N16" s="27" t="s">
        <v>104</v>
      </c>
      <c r="O16" s="128">
        <v>45601</v>
      </c>
    </row>
    <row r="17" spans="1:17" s="6" customFormat="1" x14ac:dyDescent="0.25">
      <c r="A17" s="18">
        <v>14</v>
      </c>
      <c r="B17" s="153">
        <v>2617</v>
      </c>
      <c r="C17" s="19" t="s">
        <v>105</v>
      </c>
      <c r="D17" s="18">
        <v>340.1</v>
      </c>
      <c r="E17" s="20" t="s">
        <v>16</v>
      </c>
      <c r="F17" s="21">
        <f t="shared" si="0"/>
        <v>136.04000000000002</v>
      </c>
      <c r="G17" s="21">
        <f>134.83+1.21</f>
        <v>136.04000000000002</v>
      </c>
      <c r="H17" s="21">
        <f t="shared" si="1"/>
        <v>0</v>
      </c>
      <c r="I17" s="18">
        <v>17375838</v>
      </c>
      <c r="J17" s="27" t="s">
        <v>106</v>
      </c>
      <c r="K17" s="25" t="s">
        <v>73</v>
      </c>
      <c r="L17" s="30" t="s">
        <v>74</v>
      </c>
      <c r="M17" s="30">
        <v>95089970</v>
      </c>
      <c r="N17" s="121">
        <v>45588</v>
      </c>
      <c r="O17" s="127">
        <v>45663</v>
      </c>
    </row>
    <row r="18" spans="1:17" s="6" customFormat="1" x14ac:dyDescent="0.25">
      <c r="A18" s="18">
        <v>15</v>
      </c>
      <c r="B18" s="153">
        <v>2618</v>
      </c>
      <c r="C18" s="19" t="s">
        <v>48</v>
      </c>
      <c r="D18" s="18">
        <v>624</v>
      </c>
      <c r="E18" s="20" t="s">
        <v>16</v>
      </c>
      <c r="F18" s="21">
        <f t="shared" si="0"/>
        <v>249.60000000000002</v>
      </c>
      <c r="G18" s="21">
        <f>247.06+2.54</f>
        <v>249.6</v>
      </c>
      <c r="H18" s="21">
        <f t="shared" si="1"/>
        <v>0</v>
      </c>
      <c r="I18" s="25">
        <v>6552811</v>
      </c>
      <c r="J18" s="27" t="s">
        <v>107</v>
      </c>
      <c r="K18" s="25" t="s">
        <v>73</v>
      </c>
      <c r="L18" s="30" t="s">
        <v>74</v>
      </c>
      <c r="M18" s="25">
        <v>99085221</v>
      </c>
      <c r="N18" s="31">
        <v>45615</v>
      </c>
      <c r="O18" s="127">
        <v>45656</v>
      </c>
    </row>
    <row r="19" spans="1:17" s="6" customFormat="1" x14ac:dyDescent="0.25">
      <c r="A19" s="18">
        <v>16</v>
      </c>
      <c r="B19" s="18">
        <v>2619</v>
      </c>
      <c r="C19" s="19" t="s">
        <v>108</v>
      </c>
      <c r="D19" s="18">
        <v>725.5</v>
      </c>
      <c r="E19" s="20" t="s">
        <v>16</v>
      </c>
      <c r="F19" s="21">
        <f t="shared" si="0"/>
        <v>290.2</v>
      </c>
      <c r="G19" s="21">
        <f>286.76+3.44</f>
        <v>290.2</v>
      </c>
      <c r="H19" s="21">
        <f t="shared" si="1"/>
        <v>0</v>
      </c>
      <c r="I19" s="25">
        <v>6552839</v>
      </c>
      <c r="J19" s="27" t="s">
        <v>109</v>
      </c>
      <c r="K19" s="25" t="s">
        <v>90</v>
      </c>
      <c r="L19" s="26" t="s">
        <v>91</v>
      </c>
      <c r="M19" s="25">
        <v>92017833</v>
      </c>
      <c r="N19" s="31">
        <v>45587</v>
      </c>
      <c r="O19" s="127">
        <v>45615</v>
      </c>
    </row>
    <row r="20" spans="1:17" s="6" customFormat="1" x14ac:dyDescent="0.25">
      <c r="A20" s="103">
        <v>17</v>
      </c>
      <c r="B20" s="103">
        <v>2620</v>
      </c>
      <c r="C20" s="104" t="s">
        <v>110</v>
      </c>
      <c r="D20" s="103">
        <v>692.3</v>
      </c>
      <c r="E20" s="105" t="s">
        <v>16</v>
      </c>
      <c r="F20" s="106">
        <f t="shared" si="0"/>
        <v>276.92</v>
      </c>
      <c r="G20" s="106">
        <f>F20</f>
        <v>276.92</v>
      </c>
      <c r="H20" s="106">
        <f t="shared" si="1"/>
        <v>0</v>
      </c>
      <c r="I20" s="107">
        <v>1183437</v>
      </c>
      <c r="J20" s="108" t="s">
        <v>111</v>
      </c>
      <c r="K20" s="107" t="s">
        <v>73</v>
      </c>
      <c r="L20" s="109" t="s">
        <v>74</v>
      </c>
      <c r="M20" s="107">
        <v>92585717</v>
      </c>
      <c r="N20" s="103" t="s">
        <v>112</v>
      </c>
    </row>
    <row r="21" spans="1:17" s="6" customFormat="1" x14ac:dyDescent="0.25">
      <c r="A21" s="18">
        <v>18</v>
      </c>
      <c r="B21" s="153">
        <v>2621</v>
      </c>
      <c r="C21" s="19" t="s">
        <v>113</v>
      </c>
      <c r="D21" s="18">
        <v>397.3</v>
      </c>
      <c r="E21" s="20" t="s">
        <v>16</v>
      </c>
      <c r="F21" s="21">
        <f t="shared" si="0"/>
        <v>158.92000000000002</v>
      </c>
      <c r="G21" s="21">
        <f>155.9+3.02</f>
        <v>158.92000000000002</v>
      </c>
      <c r="H21" s="21">
        <f t="shared" si="1"/>
        <v>0</v>
      </c>
      <c r="I21" s="25">
        <v>19745547</v>
      </c>
      <c r="J21" s="27" t="s">
        <v>114</v>
      </c>
      <c r="K21" s="25" t="s">
        <v>73</v>
      </c>
      <c r="L21" s="30" t="s">
        <v>74</v>
      </c>
      <c r="M21" s="25">
        <v>98821811</v>
      </c>
      <c r="N21" s="31">
        <v>45596</v>
      </c>
    </row>
    <row r="22" spans="1:17" s="6" customFormat="1" x14ac:dyDescent="0.25">
      <c r="A22" s="18">
        <v>19</v>
      </c>
      <c r="B22" s="18">
        <v>2622</v>
      </c>
      <c r="C22" s="19" t="s">
        <v>115</v>
      </c>
      <c r="D22" s="18">
        <v>633.1</v>
      </c>
      <c r="E22" s="20" t="s">
        <v>16</v>
      </c>
      <c r="F22" s="21">
        <f t="shared" si="0"/>
        <v>253.24</v>
      </c>
      <c r="G22" s="21">
        <f>250.27+2.97</f>
        <v>253.24</v>
      </c>
      <c r="H22" s="21">
        <f t="shared" si="1"/>
        <v>0</v>
      </c>
      <c r="I22" s="25">
        <v>6067343</v>
      </c>
      <c r="J22" s="27" t="s">
        <v>116</v>
      </c>
      <c r="K22" s="25" t="s">
        <v>94</v>
      </c>
      <c r="L22" s="73" t="s">
        <v>95</v>
      </c>
      <c r="M22" s="25">
        <v>91329902</v>
      </c>
      <c r="N22" s="31">
        <v>45567</v>
      </c>
      <c r="O22" s="127">
        <v>45607</v>
      </c>
    </row>
    <row r="23" spans="1:17" s="6" customFormat="1" x14ac:dyDescent="0.25">
      <c r="A23" s="155">
        <v>20</v>
      </c>
      <c r="B23" s="155">
        <v>2623</v>
      </c>
      <c r="C23" s="156" t="s">
        <v>49</v>
      </c>
      <c r="D23" s="155">
        <v>355.1</v>
      </c>
      <c r="E23" s="157" t="s">
        <v>16</v>
      </c>
      <c r="F23" s="158">
        <f t="shared" si="0"/>
        <v>142.04000000000002</v>
      </c>
      <c r="G23" s="158">
        <f>F23</f>
        <v>142.04000000000002</v>
      </c>
      <c r="H23" s="158">
        <f t="shared" si="1"/>
        <v>0</v>
      </c>
      <c r="I23" s="159">
        <v>1994004</v>
      </c>
      <c r="J23" s="160" t="s">
        <v>117</v>
      </c>
      <c r="K23" s="159" t="s">
        <v>73</v>
      </c>
      <c r="L23" s="163" t="s">
        <v>74</v>
      </c>
      <c r="M23" s="159">
        <v>99489917</v>
      </c>
      <c r="N23" s="155"/>
    </row>
    <row r="24" spans="1:17" s="6" customFormat="1" x14ac:dyDescent="0.25">
      <c r="A24" s="18">
        <v>21</v>
      </c>
      <c r="B24" s="18">
        <v>2624</v>
      </c>
      <c r="C24" s="19" t="s">
        <v>118</v>
      </c>
      <c r="D24" s="18">
        <v>384.2</v>
      </c>
      <c r="E24" s="20" t="s">
        <v>16</v>
      </c>
      <c r="F24" s="21">
        <f t="shared" si="0"/>
        <v>153.68</v>
      </c>
      <c r="G24" s="21">
        <f>151.29+2.39</f>
        <v>153.67999999999998</v>
      </c>
      <c r="H24" s="21">
        <f t="shared" si="1"/>
        <v>0</v>
      </c>
      <c r="I24" s="25">
        <v>3206725</v>
      </c>
      <c r="J24" s="27">
        <v>401002509090012</v>
      </c>
      <c r="K24" s="25" t="s">
        <v>73</v>
      </c>
      <c r="L24" s="30" t="s">
        <v>74</v>
      </c>
      <c r="M24" s="25">
        <v>93325253</v>
      </c>
      <c r="N24" s="31">
        <v>45567</v>
      </c>
    </row>
    <row r="25" spans="1:17" x14ac:dyDescent="0.25">
      <c r="A25" s="18">
        <v>22</v>
      </c>
      <c r="B25" s="18">
        <v>2625</v>
      </c>
      <c r="C25" s="19" t="s">
        <v>119</v>
      </c>
      <c r="D25" s="18">
        <v>1044.7</v>
      </c>
      <c r="E25" s="20" t="s">
        <v>16</v>
      </c>
      <c r="F25" s="21">
        <f t="shared" si="0"/>
        <v>417.88000000000005</v>
      </c>
      <c r="G25" s="21">
        <f>119.43+297.05+1.4</f>
        <v>417.88</v>
      </c>
      <c r="H25" s="21">
        <f t="shared" si="1"/>
        <v>0</v>
      </c>
      <c r="I25" s="25">
        <v>5474204</v>
      </c>
      <c r="J25" s="27" t="s">
        <v>120</v>
      </c>
      <c r="K25" s="25" t="s">
        <v>73</v>
      </c>
      <c r="L25" s="30" t="s">
        <v>74</v>
      </c>
      <c r="M25" s="25">
        <v>92806972</v>
      </c>
      <c r="N25" s="18" t="s">
        <v>22</v>
      </c>
      <c r="O25" s="133">
        <v>45602</v>
      </c>
    </row>
    <row r="26" spans="1:17" s="164" customFormat="1" x14ac:dyDescent="0.25">
      <c r="A26" s="155">
        <v>23</v>
      </c>
      <c r="B26" s="155">
        <v>2626</v>
      </c>
      <c r="C26" s="156" t="s">
        <v>51</v>
      </c>
      <c r="D26" s="155">
        <v>395.9</v>
      </c>
      <c r="E26" s="157" t="s">
        <v>16</v>
      </c>
      <c r="F26" s="158">
        <f t="shared" si="0"/>
        <v>158.36000000000001</v>
      </c>
      <c r="G26" s="158">
        <f>F26</f>
        <v>158.36000000000001</v>
      </c>
      <c r="H26" s="158">
        <f t="shared" si="1"/>
        <v>0</v>
      </c>
      <c r="I26" s="159">
        <v>3083395</v>
      </c>
      <c r="J26" s="160" t="s">
        <v>121</v>
      </c>
      <c r="K26" s="159" t="s">
        <v>73</v>
      </c>
      <c r="L26" s="163" t="s">
        <v>74</v>
      </c>
      <c r="M26" s="159">
        <v>99287760</v>
      </c>
      <c r="N26" s="155"/>
    </row>
    <row r="27" spans="1:17" s="6" customFormat="1" x14ac:dyDescent="0.25">
      <c r="A27" s="18">
        <v>24</v>
      </c>
      <c r="B27" s="18">
        <v>2627</v>
      </c>
      <c r="C27" s="19" t="s">
        <v>122</v>
      </c>
      <c r="D27" s="18">
        <v>356.5</v>
      </c>
      <c r="E27" s="20" t="s">
        <v>16</v>
      </c>
      <c r="F27" s="21">
        <f t="shared" si="0"/>
        <v>142.6</v>
      </c>
      <c r="G27" s="21">
        <f>139.39+3.21</f>
        <v>142.6</v>
      </c>
      <c r="H27" s="21">
        <f t="shared" si="1"/>
        <v>0</v>
      </c>
      <c r="I27" s="25">
        <v>2011348</v>
      </c>
      <c r="J27" s="27" t="s">
        <v>123</v>
      </c>
      <c r="K27" s="25" t="s">
        <v>94</v>
      </c>
      <c r="L27" s="73" t="s">
        <v>95</v>
      </c>
      <c r="M27" s="25">
        <v>98509729</v>
      </c>
      <c r="N27" s="31">
        <v>45567</v>
      </c>
      <c r="O27" s="127">
        <v>45601</v>
      </c>
    </row>
    <row r="28" spans="1:17" s="164" customFormat="1" x14ac:dyDescent="0.25">
      <c r="A28" s="155">
        <v>25</v>
      </c>
      <c r="B28" s="155">
        <v>2628</v>
      </c>
      <c r="C28" s="156" t="s">
        <v>124</v>
      </c>
      <c r="D28" s="155">
        <v>610.5</v>
      </c>
      <c r="E28" s="157" t="s">
        <v>16</v>
      </c>
      <c r="F28" s="158">
        <f t="shared" si="0"/>
        <v>244.20000000000002</v>
      </c>
      <c r="G28" s="158">
        <f>F28</f>
        <v>244.20000000000002</v>
      </c>
      <c r="H28" s="158">
        <f t="shared" si="1"/>
        <v>0</v>
      </c>
      <c r="I28" s="159">
        <v>2396272</v>
      </c>
      <c r="J28" s="160" t="s">
        <v>125</v>
      </c>
      <c r="K28" s="159" t="s">
        <v>73</v>
      </c>
      <c r="L28" s="163" t="s">
        <v>74</v>
      </c>
      <c r="M28" s="159">
        <v>990991999</v>
      </c>
      <c r="N28" s="159" t="s">
        <v>22</v>
      </c>
      <c r="Q28" s="164">
        <f>251.45-154.02</f>
        <v>97.429999999999978</v>
      </c>
    </row>
    <row r="29" spans="1:17" s="6" customFormat="1" x14ac:dyDescent="0.25">
      <c r="A29" s="12">
        <v>26</v>
      </c>
      <c r="B29" s="18">
        <v>2629</v>
      </c>
      <c r="C29" s="19" t="s">
        <v>32</v>
      </c>
      <c r="D29" s="18">
        <v>528.1</v>
      </c>
      <c r="E29" s="20" t="s">
        <v>16</v>
      </c>
      <c r="F29" s="21">
        <f t="shared" si="0"/>
        <v>211.24</v>
      </c>
      <c r="G29" s="21">
        <f>209.99+1.42</f>
        <v>211.41</v>
      </c>
      <c r="H29" s="21">
        <f>F29-G29+0.17</f>
        <v>1.251776460264864E-14</v>
      </c>
      <c r="I29" s="25">
        <v>6488371</v>
      </c>
      <c r="J29" s="27" t="s">
        <v>126</v>
      </c>
      <c r="K29" s="25" t="s">
        <v>18</v>
      </c>
      <c r="L29" s="74" t="s">
        <v>19</v>
      </c>
      <c r="M29" s="25">
        <v>99096166</v>
      </c>
      <c r="N29" s="31">
        <v>45567</v>
      </c>
      <c r="O29" s="127">
        <v>45601</v>
      </c>
    </row>
    <row r="30" spans="1:17" s="72" customFormat="1" x14ac:dyDescent="0.25">
      <c r="A30" s="18">
        <v>27</v>
      </c>
      <c r="B30" s="18">
        <v>2630</v>
      </c>
      <c r="C30" s="19" t="s">
        <v>127</v>
      </c>
      <c r="D30" s="18">
        <v>393.4</v>
      </c>
      <c r="E30" s="20" t="s">
        <v>16</v>
      </c>
      <c r="F30" s="21">
        <f t="shared" si="0"/>
        <v>157.36000000000001</v>
      </c>
      <c r="G30" s="21">
        <f>156.89+0.47</f>
        <v>157.35999999999999</v>
      </c>
      <c r="H30" s="21">
        <f t="shared" si="1"/>
        <v>0</v>
      </c>
      <c r="I30" s="25">
        <v>8098813</v>
      </c>
      <c r="J30" s="27" t="s">
        <v>128</v>
      </c>
      <c r="K30" s="25" t="s">
        <v>80</v>
      </c>
      <c r="L30" s="76" t="s">
        <v>81</v>
      </c>
      <c r="M30" s="25">
        <v>98279944</v>
      </c>
      <c r="N30" s="31">
        <v>45593</v>
      </c>
      <c r="O30" s="142">
        <v>45621</v>
      </c>
    </row>
    <row r="31" spans="1:17" s="72" customFormat="1" x14ac:dyDescent="0.25">
      <c r="A31" s="18">
        <v>28</v>
      </c>
      <c r="B31" s="18">
        <v>2631</v>
      </c>
      <c r="C31" s="19" t="s">
        <v>129</v>
      </c>
      <c r="D31" s="18">
        <v>304</v>
      </c>
      <c r="E31" s="20" t="s">
        <v>16</v>
      </c>
      <c r="F31" s="21">
        <f t="shared" si="0"/>
        <v>121.60000000000001</v>
      </c>
      <c r="G31" s="21">
        <f>118.42+3.18</f>
        <v>121.60000000000001</v>
      </c>
      <c r="H31" s="21">
        <f t="shared" si="1"/>
        <v>0</v>
      </c>
      <c r="I31" s="25">
        <v>931835</v>
      </c>
      <c r="J31" s="27" t="s">
        <v>130</v>
      </c>
      <c r="K31" s="25" t="s">
        <v>73</v>
      </c>
      <c r="L31" s="30" t="s">
        <v>74</v>
      </c>
      <c r="M31" s="25">
        <v>91766175</v>
      </c>
      <c r="N31" s="31">
        <v>45587</v>
      </c>
    </row>
    <row r="32" spans="1:17" s="72" customFormat="1" x14ac:dyDescent="0.25">
      <c r="A32" s="18">
        <v>29</v>
      </c>
      <c r="B32" s="18">
        <v>2632</v>
      </c>
      <c r="C32" s="19" t="s">
        <v>53</v>
      </c>
      <c r="D32" s="18">
        <v>384.3</v>
      </c>
      <c r="E32" s="20" t="s">
        <v>16</v>
      </c>
      <c r="F32" s="21">
        <f t="shared" si="0"/>
        <v>153.72000000000003</v>
      </c>
      <c r="G32" s="21">
        <f>150.3+3.42</f>
        <v>153.72</v>
      </c>
      <c r="H32" s="21">
        <f t="shared" si="1"/>
        <v>0</v>
      </c>
      <c r="I32" s="25">
        <v>18395066</v>
      </c>
      <c r="J32" s="27" t="s">
        <v>131</v>
      </c>
      <c r="K32" s="25" t="s">
        <v>132</v>
      </c>
      <c r="L32" s="30" t="s">
        <v>133</v>
      </c>
      <c r="M32" s="25">
        <v>9562212</v>
      </c>
      <c r="N32" s="142">
        <v>45609</v>
      </c>
      <c r="O32" s="142">
        <v>45615</v>
      </c>
      <c r="P32" s="142">
        <v>45630</v>
      </c>
    </row>
    <row r="33" spans="1:15" s="164" customFormat="1" x14ac:dyDescent="0.25">
      <c r="A33" s="155">
        <v>30</v>
      </c>
      <c r="B33" s="155">
        <v>2633</v>
      </c>
      <c r="C33" s="156" t="s">
        <v>134</v>
      </c>
      <c r="D33" s="155">
        <v>39.4</v>
      </c>
      <c r="E33" s="157" t="s">
        <v>16</v>
      </c>
      <c r="F33" s="158">
        <f t="shared" si="0"/>
        <v>15.76</v>
      </c>
      <c r="G33" s="158">
        <f>F33</f>
        <v>15.76</v>
      </c>
      <c r="H33" s="158">
        <f t="shared" si="1"/>
        <v>0</v>
      </c>
      <c r="I33" s="159">
        <v>5585042</v>
      </c>
      <c r="J33" s="160" t="s">
        <v>135</v>
      </c>
      <c r="K33" s="159" t="s">
        <v>80</v>
      </c>
      <c r="L33" s="165" t="s">
        <v>81</v>
      </c>
      <c r="M33" s="159">
        <v>92768880</v>
      </c>
      <c r="N33" s="155"/>
    </row>
    <row r="34" spans="1:15" s="72" customFormat="1" x14ac:dyDescent="0.25">
      <c r="A34" s="18">
        <v>31</v>
      </c>
      <c r="B34" s="18">
        <v>2634</v>
      </c>
      <c r="C34" s="19" t="s">
        <v>136</v>
      </c>
      <c r="D34" s="18">
        <v>561</v>
      </c>
      <c r="E34" s="20" t="s">
        <v>16</v>
      </c>
      <c r="F34" s="21">
        <f t="shared" si="0"/>
        <v>224.4</v>
      </c>
      <c r="G34" s="21">
        <f>223.52+0.88</f>
        <v>224.4</v>
      </c>
      <c r="H34" s="21">
        <f t="shared" si="1"/>
        <v>0</v>
      </c>
      <c r="I34" s="25">
        <v>24361971</v>
      </c>
      <c r="J34" s="27" t="s">
        <v>137</v>
      </c>
      <c r="K34" s="25" t="s">
        <v>80</v>
      </c>
      <c r="L34" s="76" t="s">
        <v>81</v>
      </c>
      <c r="M34" s="25">
        <v>93384540</v>
      </c>
      <c r="N34" s="119">
        <v>45582</v>
      </c>
      <c r="O34" s="142">
        <v>45623</v>
      </c>
    </row>
    <row r="35" spans="1:15" s="6" customFormat="1" x14ac:dyDescent="0.25">
      <c r="A35" s="18">
        <v>32</v>
      </c>
      <c r="B35" s="18">
        <v>2635</v>
      </c>
      <c r="C35" s="19" t="s">
        <v>138</v>
      </c>
      <c r="D35" s="18">
        <v>402.9</v>
      </c>
      <c r="E35" s="20" t="s">
        <v>16</v>
      </c>
      <c r="F35" s="21">
        <f t="shared" si="0"/>
        <v>161.16</v>
      </c>
      <c r="G35" s="21">
        <f>31.38+129.78</f>
        <v>161.16</v>
      </c>
      <c r="H35" s="21">
        <f t="shared" si="1"/>
        <v>0</v>
      </c>
      <c r="I35" s="30">
        <v>19928115</v>
      </c>
      <c r="J35" s="27" t="s">
        <v>139</v>
      </c>
      <c r="K35" s="30" t="s">
        <v>73</v>
      </c>
      <c r="L35" s="30" t="s">
        <v>74</v>
      </c>
      <c r="M35" s="25">
        <v>94606075</v>
      </c>
      <c r="N35" s="115">
        <v>45596</v>
      </c>
    </row>
    <row r="36" spans="1:15" s="72" customFormat="1" x14ac:dyDescent="0.25">
      <c r="A36" s="18">
        <v>33</v>
      </c>
      <c r="B36" s="18">
        <v>2636</v>
      </c>
      <c r="C36" s="19" t="s">
        <v>140</v>
      </c>
      <c r="D36" s="18">
        <v>504.3</v>
      </c>
      <c r="E36" s="20" t="s">
        <v>16</v>
      </c>
      <c r="F36" s="21">
        <f t="shared" si="0"/>
        <v>201.72000000000003</v>
      </c>
      <c r="G36" s="21">
        <f>198.36+3.36</f>
        <v>201.72000000000003</v>
      </c>
      <c r="H36" s="21">
        <f t="shared" si="1"/>
        <v>0</v>
      </c>
      <c r="I36" s="25">
        <v>2092081</v>
      </c>
      <c r="J36" s="27" t="s">
        <v>141</v>
      </c>
      <c r="K36" s="25" t="s">
        <v>73</v>
      </c>
      <c r="L36" s="30" t="s">
        <v>74</v>
      </c>
      <c r="M36" s="25">
        <v>92565542</v>
      </c>
      <c r="N36" s="119">
        <v>45582</v>
      </c>
    </row>
    <row r="37" spans="1:15" s="164" customFormat="1" x14ac:dyDescent="0.25">
      <c r="A37" s="155">
        <v>34</v>
      </c>
      <c r="B37" s="155">
        <v>2637</v>
      </c>
      <c r="C37" s="156" t="s">
        <v>142</v>
      </c>
      <c r="D37" s="155">
        <v>378</v>
      </c>
      <c r="E37" s="157" t="s">
        <v>16</v>
      </c>
      <c r="F37" s="158">
        <f t="shared" si="0"/>
        <v>151.20000000000002</v>
      </c>
      <c r="G37" s="158">
        <f>F37</f>
        <v>151.20000000000002</v>
      </c>
      <c r="H37" s="158">
        <f t="shared" si="1"/>
        <v>0</v>
      </c>
      <c r="I37" s="159">
        <v>12073906</v>
      </c>
      <c r="J37" s="160" t="s">
        <v>143</v>
      </c>
      <c r="K37" s="159" t="s">
        <v>90</v>
      </c>
      <c r="L37" s="161" t="s">
        <v>91</v>
      </c>
      <c r="M37" s="159">
        <v>95851127</v>
      </c>
      <c r="N37" s="155"/>
    </row>
    <row r="38" spans="1:15" s="164" customFormat="1" x14ac:dyDescent="0.25">
      <c r="A38" s="155">
        <v>35</v>
      </c>
      <c r="B38" s="155">
        <v>2638</v>
      </c>
      <c r="C38" s="156" t="s">
        <v>144</v>
      </c>
      <c r="D38" s="155">
        <v>194.6</v>
      </c>
      <c r="E38" s="157" t="s">
        <v>16</v>
      </c>
      <c r="F38" s="158">
        <f t="shared" si="0"/>
        <v>77.84</v>
      </c>
      <c r="G38" s="158">
        <f t="shared" ref="G38:G41" si="3">F38</f>
        <v>77.84</v>
      </c>
      <c r="H38" s="158">
        <f t="shared" si="1"/>
        <v>0</v>
      </c>
      <c r="I38" s="159">
        <v>21944623</v>
      </c>
      <c r="J38" s="160" t="s">
        <v>145</v>
      </c>
      <c r="K38" s="159" t="s">
        <v>73</v>
      </c>
      <c r="L38" s="163" t="s">
        <v>74</v>
      </c>
      <c r="M38" s="159">
        <v>96622170</v>
      </c>
      <c r="N38" s="155"/>
    </row>
    <row r="39" spans="1:15" s="164" customFormat="1" x14ac:dyDescent="0.25">
      <c r="A39" s="155">
        <v>36</v>
      </c>
      <c r="B39" s="155">
        <v>2639</v>
      </c>
      <c r="C39" s="156" t="s">
        <v>146</v>
      </c>
      <c r="D39" s="155">
        <v>364.6</v>
      </c>
      <c r="E39" s="157" t="s">
        <v>16</v>
      </c>
      <c r="F39" s="158">
        <f t="shared" si="0"/>
        <v>145.84</v>
      </c>
      <c r="G39" s="158">
        <f t="shared" si="3"/>
        <v>145.84</v>
      </c>
      <c r="H39" s="158">
        <f t="shared" si="1"/>
        <v>0</v>
      </c>
      <c r="I39" s="159">
        <v>1389397</v>
      </c>
      <c r="J39" s="160" t="s">
        <v>147</v>
      </c>
      <c r="K39" s="159" t="s">
        <v>73</v>
      </c>
      <c r="L39" s="163" t="s">
        <v>74</v>
      </c>
      <c r="M39" s="159">
        <v>99282044</v>
      </c>
      <c r="N39" s="155"/>
    </row>
    <row r="40" spans="1:15" s="164" customFormat="1" x14ac:dyDescent="0.25">
      <c r="A40" s="155">
        <v>37</v>
      </c>
      <c r="B40" s="155">
        <v>2640</v>
      </c>
      <c r="C40" s="156" t="s">
        <v>35</v>
      </c>
      <c r="D40" s="155">
        <v>257.89999999999998</v>
      </c>
      <c r="E40" s="157" t="s">
        <v>16</v>
      </c>
      <c r="F40" s="158">
        <f t="shared" si="0"/>
        <v>103.16</v>
      </c>
      <c r="G40" s="158">
        <f t="shared" si="3"/>
        <v>103.16</v>
      </c>
      <c r="H40" s="158">
        <f t="shared" si="1"/>
        <v>0</v>
      </c>
      <c r="I40" s="159">
        <v>25021829</v>
      </c>
      <c r="J40" s="160" t="s">
        <v>148</v>
      </c>
      <c r="K40" s="159" t="s">
        <v>73</v>
      </c>
      <c r="L40" s="163" t="s">
        <v>74</v>
      </c>
      <c r="M40" s="159">
        <v>93383987</v>
      </c>
      <c r="N40" s="155"/>
    </row>
    <row r="41" spans="1:15" s="164" customFormat="1" x14ac:dyDescent="0.25">
      <c r="A41" s="155">
        <v>38</v>
      </c>
      <c r="B41" s="155">
        <v>2641</v>
      </c>
      <c r="C41" s="156" t="s">
        <v>149</v>
      </c>
      <c r="D41" s="155">
        <v>228</v>
      </c>
      <c r="E41" s="157" t="s">
        <v>16</v>
      </c>
      <c r="F41" s="158">
        <f t="shared" si="0"/>
        <v>91.2</v>
      </c>
      <c r="G41" s="158">
        <f t="shared" si="3"/>
        <v>91.2</v>
      </c>
      <c r="H41" s="158">
        <f t="shared" si="1"/>
        <v>0</v>
      </c>
      <c r="I41" s="159">
        <v>1499316</v>
      </c>
      <c r="J41" s="160" t="s">
        <v>150</v>
      </c>
      <c r="K41" s="159" t="s">
        <v>90</v>
      </c>
      <c r="L41" s="163" t="s">
        <v>91</v>
      </c>
      <c r="M41" s="159">
        <v>99677197</v>
      </c>
      <c r="N41" s="155"/>
    </row>
    <row r="42" spans="1:15" s="6" customFormat="1" x14ac:dyDescent="0.25">
      <c r="A42" s="18">
        <v>39</v>
      </c>
      <c r="B42" s="18">
        <v>2642</v>
      </c>
      <c r="C42" s="19" t="s">
        <v>151</v>
      </c>
      <c r="D42" s="18">
        <v>342.6</v>
      </c>
      <c r="E42" s="20" t="s">
        <v>16</v>
      </c>
      <c r="F42" s="21">
        <f t="shared" si="0"/>
        <v>137.04000000000002</v>
      </c>
      <c r="G42" s="21">
        <f>132.62+4.42</f>
        <v>137.04</v>
      </c>
      <c r="H42" s="21">
        <f t="shared" si="1"/>
        <v>0</v>
      </c>
      <c r="I42" s="25">
        <v>3018879</v>
      </c>
      <c r="J42" s="27" t="s">
        <v>152</v>
      </c>
      <c r="K42" s="25" t="s">
        <v>80</v>
      </c>
      <c r="L42" s="76" t="s">
        <v>81</v>
      </c>
      <c r="M42" s="25">
        <v>98818754</v>
      </c>
      <c r="N42" s="31">
        <v>45587</v>
      </c>
    </row>
    <row r="43" spans="1:15" s="120" customFormat="1" x14ac:dyDescent="0.25">
      <c r="A43" s="96">
        <v>40</v>
      </c>
      <c r="B43" s="96">
        <v>2643</v>
      </c>
      <c r="C43" s="97" t="s">
        <v>153</v>
      </c>
      <c r="D43" s="96">
        <v>765</v>
      </c>
      <c r="E43" s="98" t="s">
        <v>16</v>
      </c>
      <c r="F43" s="99">
        <f t="shared" si="0"/>
        <v>306</v>
      </c>
      <c r="G43" s="99">
        <f>F43</f>
        <v>306</v>
      </c>
      <c r="H43" s="99">
        <f t="shared" si="1"/>
        <v>0</v>
      </c>
      <c r="I43" s="100">
        <v>1485446</v>
      </c>
      <c r="J43" s="101" t="s">
        <v>154</v>
      </c>
      <c r="K43" s="100" t="s">
        <v>18</v>
      </c>
      <c r="L43" s="102" t="s">
        <v>19</v>
      </c>
      <c r="M43" s="100">
        <v>99747558</v>
      </c>
      <c r="N43" s="102" t="s">
        <v>86</v>
      </c>
    </row>
    <row r="44" spans="1:15" s="164" customFormat="1" x14ac:dyDescent="0.25">
      <c r="A44" s="155">
        <v>41</v>
      </c>
      <c r="B44" s="155">
        <v>2644</v>
      </c>
      <c r="C44" s="156" t="s">
        <v>155</v>
      </c>
      <c r="D44" s="155">
        <v>392.4</v>
      </c>
      <c r="E44" s="157" t="s">
        <v>16</v>
      </c>
      <c r="F44" s="158">
        <f t="shared" si="0"/>
        <v>156.96</v>
      </c>
      <c r="G44" s="158">
        <f>F44</f>
        <v>156.96</v>
      </c>
      <c r="H44" s="158">
        <f t="shared" si="1"/>
        <v>0</v>
      </c>
      <c r="I44" s="159">
        <v>23180515</v>
      </c>
      <c r="J44" s="160" t="s">
        <v>156</v>
      </c>
      <c r="K44" s="159" t="s">
        <v>73</v>
      </c>
      <c r="L44" s="163" t="s">
        <v>74</v>
      </c>
      <c r="M44" s="159">
        <v>95931303</v>
      </c>
      <c r="N44" s="155" t="s">
        <v>22</v>
      </c>
    </row>
    <row r="45" spans="1:15" s="164" customFormat="1" x14ac:dyDescent="0.25">
      <c r="A45" s="155">
        <v>42</v>
      </c>
      <c r="B45" s="155">
        <v>2645</v>
      </c>
      <c r="C45" s="156" t="s">
        <v>157</v>
      </c>
      <c r="D45" s="155">
        <v>354</v>
      </c>
      <c r="E45" s="157" t="s">
        <v>16</v>
      </c>
      <c r="F45" s="158">
        <f t="shared" si="0"/>
        <v>141.6</v>
      </c>
      <c r="G45" s="158">
        <f t="shared" ref="G45:G47" si="4">F45</f>
        <v>141.6</v>
      </c>
      <c r="H45" s="158">
        <f t="shared" si="1"/>
        <v>0</v>
      </c>
      <c r="I45" s="159">
        <v>20133638</v>
      </c>
      <c r="J45" s="160" t="s">
        <v>158</v>
      </c>
      <c r="K45" s="159" t="s">
        <v>76</v>
      </c>
      <c r="L45" s="162" t="s">
        <v>77</v>
      </c>
      <c r="M45" s="159">
        <v>92802502</v>
      </c>
      <c r="N45" s="155" t="s">
        <v>22</v>
      </c>
    </row>
    <row r="46" spans="1:15" s="164" customFormat="1" x14ac:dyDescent="0.25">
      <c r="A46" s="155">
        <v>43</v>
      </c>
      <c r="B46" s="155">
        <v>2646</v>
      </c>
      <c r="C46" s="156" t="s">
        <v>159</v>
      </c>
      <c r="D46" s="155">
        <v>642.1</v>
      </c>
      <c r="E46" s="157" t="s">
        <v>16</v>
      </c>
      <c r="F46" s="158">
        <f t="shared" si="0"/>
        <v>256.84000000000003</v>
      </c>
      <c r="G46" s="158">
        <f t="shared" si="4"/>
        <v>256.84000000000003</v>
      </c>
      <c r="H46" s="158">
        <f t="shared" si="1"/>
        <v>0</v>
      </c>
      <c r="I46" s="159">
        <v>13271226</v>
      </c>
      <c r="J46" s="160" t="s">
        <v>160</v>
      </c>
      <c r="K46" s="159" t="s">
        <v>73</v>
      </c>
      <c r="L46" s="163" t="s">
        <v>74</v>
      </c>
      <c r="M46" s="159">
        <v>92231129</v>
      </c>
      <c r="N46" s="155" t="s">
        <v>22</v>
      </c>
    </row>
    <row r="47" spans="1:15" s="164" customFormat="1" x14ac:dyDescent="0.25">
      <c r="A47" s="155">
        <v>44</v>
      </c>
      <c r="B47" s="155">
        <v>2647</v>
      </c>
      <c r="C47" s="156" t="s">
        <v>161</v>
      </c>
      <c r="D47" s="155">
        <v>315</v>
      </c>
      <c r="E47" s="157" t="s">
        <v>16</v>
      </c>
      <c r="F47" s="158">
        <f t="shared" si="0"/>
        <v>126</v>
      </c>
      <c r="G47" s="158">
        <f t="shared" si="4"/>
        <v>126</v>
      </c>
      <c r="H47" s="158">
        <f t="shared" si="1"/>
        <v>0</v>
      </c>
      <c r="I47" s="159">
        <v>828714</v>
      </c>
      <c r="J47" s="160" t="s">
        <v>162</v>
      </c>
      <c r="K47" s="159" t="s">
        <v>94</v>
      </c>
      <c r="L47" s="162" t="s">
        <v>95</v>
      </c>
      <c r="M47" s="159">
        <v>99007372</v>
      </c>
      <c r="N47" s="155" t="s">
        <v>22</v>
      </c>
    </row>
    <row r="48" spans="1:15" s="6" customFormat="1" x14ac:dyDescent="0.25">
      <c r="A48" s="18">
        <v>45</v>
      </c>
      <c r="B48" s="18">
        <v>2648</v>
      </c>
      <c r="C48" s="19" t="s">
        <v>163</v>
      </c>
      <c r="D48" s="18">
        <v>343.1</v>
      </c>
      <c r="E48" s="20" t="s">
        <v>16</v>
      </c>
      <c r="F48" s="21">
        <f t="shared" si="0"/>
        <v>137.24</v>
      </c>
      <c r="G48" s="21">
        <f>137.01+0.23</f>
        <v>137.23999999999998</v>
      </c>
      <c r="H48" s="21">
        <f t="shared" si="1"/>
        <v>0</v>
      </c>
      <c r="I48" s="25">
        <v>5086</v>
      </c>
      <c r="J48" s="27" t="s">
        <v>164</v>
      </c>
      <c r="K48" s="25" t="s">
        <v>94</v>
      </c>
      <c r="L48" s="73" t="s">
        <v>95</v>
      </c>
      <c r="M48" s="25">
        <v>99499787</v>
      </c>
      <c r="N48" s="31">
        <v>45587</v>
      </c>
      <c r="O48" s="127">
        <v>45607</v>
      </c>
    </row>
    <row r="49" spans="1:16" s="6" customFormat="1" x14ac:dyDescent="0.25">
      <c r="A49" s="18">
        <v>46</v>
      </c>
      <c r="B49" s="18">
        <v>2649</v>
      </c>
      <c r="C49" s="19" t="s">
        <v>165</v>
      </c>
      <c r="D49" s="18">
        <v>375.8</v>
      </c>
      <c r="E49" s="20" t="s">
        <v>16</v>
      </c>
      <c r="F49" s="21">
        <f t="shared" si="0"/>
        <v>150.32000000000002</v>
      </c>
      <c r="G49" s="21">
        <f>143.95+6.37</f>
        <v>150.32</v>
      </c>
      <c r="H49" s="21">
        <f t="shared" si="1"/>
        <v>0</v>
      </c>
      <c r="I49" s="25">
        <v>1282981</v>
      </c>
      <c r="J49" s="27" t="s">
        <v>166</v>
      </c>
      <c r="K49" s="25" t="s">
        <v>80</v>
      </c>
      <c r="L49" s="76" t="s">
        <v>81</v>
      </c>
      <c r="M49" s="25">
        <v>99499053</v>
      </c>
      <c r="N49" s="31">
        <v>45574</v>
      </c>
      <c r="O49" s="127">
        <v>45621</v>
      </c>
    </row>
    <row r="50" spans="1:16" s="164" customFormat="1" x14ac:dyDescent="0.25">
      <c r="A50" s="155">
        <v>47</v>
      </c>
      <c r="B50" s="155">
        <v>2650</v>
      </c>
      <c r="C50" s="156" t="s">
        <v>167</v>
      </c>
      <c r="D50" s="155">
        <v>350.8</v>
      </c>
      <c r="E50" s="157" t="s">
        <v>16</v>
      </c>
      <c r="F50" s="158">
        <f t="shared" si="0"/>
        <v>140.32000000000002</v>
      </c>
      <c r="G50" s="158">
        <f>F50</f>
        <v>140.32000000000002</v>
      </c>
      <c r="H50" s="158">
        <f t="shared" si="1"/>
        <v>0</v>
      </c>
      <c r="I50" s="159">
        <v>5949449</v>
      </c>
      <c r="J50" s="160" t="s">
        <v>168</v>
      </c>
      <c r="K50" s="159" t="s">
        <v>80</v>
      </c>
      <c r="L50" s="165" t="s">
        <v>81</v>
      </c>
      <c r="M50" s="159">
        <v>92781944</v>
      </c>
      <c r="N50" s="155"/>
    </row>
    <row r="51" spans="1:16" s="164" customFormat="1" x14ac:dyDescent="0.25">
      <c r="A51" s="155">
        <v>48</v>
      </c>
      <c r="B51" s="155">
        <v>2651</v>
      </c>
      <c r="C51" s="156" t="s">
        <v>169</v>
      </c>
      <c r="D51" s="155">
        <v>322</v>
      </c>
      <c r="E51" s="157" t="s">
        <v>16</v>
      </c>
      <c r="F51" s="158">
        <f t="shared" si="0"/>
        <v>128.80000000000001</v>
      </c>
      <c r="G51" s="158">
        <f>F51</f>
        <v>128.80000000000001</v>
      </c>
      <c r="H51" s="158">
        <f t="shared" si="1"/>
        <v>0</v>
      </c>
      <c r="I51" s="159">
        <v>18629431</v>
      </c>
      <c r="J51" s="160" t="s">
        <v>170</v>
      </c>
      <c r="K51" s="159" t="s">
        <v>73</v>
      </c>
      <c r="L51" s="163" t="s">
        <v>74</v>
      </c>
      <c r="M51" s="159">
        <v>92333700</v>
      </c>
      <c r="N51" s="155"/>
    </row>
    <row r="52" spans="1:16" s="6" customFormat="1" x14ac:dyDescent="0.25">
      <c r="A52" s="18">
        <v>49</v>
      </c>
      <c r="B52" s="18">
        <v>2652</v>
      </c>
      <c r="C52" s="19" t="s">
        <v>171</v>
      </c>
      <c r="D52" s="18">
        <v>687.9</v>
      </c>
      <c r="E52" s="20" t="s">
        <v>16</v>
      </c>
      <c r="F52" s="21">
        <f t="shared" si="0"/>
        <v>275.16000000000003</v>
      </c>
      <c r="G52" s="21">
        <f>271.1+4.06</f>
        <v>275.16000000000003</v>
      </c>
      <c r="H52" s="21">
        <f t="shared" si="1"/>
        <v>0</v>
      </c>
      <c r="I52" s="25">
        <v>23212756</v>
      </c>
      <c r="J52" s="27" t="s">
        <v>172</v>
      </c>
      <c r="K52" s="25" t="s">
        <v>94</v>
      </c>
      <c r="L52" s="73" t="s">
        <v>95</v>
      </c>
      <c r="M52" s="25">
        <v>98509729</v>
      </c>
      <c r="N52" s="31">
        <v>45587</v>
      </c>
      <c r="O52" s="127">
        <v>45601</v>
      </c>
    </row>
    <row r="53" spans="1:16" s="164" customFormat="1" x14ac:dyDescent="0.25">
      <c r="A53" s="155">
        <v>50</v>
      </c>
      <c r="B53" s="155">
        <v>2653</v>
      </c>
      <c r="C53" s="156" t="s">
        <v>173</v>
      </c>
      <c r="D53" s="155">
        <v>783</v>
      </c>
      <c r="E53" s="157" t="s">
        <v>16</v>
      </c>
      <c r="F53" s="158">
        <f t="shared" si="0"/>
        <v>313.20000000000005</v>
      </c>
      <c r="G53" s="158">
        <f>F53</f>
        <v>313.20000000000005</v>
      </c>
      <c r="H53" s="158">
        <f t="shared" si="1"/>
        <v>0</v>
      </c>
      <c r="I53" s="159">
        <v>9097024</v>
      </c>
      <c r="J53" s="160" t="s">
        <v>174</v>
      </c>
      <c r="K53" s="159" t="s">
        <v>18</v>
      </c>
      <c r="L53" s="163" t="s">
        <v>19</v>
      </c>
      <c r="M53" s="159">
        <v>95401775</v>
      </c>
      <c r="N53" s="155"/>
    </row>
    <row r="54" spans="1:16" s="6" customFormat="1" x14ac:dyDescent="0.25">
      <c r="A54" s="18">
        <v>51</v>
      </c>
      <c r="B54" s="18">
        <v>2654</v>
      </c>
      <c r="C54" s="19" t="s">
        <v>54</v>
      </c>
      <c r="D54" s="18">
        <v>479.2</v>
      </c>
      <c r="E54" s="20" t="s">
        <v>16</v>
      </c>
      <c r="F54" s="21">
        <f t="shared" si="0"/>
        <v>191.68</v>
      </c>
      <c r="G54" s="21">
        <f>188.41+3.27</f>
        <v>191.68</v>
      </c>
      <c r="H54" s="21">
        <f t="shared" si="1"/>
        <v>0</v>
      </c>
      <c r="I54" s="25">
        <v>6073815</v>
      </c>
      <c r="J54" s="27" t="s">
        <v>175</v>
      </c>
      <c r="K54" s="25" t="s">
        <v>18</v>
      </c>
      <c r="L54" s="30" t="s">
        <v>19</v>
      </c>
      <c r="M54" s="25">
        <v>98780007</v>
      </c>
      <c r="N54" s="31">
        <v>45578</v>
      </c>
      <c r="O54" s="127">
        <v>45603</v>
      </c>
    </row>
    <row r="55" spans="1:16" s="6" customFormat="1" x14ac:dyDescent="0.25">
      <c r="A55" s="18">
        <v>52</v>
      </c>
      <c r="B55" s="18">
        <v>2655</v>
      </c>
      <c r="C55" s="19" t="s">
        <v>56</v>
      </c>
      <c r="D55" s="18">
        <v>120.5</v>
      </c>
      <c r="E55" s="20" t="s">
        <v>16</v>
      </c>
      <c r="F55" s="21">
        <f t="shared" si="0"/>
        <v>48.2</v>
      </c>
      <c r="G55" s="21">
        <f>F55</f>
        <v>48.2</v>
      </c>
      <c r="H55" s="21">
        <f t="shared" si="1"/>
        <v>0</v>
      </c>
      <c r="I55" s="25">
        <v>20987274</v>
      </c>
      <c r="J55" s="27" t="s">
        <v>176</v>
      </c>
      <c r="K55" s="25" t="s">
        <v>73</v>
      </c>
      <c r="L55" s="30" t="s">
        <v>74</v>
      </c>
      <c r="M55" s="25">
        <v>92526652</v>
      </c>
      <c r="N55" s="152">
        <v>45637</v>
      </c>
    </row>
    <row r="56" spans="1:16" s="6" customFormat="1" x14ac:dyDescent="0.25">
      <c r="A56" s="18">
        <v>53</v>
      </c>
      <c r="B56" s="18">
        <v>2656</v>
      </c>
      <c r="C56" s="19" t="s">
        <v>177</v>
      </c>
      <c r="D56" s="18">
        <v>378</v>
      </c>
      <c r="E56" s="20" t="s">
        <v>16</v>
      </c>
      <c r="F56" s="21">
        <f t="shared" si="0"/>
        <v>151.20000000000002</v>
      </c>
      <c r="G56" s="21">
        <f>150.54+0.66</f>
        <v>151.19999999999999</v>
      </c>
      <c r="H56" s="21">
        <f t="shared" si="1"/>
        <v>0</v>
      </c>
      <c r="I56" s="25">
        <v>21910635</v>
      </c>
      <c r="J56" s="27" t="s">
        <v>178</v>
      </c>
      <c r="K56" s="25" t="s">
        <v>18</v>
      </c>
      <c r="L56" s="30" t="s">
        <v>19</v>
      </c>
      <c r="M56" s="25">
        <v>92934362</v>
      </c>
      <c r="N56" s="114">
        <v>45567</v>
      </c>
      <c r="O56" s="127">
        <v>45601</v>
      </c>
    </row>
    <row r="57" spans="1:16" s="164" customFormat="1" x14ac:dyDescent="0.25">
      <c r="A57" s="155">
        <v>54</v>
      </c>
      <c r="B57" s="155">
        <v>2657</v>
      </c>
      <c r="C57" s="156" t="s">
        <v>179</v>
      </c>
      <c r="D57" s="155">
        <v>280.60000000000002</v>
      </c>
      <c r="E57" s="157" t="s">
        <v>16</v>
      </c>
      <c r="F57" s="158">
        <f t="shared" si="0"/>
        <v>112.24000000000001</v>
      </c>
      <c r="G57" s="158">
        <f>F57</f>
        <v>112.24000000000001</v>
      </c>
      <c r="H57" s="158">
        <f t="shared" si="1"/>
        <v>0</v>
      </c>
      <c r="I57" s="159">
        <v>6502761</v>
      </c>
      <c r="J57" s="160" t="s">
        <v>180</v>
      </c>
      <c r="K57" s="159" t="s">
        <v>18</v>
      </c>
      <c r="L57" s="163" t="s">
        <v>19</v>
      </c>
      <c r="M57" s="159">
        <v>98033332</v>
      </c>
      <c r="N57" s="159" t="s">
        <v>22</v>
      </c>
    </row>
    <row r="58" spans="1:16" s="6" customFormat="1" x14ac:dyDescent="0.25">
      <c r="A58" s="18">
        <v>55</v>
      </c>
      <c r="B58" s="18">
        <v>2658</v>
      </c>
      <c r="C58" s="19" t="s">
        <v>181</v>
      </c>
      <c r="D58" s="18">
        <v>149.1</v>
      </c>
      <c r="E58" s="38">
        <v>0.4</v>
      </c>
      <c r="F58" s="21">
        <f t="shared" si="0"/>
        <v>59.64</v>
      </c>
      <c r="G58" s="21">
        <f>59.53+0.11</f>
        <v>59.64</v>
      </c>
      <c r="H58" s="21">
        <f t="shared" si="1"/>
        <v>0</v>
      </c>
      <c r="I58" s="25">
        <v>6726168</v>
      </c>
      <c r="J58" s="27" t="s">
        <v>182</v>
      </c>
      <c r="K58" s="25" t="s">
        <v>73</v>
      </c>
      <c r="L58" s="30" t="s">
        <v>74</v>
      </c>
      <c r="M58" s="25"/>
      <c r="N58" s="114">
        <v>45567</v>
      </c>
      <c r="O58" s="127">
        <v>45628</v>
      </c>
    </row>
    <row r="59" spans="1:16" s="6" customFormat="1" x14ac:dyDescent="0.25">
      <c r="A59" s="18">
        <v>56</v>
      </c>
      <c r="B59" s="18">
        <v>2659</v>
      </c>
      <c r="C59" s="19" t="s">
        <v>183</v>
      </c>
      <c r="D59" s="18">
        <v>276.2</v>
      </c>
      <c r="E59" s="38">
        <v>0.4</v>
      </c>
      <c r="F59" s="21">
        <f t="shared" si="0"/>
        <v>110.48</v>
      </c>
      <c r="G59" s="21">
        <f>108.3+2.18</f>
        <v>110.48</v>
      </c>
      <c r="H59" s="21">
        <f t="shared" si="1"/>
        <v>0</v>
      </c>
      <c r="I59" s="25">
        <v>5796837</v>
      </c>
      <c r="J59" s="27" t="s">
        <v>184</v>
      </c>
      <c r="K59" s="25" t="s">
        <v>18</v>
      </c>
      <c r="L59" s="30" t="s">
        <v>19</v>
      </c>
      <c r="M59" s="25"/>
      <c r="N59" s="114">
        <v>45588</v>
      </c>
    </row>
    <row r="60" spans="1:16" s="6" customFormat="1" x14ac:dyDescent="0.25">
      <c r="A60" s="18">
        <v>57</v>
      </c>
      <c r="B60" s="18">
        <v>2660</v>
      </c>
      <c r="C60" s="19" t="s">
        <v>185</v>
      </c>
      <c r="D60" s="18">
        <v>368.9</v>
      </c>
      <c r="E60" s="38">
        <v>0.4</v>
      </c>
      <c r="F60" s="21">
        <f t="shared" si="0"/>
        <v>147.56</v>
      </c>
      <c r="G60" s="21">
        <f>139.82+7.74</f>
        <v>147.56</v>
      </c>
      <c r="H60" s="21">
        <f t="shared" si="1"/>
        <v>0</v>
      </c>
      <c r="I60" s="25">
        <v>7250691</v>
      </c>
      <c r="J60" s="27" t="s">
        <v>186</v>
      </c>
      <c r="K60" s="25" t="s">
        <v>73</v>
      </c>
      <c r="L60" s="30" t="s">
        <v>74</v>
      </c>
      <c r="M60" s="25"/>
      <c r="N60" s="114">
        <v>45567</v>
      </c>
    </row>
    <row r="61" spans="1:16" s="6" customFormat="1" x14ac:dyDescent="0.25">
      <c r="A61" s="18">
        <v>58</v>
      </c>
      <c r="B61" s="18">
        <v>2661</v>
      </c>
      <c r="C61" s="19" t="s">
        <v>187</v>
      </c>
      <c r="D61" s="18">
        <v>292.3</v>
      </c>
      <c r="E61" s="38">
        <v>0.4</v>
      </c>
      <c r="F61" s="21">
        <f t="shared" si="0"/>
        <v>116.92000000000002</v>
      </c>
      <c r="G61" s="21">
        <f>114.37+2.55</f>
        <v>116.92</v>
      </c>
      <c r="H61" s="21">
        <f t="shared" si="1"/>
        <v>0</v>
      </c>
      <c r="I61" s="25">
        <v>24935198</v>
      </c>
      <c r="J61" s="27" t="s">
        <v>188</v>
      </c>
      <c r="K61" s="30" t="s">
        <v>73</v>
      </c>
      <c r="L61" s="30" t="s">
        <v>74</v>
      </c>
      <c r="M61" s="25">
        <v>99101900</v>
      </c>
      <c r="N61" s="31">
        <v>45587</v>
      </c>
      <c r="O61" s="127">
        <v>45601</v>
      </c>
      <c r="P61" s="127">
        <v>45609</v>
      </c>
    </row>
    <row r="62" spans="1:16" s="6" customFormat="1" x14ac:dyDescent="0.25">
      <c r="A62" s="18">
        <v>59</v>
      </c>
      <c r="B62" s="18">
        <v>2662</v>
      </c>
      <c r="C62" s="19" t="s">
        <v>189</v>
      </c>
      <c r="D62" s="18">
        <v>779.6</v>
      </c>
      <c r="E62" s="38">
        <v>0.4</v>
      </c>
      <c r="F62" s="21">
        <f t="shared" si="0"/>
        <v>311.84000000000003</v>
      </c>
      <c r="G62" s="21">
        <f>311.79+0.05</f>
        <v>311.84000000000003</v>
      </c>
      <c r="H62" s="21">
        <f t="shared" si="1"/>
        <v>0</v>
      </c>
      <c r="I62" s="25">
        <v>2931011</v>
      </c>
      <c r="J62" s="27" t="s">
        <v>190</v>
      </c>
      <c r="K62" s="25" t="s">
        <v>73</v>
      </c>
      <c r="L62" s="30" t="s">
        <v>74</v>
      </c>
      <c r="M62" s="25">
        <v>92997279</v>
      </c>
      <c r="N62" s="114">
        <v>45567</v>
      </c>
      <c r="O62" s="127">
        <v>45623</v>
      </c>
    </row>
    <row r="63" spans="1:16" s="72" customFormat="1" x14ac:dyDescent="0.25">
      <c r="A63" s="18">
        <v>60</v>
      </c>
      <c r="B63" s="153">
        <v>2663</v>
      </c>
      <c r="C63" s="19" t="s">
        <v>191</v>
      </c>
      <c r="D63" s="18">
        <v>743.4</v>
      </c>
      <c r="E63" s="38">
        <v>0.4</v>
      </c>
      <c r="F63" s="21">
        <f t="shared" si="0"/>
        <v>297.36</v>
      </c>
      <c r="G63" s="21">
        <f>294.44+2.92</f>
        <v>297.36</v>
      </c>
      <c r="H63" s="21">
        <f t="shared" si="1"/>
        <v>0</v>
      </c>
      <c r="I63" s="25">
        <v>568448</v>
      </c>
      <c r="J63" s="27" t="s">
        <v>192</v>
      </c>
      <c r="K63" s="25" t="s">
        <v>73</v>
      </c>
      <c r="L63" s="30" t="s">
        <v>74</v>
      </c>
      <c r="M63" s="25">
        <v>99298847</v>
      </c>
      <c r="N63" s="114">
        <v>45588</v>
      </c>
      <c r="O63" s="72" t="s">
        <v>193</v>
      </c>
    </row>
    <row r="64" spans="1:16" s="35" customFormat="1" x14ac:dyDescent="0.25">
      <c r="A64" s="18">
        <v>61</v>
      </c>
      <c r="B64" s="18">
        <v>2665</v>
      </c>
      <c r="C64" s="19" t="s">
        <v>194</v>
      </c>
      <c r="D64" s="18">
        <v>564.5</v>
      </c>
      <c r="E64" s="38">
        <v>0.4</v>
      </c>
      <c r="F64" s="21">
        <f t="shared" si="0"/>
        <v>225.8</v>
      </c>
      <c r="G64" s="21">
        <f>0.08+223.1+2.62</f>
        <v>225.8</v>
      </c>
      <c r="H64" s="21">
        <f t="shared" si="1"/>
        <v>0</v>
      </c>
      <c r="I64" s="25">
        <v>8467055</v>
      </c>
      <c r="J64" s="27" t="s">
        <v>195</v>
      </c>
      <c r="K64" s="25" t="s">
        <v>73</v>
      </c>
      <c r="L64" s="30" t="s">
        <v>74</v>
      </c>
      <c r="M64" s="25">
        <v>98919778</v>
      </c>
      <c r="N64" s="31">
        <v>45588</v>
      </c>
      <c r="O64" s="129">
        <v>45602</v>
      </c>
      <c r="P64" s="129">
        <v>45623</v>
      </c>
    </row>
    <row r="65" spans="1:15" s="35" customFormat="1" x14ac:dyDescent="0.25">
      <c r="A65" s="18">
        <v>62</v>
      </c>
      <c r="B65" s="18">
        <v>2666</v>
      </c>
      <c r="C65" s="19" t="s">
        <v>196</v>
      </c>
      <c r="D65" s="18">
        <v>327.8</v>
      </c>
      <c r="E65" s="38">
        <v>0.4</v>
      </c>
      <c r="F65" s="21">
        <f t="shared" si="0"/>
        <v>131.12</v>
      </c>
      <c r="G65" s="21">
        <f>125.78+5.34</f>
        <v>131.12</v>
      </c>
      <c r="H65" s="21">
        <f t="shared" si="1"/>
        <v>0</v>
      </c>
      <c r="I65" s="25">
        <v>23188968</v>
      </c>
      <c r="J65" s="27" t="s">
        <v>197</v>
      </c>
      <c r="K65" s="25" t="s">
        <v>73</v>
      </c>
      <c r="L65" s="30" t="s">
        <v>74</v>
      </c>
      <c r="M65" s="25">
        <v>95058843</v>
      </c>
      <c r="N65" s="31">
        <v>45567</v>
      </c>
      <c r="O65" s="129">
        <v>45601</v>
      </c>
    </row>
    <row r="66" spans="1:15" s="164" customFormat="1" x14ac:dyDescent="0.25">
      <c r="A66" s="155">
        <v>63</v>
      </c>
      <c r="B66" s="155">
        <v>2667</v>
      </c>
      <c r="C66" s="156" t="s">
        <v>198</v>
      </c>
      <c r="D66" s="155">
        <v>307.5</v>
      </c>
      <c r="E66" s="166">
        <v>0.4</v>
      </c>
      <c r="F66" s="158">
        <f t="shared" si="0"/>
        <v>123</v>
      </c>
      <c r="G66" s="158">
        <f>F66</f>
        <v>123</v>
      </c>
      <c r="H66" s="158">
        <f t="shared" si="1"/>
        <v>0</v>
      </c>
      <c r="I66" s="159">
        <v>210053</v>
      </c>
      <c r="J66" s="160" t="s">
        <v>199</v>
      </c>
      <c r="K66" s="159" t="s">
        <v>18</v>
      </c>
      <c r="L66" s="163" t="s">
        <v>19</v>
      </c>
      <c r="M66" s="159">
        <v>92786724</v>
      </c>
      <c r="N66" s="155"/>
    </row>
    <row r="67" spans="1:15" s="164" customFormat="1" x14ac:dyDescent="0.25">
      <c r="A67" s="155">
        <v>64</v>
      </c>
      <c r="B67" s="155">
        <v>2668</v>
      </c>
      <c r="C67" s="156" t="s">
        <v>200</v>
      </c>
      <c r="D67" s="155">
        <v>292.7</v>
      </c>
      <c r="E67" s="166">
        <v>0.4</v>
      </c>
      <c r="F67" s="158">
        <f t="shared" si="0"/>
        <v>117.08</v>
      </c>
      <c r="G67" s="158">
        <f>F67</f>
        <v>117.08</v>
      </c>
      <c r="H67" s="158">
        <f t="shared" si="1"/>
        <v>0</v>
      </c>
      <c r="I67" s="159">
        <v>8542496</v>
      </c>
      <c r="J67" s="160" t="s">
        <v>201</v>
      </c>
      <c r="K67" s="159" t="s">
        <v>73</v>
      </c>
      <c r="L67" s="163" t="s">
        <v>74</v>
      </c>
      <c r="M67" s="159">
        <v>99295329</v>
      </c>
      <c r="N67" s="155"/>
    </row>
    <row r="68" spans="1:15" s="35" customFormat="1" x14ac:dyDescent="0.25">
      <c r="A68" s="18">
        <v>65</v>
      </c>
      <c r="B68" s="18">
        <v>2669</v>
      </c>
      <c r="C68" s="19" t="s">
        <v>202</v>
      </c>
      <c r="D68" s="18">
        <v>300.7</v>
      </c>
      <c r="E68" s="38">
        <v>0.4</v>
      </c>
      <c r="F68" s="21">
        <f t="shared" ref="F68:F127" si="5">D68*E68</f>
        <v>120.28</v>
      </c>
      <c r="G68" s="21">
        <f>120.18+0.1</f>
        <v>120.28</v>
      </c>
      <c r="H68" s="21">
        <f t="shared" si="1"/>
        <v>0</v>
      </c>
      <c r="I68" s="25">
        <v>6460241</v>
      </c>
      <c r="J68" s="27" t="s">
        <v>203</v>
      </c>
      <c r="K68" s="25" t="s">
        <v>18</v>
      </c>
      <c r="L68" s="30" t="s">
        <v>19</v>
      </c>
      <c r="M68" s="25">
        <v>92550479</v>
      </c>
      <c r="N68" s="31">
        <v>45567</v>
      </c>
      <c r="O68" s="35" t="s">
        <v>204</v>
      </c>
    </row>
    <row r="69" spans="1:15" s="164" customFormat="1" x14ac:dyDescent="0.25">
      <c r="A69" s="155">
        <v>66</v>
      </c>
      <c r="B69" s="155">
        <v>2670</v>
      </c>
      <c r="C69" s="156" t="s">
        <v>205</v>
      </c>
      <c r="D69" s="155">
        <v>347.3</v>
      </c>
      <c r="E69" s="166">
        <v>0.4</v>
      </c>
      <c r="F69" s="158">
        <f t="shared" si="5"/>
        <v>138.92000000000002</v>
      </c>
      <c r="G69" s="158">
        <f>F69</f>
        <v>138.92000000000002</v>
      </c>
      <c r="H69" s="158">
        <f t="shared" ref="H69:H127" si="6">F69-G69</f>
        <v>0</v>
      </c>
      <c r="I69" s="159">
        <v>1481996</v>
      </c>
      <c r="J69" s="160" t="s">
        <v>206</v>
      </c>
      <c r="K69" s="159" t="s">
        <v>94</v>
      </c>
      <c r="L69" s="162" t="s">
        <v>95</v>
      </c>
      <c r="M69" s="159">
        <v>99491404</v>
      </c>
      <c r="N69" s="155"/>
    </row>
    <row r="70" spans="1:15" s="164" customFormat="1" x14ac:dyDescent="0.25">
      <c r="A70" s="155">
        <v>67</v>
      </c>
      <c r="B70" s="155">
        <v>2671</v>
      </c>
      <c r="C70" s="156" t="s">
        <v>207</v>
      </c>
      <c r="D70" s="155">
        <v>348.2</v>
      </c>
      <c r="E70" s="166">
        <v>0.4</v>
      </c>
      <c r="F70" s="158">
        <f t="shared" si="5"/>
        <v>139.28</v>
      </c>
      <c r="G70" s="158">
        <f t="shared" ref="G70:G74" si="7">F70</f>
        <v>139.28</v>
      </c>
      <c r="H70" s="158">
        <f t="shared" si="6"/>
        <v>0</v>
      </c>
      <c r="I70" s="159">
        <v>19595084</v>
      </c>
      <c r="J70" s="160" t="s">
        <v>208</v>
      </c>
      <c r="K70" s="159" t="s">
        <v>73</v>
      </c>
      <c r="L70" s="163" t="s">
        <v>74</v>
      </c>
      <c r="M70" s="159">
        <v>92921404</v>
      </c>
      <c r="N70" s="155"/>
    </row>
    <row r="71" spans="1:15" s="164" customFormat="1" x14ac:dyDescent="0.25">
      <c r="A71" s="155">
        <v>68</v>
      </c>
      <c r="B71" s="155">
        <v>2672</v>
      </c>
      <c r="C71" s="156" t="s">
        <v>209</v>
      </c>
      <c r="D71" s="155">
        <v>284.2</v>
      </c>
      <c r="E71" s="166">
        <v>0.4</v>
      </c>
      <c r="F71" s="158">
        <f t="shared" si="5"/>
        <v>113.68</v>
      </c>
      <c r="G71" s="158">
        <f t="shared" si="7"/>
        <v>113.68</v>
      </c>
      <c r="H71" s="158">
        <f t="shared" si="6"/>
        <v>0</v>
      </c>
      <c r="I71" s="167">
        <v>21469064</v>
      </c>
      <c r="J71" s="160" t="s">
        <v>210</v>
      </c>
      <c r="K71" s="167" t="s">
        <v>73</v>
      </c>
      <c r="L71" s="168" t="s">
        <v>74</v>
      </c>
      <c r="M71" s="159">
        <v>93316559</v>
      </c>
      <c r="N71" s="155"/>
    </row>
    <row r="72" spans="1:15" s="164" customFormat="1" x14ac:dyDescent="0.25">
      <c r="A72" s="155">
        <v>69</v>
      </c>
      <c r="B72" s="169">
        <v>2673</v>
      </c>
      <c r="C72" s="156" t="s">
        <v>58</v>
      </c>
      <c r="D72" s="155">
        <v>314.7</v>
      </c>
      <c r="E72" s="166">
        <v>0.4</v>
      </c>
      <c r="F72" s="158">
        <f t="shared" si="5"/>
        <v>125.88</v>
      </c>
      <c r="G72" s="158">
        <f t="shared" si="7"/>
        <v>125.88</v>
      </c>
      <c r="H72" s="158">
        <f t="shared" si="6"/>
        <v>0</v>
      </c>
      <c r="I72" s="167">
        <v>8393437</v>
      </c>
      <c r="J72" s="160">
        <v>401002466590016</v>
      </c>
      <c r="K72" s="167" t="s">
        <v>73</v>
      </c>
      <c r="L72" s="168" t="s">
        <v>74</v>
      </c>
      <c r="M72" s="159"/>
      <c r="N72" s="155"/>
    </row>
    <row r="73" spans="1:15" s="164" customFormat="1" x14ac:dyDescent="0.25">
      <c r="A73" s="155">
        <v>70</v>
      </c>
      <c r="B73" s="155">
        <v>2674</v>
      </c>
      <c r="C73" s="156" t="s">
        <v>37</v>
      </c>
      <c r="D73" s="155">
        <v>327.2</v>
      </c>
      <c r="E73" s="166">
        <v>0.4</v>
      </c>
      <c r="F73" s="158">
        <f t="shared" si="5"/>
        <v>130.88</v>
      </c>
      <c r="G73" s="158">
        <f t="shared" si="7"/>
        <v>130.88</v>
      </c>
      <c r="H73" s="158">
        <f t="shared" si="6"/>
        <v>0</v>
      </c>
      <c r="I73" s="159">
        <v>6332118</v>
      </c>
      <c r="J73" s="160" t="s">
        <v>211</v>
      </c>
      <c r="K73" s="159" t="s">
        <v>18</v>
      </c>
      <c r="L73" s="163" t="s">
        <v>19</v>
      </c>
      <c r="M73" s="159">
        <v>98930047</v>
      </c>
      <c r="N73" s="155"/>
    </row>
    <row r="74" spans="1:15" s="164" customFormat="1" x14ac:dyDescent="0.25">
      <c r="A74" s="155">
        <v>71</v>
      </c>
      <c r="B74" s="155">
        <v>2675</v>
      </c>
      <c r="C74" s="156" t="s">
        <v>39</v>
      </c>
      <c r="D74" s="155">
        <v>359.7</v>
      </c>
      <c r="E74" s="166">
        <v>0.4</v>
      </c>
      <c r="F74" s="158">
        <f t="shared" si="5"/>
        <v>143.88</v>
      </c>
      <c r="G74" s="158">
        <f t="shared" si="7"/>
        <v>143.88</v>
      </c>
      <c r="H74" s="158">
        <f t="shared" si="6"/>
        <v>0</v>
      </c>
      <c r="I74" s="159">
        <v>6332123</v>
      </c>
      <c r="J74" s="160" t="s">
        <v>212</v>
      </c>
      <c r="K74" s="159" t="s">
        <v>73</v>
      </c>
      <c r="L74" s="163" t="s">
        <v>74</v>
      </c>
      <c r="M74" s="159">
        <v>98777808</v>
      </c>
      <c r="N74" s="167"/>
    </row>
    <row r="75" spans="1:15" s="6" customFormat="1" x14ac:dyDescent="0.25">
      <c r="A75" s="18">
        <v>72</v>
      </c>
      <c r="B75" s="18">
        <v>2676</v>
      </c>
      <c r="C75" s="19" t="s">
        <v>59</v>
      </c>
      <c r="D75" s="18">
        <v>287.8</v>
      </c>
      <c r="E75" s="38">
        <v>0.4</v>
      </c>
      <c r="F75" s="21">
        <f t="shared" si="5"/>
        <v>115.12</v>
      </c>
      <c r="G75" s="21">
        <f>113.13+1.99</f>
        <v>115.11999999999999</v>
      </c>
      <c r="H75" s="21">
        <f t="shared" si="6"/>
        <v>0</v>
      </c>
      <c r="I75" s="30">
        <v>568083</v>
      </c>
      <c r="J75" s="27" t="s">
        <v>213</v>
      </c>
      <c r="K75" s="30" t="s">
        <v>76</v>
      </c>
      <c r="L75" s="73" t="s">
        <v>77</v>
      </c>
      <c r="M75" s="25">
        <v>98146666</v>
      </c>
      <c r="N75" s="31">
        <v>45601</v>
      </c>
      <c r="O75" s="127">
        <v>45614</v>
      </c>
    </row>
    <row r="76" spans="1:15" s="6" customFormat="1" x14ac:dyDescent="0.25">
      <c r="A76" s="18">
        <v>73</v>
      </c>
      <c r="B76" s="153">
        <v>2677</v>
      </c>
      <c r="C76" s="19" t="s">
        <v>214</v>
      </c>
      <c r="D76" s="18">
        <v>328.7</v>
      </c>
      <c r="E76" s="38">
        <v>0.4</v>
      </c>
      <c r="F76" s="21">
        <f t="shared" si="5"/>
        <v>131.47999999999999</v>
      </c>
      <c r="G76" s="21">
        <f>131.33+0.15</f>
        <v>131.48000000000002</v>
      </c>
      <c r="H76" s="21">
        <f t="shared" si="6"/>
        <v>0</v>
      </c>
      <c r="I76" s="30">
        <v>7031534</v>
      </c>
      <c r="J76" s="27" t="s">
        <v>215</v>
      </c>
      <c r="K76" s="25" t="s">
        <v>73</v>
      </c>
      <c r="L76" s="30" t="s">
        <v>74</v>
      </c>
      <c r="M76" s="25">
        <v>92995115</v>
      </c>
      <c r="N76" s="31">
        <v>45567</v>
      </c>
      <c r="O76" s="127">
        <v>45658</v>
      </c>
    </row>
    <row r="77" spans="1:15" s="6" customFormat="1" x14ac:dyDescent="0.25">
      <c r="A77" s="18">
        <v>74</v>
      </c>
      <c r="B77" s="18">
        <v>2678</v>
      </c>
      <c r="C77" s="19" t="s">
        <v>216</v>
      </c>
      <c r="D77" s="18">
        <v>643.9</v>
      </c>
      <c r="E77" s="38">
        <v>0.4</v>
      </c>
      <c r="F77" s="21">
        <f t="shared" si="5"/>
        <v>257.56</v>
      </c>
      <c r="G77" s="21">
        <f>253.07+4.49</f>
        <v>257.56</v>
      </c>
      <c r="H77" s="21">
        <f t="shared" si="6"/>
        <v>0</v>
      </c>
      <c r="I77" s="30">
        <v>7211987</v>
      </c>
      <c r="J77" s="27" t="s">
        <v>217</v>
      </c>
      <c r="K77" s="25" t="s">
        <v>73</v>
      </c>
      <c r="L77" s="30" t="s">
        <v>74</v>
      </c>
      <c r="M77" s="25"/>
      <c r="N77" s="31">
        <v>45567</v>
      </c>
    </row>
    <row r="78" spans="1:15" s="6" customFormat="1" x14ac:dyDescent="0.25">
      <c r="A78" s="18">
        <v>75</v>
      </c>
      <c r="B78" s="18">
        <v>2680</v>
      </c>
      <c r="C78" s="19" t="s">
        <v>218</v>
      </c>
      <c r="D78" s="18">
        <v>241.4</v>
      </c>
      <c r="E78" s="38">
        <v>0.4</v>
      </c>
      <c r="F78" s="21">
        <f t="shared" si="5"/>
        <v>96.56</v>
      </c>
      <c r="G78" s="21">
        <f>95.78+0.78</f>
        <v>96.56</v>
      </c>
      <c r="H78" s="21">
        <f t="shared" si="6"/>
        <v>0</v>
      </c>
      <c r="I78" s="30">
        <v>553684</v>
      </c>
      <c r="J78" s="27">
        <v>1010125978001</v>
      </c>
      <c r="K78" s="25" t="s">
        <v>80</v>
      </c>
      <c r="L78" s="30" t="s">
        <v>219</v>
      </c>
      <c r="M78" s="25">
        <v>98279480</v>
      </c>
      <c r="N78" s="119">
        <v>45587</v>
      </c>
      <c r="O78" s="6" t="s">
        <v>220</v>
      </c>
    </row>
    <row r="79" spans="1:15" s="164" customFormat="1" x14ac:dyDescent="0.25">
      <c r="A79" s="155">
        <v>76</v>
      </c>
      <c r="B79" s="155">
        <v>2681</v>
      </c>
      <c r="C79" s="156" t="s">
        <v>61</v>
      </c>
      <c r="D79" s="155">
        <v>302.7</v>
      </c>
      <c r="E79" s="166">
        <v>0.4</v>
      </c>
      <c r="F79" s="158">
        <f t="shared" si="5"/>
        <v>121.08</v>
      </c>
      <c r="G79" s="158">
        <f>F79</f>
        <v>121.08</v>
      </c>
      <c r="H79" s="158">
        <f t="shared" si="6"/>
        <v>0</v>
      </c>
      <c r="I79" s="163">
        <v>23172723</v>
      </c>
      <c r="J79" s="160" t="s">
        <v>221</v>
      </c>
      <c r="K79" s="163" t="s">
        <v>73</v>
      </c>
      <c r="L79" s="163" t="s">
        <v>74</v>
      </c>
      <c r="M79" s="159">
        <v>93635099</v>
      </c>
      <c r="N79" s="170"/>
    </row>
    <row r="80" spans="1:15" s="164" customFormat="1" x14ac:dyDescent="0.25">
      <c r="A80" s="155">
        <v>77</v>
      </c>
      <c r="B80" s="155">
        <v>2682</v>
      </c>
      <c r="C80" s="156" t="s">
        <v>222</v>
      </c>
      <c r="D80" s="155">
        <v>446.7</v>
      </c>
      <c r="E80" s="166">
        <v>0.4</v>
      </c>
      <c r="F80" s="158">
        <f t="shared" si="5"/>
        <v>178.68</v>
      </c>
      <c r="G80" s="158">
        <f t="shared" ref="G80:G81" si="8">F80</f>
        <v>178.68</v>
      </c>
      <c r="H80" s="158">
        <f t="shared" si="6"/>
        <v>0</v>
      </c>
      <c r="I80" s="163">
        <v>1356383</v>
      </c>
      <c r="J80" s="160" t="s">
        <v>223</v>
      </c>
      <c r="K80" s="163" t="s">
        <v>80</v>
      </c>
      <c r="L80" s="163" t="s">
        <v>81</v>
      </c>
      <c r="M80" s="159"/>
      <c r="N80" s="170"/>
    </row>
    <row r="81" spans="1:15" s="164" customFormat="1" x14ac:dyDescent="0.25">
      <c r="A81" s="155">
        <v>78</v>
      </c>
      <c r="B81" s="155">
        <v>2683</v>
      </c>
      <c r="C81" s="156" t="s">
        <v>224</v>
      </c>
      <c r="D81" s="155">
        <v>751.1</v>
      </c>
      <c r="E81" s="166">
        <v>0.4</v>
      </c>
      <c r="F81" s="158">
        <f t="shared" si="5"/>
        <v>300.44</v>
      </c>
      <c r="G81" s="158">
        <f t="shared" si="8"/>
        <v>300.44</v>
      </c>
      <c r="H81" s="158">
        <f t="shared" si="6"/>
        <v>0</v>
      </c>
      <c r="I81" s="163">
        <v>5912206</v>
      </c>
      <c r="J81" s="160" t="s">
        <v>225</v>
      </c>
      <c r="K81" s="159" t="s">
        <v>73</v>
      </c>
      <c r="L81" s="163" t="s">
        <v>74</v>
      </c>
      <c r="M81" s="159">
        <v>92704591</v>
      </c>
      <c r="N81" s="170"/>
    </row>
    <row r="82" spans="1:15" s="6" customFormat="1" x14ac:dyDescent="0.25">
      <c r="A82" s="18">
        <v>79</v>
      </c>
      <c r="B82" s="18">
        <v>2684</v>
      </c>
      <c r="C82" s="19" t="s">
        <v>226</v>
      </c>
      <c r="D82" s="18">
        <v>324</v>
      </c>
      <c r="E82" s="38">
        <v>0.4</v>
      </c>
      <c r="F82" s="21">
        <f t="shared" si="5"/>
        <v>129.6</v>
      </c>
      <c r="G82" s="21">
        <f>129.28+0.32</f>
        <v>129.6</v>
      </c>
      <c r="H82" s="21">
        <f t="shared" si="6"/>
        <v>0</v>
      </c>
      <c r="I82" s="30">
        <v>4768041</v>
      </c>
      <c r="J82" s="27" t="s">
        <v>227</v>
      </c>
      <c r="K82" s="25" t="s">
        <v>73</v>
      </c>
      <c r="L82" s="30" t="s">
        <v>74</v>
      </c>
      <c r="M82" s="25">
        <v>99697032</v>
      </c>
      <c r="N82" s="115">
        <v>45545</v>
      </c>
      <c r="O82" s="127">
        <v>45601</v>
      </c>
    </row>
    <row r="83" spans="1:15" s="6" customFormat="1" x14ac:dyDescent="0.25">
      <c r="A83" s="18">
        <v>80</v>
      </c>
      <c r="B83" s="18">
        <v>2685</v>
      </c>
      <c r="C83" s="19" t="s">
        <v>228</v>
      </c>
      <c r="D83" s="18">
        <v>306.7</v>
      </c>
      <c r="E83" s="38">
        <v>0.4</v>
      </c>
      <c r="F83" s="21">
        <f t="shared" si="5"/>
        <v>122.68</v>
      </c>
      <c r="G83" s="21">
        <f>118.31+4.37</f>
        <v>122.68</v>
      </c>
      <c r="H83" s="21">
        <f t="shared" si="6"/>
        <v>0</v>
      </c>
      <c r="I83" s="30">
        <v>25026854</v>
      </c>
      <c r="J83" s="27" t="s">
        <v>229</v>
      </c>
      <c r="K83" s="25" t="s">
        <v>18</v>
      </c>
      <c r="L83" s="30" t="s">
        <v>19</v>
      </c>
      <c r="M83" s="25">
        <v>96124005</v>
      </c>
      <c r="N83" s="116">
        <v>45567</v>
      </c>
      <c r="O83" s="127">
        <v>45601</v>
      </c>
    </row>
    <row r="84" spans="1:15" s="164" customFormat="1" x14ac:dyDescent="0.25">
      <c r="A84" s="155">
        <v>81</v>
      </c>
      <c r="B84" s="155">
        <v>2686</v>
      </c>
      <c r="C84" s="156" t="s">
        <v>230</v>
      </c>
      <c r="D84" s="171">
        <v>492.3</v>
      </c>
      <c r="E84" s="166">
        <v>0.4</v>
      </c>
      <c r="F84" s="158">
        <f t="shared" si="5"/>
        <v>196.92000000000002</v>
      </c>
      <c r="G84" s="158">
        <f>F84</f>
        <v>196.92000000000002</v>
      </c>
      <c r="H84" s="158">
        <f t="shared" si="6"/>
        <v>0</v>
      </c>
      <c r="I84" s="163">
        <v>6064295</v>
      </c>
      <c r="J84" s="160" t="s">
        <v>231</v>
      </c>
      <c r="K84" s="159" t="s">
        <v>73</v>
      </c>
      <c r="L84" s="163" t="s">
        <v>74</v>
      </c>
      <c r="M84" s="159"/>
      <c r="N84" s="170"/>
    </row>
    <row r="85" spans="1:15" s="6" customFormat="1" x14ac:dyDescent="0.25">
      <c r="A85" s="18">
        <v>82</v>
      </c>
      <c r="B85" s="18">
        <v>2687</v>
      </c>
      <c r="C85" s="144" t="s">
        <v>62</v>
      </c>
      <c r="D85" s="37">
        <v>379.7</v>
      </c>
      <c r="E85" s="38">
        <v>0.4</v>
      </c>
      <c r="F85" s="21">
        <f t="shared" si="5"/>
        <v>151.88</v>
      </c>
      <c r="G85" s="21">
        <f>F85</f>
        <v>151.88</v>
      </c>
      <c r="H85" s="21">
        <f t="shared" si="6"/>
        <v>0</v>
      </c>
      <c r="I85" s="30">
        <v>14175595</v>
      </c>
      <c r="J85" s="27" t="s">
        <v>232</v>
      </c>
      <c r="K85" s="25" t="s">
        <v>76</v>
      </c>
      <c r="L85" s="73" t="s">
        <v>77</v>
      </c>
      <c r="M85" s="25">
        <v>99531669</v>
      </c>
      <c r="N85" s="143" t="s">
        <v>22</v>
      </c>
      <c r="O85" s="6" t="s">
        <v>233</v>
      </c>
    </row>
    <row r="86" spans="1:15" s="6" customFormat="1" x14ac:dyDescent="0.25">
      <c r="A86" s="18">
        <v>83</v>
      </c>
      <c r="B86" s="18">
        <v>2688</v>
      </c>
      <c r="C86" s="25" t="s">
        <v>234</v>
      </c>
      <c r="D86" s="37">
        <v>559</v>
      </c>
      <c r="E86" s="38">
        <v>0.4</v>
      </c>
      <c r="F86" s="21">
        <f t="shared" si="5"/>
        <v>223.60000000000002</v>
      </c>
      <c r="G86" s="21">
        <f>219.89+3.71</f>
        <v>223.6</v>
      </c>
      <c r="H86" s="21">
        <f t="shared" si="6"/>
        <v>0</v>
      </c>
      <c r="I86" s="30">
        <v>18647005</v>
      </c>
      <c r="J86" s="27" t="s">
        <v>235</v>
      </c>
      <c r="K86" s="25" t="s">
        <v>73</v>
      </c>
      <c r="L86" s="30" t="s">
        <v>74</v>
      </c>
      <c r="M86" s="25"/>
      <c r="N86" s="115">
        <v>45587</v>
      </c>
      <c r="O86" s="140">
        <v>45607</v>
      </c>
    </row>
    <row r="87" spans="1:15" s="72" customFormat="1" x14ac:dyDescent="0.25">
      <c r="A87" s="18">
        <v>84</v>
      </c>
      <c r="B87" s="18">
        <v>2689</v>
      </c>
      <c r="C87" s="25" t="s">
        <v>236</v>
      </c>
      <c r="D87" s="37">
        <v>499.4</v>
      </c>
      <c r="E87" s="38">
        <v>0.4</v>
      </c>
      <c r="F87" s="21">
        <f t="shared" si="5"/>
        <v>199.76</v>
      </c>
      <c r="G87" s="21">
        <f>133.62+64.6+1.54</f>
        <v>199.76</v>
      </c>
      <c r="H87" s="21">
        <f t="shared" si="6"/>
        <v>0</v>
      </c>
      <c r="I87" s="30">
        <v>1527206</v>
      </c>
      <c r="J87" s="27" t="s">
        <v>237</v>
      </c>
      <c r="K87" s="25" t="s">
        <v>73</v>
      </c>
      <c r="L87" s="30" t="s">
        <v>74</v>
      </c>
      <c r="M87" s="25"/>
      <c r="N87" s="115">
        <v>45582</v>
      </c>
      <c r="O87" s="130">
        <v>45601</v>
      </c>
    </row>
    <row r="88" spans="1:15" s="6" customFormat="1" x14ac:dyDescent="0.25">
      <c r="A88" s="18">
        <v>85</v>
      </c>
      <c r="B88" s="18">
        <v>2690</v>
      </c>
      <c r="C88" s="25" t="s">
        <v>238</v>
      </c>
      <c r="D88" s="37">
        <v>713.7</v>
      </c>
      <c r="E88" s="38">
        <v>0.4</v>
      </c>
      <c r="F88" s="21">
        <f t="shared" si="5"/>
        <v>285.48</v>
      </c>
      <c r="G88" s="21">
        <f>284.05+1.43</f>
        <v>285.48</v>
      </c>
      <c r="H88" s="21">
        <f t="shared" si="6"/>
        <v>0</v>
      </c>
      <c r="I88" s="30">
        <v>7376171</v>
      </c>
      <c r="J88" s="27" t="s">
        <v>239</v>
      </c>
      <c r="K88" s="25" t="s">
        <v>80</v>
      </c>
      <c r="L88" s="30" t="s">
        <v>81</v>
      </c>
      <c r="M88" s="25"/>
      <c r="N88" s="115">
        <v>45579</v>
      </c>
      <c r="O88" s="116">
        <v>45601</v>
      </c>
    </row>
    <row r="89" spans="1:15" s="6" customFormat="1" x14ac:dyDescent="0.25">
      <c r="A89" s="18">
        <v>86</v>
      </c>
      <c r="B89" s="18">
        <v>2691</v>
      </c>
      <c r="C89" s="25" t="s">
        <v>240</v>
      </c>
      <c r="D89" s="37">
        <v>528.20000000000005</v>
      </c>
      <c r="E89" s="38">
        <v>0.4</v>
      </c>
      <c r="F89" s="21">
        <f t="shared" si="5"/>
        <v>211.28000000000003</v>
      </c>
      <c r="G89" s="21">
        <f>208.73+2.55</f>
        <v>211.28</v>
      </c>
      <c r="H89" s="21">
        <f t="shared" si="6"/>
        <v>0</v>
      </c>
      <c r="I89" s="30">
        <v>7376203</v>
      </c>
      <c r="J89" s="27" t="s">
        <v>241</v>
      </c>
      <c r="K89" s="25" t="s">
        <v>73</v>
      </c>
      <c r="L89" s="30" t="s">
        <v>74</v>
      </c>
      <c r="M89" s="25"/>
      <c r="N89" s="115">
        <v>45545</v>
      </c>
      <c r="O89" s="6" t="s">
        <v>242</v>
      </c>
    </row>
    <row r="90" spans="1:15" s="6" customFormat="1" x14ac:dyDescent="0.25">
      <c r="A90" s="18">
        <v>87</v>
      </c>
      <c r="B90" s="18">
        <v>2692</v>
      </c>
      <c r="C90" s="25" t="s">
        <v>243</v>
      </c>
      <c r="D90" s="37">
        <v>639</v>
      </c>
      <c r="E90" s="38">
        <v>0.4</v>
      </c>
      <c r="F90" s="21">
        <f t="shared" si="5"/>
        <v>255.60000000000002</v>
      </c>
      <c r="G90" s="21">
        <f>253.86+1.74</f>
        <v>255.60000000000002</v>
      </c>
      <c r="H90" s="21">
        <f t="shared" si="6"/>
        <v>0</v>
      </c>
      <c r="I90" s="30">
        <v>626838</v>
      </c>
      <c r="J90" s="27" t="s">
        <v>244</v>
      </c>
      <c r="K90" s="25" t="s">
        <v>73</v>
      </c>
      <c r="L90" s="30" t="s">
        <v>74</v>
      </c>
      <c r="M90" s="25"/>
      <c r="N90" s="115">
        <v>45580</v>
      </c>
      <c r="O90" s="127">
        <v>45601</v>
      </c>
    </row>
    <row r="91" spans="1:15" s="6" customFormat="1" x14ac:dyDescent="0.25">
      <c r="A91" s="18">
        <v>88</v>
      </c>
      <c r="B91" s="18">
        <v>2693</v>
      </c>
      <c r="C91" s="25" t="s">
        <v>245</v>
      </c>
      <c r="D91" s="37">
        <v>408.7</v>
      </c>
      <c r="E91" s="38">
        <v>0.4</v>
      </c>
      <c r="F91" s="21">
        <f t="shared" si="5"/>
        <v>163.48000000000002</v>
      </c>
      <c r="G91" s="21">
        <f>163.07+0.41</f>
        <v>163.47999999999999</v>
      </c>
      <c r="H91" s="21">
        <f t="shared" si="6"/>
        <v>0</v>
      </c>
      <c r="I91" s="30">
        <v>20233513</v>
      </c>
      <c r="J91" s="27" t="s">
        <v>246</v>
      </c>
      <c r="K91" s="25" t="s">
        <v>73</v>
      </c>
      <c r="L91" s="30" t="s">
        <v>74</v>
      </c>
      <c r="M91" s="25">
        <v>99669614</v>
      </c>
      <c r="N91" s="115">
        <v>45567</v>
      </c>
      <c r="O91" s="127" t="s">
        <v>247</v>
      </c>
    </row>
    <row r="92" spans="1:15" s="164" customFormat="1" x14ac:dyDescent="0.25">
      <c r="A92" s="155">
        <v>89</v>
      </c>
      <c r="B92" s="155">
        <v>2694</v>
      </c>
      <c r="C92" s="159" t="s">
        <v>248</v>
      </c>
      <c r="D92" s="171">
        <v>131.30000000000001</v>
      </c>
      <c r="E92" s="166">
        <v>0.4</v>
      </c>
      <c r="F92" s="158">
        <f t="shared" si="5"/>
        <v>52.52000000000001</v>
      </c>
      <c r="G92" s="158">
        <f>F92</f>
        <v>52.52000000000001</v>
      </c>
      <c r="H92" s="158">
        <f t="shared" si="6"/>
        <v>0</v>
      </c>
      <c r="I92" s="163">
        <v>18620904</v>
      </c>
      <c r="J92" s="160" t="s">
        <v>249</v>
      </c>
      <c r="K92" s="159" t="s">
        <v>80</v>
      </c>
      <c r="L92" s="163" t="s">
        <v>81</v>
      </c>
      <c r="M92" s="159">
        <v>98255331</v>
      </c>
      <c r="N92" s="167"/>
    </row>
    <row r="93" spans="1:15" s="6" customFormat="1" x14ac:dyDescent="0.25">
      <c r="A93" s="18">
        <v>90</v>
      </c>
      <c r="B93" s="18">
        <v>2697</v>
      </c>
      <c r="C93" s="25" t="s">
        <v>250</v>
      </c>
      <c r="D93" s="37">
        <v>410.8</v>
      </c>
      <c r="E93" s="38">
        <v>0.4</v>
      </c>
      <c r="F93" s="21">
        <f t="shared" si="5"/>
        <v>164.32000000000002</v>
      </c>
      <c r="G93" s="21">
        <f>162.37+1.95</f>
        <v>164.32</v>
      </c>
      <c r="H93" s="21">
        <f t="shared" si="6"/>
        <v>0</v>
      </c>
      <c r="I93" s="30">
        <v>24992357</v>
      </c>
      <c r="J93" s="27" t="s">
        <v>251</v>
      </c>
      <c r="K93" s="25" t="s">
        <v>73</v>
      </c>
      <c r="L93" s="30" t="s">
        <v>74</v>
      </c>
      <c r="M93" s="25">
        <v>96581299</v>
      </c>
      <c r="N93" s="115">
        <v>45567</v>
      </c>
      <c r="O93" s="116">
        <v>45601</v>
      </c>
    </row>
    <row r="94" spans="1:15" s="6" customFormat="1" x14ac:dyDescent="0.25">
      <c r="A94" s="18">
        <v>91</v>
      </c>
      <c r="B94" s="18">
        <v>2698</v>
      </c>
      <c r="C94" s="25" t="s">
        <v>63</v>
      </c>
      <c r="D94" s="37">
        <v>696.7</v>
      </c>
      <c r="E94" s="38">
        <v>0.4</v>
      </c>
      <c r="F94" s="21">
        <f t="shared" si="5"/>
        <v>278.68</v>
      </c>
      <c r="G94" s="21">
        <f>F94</f>
        <v>278.68</v>
      </c>
      <c r="H94" s="21">
        <f t="shared" si="6"/>
        <v>0</v>
      </c>
      <c r="I94" s="30">
        <v>21332246</v>
      </c>
      <c r="J94" s="27" t="s">
        <v>252</v>
      </c>
      <c r="K94" s="25" t="s">
        <v>73</v>
      </c>
      <c r="L94" s="30" t="s">
        <v>74</v>
      </c>
      <c r="M94" s="25">
        <v>98260073</v>
      </c>
      <c r="N94" s="115">
        <v>45630</v>
      </c>
    </row>
    <row r="95" spans="1:15" s="6" customFormat="1" x14ac:dyDescent="0.25">
      <c r="A95" s="18">
        <v>92</v>
      </c>
      <c r="B95" s="18">
        <v>2699</v>
      </c>
      <c r="C95" s="25" t="s">
        <v>253</v>
      </c>
      <c r="D95" s="37">
        <v>338.5</v>
      </c>
      <c r="E95" s="38">
        <v>0.4</v>
      </c>
      <c r="F95" s="21">
        <f t="shared" si="5"/>
        <v>135.4</v>
      </c>
      <c r="G95" s="21">
        <f>131.85+3.55</f>
        <v>135.4</v>
      </c>
      <c r="H95" s="21">
        <f t="shared" si="6"/>
        <v>0</v>
      </c>
      <c r="I95" s="30">
        <v>5031003</v>
      </c>
      <c r="J95" s="27">
        <v>1006555153017</v>
      </c>
      <c r="K95" s="25" t="s">
        <v>18</v>
      </c>
      <c r="L95" s="30" t="s">
        <v>19</v>
      </c>
      <c r="M95" s="25">
        <v>98129999</v>
      </c>
      <c r="N95" s="115">
        <v>45567</v>
      </c>
      <c r="O95" s="127">
        <v>45635</v>
      </c>
    </row>
    <row r="96" spans="1:15" s="6" customFormat="1" x14ac:dyDescent="0.25">
      <c r="A96" s="18">
        <v>93</v>
      </c>
      <c r="B96" s="18">
        <v>2700</v>
      </c>
      <c r="C96" s="25" t="s">
        <v>254</v>
      </c>
      <c r="D96" s="37">
        <v>476.7</v>
      </c>
      <c r="E96" s="38">
        <v>0.4</v>
      </c>
      <c r="F96" s="21">
        <f t="shared" si="5"/>
        <v>190.68</v>
      </c>
      <c r="G96" s="21">
        <f>190.53+0.15</f>
        <v>190.68</v>
      </c>
      <c r="H96" s="21">
        <f t="shared" si="6"/>
        <v>0</v>
      </c>
      <c r="I96" s="30">
        <v>2216024</v>
      </c>
      <c r="J96" s="27" t="s">
        <v>255</v>
      </c>
      <c r="K96" s="25" t="s">
        <v>73</v>
      </c>
      <c r="L96" s="30" t="s">
        <v>74</v>
      </c>
      <c r="M96" s="25">
        <v>99093696</v>
      </c>
      <c r="N96" s="115">
        <v>45580</v>
      </c>
      <c r="O96" s="127">
        <v>45629</v>
      </c>
    </row>
    <row r="97" spans="1:15" s="164" customFormat="1" x14ac:dyDescent="0.25">
      <c r="A97" s="155">
        <v>94</v>
      </c>
      <c r="B97" s="155">
        <v>2702</v>
      </c>
      <c r="C97" s="159" t="s">
        <v>256</v>
      </c>
      <c r="D97" s="171">
        <v>759.9</v>
      </c>
      <c r="E97" s="166">
        <v>0.4</v>
      </c>
      <c r="F97" s="158">
        <f t="shared" si="5"/>
        <v>303.95999999999998</v>
      </c>
      <c r="G97" s="158">
        <f>F97</f>
        <v>303.95999999999998</v>
      </c>
      <c r="H97" s="158">
        <f t="shared" si="6"/>
        <v>0</v>
      </c>
      <c r="I97" s="163">
        <v>2045458</v>
      </c>
      <c r="J97" s="160" t="s">
        <v>257</v>
      </c>
      <c r="K97" s="159" t="s">
        <v>80</v>
      </c>
      <c r="L97" s="163" t="s">
        <v>81</v>
      </c>
      <c r="M97" s="159">
        <v>99282287</v>
      </c>
      <c r="N97" s="167"/>
    </row>
    <row r="98" spans="1:15" s="6" customFormat="1" x14ac:dyDescent="0.25">
      <c r="A98" s="18">
        <v>95</v>
      </c>
      <c r="B98" s="18">
        <v>2703</v>
      </c>
      <c r="C98" s="25" t="s">
        <v>258</v>
      </c>
      <c r="D98" s="37">
        <v>230</v>
      </c>
      <c r="E98" s="38">
        <v>0.4</v>
      </c>
      <c r="F98" s="21">
        <f t="shared" si="5"/>
        <v>92</v>
      </c>
      <c r="G98" s="21">
        <f>91.14+0.86</f>
        <v>92</v>
      </c>
      <c r="H98" s="21">
        <f t="shared" si="6"/>
        <v>0</v>
      </c>
      <c r="I98" s="30">
        <v>652182</v>
      </c>
      <c r="J98" s="27" t="s">
        <v>259</v>
      </c>
      <c r="K98" s="25" t="s">
        <v>73</v>
      </c>
      <c r="L98" s="30" t="s">
        <v>74</v>
      </c>
      <c r="M98" s="25">
        <v>99982977</v>
      </c>
      <c r="N98" s="115">
        <v>45545</v>
      </c>
      <c r="O98" s="127">
        <v>45601</v>
      </c>
    </row>
    <row r="99" spans="1:15" s="72" customFormat="1" x14ac:dyDescent="0.25">
      <c r="A99" s="18">
        <v>96</v>
      </c>
      <c r="B99" s="18">
        <v>2706</v>
      </c>
      <c r="C99" s="25" t="s">
        <v>260</v>
      </c>
      <c r="D99" s="37">
        <v>450</v>
      </c>
      <c r="E99" s="38">
        <v>0.4</v>
      </c>
      <c r="F99" s="21">
        <f t="shared" si="5"/>
        <v>180</v>
      </c>
      <c r="G99" s="21">
        <f>175.79+4.21</f>
        <v>180</v>
      </c>
      <c r="H99" s="21">
        <f t="shared" si="6"/>
        <v>0</v>
      </c>
      <c r="I99" s="30">
        <v>23144392</v>
      </c>
      <c r="J99" s="27" t="s">
        <v>261</v>
      </c>
      <c r="K99" s="25" t="s">
        <v>18</v>
      </c>
      <c r="L99" s="30" t="s">
        <v>19</v>
      </c>
      <c r="M99" s="25">
        <v>97216689</v>
      </c>
      <c r="N99" s="115">
        <v>45582</v>
      </c>
    </row>
    <row r="100" spans="1:15" s="164" customFormat="1" x14ac:dyDescent="0.25">
      <c r="A100" s="155">
        <v>97</v>
      </c>
      <c r="B100" s="155">
        <v>2707</v>
      </c>
      <c r="C100" s="159" t="s">
        <v>262</v>
      </c>
      <c r="D100" s="171">
        <v>526.5</v>
      </c>
      <c r="E100" s="166">
        <v>0.4</v>
      </c>
      <c r="F100" s="158">
        <f t="shared" si="5"/>
        <v>210.60000000000002</v>
      </c>
      <c r="G100" s="158">
        <f>F100</f>
        <v>210.60000000000002</v>
      </c>
      <c r="H100" s="158">
        <f t="shared" si="6"/>
        <v>0</v>
      </c>
      <c r="I100" s="163">
        <v>7026153</v>
      </c>
      <c r="J100" s="160" t="s">
        <v>263</v>
      </c>
      <c r="K100" s="159" t="s">
        <v>94</v>
      </c>
      <c r="L100" s="163" t="s">
        <v>95</v>
      </c>
      <c r="M100" s="159">
        <v>95333133</v>
      </c>
      <c r="N100" s="167"/>
    </row>
    <row r="101" spans="1:15" s="164" customFormat="1" x14ac:dyDescent="0.25">
      <c r="A101" s="155">
        <v>98</v>
      </c>
      <c r="B101" s="155">
        <v>2708</v>
      </c>
      <c r="C101" s="159" t="s">
        <v>41</v>
      </c>
      <c r="D101" s="171"/>
      <c r="E101" s="166">
        <v>0.4</v>
      </c>
      <c r="F101" s="158">
        <f t="shared" si="5"/>
        <v>0</v>
      </c>
      <c r="G101" s="158">
        <f t="shared" ref="G101:G102" si="9">F101</f>
        <v>0</v>
      </c>
      <c r="H101" s="158">
        <f t="shared" si="6"/>
        <v>0</v>
      </c>
      <c r="I101" s="163">
        <v>426432</v>
      </c>
      <c r="J101" s="160" t="s">
        <v>264</v>
      </c>
      <c r="K101" s="159" t="s">
        <v>80</v>
      </c>
      <c r="L101" s="163" t="s">
        <v>81</v>
      </c>
      <c r="M101" s="159">
        <v>99092959</v>
      </c>
      <c r="N101" s="167"/>
    </row>
    <row r="102" spans="1:15" s="164" customFormat="1" x14ac:dyDescent="0.25">
      <c r="A102" s="155">
        <v>99</v>
      </c>
      <c r="B102" s="155">
        <v>2710</v>
      </c>
      <c r="C102" s="159" t="s">
        <v>265</v>
      </c>
      <c r="D102" s="171">
        <v>313.89999999999998</v>
      </c>
      <c r="E102" s="166">
        <v>0.4</v>
      </c>
      <c r="F102" s="158">
        <f t="shared" si="5"/>
        <v>125.56</v>
      </c>
      <c r="G102" s="158">
        <f t="shared" si="9"/>
        <v>125.56</v>
      </c>
      <c r="H102" s="158">
        <f t="shared" si="6"/>
        <v>0</v>
      </c>
      <c r="I102" s="163">
        <v>944469</v>
      </c>
      <c r="J102" s="160" t="s">
        <v>266</v>
      </c>
      <c r="K102" s="159" t="s">
        <v>73</v>
      </c>
      <c r="L102" s="163" t="s">
        <v>74</v>
      </c>
      <c r="M102" s="159"/>
      <c r="N102" s="167"/>
    </row>
    <row r="103" spans="1:15" s="6" customFormat="1" x14ac:dyDescent="0.25">
      <c r="A103" s="18">
        <v>100</v>
      </c>
      <c r="B103" s="18">
        <v>2711</v>
      </c>
      <c r="C103" s="25" t="s">
        <v>267</v>
      </c>
      <c r="D103" s="37">
        <v>400.6</v>
      </c>
      <c r="E103" s="38">
        <v>0.4</v>
      </c>
      <c r="F103" s="21">
        <f t="shared" si="5"/>
        <v>160.24</v>
      </c>
      <c r="G103" s="21">
        <f>157.37+2.87</f>
        <v>160.24</v>
      </c>
      <c r="H103" s="21">
        <f t="shared" si="6"/>
        <v>0</v>
      </c>
      <c r="I103" s="30">
        <v>5775933</v>
      </c>
      <c r="J103" s="27" t="s">
        <v>268</v>
      </c>
      <c r="K103" s="25" t="s">
        <v>80</v>
      </c>
      <c r="L103" s="30" t="s">
        <v>81</v>
      </c>
      <c r="M103" s="25"/>
      <c r="N103" s="115">
        <v>45587</v>
      </c>
      <c r="O103" s="127">
        <v>45621</v>
      </c>
    </row>
    <row r="104" spans="1:15" s="6" customFormat="1" x14ac:dyDescent="0.25">
      <c r="A104" s="96">
        <v>101</v>
      </c>
      <c r="B104" s="96">
        <v>2712</v>
      </c>
      <c r="C104" s="100" t="s">
        <v>64</v>
      </c>
      <c r="D104" s="124">
        <v>365.7</v>
      </c>
      <c r="E104" s="125">
        <v>0.4</v>
      </c>
      <c r="F104" s="99">
        <f t="shared" si="5"/>
        <v>146.28</v>
      </c>
      <c r="G104" s="99">
        <f>F104</f>
        <v>146.28</v>
      </c>
      <c r="H104" s="99">
        <f t="shared" si="6"/>
        <v>0</v>
      </c>
      <c r="I104" s="102">
        <v>2439264</v>
      </c>
      <c r="J104" s="101" t="s">
        <v>269</v>
      </c>
      <c r="K104" s="100" t="s">
        <v>18</v>
      </c>
      <c r="L104" s="102" t="s">
        <v>19</v>
      </c>
      <c r="M104" s="100">
        <v>91780732</v>
      </c>
      <c r="N104" s="126" t="s">
        <v>86</v>
      </c>
    </row>
    <row r="105" spans="1:15" s="164" customFormat="1" x14ac:dyDescent="0.25">
      <c r="A105" s="155">
        <v>102</v>
      </c>
      <c r="B105" s="155">
        <v>2714</v>
      </c>
      <c r="C105" s="159" t="s">
        <v>270</v>
      </c>
      <c r="D105" s="171">
        <v>342.6</v>
      </c>
      <c r="E105" s="166">
        <v>0.4</v>
      </c>
      <c r="F105" s="158">
        <f t="shared" si="5"/>
        <v>137.04000000000002</v>
      </c>
      <c r="G105" s="158">
        <f>F105</f>
        <v>137.04000000000002</v>
      </c>
      <c r="H105" s="158">
        <f t="shared" si="6"/>
        <v>0</v>
      </c>
      <c r="I105" s="163">
        <v>18813939</v>
      </c>
      <c r="J105" s="160" t="s">
        <v>271</v>
      </c>
      <c r="K105" s="159" t="s">
        <v>73</v>
      </c>
      <c r="L105" s="163" t="s">
        <v>74</v>
      </c>
      <c r="M105" s="159">
        <v>92903559</v>
      </c>
      <c r="N105" s="167"/>
    </row>
    <row r="106" spans="1:15" s="164" customFormat="1" x14ac:dyDescent="0.25">
      <c r="A106" s="155">
        <v>103</v>
      </c>
      <c r="B106" s="155">
        <v>2715</v>
      </c>
      <c r="C106" s="159" t="s">
        <v>272</v>
      </c>
      <c r="D106" s="171">
        <v>323.2</v>
      </c>
      <c r="E106" s="166">
        <v>0.4</v>
      </c>
      <c r="F106" s="158">
        <f t="shared" si="5"/>
        <v>129.28</v>
      </c>
      <c r="G106" s="158">
        <f t="shared" ref="G106:G109" si="10">F106</f>
        <v>129.28</v>
      </c>
      <c r="H106" s="158">
        <f t="shared" si="6"/>
        <v>0</v>
      </c>
      <c r="I106" s="163">
        <v>5571701</v>
      </c>
      <c r="J106" s="160" t="s">
        <v>273</v>
      </c>
      <c r="K106" s="159" t="s">
        <v>73</v>
      </c>
      <c r="L106" s="163" t="s">
        <v>74</v>
      </c>
      <c r="M106" s="159">
        <v>99773624</v>
      </c>
      <c r="N106" s="167"/>
    </row>
    <row r="107" spans="1:15" s="164" customFormat="1" x14ac:dyDescent="0.25">
      <c r="A107" s="155">
        <v>104</v>
      </c>
      <c r="B107" s="155">
        <v>2716</v>
      </c>
      <c r="C107" s="159" t="s">
        <v>274</v>
      </c>
      <c r="D107" s="171">
        <v>339.8</v>
      </c>
      <c r="E107" s="166">
        <v>0.4</v>
      </c>
      <c r="F107" s="158">
        <f t="shared" si="5"/>
        <v>135.92000000000002</v>
      </c>
      <c r="G107" s="158">
        <f t="shared" si="10"/>
        <v>135.92000000000002</v>
      </c>
      <c r="H107" s="158">
        <f t="shared" si="6"/>
        <v>0</v>
      </c>
      <c r="I107" s="163">
        <v>1398299</v>
      </c>
      <c r="J107" s="160" t="s">
        <v>275</v>
      </c>
      <c r="K107" s="159" t="s">
        <v>276</v>
      </c>
      <c r="L107" s="163" t="s">
        <v>81</v>
      </c>
      <c r="M107" s="159">
        <v>99294734</v>
      </c>
      <c r="N107" s="167"/>
    </row>
    <row r="108" spans="1:15" s="164" customFormat="1" x14ac:dyDescent="0.25">
      <c r="A108" s="155">
        <v>105</v>
      </c>
      <c r="B108" s="155">
        <v>2717</v>
      </c>
      <c r="C108" s="159" t="s">
        <v>277</v>
      </c>
      <c r="D108" s="171">
        <v>323.2</v>
      </c>
      <c r="E108" s="166">
        <v>0.4</v>
      </c>
      <c r="F108" s="158">
        <f t="shared" si="5"/>
        <v>129.28</v>
      </c>
      <c r="G108" s="158">
        <f t="shared" si="10"/>
        <v>129.28</v>
      </c>
      <c r="H108" s="158">
        <f t="shared" si="6"/>
        <v>0</v>
      </c>
      <c r="I108" s="163">
        <v>5968087</v>
      </c>
      <c r="J108" s="160" t="s">
        <v>278</v>
      </c>
      <c r="K108" s="159" t="s">
        <v>73</v>
      </c>
      <c r="L108" s="163" t="s">
        <v>74</v>
      </c>
      <c r="M108" s="159">
        <v>91116250</v>
      </c>
      <c r="N108" s="167"/>
    </row>
    <row r="109" spans="1:15" s="164" customFormat="1" x14ac:dyDescent="0.25">
      <c r="A109" s="155">
        <v>106</v>
      </c>
      <c r="B109" s="155">
        <v>2718</v>
      </c>
      <c r="C109" s="159" t="s">
        <v>279</v>
      </c>
      <c r="D109" s="171">
        <v>327.5</v>
      </c>
      <c r="E109" s="166">
        <v>0.4</v>
      </c>
      <c r="F109" s="158">
        <f t="shared" si="5"/>
        <v>131</v>
      </c>
      <c r="G109" s="158">
        <f t="shared" si="10"/>
        <v>131</v>
      </c>
      <c r="H109" s="158">
        <f t="shared" si="6"/>
        <v>0</v>
      </c>
      <c r="I109" s="163">
        <v>5571729</v>
      </c>
      <c r="J109" s="160" t="s">
        <v>280</v>
      </c>
      <c r="K109" s="159" t="s">
        <v>73</v>
      </c>
      <c r="L109" s="163" t="s">
        <v>74</v>
      </c>
      <c r="M109" s="159">
        <v>99643459</v>
      </c>
      <c r="N109" s="167"/>
    </row>
    <row r="110" spans="1:15" s="6" customFormat="1" x14ac:dyDescent="0.25">
      <c r="A110" s="18">
        <v>107</v>
      </c>
      <c r="B110" s="80">
        <v>2719</v>
      </c>
      <c r="C110" s="25" t="s">
        <v>281</v>
      </c>
      <c r="D110" s="37">
        <v>619.5</v>
      </c>
      <c r="E110" s="38">
        <v>0.4</v>
      </c>
      <c r="F110" s="21">
        <f t="shared" si="5"/>
        <v>247.8</v>
      </c>
      <c r="G110" s="21">
        <f>243.61+4.19</f>
        <v>247.8</v>
      </c>
      <c r="H110" s="21">
        <f t="shared" si="6"/>
        <v>0</v>
      </c>
      <c r="I110" s="30">
        <v>925058</v>
      </c>
      <c r="J110" s="27" t="s">
        <v>282</v>
      </c>
      <c r="K110" s="25" t="s">
        <v>283</v>
      </c>
      <c r="L110" s="30" t="s">
        <v>81</v>
      </c>
      <c r="M110" s="25">
        <v>92656157</v>
      </c>
      <c r="N110" s="115">
        <v>45587</v>
      </c>
      <c r="O110" s="127">
        <v>45635</v>
      </c>
    </row>
    <row r="111" spans="1:15" s="6" customFormat="1" x14ac:dyDescent="0.25">
      <c r="A111" s="18">
        <v>108</v>
      </c>
      <c r="B111" s="80">
        <v>2721</v>
      </c>
      <c r="C111" s="25" t="s">
        <v>284</v>
      </c>
      <c r="D111" s="18">
        <v>649</v>
      </c>
      <c r="E111" s="38">
        <v>0.4</v>
      </c>
      <c r="F111" s="21">
        <f t="shared" si="5"/>
        <v>259.60000000000002</v>
      </c>
      <c r="G111" s="21">
        <f>258.18+1.42</f>
        <v>259.60000000000002</v>
      </c>
      <c r="H111" s="21">
        <f t="shared" si="6"/>
        <v>0</v>
      </c>
      <c r="I111" s="30">
        <v>7673741</v>
      </c>
      <c r="J111" s="27" t="s">
        <v>285</v>
      </c>
      <c r="K111" s="25" t="s">
        <v>18</v>
      </c>
      <c r="L111" s="30" t="s">
        <v>19</v>
      </c>
      <c r="M111" s="25"/>
      <c r="N111" s="115">
        <v>45567</v>
      </c>
      <c r="O111" s="127">
        <v>45607</v>
      </c>
    </row>
    <row r="112" spans="1:15" s="6" customFormat="1" x14ac:dyDescent="0.25">
      <c r="A112" s="18">
        <v>109</v>
      </c>
      <c r="B112" s="80">
        <v>2722</v>
      </c>
      <c r="C112" s="19" t="s">
        <v>66</v>
      </c>
      <c r="D112" s="18">
        <v>415.2</v>
      </c>
      <c r="E112" s="38">
        <v>0.4</v>
      </c>
      <c r="F112" s="21">
        <f t="shared" si="5"/>
        <v>166.08</v>
      </c>
      <c r="G112" s="21">
        <f>F112</f>
        <v>166.08</v>
      </c>
      <c r="H112" s="21">
        <f t="shared" si="6"/>
        <v>0</v>
      </c>
      <c r="I112" s="30">
        <v>675043</v>
      </c>
      <c r="J112" s="27" t="s">
        <v>286</v>
      </c>
      <c r="K112" s="25" t="s">
        <v>80</v>
      </c>
      <c r="L112" s="30" t="s">
        <v>81</v>
      </c>
      <c r="M112" s="25"/>
      <c r="N112" s="115">
        <v>45602</v>
      </c>
    </row>
    <row r="113" spans="1:15" s="164" customFormat="1" x14ac:dyDescent="0.25">
      <c r="A113" s="155">
        <v>110</v>
      </c>
      <c r="B113" s="172">
        <v>2724</v>
      </c>
      <c r="C113" s="173" t="s">
        <v>287</v>
      </c>
      <c r="D113" s="155">
        <v>756.1</v>
      </c>
      <c r="E113" s="166">
        <v>0.4</v>
      </c>
      <c r="F113" s="158">
        <f t="shared" si="5"/>
        <v>302.44</v>
      </c>
      <c r="G113" s="158">
        <f>F113</f>
        <v>302.44</v>
      </c>
      <c r="H113" s="158">
        <f t="shared" si="6"/>
        <v>0</v>
      </c>
      <c r="I113" s="163">
        <v>272921</v>
      </c>
      <c r="J113" s="160" t="s">
        <v>288</v>
      </c>
      <c r="K113" s="159" t="s">
        <v>73</v>
      </c>
      <c r="L113" s="163" t="s">
        <v>74</v>
      </c>
      <c r="M113" s="159"/>
      <c r="N113" s="167"/>
    </row>
    <row r="114" spans="1:15" s="72" customFormat="1" x14ac:dyDescent="0.25">
      <c r="A114" s="18">
        <v>111</v>
      </c>
      <c r="B114" s="80">
        <v>2725</v>
      </c>
      <c r="C114" s="84" t="s">
        <v>289</v>
      </c>
      <c r="D114" s="18">
        <v>755</v>
      </c>
      <c r="E114" s="38">
        <v>0.4</v>
      </c>
      <c r="F114" s="21">
        <f t="shared" si="5"/>
        <v>302</v>
      </c>
      <c r="G114" s="21">
        <f>140.11+160.05+1.84</f>
        <v>302</v>
      </c>
      <c r="H114" s="21">
        <f t="shared" si="6"/>
        <v>0</v>
      </c>
      <c r="I114" s="30">
        <v>21910195</v>
      </c>
      <c r="J114" s="27" t="s">
        <v>290</v>
      </c>
      <c r="K114" s="25" t="s">
        <v>73</v>
      </c>
      <c r="L114" s="30" t="s">
        <v>74</v>
      </c>
      <c r="M114" s="25"/>
      <c r="N114" s="115" t="s">
        <v>291</v>
      </c>
      <c r="O114" s="72" t="s">
        <v>292</v>
      </c>
    </row>
    <row r="115" spans="1:15" s="164" customFormat="1" x14ac:dyDescent="0.25">
      <c r="A115" s="155">
        <v>112</v>
      </c>
      <c r="B115" s="172">
        <v>2726</v>
      </c>
      <c r="C115" s="173" t="s">
        <v>293</v>
      </c>
      <c r="D115" s="155">
        <v>364</v>
      </c>
      <c r="E115" s="166">
        <v>0.4</v>
      </c>
      <c r="F115" s="158">
        <f t="shared" si="5"/>
        <v>145.6</v>
      </c>
      <c r="G115" s="158">
        <f>F115</f>
        <v>145.6</v>
      </c>
      <c r="H115" s="158">
        <f t="shared" si="6"/>
        <v>0</v>
      </c>
      <c r="I115" s="163">
        <v>5932095</v>
      </c>
      <c r="J115" s="160">
        <v>401003983190032</v>
      </c>
      <c r="K115" s="159" t="s">
        <v>73</v>
      </c>
      <c r="L115" s="163" t="s">
        <v>74</v>
      </c>
      <c r="M115" s="159"/>
      <c r="N115" s="167"/>
    </row>
    <row r="116" spans="1:15" s="164" customFormat="1" x14ac:dyDescent="0.25">
      <c r="A116" s="155">
        <v>113</v>
      </c>
      <c r="B116" s="172">
        <v>2727</v>
      </c>
      <c r="C116" s="173" t="s">
        <v>294</v>
      </c>
      <c r="D116" s="155">
        <v>218.9</v>
      </c>
      <c r="E116" s="166">
        <v>0.4</v>
      </c>
      <c r="F116" s="158">
        <f t="shared" si="5"/>
        <v>87.56</v>
      </c>
      <c r="G116" s="158">
        <f t="shared" ref="G116:G118" si="11">F116</f>
        <v>87.56</v>
      </c>
      <c r="H116" s="158">
        <f t="shared" si="6"/>
        <v>0</v>
      </c>
      <c r="I116" s="163">
        <v>14874655</v>
      </c>
      <c r="J116" s="160">
        <v>250020006381</v>
      </c>
      <c r="K116" s="159" t="s">
        <v>94</v>
      </c>
      <c r="L116" s="163" t="s">
        <v>95</v>
      </c>
      <c r="M116" s="159">
        <v>99580134</v>
      </c>
      <c r="N116" s="167"/>
    </row>
    <row r="117" spans="1:15" s="164" customFormat="1" x14ac:dyDescent="0.25">
      <c r="A117" s="155">
        <v>114</v>
      </c>
      <c r="B117" s="172">
        <v>2728</v>
      </c>
      <c r="C117" s="174" t="s">
        <v>295</v>
      </c>
      <c r="D117" s="155">
        <v>373.2</v>
      </c>
      <c r="E117" s="166">
        <v>0.4</v>
      </c>
      <c r="F117" s="158">
        <f t="shared" si="5"/>
        <v>149.28</v>
      </c>
      <c r="G117" s="158">
        <f t="shared" si="11"/>
        <v>149.28</v>
      </c>
      <c r="H117" s="158">
        <f t="shared" si="6"/>
        <v>0</v>
      </c>
      <c r="I117" s="163">
        <v>6300163</v>
      </c>
      <c r="J117" s="160" t="s">
        <v>296</v>
      </c>
      <c r="K117" s="159" t="s">
        <v>73</v>
      </c>
      <c r="L117" s="163" t="s">
        <v>74</v>
      </c>
      <c r="M117" s="159"/>
      <c r="N117" s="167"/>
    </row>
    <row r="118" spans="1:15" s="164" customFormat="1" x14ac:dyDescent="0.25">
      <c r="A118" s="155">
        <v>115</v>
      </c>
      <c r="B118" s="172">
        <v>2729</v>
      </c>
      <c r="C118" s="174" t="s">
        <v>297</v>
      </c>
      <c r="D118" s="155">
        <v>312.7</v>
      </c>
      <c r="E118" s="166">
        <v>0.4</v>
      </c>
      <c r="F118" s="158">
        <f t="shared" si="5"/>
        <v>125.08</v>
      </c>
      <c r="G118" s="158">
        <f t="shared" si="11"/>
        <v>125.08</v>
      </c>
      <c r="H118" s="158">
        <f t="shared" si="6"/>
        <v>0</v>
      </c>
      <c r="I118" s="163">
        <v>21145036</v>
      </c>
      <c r="J118" s="160" t="s">
        <v>298</v>
      </c>
      <c r="K118" s="159" t="s">
        <v>73</v>
      </c>
      <c r="L118" s="163" t="s">
        <v>74</v>
      </c>
      <c r="M118" s="159"/>
      <c r="N118" s="167"/>
    </row>
    <row r="119" spans="1:15" s="6" customFormat="1" x14ac:dyDescent="0.25">
      <c r="A119" s="18">
        <v>116</v>
      </c>
      <c r="B119" s="80">
        <v>2730</v>
      </c>
      <c r="C119" s="84" t="s">
        <v>67</v>
      </c>
      <c r="D119" s="18">
        <v>476.6</v>
      </c>
      <c r="E119" s="38">
        <v>0.4</v>
      </c>
      <c r="F119" s="21">
        <f t="shared" si="5"/>
        <v>190.64000000000001</v>
      </c>
      <c r="G119" s="21">
        <f>187.93+2.71</f>
        <v>190.64000000000001</v>
      </c>
      <c r="H119" s="21">
        <f t="shared" si="6"/>
        <v>0</v>
      </c>
      <c r="I119" s="30">
        <v>5138892</v>
      </c>
      <c r="J119" s="27" t="s">
        <v>299</v>
      </c>
      <c r="K119" s="25" t="s">
        <v>73</v>
      </c>
      <c r="L119" s="30" t="s">
        <v>74</v>
      </c>
      <c r="M119" s="25"/>
      <c r="N119" s="115">
        <v>45602</v>
      </c>
      <c r="O119" s="127">
        <v>45621</v>
      </c>
    </row>
    <row r="120" spans="1:15" s="6" customFormat="1" x14ac:dyDescent="0.25">
      <c r="A120" s="18">
        <v>117</v>
      </c>
      <c r="B120" s="80">
        <v>2731</v>
      </c>
      <c r="C120" s="25" t="s">
        <v>300</v>
      </c>
      <c r="D120" s="18">
        <v>292.2</v>
      </c>
      <c r="E120" s="38">
        <v>0.4</v>
      </c>
      <c r="F120" s="21">
        <f t="shared" si="5"/>
        <v>116.88</v>
      </c>
      <c r="G120" s="21">
        <f>113.06+3.82</f>
        <v>116.88</v>
      </c>
      <c r="H120" s="21">
        <f t="shared" si="6"/>
        <v>0</v>
      </c>
      <c r="I120" s="30">
        <v>3912773</v>
      </c>
      <c r="J120" s="27" t="s">
        <v>301</v>
      </c>
      <c r="K120" s="25" t="s">
        <v>73</v>
      </c>
      <c r="L120" s="30" t="s">
        <v>74</v>
      </c>
      <c r="M120" s="25"/>
      <c r="N120" s="115">
        <v>45567</v>
      </c>
      <c r="O120" s="127">
        <v>45630</v>
      </c>
    </row>
    <row r="121" spans="1:15" s="6" customFormat="1" x14ac:dyDescent="0.25">
      <c r="A121" s="18">
        <v>118</v>
      </c>
      <c r="B121" s="80">
        <v>2732</v>
      </c>
      <c r="C121" s="19" t="s">
        <v>302</v>
      </c>
      <c r="D121" s="18">
        <v>756</v>
      </c>
      <c r="E121" s="38">
        <v>0.4</v>
      </c>
      <c r="F121" s="21">
        <f t="shared" si="5"/>
        <v>302.40000000000003</v>
      </c>
      <c r="G121" s="21">
        <f>300.18+2.22</f>
        <v>302.40000000000003</v>
      </c>
      <c r="H121" s="21">
        <f t="shared" si="6"/>
        <v>0</v>
      </c>
      <c r="I121" s="30">
        <v>846753</v>
      </c>
      <c r="J121" s="27" t="s">
        <v>303</v>
      </c>
      <c r="K121" s="25" t="s">
        <v>73</v>
      </c>
      <c r="L121" s="30" t="s">
        <v>74</v>
      </c>
      <c r="M121" s="25"/>
      <c r="N121" s="115">
        <v>45578</v>
      </c>
      <c r="O121" s="127">
        <v>45627</v>
      </c>
    </row>
    <row r="122" spans="1:15" s="164" customFormat="1" x14ac:dyDescent="0.25">
      <c r="A122" s="155">
        <v>119</v>
      </c>
      <c r="B122" s="155">
        <v>2733</v>
      </c>
      <c r="C122" s="159" t="s">
        <v>304</v>
      </c>
      <c r="D122" s="155">
        <v>814</v>
      </c>
      <c r="E122" s="166">
        <v>0.4</v>
      </c>
      <c r="F122" s="158">
        <f t="shared" si="5"/>
        <v>325.60000000000002</v>
      </c>
      <c r="G122" s="158">
        <f>F122</f>
        <v>325.60000000000002</v>
      </c>
      <c r="H122" s="158">
        <f t="shared" si="6"/>
        <v>0</v>
      </c>
      <c r="I122" s="163">
        <v>20444019</v>
      </c>
      <c r="J122" s="160" t="s">
        <v>305</v>
      </c>
      <c r="K122" s="159" t="s">
        <v>73</v>
      </c>
      <c r="L122" s="163" t="s">
        <v>74</v>
      </c>
      <c r="M122" s="159"/>
      <c r="N122" s="167"/>
    </row>
    <row r="123" spans="1:15" s="72" customFormat="1" x14ac:dyDescent="0.25">
      <c r="A123" s="18">
        <v>120</v>
      </c>
      <c r="B123" s="18">
        <v>2734</v>
      </c>
      <c r="C123" s="25" t="s">
        <v>306</v>
      </c>
      <c r="D123" s="18">
        <v>368.7</v>
      </c>
      <c r="E123" s="38">
        <v>0.4</v>
      </c>
      <c r="F123" s="21">
        <f t="shared" si="5"/>
        <v>147.47999999999999</v>
      </c>
      <c r="G123" s="21">
        <f>144.49+2.99</f>
        <v>147.48000000000002</v>
      </c>
      <c r="H123" s="21">
        <f t="shared" si="6"/>
        <v>0</v>
      </c>
      <c r="I123" s="30">
        <v>24187516</v>
      </c>
      <c r="J123" s="27" t="s">
        <v>307</v>
      </c>
      <c r="K123" s="25" t="s">
        <v>90</v>
      </c>
      <c r="L123" s="30" t="s">
        <v>91</v>
      </c>
      <c r="M123" s="25"/>
      <c r="N123" s="115">
        <v>45582</v>
      </c>
      <c r="O123" s="142">
        <v>45609</v>
      </c>
    </row>
    <row r="124" spans="1:15" s="164" customFormat="1" x14ac:dyDescent="0.25">
      <c r="A124" s="155">
        <v>121</v>
      </c>
      <c r="B124" s="155">
        <v>2736</v>
      </c>
      <c r="C124" s="159" t="s">
        <v>308</v>
      </c>
      <c r="D124" s="155">
        <v>332.3</v>
      </c>
      <c r="E124" s="166">
        <v>0.4</v>
      </c>
      <c r="F124" s="158">
        <f t="shared" si="5"/>
        <v>132.92000000000002</v>
      </c>
      <c r="G124" s="158">
        <f>F124</f>
        <v>132.92000000000002</v>
      </c>
      <c r="H124" s="158">
        <f t="shared" si="6"/>
        <v>0</v>
      </c>
      <c r="I124" s="163">
        <v>4629429</v>
      </c>
      <c r="J124" s="160" t="s">
        <v>309</v>
      </c>
      <c r="K124" s="159" t="s">
        <v>73</v>
      </c>
      <c r="L124" s="163" t="s">
        <v>74</v>
      </c>
      <c r="M124" s="159"/>
      <c r="N124" s="167"/>
    </row>
    <row r="125" spans="1:15" s="6" customFormat="1" x14ac:dyDescent="0.25">
      <c r="A125" s="18">
        <v>122</v>
      </c>
      <c r="B125" s="18">
        <v>2737</v>
      </c>
      <c r="C125" s="25" t="s">
        <v>310</v>
      </c>
      <c r="D125" s="18">
        <v>452.9</v>
      </c>
      <c r="E125" s="38">
        <v>0.4</v>
      </c>
      <c r="F125" s="21">
        <f t="shared" si="5"/>
        <v>181.16</v>
      </c>
      <c r="G125" s="21">
        <f>F125</f>
        <v>181.16</v>
      </c>
      <c r="H125" s="21">
        <f t="shared" si="6"/>
        <v>0</v>
      </c>
      <c r="I125" s="30">
        <v>734135</v>
      </c>
      <c r="J125" s="27" t="s">
        <v>311</v>
      </c>
      <c r="K125" s="25" t="s">
        <v>80</v>
      </c>
      <c r="L125" s="30" t="s">
        <v>81</v>
      </c>
      <c r="M125" s="25"/>
      <c r="N125" s="115">
        <v>45641</v>
      </c>
    </row>
    <row r="126" spans="1:15" s="164" customFormat="1" x14ac:dyDescent="0.25">
      <c r="A126" s="155">
        <v>123</v>
      </c>
      <c r="B126" s="155">
        <v>2738</v>
      </c>
      <c r="C126" s="159" t="s">
        <v>312</v>
      </c>
      <c r="D126" s="155">
        <v>383.4</v>
      </c>
      <c r="E126" s="166">
        <v>0.4</v>
      </c>
      <c r="F126" s="158">
        <f t="shared" si="5"/>
        <v>153.35999999999999</v>
      </c>
      <c r="G126" s="158">
        <f>F126</f>
        <v>153.35999999999999</v>
      </c>
      <c r="H126" s="158">
        <f t="shared" si="6"/>
        <v>0</v>
      </c>
      <c r="I126" s="163">
        <v>1298606</v>
      </c>
      <c r="J126" s="160" t="s">
        <v>313</v>
      </c>
      <c r="K126" s="159" t="s">
        <v>73</v>
      </c>
      <c r="L126" s="163" t="s">
        <v>74</v>
      </c>
      <c r="M126" s="159"/>
      <c r="N126" s="167"/>
    </row>
    <row r="127" spans="1:15" s="6" customFormat="1" ht="14.25" thickBot="1" x14ac:dyDescent="0.3">
      <c r="A127" s="103">
        <v>124</v>
      </c>
      <c r="B127" s="134">
        <v>2740</v>
      </c>
      <c r="C127" s="135" t="s">
        <v>314</v>
      </c>
      <c r="D127" s="134">
        <v>689</v>
      </c>
      <c r="E127" s="136">
        <v>0.4</v>
      </c>
      <c r="F127" s="137">
        <f t="shared" si="5"/>
        <v>275.60000000000002</v>
      </c>
      <c r="G127" s="137">
        <f>F127</f>
        <v>275.60000000000002</v>
      </c>
      <c r="H127" s="106">
        <f t="shared" si="6"/>
        <v>0</v>
      </c>
      <c r="I127" s="138">
        <v>18315397</v>
      </c>
      <c r="J127" s="139" t="s">
        <v>315</v>
      </c>
      <c r="K127" s="135" t="s">
        <v>73</v>
      </c>
      <c r="L127" s="138" t="s">
        <v>74</v>
      </c>
      <c r="M127" s="135">
        <v>94346448</v>
      </c>
      <c r="N127" s="113"/>
    </row>
    <row r="128" spans="1:15" s="6" customFormat="1" ht="14.25" thickBot="1" x14ac:dyDescent="0.3">
      <c r="A128" s="41"/>
      <c r="B128" s="42"/>
      <c r="C128" s="43"/>
      <c r="D128" s="44">
        <f>SUM(D4:D127)</f>
        <v>54737.799999999967</v>
      </c>
      <c r="E128" s="45"/>
      <c r="F128" s="46">
        <f>SUM(F4:F127)</f>
        <v>21895.119999999992</v>
      </c>
      <c r="G128" s="46">
        <f t="shared" ref="G128:H128" si="12">SUM(G4:G127)</f>
        <v>21895.28999999999</v>
      </c>
      <c r="H128" s="46">
        <f t="shared" si="12"/>
        <v>1.251776460264864E-14</v>
      </c>
      <c r="I128" s="45"/>
      <c r="J128" s="48"/>
      <c r="K128" s="45"/>
      <c r="L128" s="45"/>
      <c r="M128" s="45"/>
      <c r="N128" s="49"/>
    </row>
    <row r="129" spans="1:14" s="6" customFormat="1" x14ac:dyDescent="0.25">
      <c r="A129" s="50"/>
      <c r="B129" s="51"/>
      <c r="C129" s="50"/>
      <c r="D129" s="52"/>
      <c r="E129" s="53"/>
      <c r="F129" s="52"/>
      <c r="G129" s="52"/>
      <c r="H129" s="52"/>
      <c r="I129" s="54"/>
      <c r="J129" s="55"/>
      <c r="K129" s="54"/>
      <c r="L129" s="54"/>
      <c r="M129" s="54"/>
      <c r="N129" s="56"/>
    </row>
    <row r="130" spans="1:14" s="6" customFormat="1" x14ac:dyDescent="0.25">
      <c r="A130" s="28"/>
      <c r="B130" s="57"/>
      <c r="D130" s="58"/>
      <c r="E130" s="58"/>
      <c r="F130" s="58"/>
      <c r="G130" s="58"/>
      <c r="H130" s="58"/>
      <c r="I130" s="59"/>
      <c r="J130" s="60"/>
      <c r="K130" s="59"/>
    </row>
    <row r="131" spans="1:14" x14ac:dyDescent="0.25">
      <c r="A131" s="28" t="s">
        <v>23</v>
      </c>
      <c r="E131" s="61" t="s">
        <v>43</v>
      </c>
      <c r="F131" s="306"/>
      <c r="G131" s="306"/>
      <c r="H131" s="306"/>
      <c r="I131" s="306"/>
      <c r="K131" s="307"/>
      <c r="L131" s="307"/>
      <c r="N131" s="65"/>
    </row>
    <row r="132" spans="1:14" s="64" customFormat="1" x14ac:dyDescent="0.25">
      <c r="A132" s="28" t="s">
        <v>26</v>
      </c>
      <c r="B132" s="61"/>
      <c r="D132" s="61"/>
      <c r="E132" s="61" t="s">
        <v>44</v>
      </c>
      <c r="F132" s="306"/>
      <c r="G132" s="306"/>
      <c r="H132" s="306"/>
      <c r="I132" s="306"/>
      <c r="J132" s="63"/>
      <c r="K132" s="307"/>
      <c r="L132" s="307"/>
      <c r="N132" s="28"/>
    </row>
    <row r="133" spans="1:14" s="64" customFormat="1" x14ac:dyDescent="0.25">
      <c r="A133" s="28"/>
      <c r="B133" s="61"/>
      <c r="D133" s="61"/>
      <c r="E133" s="28"/>
      <c r="F133" s="62"/>
      <c r="G133" s="62"/>
      <c r="H133" s="62"/>
      <c r="J133" s="63"/>
      <c r="N133" s="28"/>
    </row>
    <row r="134" spans="1:14" s="64" customFormat="1" x14ac:dyDescent="0.25">
      <c r="A134" s="28"/>
      <c r="B134" s="61"/>
      <c r="C134" s="28"/>
      <c r="D134" s="61"/>
      <c r="E134" s="61"/>
      <c r="F134" s="62"/>
      <c r="G134" s="62"/>
      <c r="H134" s="62"/>
      <c r="J134" s="63"/>
      <c r="N134" s="28"/>
    </row>
    <row r="135" spans="1:14" s="64" customFormat="1" x14ac:dyDescent="0.25">
      <c r="A135" s="28"/>
      <c r="B135" s="61"/>
      <c r="C135" s="28"/>
      <c r="D135" s="61"/>
      <c r="E135" s="61"/>
      <c r="F135" s="62"/>
      <c r="G135" s="62"/>
      <c r="H135" s="62"/>
      <c r="J135" s="63"/>
      <c r="N135" s="28"/>
    </row>
    <row r="136" spans="1:14" s="64" customFormat="1" x14ac:dyDescent="0.25">
      <c r="A136" s="28"/>
      <c r="B136" s="61"/>
      <c r="C136" s="28"/>
      <c r="D136" s="68"/>
      <c r="E136" s="61"/>
      <c r="F136" s="68"/>
      <c r="G136" s="68"/>
      <c r="H136" s="68"/>
      <c r="J136" s="63"/>
      <c r="N136" s="28"/>
    </row>
    <row r="137" spans="1:14" s="64" customFormat="1" x14ac:dyDescent="0.25">
      <c r="A137" s="28"/>
      <c r="B137" s="61"/>
      <c r="C137" s="28"/>
      <c r="D137" s="61"/>
      <c r="E137" s="61"/>
      <c r="F137" s="62"/>
      <c r="G137" s="62"/>
      <c r="H137" s="62"/>
      <c r="J137" s="63"/>
      <c r="N137" s="28"/>
    </row>
    <row r="138" spans="1:14" s="64" customFormat="1" x14ac:dyDescent="0.25">
      <c r="A138" s="28"/>
      <c r="B138" s="61"/>
      <c r="C138" s="28"/>
      <c r="D138" s="61"/>
      <c r="E138" s="61"/>
      <c r="F138" s="62"/>
      <c r="G138" s="62"/>
      <c r="H138" s="62"/>
      <c r="J138" s="63"/>
      <c r="N138" s="28"/>
    </row>
    <row r="139" spans="1:14" s="64" customFormat="1" x14ac:dyDescent="0.25">
      <c r="A139" s="28"/>
      <c r="B139" s="61"/>
      <c r="C139" s="28"/>
      <c r="D139" s="61"/>
      <c r="E139" s="61"/>
      <c r="F139" s="62"/>
      <c r="G139" s="62"/>
      <c r="H139" s="62"/>
      <c r="J139" s="63"/>
      <c r="N139" s="28"/>
    </row>
    <row r="140" spans="1:14" s="64" customFormat="1" x14ac:dyDescent="0.25">
      <c r="A140" s="28"/>
      <c r="B140" s="61"/>
      <c r="C140" s="28"/>
      <c r="D140" s="61"/>
      <c r="E140" s="61"/>
      <c r="F140" s="62"/>
      <c r="G140" s="62"/>
      <c r="H140" s="62"/>
      <c r="J140" s="63"/>
      <c r="N140" s="28"/>
    </row>
    <row r="141" spans="1:14" s="64" customFormat="1" x14ac:dyDescent="0.25">
      <c r="A141" s="28"/>
      <c r="B141" s="61"/>
      <c r="C141" s="28"/>
      <c r="D141" s="61"/>
      <c r="E141" s="61"/>
      <c r="F141" s="62"/>
      <c r="G141" s="62"/>
      <c r="H141" s="62"/>
      <c r="J141" s="63"/>
      <c r="N141" s="28"/>
    </row>
    <row r="142" spans="1:14" s="64" customFormat="1" x14ac:dyDescent="0.25">
      <c r="A142" s="28"/>
      <c r="B142" s="61"/>
      <c r="C142" s="28"/>
      <c r="D142" s="61"/>
      <c r="E142" s="61"/>
      <c r="F142" s="62"/>
      <c r="G142" s="62"/>
      <c r="H142" s="62"/>
      <c r="J142" s="63"/>
      <c r="N142" s="28"/>
    </row>
    <row r="143" spans="1:14" s="64" customFormat="1" x14ac:dyDescent="0.25">
      <c r="A143" s="28"/>
      <c r="B143" s="61"/>
      <c r="C143" s="28"/>
      <c r="D143" s="61"/>
      <c r="E143" s="61"/>
      <c r="F143" s="62"/>
      <c r="G143" s="62"/>
      <c r="H143" s="62"/>
      <c r="J143" s="63"/>
      <c r="N143" s="28"/>
    </row>
    <row r="144" spans="1:14" s="64" customFormat="1" x14ac:dyDescent="0.25">
      <c r="A144" s="28"/>
      <c r="B144" s="61"/>
      <c r="C144" s="28"/>
      <c r="D144" s="61"/>
      <c r="E144" s="61"/>
      <c r="F144" s="62"/>
      <c r="G144" s="62"/>
      <c r="H144" s="62"/>
      <c r="J144" s="63"/>
      <c r="N144" s="28"/>
    </row>
    <row r="145" spans="1:14" s="64" customFormat="1" x14ac:dyDescent="0.25">
      <c r="A145" s="28"/>
      <c r="B145" s="61"/>
      <c r="C145" s="28"/>
      <c r="D145" s="61"/>
      <c r="E145" s="61"/>
      <c r="F145" s="62"/>
      <c r="G145" s="62"/>
      <c r="H145" s="62"/>
      <c r="J145" s="63"/>
      <c r="N145" s="28"/>
    </row>
    <row r="146" spans="1:14" s="64" customFormat="1" x14ac:dyDescent="0.25">
      <c r="A146" s="28"/>
      <c r="B146" s="61"/>
      <c r="C146" s="28"/>
      <c r="D146" s="61"/>
      <c r="E146" s="61"/>
      <c r="F146" s="62"/>
      <c r="G146" s="62"/>
      <c r="H146" s="62"/>
      <c r="J146" s="63"/>
      <c r="N146" s="28"/>
    </row>
    <row r="147" spans="1:14" s="64" customFormat="1" x14ac:dyDescent="0.25">
      <c r="A147" s="28"/>
      <c r="B147" s="61"/>
      <c r="C147" s="28"/>
      <c r="D147" s="61"/>
      <c r="E147" s="61"/>
      <c r="F147" s="62"/>
      <c r="G147" s="62"/>
      <c r="H147" s="62"/>
      <c r="J147" s="63"/>
      <c r="N147" s="28"/>
    </row>
    <row r="148" spans="1:14" s="64" customFormat="1" x14ac:dyDescent="0.25">
      <c r="B148" s="61"/>
      <c r="C148" s="28"/>
      <c r="D148" s="61"/>
      <c r="E148" s="61"/>
      <c r="F148" s="62"/>
      <c r="G148" s="62"/>
      <c r="H148" s="62"/>
      <c r="J148" s="63"/>
      <c r="N148" s="28"/>
    </row>
    <row r="149" spans="1:14" s="64" customFormat="1" x14ac:dyDescent="0.25">
      <c r="B149" s="61"/>
      <c r="C149" s="28"/>
      <c r="D149" s="61"/>
      <c r="E149" s="61"/>
      <c r="F149" s="62"/>
      <c r="G149" s="62"/>
      <c r="H149" s="62"/>
      <c r="J149" s="63"/>
      <c r="N149" s="28"/>
    </row>
    <row r="150" spans="1:14" s="64" customFormat="1" x14ac:dyDescent="0.25">
      <c r="B150" s="61"/>
      <c r="C150" s="28"/>
      <c r="D150" s="61"/>
      <c r="E150" s="61"/>
      <c r="F150" s="62"/>
      <c r="G150" s="62"/>
      <c r="H150" s="62"/>
      <c r="J150" s="63"/>
      <c r="N150" s="28"/>
    </row>
    <row r="151" spans="1:14" s="64" customFormat="1" x14ac:dyDescent="0.25">
      <c r="B151" s="61"/>
      <c r="C151" s="28"/>
      <c r="D151" s="61"/>
      <c r="E151" s="61"/>
      <c r="F151" s="62"/>
      <c r="G151" s="62"/>
      <c r="H151" s="62"/>
      <c r="J151" s="63"/>
      <c r="N151" s="28"/>
    </row>
    <row r="152" spans="1:14" s="64" customFormat="1" x14ac:dyDescent="0.25">
      <c r="B152" s="61"/>
      <c r="C152" s="28"/>
      <c r="D152" s="61"/>
      <c r="E152" s="61"/>
      <c r="F152" s="62"/>
      <c r="G152" s="62"/>
      <c r="H152" s="62"/>
      <c r="J152" s="63"/>
      <c r="N152" s="28"/>
    </row>
    <row r="153" spans="1:14" s="64" customFormat="1" x14ac:dyDescent="0.25">
      <c r="B153" s="61"/>
      <c r="C153" s="28"/>
      <c r="D153" s="61"/>
      <c r="E153" s="61"/>
      <c r="F153" s="62"/>
      <c r="G153" s="62"/>
      <c r="H153" s="62"/>
      <c r="J153" s="63"/>
      <c r="N153" s="28"/>
    </row>
    <row r="154" spans="1:14" s="64" customFormat="1" x14ac:dyDescent="0.25">
      <c r="B154" s="61"/>
      <c r="C154" s="28"/>
      <c r="D154" s="61"/>
      <c r="E154" s="61"/>
      <c r="F154" s="62"/>
      <c r="G154" s="62"/>
      <c r="H154" s="62"/>
      <c r="J154" s="63"/>
      <c r="N154" s="28"/>
    </row>
    <row r="155" spans="1:14" s="64" customFormat="1" x14ac:dyDescent="0.25">
      <c r="B155" s="61"/>
      <c r="C155" s="28"/>
      <c r="D155" s="61"/>
      <c r="E155" s="61"/>
      <c r="F155" s="62"/>
      <c r="G155" s="62"/>
      <c r="H155" s="62"/>
      <c r="J155" s="63"/>
      <c r="N155" s="28"/>
    </row>
    <row r="156" spans="1:14" s="64" customFormat="1" x14ac:dyDescent="0.25">
      <c r="B156" s="61"/>
      <c r="C156" s="28"/>
      <c r="D156" s="61"/>
      <c r="E156" s="61"/>
      <c r="F156" s="62"/>
      <c r="G156" s="62"/>
      <c r="H156" s="62"/>
      <c r="J156" s="63"/>
      <c r="N156" s="28"/>
    </row>
    <row r="157" spans="1:14" s="64" customFormat="1" x14ac:dyDescent="0.25">
      <c r="B157" s="61"/>
      <c r="C157" s="28"/>
      <c r="D157" s="61"/>
      <c r="E157" s="61"/>
      <c r="F157" s="62"/>
      <c r="G157" s="62"/>
      <c r="H157" s="62"/>
      <c r="J157" s="63"/>
      <c r="N157" s="28"/>
    </row>
    <row r="158" spans="1:14" s="64" customFormat="1" x14ac:dyDescent="0.25">
      <c r="B158" s="61"/>
      <c r="C158" s="28"/>
      <c r="D158" s="61"/>
      <c r="E158" s="61"/>
      <c r="F158" s="62"/>
      <c r="G158" s="62"/>
      <c r="H158" s="62"/>
      <c r="J158" s="63"/>
      <c r="N158" s="28"/>
    </row>
    <row r="159" spans="1:14" s="64" customFormat="1" x14ac:dyDescent="0.25">
      <c r="B159" s="61"/>
      <c r="C159" s="28"/>
      <c r="D159" s="61"/>
      <c r="E159" s="61"/>
      <c r="F159" s="62"/>
      <c r="G159" s="62"/>
      <c r="H159" s="62"/>
      <c r="J159" s="63"/>
      <c r="N159" s="28"/>
    </row>
    <row r="160" spans="1:14" s="64" customFormat="1" x14ac:dyDescent="0.25">
      <c r="B160" s="61"/>
      <c r="C160" s="28"/>
      <c r="D160" s="61"/>
      <c r="E160" s="61"/>
      <c r="F160" s="62"/>
      <c r="G160" s="62"/>
      <c r="H160" s="62"/>
      <c r="J160" s="63"/>
      <c r="N160" s="28"/>
    </row>
    <row r="161" spans="2:14" s="64" customFormat="1" x14ac:dyDescent="0.25">
      <c r="B161" s="61"/>
      <c r="C161" s="28"/>
      <c r="D161" s="61"/>
      <c r="E161" s="61"/>
      <c r="F161" s="62"/>
      <c r="G161" s="62"/>
      <c r="H161" s="62"/>
      <c r="J161" s="63"/>
      <c r="N161" s="28"/>
    </row>
    <row r="162" spans="2:14" s="64" customFormat="1" x14ac:dyDescent="0.25">
      <c r="B162" s="61"/>
      <c r="C162" s="28"/>
      <c r="D162" s="61"/>
      <c r="E162" s="61"/>
      <c r="F162" s="62"/>
      <c r="G162" s="62"/>
      <c r="H162" s="62"/>
      <c r="J162" s="63"/>
      <c r="N162" s="28"/>
    </row>
    <row r="163" spans="2:14" s="64" customFormat="1" x14ac:dyDescent="0.25">
      <c r="B163" s="61"/>
      <c r="C163" s="28"/>
      <c r="D163" s="61"/>
      <c r="E163" s="61"/>
      <c r="F163" s="62"/>
      <c r="G163" s="62"/>
      <c r="H163" s="62"/>
      <c r="J163" s="63"/>
      <c r="N163" s="28"/>
    </row>
    <row r="164" spans="2:14" s="64" customFormat="1" x14ac:dyDescent="0.25">
      <c r="B164" s="61"/>
      <c r="C164" s="28"/>
      <c r="D164" s="61"/>
      <c r="E164" s="61"/>
      <c r="F164" s="62"/>
      <c r="G164" s="62"/>
      <c r="H164" s="62"/>
      <c r="J164" s="63"/>
      <c r="N164" s="28"/>
    </row>
    <row r="165" spans="2:14" s="64" customFormat="1" x14ac:dyDescent="0.25">
      <c r="B165" s="61"/>
      <c r="C165" s="28"/>
      <c r="D165" s="61"/>
      <c r="E165" s="61"/>
      <c r="F165" s="62"/>
      <c r="G165" s="62"/>
      <c r="H165" s="62"/>
      <c r="J165" s="63"/>
      <c r="N165" s="28"/>
    </row>
  </sheetData>
  <autoFilter ref="A2:N128" xr:uid="{925F6D2A-9EF4-48D5-9A16-B0305334B5EB}"/>
  <mergeCells count="19">
    <mergeCell ref="M2:M3"/>
    <mergeCell ref="N2:N3"/>
    <mergeCell ref="F131:I131"/>
    <mergeCell ref="K131:L131"/>
    <mergeCell ref="A1:N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F132:I132"/>
    <mergeCell ref="K132:L132"/>
    <mergeCell ref="J2:J3"/>
    <mergeCell ref="K2:K3"/>
    <mergeCell ref="L2:L3"/>
  </mergeCells>
  <conditionalFormatting sqref="J16">
    <cfRule type="duplicateValues" dxfId="8" priority="1"/>
  </conditionalFormatting>
  <pageMargins left="0.7" right="0.7" top="0.75" bottom="0.75" header="0.3" footer="0.3"/>
  <pageSetup paperSize="8" scale="51" orientation="landscape" r:id="rId1"/>
  <rowBreaks count="1" manualBreakCount="1">
    <brk id="131" max="1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5C850-ADFC-4424-9F73-85686DDEC1E6}">
  <dimension ref="A1:P165"/>
  <sheetViews>
    <sheetView zoomScale="96" zoomScaleNormal="96" zoomScaleSheetLayoutView="100" workbookViewId="0">
      <pane xSplit="3" ySplit="3" topLeftCell="D102" activePane="bottomRight" state="frozen"/>
      <selection activeCell="H7" sqref="H7"/>
      <selection pane="topRight" activeCell="H7" sqref="H7"/>
      <selection pane="bottomLeft" activeCell="H7" sqref="H7"/>
      <selection pane="bottomRight" activeCell="A121" sqref="A121:XFD121"/>
    </sheetView>
  </sheetViews>
  <sheetFormatPr defaultColWidth="9.140625" defaultRowHeight="13.5" x14ac:dyDescent="0.25"/>
  <cols>
    <col min="1" max="1" width="4.7109375" style="28" customWidth="1"/>
    <col min="2" max="2" width="10.28515625" style="61" customWidth="1"/>
    <col min="3" max="3" width="38.28515625" style="28" customWidth="1"/>
    <col min="4" max="4" width="16" style="61" bestFit="1" customWidth="1"/>
    <col min="5" max="5" width="12.42578125" style="61" customWidth="1"/>
    <col min="6" max="6" width="16" style="61" bestFit="1" customWidth="1"/>
    <col min="7" max="8" width="16" style="61" customWidth="1"/>
    <col min="9" max="9" width="12.28515625" style="64" customWidth="1"/>
    <col min="10" max="10" width="30.85546875" style="210" customWidth="1"/>
    <col min="11" max="11" width="11.140625" style="28" customWidth="1"/>
    <col min="12" max="15" width="9.140625" style="28"/>
    <col min="16" max="16" width="11.42578125" style="28" bestFit="1" customWidth="1"/>
    <col min="17" max="16384" width="9.140625" style="28"/>
  </cols>
  <sheetData>
    <row r="1" spans="1:11" s="7" customFormat="1" ht="30" customHeight="1" x14ac:dyDescent="0.25">
      <c r="A1" s="310" t="s">
        <v>316</v>
      </c>
      <c r="B1" s="311"/>
      <c r="C1" s="311"/>
      <c r="D1" s="311"/>
      <c r="E1" s="311"/>
      <c r="F1" s="311"/>
      <c r="G1" s="311"/>
      <c r="H1" s="311"/>
      <c r="I1" s="311"/>
      <c r="J1" s="312"/>
    </row>
    <row r="2" spans="1:11" s="11" customFormat="1" ht="19.5" customHeight="1" x14ac:dyDescent="0.25">
      <c r="A2" s="308" t="s">
        <v>1</v>
      </c>
      <c r="B2" s="313" t="s">
        <v>2</v>
      </c>
      <c r="C2" s="308" t="s">
        <v>3</v>
      </c>
      <c r="D2" s="314" t="s">
        <v>4</v>
      </c>
      <c r="E2" s="308" t="s">
        <v>5</v>
      </c>
      <c r="F2" s="308" t="s">
        <v>6</v>
      </c>
      <c r="G2" s="308" t="s">
        <v>6</v>
      </c>
      <c r="H2" s="308" t="s">
        <v>6</v>
      </c>
      <c r="I2" s="308" t="s">
        <v>9</v>
      </c>
      <c r="J2" s="317" t="s">
        <v>14</v>
      </c>
    </row>
    <row r="3" spans="1:11" s="11" customFormat="1" ht="26.25" customHeight="1" x14ac:dyDescent="0.25">
      <c r="A3" s="308"/>
      <c r="B3" s="313"/>
      <c r="C3" s="308"/>
      <c r="D3" s="315"/>
      <c r="E3" s="308"/>
      <c r="F3" s="308"/>
      <c r="G3" s="308"/>
      <c r="H3" s="308"/>
      <c r="I3" s="308"/>
      <c r="J3" s="317"/>
    </row>
    <row r="4" spans="1:11" s="6" customFormat="1" x14ac:dyDescent="0.25">
      <c r="A4" s="18">
        <v>1</v>
      </c>
      <c r="B4" s="18">
        <v>2603</v>
      </c>
      <c r="C4" s="19" t="s">
        <v>71</v>
      </c>
      <c r="D4" s="18">
        <v>699</v>
      </c>
      <c r="E4" s="20" t="s">
        <v>16</v>
      </c>
      <c r="F4" s="21">
        <f t="shared" ref="F4:F67" si="0">D4*E4</f>
        <v>279.60000000000002</v>
      </c>
      <c r="G4" s="21">
        <f>278.8+0.8</f>
        <v>279.60000000000002</v>
      </c>
      <c r="H4" s="21">
        <f>F4-G4</f>
        <v>0</v>
      </c>
      <c r="I4" s="25">
        <v>5744412</v>
      </c>
      <c r="J4" s="114">
        <v>45608</v>
      </c>
      <c r="K4" s="127">
        <v>45635</v>
      </c>
    </row>
    <row r="5" spans="1:11" s="6" customFormat="1" x14ac:dyDescent="0.25">
      <c r="A5" s="18">
        <v>2</v>
      </c>
      <c r="B5" s="18">
        <v>2604</v>
      </c>
      <c r="C5" s="19" t="s">
        <v>46</v>
      </c>
      <c r="D5" s="18">
        <v>455.9</v>
      </c>
      <c r="E5" s="20" t="s">
        <v>16</v>
      </c>
      <c r="F5" s="21">
        <f t="shared" si="0"/>
        <v>182.36</v>
      </c>
      <c r="G5" s="21">
        <f>179.201+3.159</f>
        <v>182.35999999999999</v>
      </c>
      <c r="H5" s="21">
        <f t="shared" ref="H5:H68" si="1">F5-G5</f>
        <v>0</v>
      </c>
      <c r="I5" s="25">
        <v>3946807</v>
      </c>
      <c r="J5" s="114">
        <v>45630</v>
      </c>
      <c r="K5" s="127">
        <v>45656</v>
      </c>
    </row>
    <row r="6" spans="1:11" s="6" customFormat="1" x14ac:dyDescent="0.25">
      <c r="A6" s="18">
        <v>3</v>
      </c>
      <c r="B6" s="18">
        <v>2606</v>
      </c>
      <c r="C6" s="19" t="s">
        <v>78</v>
      </c>
      <c r="D6" s="18">
        <v>288</v>
      </c>
      <c r="E6" s="20" t="s">
        <v>16</v>
      </c>
      <c r="F6" s="21">
        <f t="shared" si="0"/>
        <v>115.2</v>
      </c>
      <c r="G6" s="21">
        <f>114.7+0.5</f>
        <v>115.2</v>
      </c>
      <c r="H6" s="21">
        <f t="shared" si="1"/>
        <v>0</v>
      </c>
      <c r="I6" s="25">
        <v>13974337</v>
      </c>
      <c r="J6" s="114">
        <v>45601</v>
      </c>
      <c r="K6" s="127">
        <v>45624</v>
      </c>
    </row>
    <row r="7" spans="1:11" s="6" customFormat="1" x14ac:dyDescent="0.25">
      <c r="A7" s="18">
        <v>4</v>
      </c>
      <c r="B7" s="18">
        <v>2607</v>
      </c>
      <c r="C7" s="19" t="s">
        <v>82</v>
      </c>
      <c r="D7" s="18">
        <v>350.4</v>
      </c>
      <c r="E7" s="20" t="s">
        <v>16</v>
      </c>
      <c r="F7" s="21">
        <f t="shared" si="0"/>
        <v>140.16</v>
      </c>
      <c r="G7" s="21">
        <f>136.8+3.36</f>
        <v>140.16000000000003</v>
      </c>
      <c r="H7" s="21">
        <f t="shared" si="1"/>
        <v>0</v>
      </c>
      <c r="I7" s="25">
        <v>6488366</v>
      </c>
      <c r="J7" s="114">
        <v>45601</v>
      </c>
      <c r="K7" s="127">
        <v>45334</v>
      </c>
    </row>
    <row r="8" spans="1:11" s="6" customFormat="1" x14ac:dyDescent="0.25">
      <c r="A8" s="96">
        <v>5</v>
      </c>
      <c r="B8" s="96">
        <v>2608</v>
      </c>
      <c r="C8" s="97" t="s">
        <v>84</v>
      </c>
      <c r="D8" s="96">
        <v>297.60000000000002</v>
      </c>
      <c r="E8" s="98" t="s">
        <v>16</v>
      </c>
      <c r="F8" s="99">
        <f t="shared" si="0"/>
        <v>119.04000000000002</v>
      </c>
      <c r="G8" s="99">
        <f>114.99+3.81+0.24</f>
        <v>119.03999999999999</v>
      </c>
      <c r="H8" s="99">
        <f t="shared" si="1"/>
        <v>0</v>
      </c>
      <c r="I8" s="100">
        <v>1233627</v>
      </c>
      <c r="J8" s="100" t="s">
        <v>317</v>
      </c>
      <c r="K8" s="6" t="s">
        <v>342</v>
      </c>
    </row>
    <row r="9" spans="1:11" s="6" customFormat="1" x14ac:dyDescent="0.25">
      <c r="A9" s="18">
        <v>6</v>
      </c>
      <c r="B9" s="18">
        <v>2609</v>
      </c>
      <c r="C9" s="19" t="s">
        <v>87</v>
      </c>
      <c r="D9" s="18">
        <v>316.39999999999998</v>
      </c>
      <c r="E9" s="20" t="s">
        <v>16</v>
      </c>
      <c r="F9" s="21">
        <f t="shared" si="0"/>
        <v>126.56</v>
      </c>
      <c r="G9" s="21">
        <f>126.31+0.25</f>
        <v>126.56</v>
      </c>
      <c r="H9" s="21">
        <f t="shared" si="1"/>
        <v>0</v>
      </c>
      <c r="I9" s="25">
        <v>1248701</v>
      </c>
      <c r="J9" s="114">
        <v>45601</v>
      </c>
      <c r="K9" s="127">
        <v>45629</v>
      </c>
    </row>
    <row r="10" spans="1:11" s="6" customFormat="1" x14ac:dyDescent="0.25">
      <c r="A10" s="18">
        <v>7</v>
      </c>
      <c r="B10" s="18">
        <v>2610</v>
      </c>
      <c r="C10" s="19" t="s">
        <v>47</v>
      </c>
      <c r="D10" s="18">
        <v>546.4</v>
      </c>
      <c r="E10" s="20" t="s">
        <v>16</v>
      </c>
      <c r="F10" s="21">
        <f t="shared" si="0"/>
        <v>218.56</v>
      </c>
      <c r="G10" s="21">
        <f>218.2+0.36</f>
        <v>218.56</v>
      </c>
      <c r="H10" s="21">
        <f t="shared" si="1"/>
        <v>0</v>
      </c>
      <c r="I10" s="25">
        <v>1183461</v>
      </c>
      <c r="J10" s="27">
        <v>45644</v>
      </c>
      <c r="K10" s="127">
        <v>45658</v>
      </c>
    </row>
    <row r="11" spans="1:11" s="6" customFormat="1" x14ac:dyDescent="0.25">
      <c r="A11" s="12">
        <v>8</v>
      </c>
      <c r="B11" s="12">
        <v>2611</v>
      </c>
      <c r="C11" s="13" t="s">
        <v>92</v>
      </c>
      <c r="D11" s="12">
        <v>370</v>
      </c>
      <c r="E11" s="14" t="s">
        <v>16</v>
      </c>
      <c r="F11" s="15">
        <f t="shared" si="0"/>
        <v>148</v>
      </c>
      <c r="G11" s="15">
        <f>F11</f>
        <v>148</v>
      </c>
      <c r="H11" s="15">
        <f t="shared" si="1"/>
        <v>0</v>
      </c>
      <c r="I11" s="16">
        <v>1348989</v>
      </c>
      <c r="J11" s="16" t="s">
        <v>22</v>
      </c>
    </row>
    <row r="12" spans="1:11" s="6" customFormat="1" x14ac:dyDescent="0.25">
      <c r="A12" s="12">
        <v>9</v>
      </c>
      <c r="B12" s="69">
        <v>2612</v>
      </c>
      <c r="C12" s="70" t="s">
        <v>96</v>
      </c>
      <c r="D12" s="69">
        <v>652.9</v>
      </c>
      <c r="E12" s="14" t="s">
        <v>16</v>
      </c>
      <c r="F12" s="15">
        <f t="shared" si="0"/>
        <v>261.16000000000003</v>
      </c>
      <c r="G12" s="15">
        <f>F12</f>
        <v>261.16000000000003</v>
      </c>
      <c r="H12" s="15">
        <f t="shared" si="1"/>
        <v>0</v>
      </c>
      <c r="I12" s="16">
        <v>896658</v>
      </c>
      <c r="J12" s="16"/>
      <c r="K12" s="226" t="s">
        <v>343</v>
      </c>
    </row>
    <row r="13" spans="1:11" s="72" customFormat="1" x14ac:dyDescent="0.25">
      <c r="A13" s="18">
        <v>10</v>
      </c>
      <c r="B13" s="18">
        <v>2613</v>
      </c>
      <c r="C13" s="19" t="s">
        <v>98</v>
      </c>
      <c r="D13" s="18">
        <v>342.9</v>
      </c>
      <c r="E13" s="20" t="s">
        <v>16</v>
      </c>
      <c r="F13" s="21">
        <f t="shared" si="0"/>
        <v>137.16</v>
      </c>
      <c r="G13" s="21">
        <f>F13</f>
        <v>137.16</v>
      </c>
      <c r="H13" s="21">
        <f t="shared" si="1"/>
        <v>0</v>
      </c>
      <c r="I13" s="25">
        <v>2884732</v>
      </c>
      <c r="J13" s="27">
        <v>45630</v>
      </c>
    </row>
    <row r="14" spans="1:11" s="6" customFormat="1" x14ac:dyDescent="0.25">
      <c r="A14" s="12">
        <v>11</v>
      </c>
      <c r="B14" s="12">
        <v>2614</v>
      </c>
      <c r="C14" s="13" t="s">
        <v>100</v>
      </c>
      <c r="D14" s="12">
        <v>466.8</v>
      </c>
      <c r="E14" s="14" t="s">
        <v>16</v>
      </c>
      <c r="F14" s="15">
        <f t="shared" si="0"/>
        <v>186.72000000000003</v>
      </c>
      <c r="G14" s="15">
        <f>F14</f>
        <v>186.72000000000003</v>
      </c>
      <c r="H14" s="15">
        <f t="shared" si="1"/>
        <v>0</v>
      </c>
      <c r="I14" s="16">
        <v>1015515</v>
      </c>
      <c r="J14" s="17"/>
    </row>
    <row r="15" spans="1:11" s="6" customFormat="1" x14ac:dyDescent="0.25">
      <c r="A15" s="18">
        <v>12</v>
      </c>
      <c r="B15" s="18">
        <v>2615</v>
      </c>
      <c r="C15" s="19" t="s">
        <v>102</v>
      </c>
      <c r="D15" s="18">
        <v>697</v>
      </c>
      <c r="E15" s="20" t="s">
        <v>16</v>
      </c>
      <c r="F15" s="21">
        <f t="shared" si="0"/>
        <v>278.8</v>
      </c>
      <c r="G15" s="21">
        <f>274.88+3.92</f>
        <v>278.8</v>
      </c>
      <c r="H15" s="21">
        <f t="shared" si="1"/>
        <v>0</v>
      </c>
      <c r="I15" s="25">
        <v>1248772</v>
      </c>
      <c r="J15" s="114">
        <v>45601</v>
      </c>
      <c r="K15" s="127">
        <v>45629</v>
      </c>
    </row>
    <row r="16" spans="1:11" x14ac:dyDescent="0.25">
      <c r="A16" s="18">
        <v>13</v>
      </c>
      <c r="B16" s="18">
        <v>2616</v>
      </c>
      <c r="C16" s="19" t="s">
        <v>15</v>
      </c>
      <c r="D16" s="18">
        <v>283.39999999999998</v>
      </c>
      <c r="E16" s="20" t="s">
        <v>16</v>
      </c>
      <c r="F16" s="21">
        <f t="shared" si="0"/>
        <v>113.36</v>
      </c>
      <c r="G16" s="22">
        <f>112.2+1.16</f>
        <v>113.36</v>
      </c>
      <c r="H16" s="21">
        <f t="shared" si="1"/>
        <v>0</v>
      </c>
      <c r="I16" s="23">
        <v>6225617</v>
      </c>
      <c r="J16" s="27">
        <v>45601</v>
      </c>
      <c r="K16" s="128">
        <v>45623</v>
      </c>
    </row>
    <row r="17" spans="1:14" s="6" customFormat="1" x14ac:dyDescent="0.25">
      <c r="A17" s="18">
        <v>14</v>
      </c>
      <c r="B17" s="18">
        <v>2617</v>
      </c>
      <c r="C17" s="19" t="s">
        <v>105</v>
      </c>
      <c r="D17" s="18">
        <v>351.3</v>
      </c>
      <c r="E17" s="20" t="s">
        <v>16</v>
      </c>
      <c r="F17" s="21">
        <f t="shared" si="0"/>
        <v>140.52000000000001</v>
      </c>
      <c r="G17" s="21">
        <f>140.52</f>
        <v>140.52000000000001</v>
      </c>
      <c r="H17" s="21">
        <f t="shared" si="1"/>
        <v>0</v>
      </c>
      <c r="I17" s="18">
        <v>17375838</v>
      </c>
      <c r="J17" s="121">
        <v>45663</v>
      </c>
    </row>
    <row r="18" spans="1:14" s="6" customFormat="1" x14ac:dyDescent="0.25">
      <c r="A18" s="18">
        <v>15</v>
      </c>
      <c r="B18" s="18">
        <v>2618</v>
      </c>
      <c r="C18" s="19" t="s">
        <v>48</v>
      </c>
      <c r="D18" s="18">
        <v>599.70000000000005</v>
      </c>
      <c r="E18" s="20" t="s">
        <v>16</v>
      </c>
      <c r="F18" s="21">
        <f t="shared" si="0"/>
        <v>239.88000000000002</v>
      </c>
      <c r="G18" s="21">
        <f>235.11+4.77</f>
        <v>239.88000000000002</v>
      </c>
      <c r="H18" s="21">
        <f t="shared" si="1"/>
        <v>0</v>
      </c>
      <c r="I18" s="25">
        <v>6552811</v>
      </c>
      <c r="J18" s="114">
        <v>45656</v>
      </c>
      <c r="K18" s="127">
        <v>45685</v>
      </c>
    </row>
    <row r="19" spans="1:14" s="6" customFormat="1" x14ac:dyDescent="0.25">
      <c r="A19" s="18">
        <v>16</v>
      </c>
      <c r="B19" s="18">
        <v>2619</v>
      </c>
      <c r="C19" s="19" t="s">
        <v>108</v>
      </c>
      <c r="D19" s="18">
        <v>702</v>
      </c>
      <c r="E19" s="20" t="s">
        <v>16</v>
      </c>
      <c r="F19" s="21">
        <f t="shared" si="0"/>
        <v>280.8</v>
      </c>
      <c r="G19" s="21">
        <f>277.86+2.94</f>
        <v>280.8</v>
      </c>
      <c r="H19" s="21">
        <f t="shared" si="1"/>
        <v>0</v>
      </c>
      <c r="I19" s="25">
        <v>6552839</v>
      </c>
      <c r="J19" s="114">
        <v>45615</v>
      </c>
      <c r="K19" s="127">
        <v>45656</v>
      </c>
    </row>
    <row r="20" spans="1:14" s="6" customFormat="1" x14ac:dyDescent="0.25">
      <c r="A20" s="103">
        <v>17</v>
      </c>
      <c r="B20" s="134">
        <v>2620</v>
      </c>
      <c r="C20" s="135" t="s">
        <v>110</v>
      </c>
      <c r="D20" s="134">
        <v>624.79999999999995</v>
      </c>
      <c r="E20" s="136" t="s">
        <v>16</v>
      </c>
      <c r="F20" s="137">
        <f t="shared" si="0"/>
        <v>249.92</v>
      </c>
      <c r="G20" s="137">
        <v>249.92</v>
      </c>
      <c r="H20" s="106">
        <f t="shared" si="1"/>
        <v>0</v>
      </c>
      <c r="I20" s="135">
        <v>1183437</v>
      </c>
      <c r="J20" s="107" t="s">
        <v>318</v>
      </c>
      <c r="K20" s="135"/>
      <c r="L20" s="135"/>
      <c r="M20" s="135"/>
      <c r="N20" s="113"/>
    </row>
    <row r="21" spans="1:14" s="6" customFormat="1" x14ac:dyDescent="0.25">
      <c r="A21" s="12">
        <v>18</v>
      </c>
      <c r="B21" s="69">
        <v>2621</v>
      </c>
      <c r="C21" s="70" t="s">
        <v>113</v>
      </c>
      <c r="D21" s="69">
        <v>356.5</v>
      </c>
      <c r="E21" s="14" t="s">
        <v>16</v>
      </c>
      <c r="F21" s="15">
        <f t="shared" si="0"/>
        <v>142.6</v>
      </c>
      <c r="G21" s="15">
        <f>F21</f>
        <v>142.6</v>
      </c>
      <c r="H21" s="15">
        <f t="shared" si="1"/>
        <v>0</v>
      </c>
      <c r="I21" s="16">
        <v>19745547</v>
      </c>
      <c r="J21" s="16"/>
    </row>
    <row r="22" spans="1:14" s="6" customFormat="1" x14ac:dyDescent="0.25">
      <c r="A22" s="18">
        <v>19</v>
      </c>
      <c r="B22" s="18">
        <v>2622</v>
      </c>
      <c r="C22" s="19" t="s">
        <v>115</v>
      </c>
      <c r="D22" s="18">
        <v>767.4</v>
      </c>
      <c r="E22" s="20" t="s">
        <v>16</v>
      </c>
      <c r="F22" s="21">
        <f t="shared" si="0"/>
        <v>306.96000000000004</v>
      </c>
      <c r="G22" s="21">
        <f>302.03+4.93</f>
        <v>306.95999999999998</v>
      </c>
      <c r="H22" s="21">
        <f t="shared" si="1"/>
        <v>0</v>
      </c>
      <c r="I22" s="25">
        <v>6067343</v>
      </c>
      <c r="J22" s="114">
        <v>45607</v>
      </c>
      <c r="K22" s="127"/>
    </row>
    <row r="23" spans="1:14" s="6" customFormat="1" x14ac:dyDescent="0.25">
      <c r="A23" s="12">
        <v>20</v>
      </c>
      <c r="B23" s="69">
        <v>2623</v>
      </c>
      <c r="C23" s="70" t="s">
        <v>49</v>
      </c>
      <c r="D23" s="69">
        <v>320.10000000000002</v>
      </c>
      <c r="E23" s="14" t="s">
        <v>16</v>
      </c>
      <c r="F23" s="15">
        <f t="shared" si="0"/>
        <v>128.04000000000002</v>
      </c>
      <c r="G23" s="15">
        <f>F23</f>
        <v>128.04000000000002</v>
      </c>
      <c r="H23" s="15">
        <f t="shared" si="1"/>
        <v>0</v>
      </c>
      <c r="I23" s="16">
        <v>1994004</v>
      </c>
      <c r="J23" s="16"/>
    </row>
    <row r="24" spans="1:14" s="6" customFormat="1" x14ac:dyDescent="0.25">
      <c r="A24" s="18">
        <v>21</v>
      </c>
      <c r="B24" s="18">
        <v>2624</v>
      </c>
      <c r="C24" s="19" t="s">
        <v>118</v>
      </c>
      <c r="D24" s="18">
        <v>343.9</v>
      </c>
      <c r="E24" s="20" t="s">
        <v>16</v>
      </c>
      <c r="F24" s="21">
        <f t="shared" si="0"/>
        <v>137.56</v>
      </c>
      <c r="G24" s="21">
        <f>133.41+4.15</f>
        <v>137.56</v>
      </c>
      <c r="H24" s="21">
        <f t="shared" si="1"/>
        <v>0</v>
      </c>
      <c r="I24" s="25">
        <v>3206725</v>
      </c>
      <c r="J24" s="114">
        <v>45602</v>
      </c>
      <c r="K24" s="127">
        <v>45623</v>
      </c>
    </row>
    <row r="25" spans="1:14" x14ac:dyDescent="0.25">
      <c r="A25" s="12">
        <v>22</v>
      </c>
      <c r="B25" s="18">
        <v>2625</v>
      </c>
      <c r="C25" s="19" t="s">
        <v>119</v>
      </c>
      <c r="D25" s="18">
        <v>888.3</v>
      </c>
      <c r="E25" s="20" t="s">
        <v>16</v>
      </c>
      <c r="F25" s="21">
        <f t="shared" si="0"/>
        <v>355.32</v>
      </c>
      <c r="G25" s="21">
        <f>352+3.32</f>
        <v>355.32</v>
      </c>
      <c r="H25" s="21">
        <f t="shared" si="1"/>
        <v>0</v>
      </c>
      <c r="I25" s="25">
        <v>5474204</v>
      </c>
      <c r="J25" s="114">
        <v>45602</v>
      </c>
      <c r="K25" s="128">
        <v>45629</v>
      </c>
    </row>
    <row r="26" spans="1:14" s="6" customFormat="1" x14ac:dyDescent="0.25">
      <c r="A26" s="12">
        <v>23</v>
      </c>
      <c r="B26" s="69">
        <v>2626</v>
      </c>
      <c r="C26" s="70" t="s">
        <v>51</v>
      </c>
      <c r="D26" s="69">
        <v>366.2</v>
      </c>
      <c r="E26" s="14" t="s">
        <v>16</v>
      </c>
      <c r="F26" s="15">
        <f t="shared" si="0"/>
        <v>146.47999999999999</v>
      </c>
      <c r="G26" s="15">
        <f>F26</f>
        <v>146.47999999999999</v>
      </c>
      <c r="H26" s="15">
        <f t="shared" si="1"/>
        <v>0</v>
      </c>
      <c r="I26" s="78">
        <v>3083395</v>
      </c>
      <c r="J26" s="78"/>
    </row>
    <row r="27" spans="1:14" s="6" customFormat="1" x14ac:dyDescent="0.25">
      <c r="A27" s="18">
        <v>24</v>
      </c>
      <c r="B27" s="18">
        <v>2627</v>
      </c>
      <c r="C27" s="19" t="s">
        <v>122</v>
      </c>
      <c r="D27" s="18">
        <v>307.8</v>
      </c>
      <c r="E27" s="20" t="s">
        <v>16</v>
      </c>
      <c r="F27" s="21">
        <f t="shared" si="0"/>
        <v>123.12</v>
      </c>
      <c r="G27" s="21">
        <f>F27</f>
        <v>123.12</v>
      </c>
      <c r="H27" s="21">
        <f t="shared" si="1"/>
        <v>0</v>
      </c>
      <c r="I27" s="25">
        <v>2011348</v>
      </c>
      <c r="J27" s="114">
        <v>45601</v>
      </c>
    </row>
    <row r="28" spans="1:14" s="6" customFormat="1" x14ac:dyDescent="0.25">
      <c r="A28" s="18">
        <v>25</v>
      </c>
      <c r="B28" s="18">
        <v>2628</v>
      </c>
      <c r="C28" s="19" t="s">
        <v>124</v>
      </c>
      <c r="D28" s="18">
        <v>409.8</v>
      </c>
      <c r="E28" s="20" t="s">
        <v>16</v>
      </c>
      <c r="F28" s="21">
        <f t="shared" si="0"/>
        <v>163.92000000000002</v>
      </c>
      <c r="G28" s="21">
        <f>160.05+3.87</f>
        <v>163.92000000000002</v>
      </c>
      <c r="H28" s="21">
        <f t="shared" si="1"/>
        <v>0</v>
      </c>
      <c r="I28" s="25">
        <v>2396272</v>
      </c>
      <c r="J28" s="114">
        <v>45656</v>
      </c>
      <c r="K28" s="127">
        <v>45679</v>
      </c>
    </row>
    <row r="29" spans="1:14" s="6" customFormat="1" x14ac:dyDescent="0.25">
      <c r="A29" s="18">
        <v>26</v>
      </c>
      <c r="B29" s="18">
        <v>2629</v>
      </c>
      <c r="C29" s="19" t="s">
        <v>32</v>
      </c>
      <c r="D29" s="18">
        <v>474.7</v>
      </c>
      <c r="E29" s="20" t="s">
        <v>16</v>
      </c>
      <c r="F29" s="21">
        <f t="shared" si="0"/>
        <v>189.88</v>
      </c>
      <c r="G29" s="21">
        <f>187.56+2.32</f>
        <v>189.88</v>
      </c>
      <c r="H29" s="21">
        <f t="shared" si="1"/>
        <v>0</v>
      </c>
      <c r="I29" s="25">
        <v>6488371</v>
      </c>
      <c r="J29" s="114">
        <v>45601</v>
      </c>
      <c r="K29" s="127">
        <v>45628</v>
      </c>
    </row>
    <row r="30" spans="1:14" s="6" customFormat="1" x14ac:dyDescent="0.25">
      <c r="A30" s="18">
        <v>27</v>
      </c>
      <c r="B30" s="18">
        <v>2630</v>
      </c>
      <c r="C30" s="19" t="s">
        <v>127</v>
      </c>
      <c r="D30" s="18">
        <v>325.89999999999998</v>
      </c>
      <c r="E30" s="20" t="s">
        <v>16</v>
      </c>
      <c r="F30" s="21">
        <f t="shared" si="0"/>
        <v>130.35999999999999</v>
      </c>
      <c r="G30" s="21">
        <f>125.63+4.73</f>
        <v>130.35999999999999</v>
      </c>
      <c r="H30" s="21">
        <f t="shared" si="1"/>
        <v>0</v>
      </c>
      <c r="I30" s="25">
        <v>8098813</v>
      </c>
      <c r="J30" s="114">
        <v>45621</v>
      </c>
      <c r="K30" s="127">
        <v>45650</v>
      </c>
    </row>
    <row r="31" spans="1:14" s="6" customFormat="1" x14ac:dyDescent="0.25">
      <c r="A31" s="18">
        <v>28</v>
      </c>
      <c r="B31" s="18">
        <v>2631</v>
      </c>
      <c r="C31" s="19" t="s">
        <v>129</v>
      </c>
      <c r="D31" s="18">
        <v>301.3</v>
      </c>
      <c r="E31" s="20" t="s">
        <v>16</v>
      </c>
      <c r="F31" s="21">
        <f t="shared" si="0"/>
        <v>120.52000000000001</v>
      </c>
      <c r="G31" s="21">
        <f>118.07+2.45</f>
        <v>120.52</v>
      </c>
      <c r="H31" s="21">
        <f t="shared" si="1"/>
        <v>0</v>
      </c>
      <c r="I31" s="25">
        <v>931835</v>
      </c>
      <c r="J31" s="114">
        <v>45615</v>
      </c>
      <c r="K31" s="127">
        <v>45637</v>
      </c>
    </row>
    <row r="32" spans="1:14" s="6" customFormat="1" x14ac:dyDescent="0.25">
      <c r="A32" s="18">
        <v>29</v>
      </c>
      <c r="B32" s="18">
        <v>2632</v>
      </c>
      <c r="C32" s="19" t="s">
        <v>53</v>
      </c>
      <c r="D32" s="18">
        <v>338.2</v>
      </c>
      <c r="E32" s="20" t="s">
        <v>16</v>
      </c>
      <c r="F32" s="21">
        <f t="shared" si="0"/>
        <v>135.28</v>
      </c>
      <c r="G32" s="21">
        <f>132.38+2.9</f>
        <v>135.28</v>
      </c>
      <c r="H32" s="21">
        <f t="shared" si="1"/>
        <v>0</v>
      </c>
      <c r="I32" s="25">
        <v>18395066</v>
      </c>
      <c r="J32" s="114">
        <v>45630</v>
      </c>
      <c r="K32" s="127">
        <v>45656</v>
      </c>
    </row>
    <row r="33" spans="1:11" s="72" customFormat="1" x14ac:dyDescent="0.25">
      <c r="A33" s="18">
        <v>30</v>
      </c>
      <c r="B33" s="18">
        <v>2633</v>
      </c>
      <c r="C33" s="19" t="s">
        <v>134</v>
      </c>
      <c r="D33" s="18"/>
      <c r="E33" s="20" t="s">
        <v>16</v>
      </c>
      <c r="F33" s="21">
        <f t="shared" si="0"/>
        <v>0</v>
      </c>
      <c r="G33" s="21"/>
      <c r="H33" s="21">
        <f t="shared" si="1"/>
        <v>0</v>
      </c>
      <c r="I33" s="25">
        <v>5585042</v>
      </c>
      <c r="J33" s="25"/>
    </row>
    <row r="34" spans="1:11" s="72" customFormat="1" x14ac:dyDescent="0.25">
      <c r="A34" s="18">
        <v>31</v>
      </c>
      <c r="B34" s="18">
        <v>2634</v>
      </c>
      <c r="C34" s="19" t="s">
        <v>136</v>
      </c>
      <c r="D34" s="18">
        <v>499.8</v>
      </c>
      <c r="E34" s="20" t="s">
        <v>16</v>
      </c>
      <c r="F34" s="21">
        <f t="shared" si="0"/>
        <v>199.92000000000002</v>
      </c>
      <c r="G34" s="21">
        <f>F34</f>
        <v>199.92000000000002</v>
      </c>
      <c r="H34" s="21">
        <f t="shared" si="1"/>
        <v>0</v>
      </c>
      <c r="I34" s="25">
        <v>24361971</v>
      </c>
      <c r="J34" s="222">
        <v>45623</v>
      </c>
    </row>
    <row r="35" spans="1:11" s="6" customFormat="1" x14ac:dyDescent="0.25">
      <c r="A35" s="18">
        <v>32</v>
      </c>
      <c r="B35" s="18">
        <v>2635</v>
      </c>
      <c r="C35" s="19" t="s">
        <v>138</v>
      </c>
      <c r="D35" s="18">
        <v>374.7</v>
      </c>
      <c r="E35" s="20" t="s">
        <v>16</v>
      </c>
      <c r="F35" s="21">
        <f t="shared" si="0"/>
        <v>149.88</v>
      </c>
      <c r="G35" s="21">
        <f>149.8+0.08</f>
        <v>149.88000000000002</v>
      </c>
      <c r="H35" s="21">
        <f t="shared" si="1"/>
        <v>0</v>
      </c>
      <c r="I35" s="30">
        <v>19928115</v>
      </c>
      <c r="J35" s="115">
        <v>45642</v>
      </c>
      <c r="K35" s="127">
        <v>45656</v>
      </c>
    </row>
    <row r="36" spans="1:11" s="6" customFormat="1" x14ac:dyDescent="0.25">
      <c r="A36" s="18">
        <v>33</v>
      </c>
      <c r="B36" s="18">
        <v>2636</v>
      </c>
      <c r="C36" s="19" t="s">
        <v>140</v>
      </c>
      <c r="D36" s="18">
        <v>467.6</v>
      </c>
      <c r="E36" s="20" t="s">
        <v>16</v>
      </c>
      <c r="F36" s="21">
        <f t="shared" si="0"/>
        <v>187.04000000000002</v>
      </c>
      <c r="G36" s="21">
        <f>185.79+1.25</f>
        <v>187.04</v>
      </c>
      <c r="H36" s="21">
        <f t="shared" si="1"/>
        <v>0</v>
      </c>
      <c r="I36" s="25">
        <v>2092081</v>
      </c>
      <c r="J36" s="114">
        <v>45637</v>
      </c>
      <c r="K36" s="127">
        <v>45645</v>
      </c>
    </row>
    <row r="37" spans="1:11" s="6" customFormat="1" x14ac:dyDescent="0.25">
      <c r="A37" s="12">
        <v>34</v>
      </c>
      <c r="B37" s="69">
        <v>2637</v>
      </c>
      <c r="C37" s="70" t="s">
        <v>142</v>
      </c>
      <c r="D37" s="69">
        <v>311.60000000000002</v>
      </c>
      <c r="E37" s="14" t="s">
        <v>16</v>
      </c>
      <c r="F37" s="15">
        <f t="shared" si="0"/>
        <v>124.64000000000001</v>
      </c>
      <c r="G37" s="15">
        <f>F37</f>
        <v>124.64000000000001</v>
      </c>
      <c r="H37" s="15">
        <f t="shared" si="1"/>
        <v>0</v>
      </c>
      <c r="I37" s="16">
        <v>12073906</v>
      </c>
      <c r="J37" s="16"/>
    </row>
    <row r="38" spans="1:11" s="6" customFormat="1" x14ac:dyDescent="0.25">
      <c r="A38" s="12">
        <v>35</v>
      </c>
      <c r="B38" s="69">
        <v>2638</v>
      </c>
      <c r="C38" s="70" t="s">
        <v>144</v>
      </c>
      <c r="D38" s="69"/>
      <c r="E38" s="14" t="s">
        <v>16</v>
      </c>
      <c r="F38" s="15">
        <f t="shared" si="0"/>
        <v>0</v>
      </c>
      <c r="G38" s="15">
        <f t="shared" ref="G38:G39" si="2">F38</f>
        <v>0</v>
      </c>
      <c r="H38" s="15">
        <f t="shared" si="1"/>
        <v>0</v>
      </c>
      <c r="I38" s="16">
        <v>21944623</v>
      </c>
      <c r="J38" s="16"/>
    </row>
    <row r="39" spans="1:11" s="6" customFormat="1" x14ac:dyDescent="0.25">
      <c r="A39" s="12">
        <v>36</v>
      </c>
      <c r="B39" s="69">
        <v>2639</v>
      </c>
      <c r="C39" s="70" t="s">
        <v>146</v>
      </c>
      <c r="D39" s="69">
        <v>345.4</v>
      </c>
      <c r="E39" s="14" t="s">
        <v>16</v>
      </c>
      <c r="F39" s="15">
        <f t="shared" si="0"/>
        <v>138.16</v>
      </c>
      <c r="G39" s="15">
        <f t="shared" si="2"/>
        <v>138.16</v>
      </c>
      <c r="H39" s="15">
        <f t="shared" si="1"/>
        <v>0</v>
      </c>
      <c r="I39" s="16">
        <v>1389397</v>
      </c>
      <c r="J39" s="16"/>
    </row>
    <row r="40" spans="1:11" s="72" customFormat="1" x14ac:dyDescent="0.25">
      <c r="A40" s="18">
        <v>37</v>
      </c>
      <c r="B40" s="18">
        <v>2640</v>
      </c>
      <c r="C40" s="19" t="s">
        <v>35</v>
      </c>
      <c r="D40" s="18">
        <v>30.3</v>
      </c>
      <c r="E40" s="20" t="s">
        <v>16</v>
      </c>
      <c r="F40" s="21">
        <f t="shared" si="0"/>
        <v>12.120000000000001</v>
      </c>
      <c r="G40" s="21">
        <f>12.12</f>
        <v>12.12</v>
      </c>
      <c r="H40" s="21">
        <f t="shared" si="1"/>
        <v>0</v>
      </c>
      <c r="I40" s="25">
        <v>25021829</v>
      </c>
      <c r="J40" s="114">
        <v>45810</v>
      </c>
    </row>
    <row r="41" spans="1:11" s="6" customFormat="1" x14ac:dyDescent="0.25">
      <c r="A41" s="12">
        <v>38</v>
      </c>
      <c r="B41" s="69">
        <v>2641</v>
      </c>
      <c r="C41" s="70" t="s">
        <v>149</v>
      </c>
      <c r="D41" s="69">
        <v>46.7</v>
      </c>
      <c r="E41" s="14" t="s">
        <v>16</v>
      </c>
      <c r="F41" s="15">
        <f t="shared" si="0"/>
        <v>18.680000000000003</v>
      </c>
      <c r="G41" s="15">
        <f t="shared" ref="G41:G47" si="3">F41</f>
        <v>18.680000000000003</v>
      </c>
      <c r="H41" s="15">
        <f t="shared" si="1"/>
        <v>0</v>
      </c>
      <c r="I41" s="16">
        <v>1499316</v>
      </c>
      <c r="J41" s="16"/>
    </row>
    <row r="42" spans="1:11" s="6" customFormat="1" x14ac:dyDescent="0.25">
      <c r="A42" s="18">
        <v>39</v>
      </c>
      <c r="B42" s="18">
        <v>2642</v>
      </c>
      <c r="C42" s="19" t="s">
        <v>151</v>
      </c>
      <c r="D42" s="18">
        <v>139.80000000000001</v>
      </c>
      <c r="E42" s="20" t="s">
        <v>16</v>
      </c>
      <c r="F42" s="21">
        <f t="shared" si="0"/>
        <v>55.920000000000009</v>
      </c>
      <c r="G42" s="21">
        <f t="shared" si="3"/>
        <v>55.920000000000009</v>
      </c>
      <c r="H42" s="21">
        <f t="shared" si="1"/>
        <v>0</v>
      </c>
      <c r="I42" s="25">
        <v>3018879</v>
      </c>
      <c r="J42" s="114">
        <v>45629</v>
      </c>
    </row>
    <row r="43" spans="1:11" s="6" customFormat="1" x14ac:dyDescent="0.25">
      <c r="A43" s="96">
        <v>40</v>
      </c>
      <c r="B43" s="96">
        <v>2643</v>
      </c>
      <c r="C43" s="97" t="s">
        <v>153</v>
      </c>
      <c r="D43" s="96">
        <v>717.5</v>
      </c>
      <c r="E43" s="98" t="s">
        <v>16</v>
      </c>
      <c r="F43" s="99">
        <f t="shared" si="0"/>
        <v>287</v>
      </c>
      <c r="G43" s="99">
        <f t="shared" si="3"/>
        <v>287</v>
      </c>
      <c r="H43" s="99">
        <f t="shared" si="1"/>
        <v>0</v>
      </c>
      <c r="I43" s="100">
        <v>1485446</v>
      </c>
      <c r="J43" s="102" t="s">
        <v>317</v>
      </c>
    </row>
    <row r="44" spans="1:11" x14ac:dyDescent="0.25">
      <c r="A44" s="12">
        <v>41</v>
      </c>
      <c r="B44" s="69">
        <v>2644</v>
      </c>
      <c r="C44" s="70" t="s">
        <v>155</v>
      </c>
      <c r="D44" s="69">
        <v>372.9</v>
      </c>
      <c r="E44" s="14" t="s">
        <v>16</v>
      </c>
      <c r="F44" s="15">
        <f t="shared" si="0"/>
        <v>149.16</v>
      </c>
      <c r="G44" s="15">
        <f t="shared" si="3"/>
        <v>149.16</v>
      </c>
      <c r="H44" s="15">
        <f t="shared" si="1"/>
        <v>0</v>
      </c>
      <c r="I44" s="78">
        <v>23180515</v>
      </c>
      <c r="J44" s="16" t="s">
        <v>22</v>
      </c>
    </row>
    <row r="45" spans="1:11" s="6" customFormat="1" x14ac:dyDescent="0.25">
      <c r="A45" s="12">
        <v>42</v>
      </c>
      <c r="B45" s="69">
        <v>2645</v>
      </c>
      <c r="C45" s="70" t="s">
        <v>157</v>
      </c>
      <c r="D45" s="69">
        <v>357.5</v>
      </c>
      <c r="E45" s="14" t="s">
        <v>16</v>
      </c>
      <c r="F45" s="15">
        <f t="shared" si="0"/>
        <v>143</v>
      </c>
      <c r="G45" s="15">
        <f t="shared" si="3"/>
        <v>143</v>
      </c>
      <c r="H45" s="15">
        <f t="shared" si="1"/>
        <v>0</v>
      </c>
      <c r="I45" s="16">
        <v>20133638</v>
      </c>
      <c r="J45" s="16" t="s">
        <v>22</v>
      </c>
    </row>
    <row r="46" spans="1:11" s="72" customFormat="1" x14ac:dyDescent="0.25">
      <c r="A46" s="21">
        <f>F46</f>
        <v>235.32</v>
      </c>
      <c r="B46" s="18">
        <v>2646</v>
      </c>
      <c r="C46" s="19" t="s">
        <v>159</v>
      </c>
      <c r="D46" s="18">
        <v>588.29999999999995</v>
      </c>
      <c r="E46" s="20" t="s">
        <v>16</v>
      </c>
      <c r="F46" s="21">
        <f t="shared" si="0"/>
        <v>235.32</v>
      </c>
      <c r="G46" s="21">
        <f t="shared" si="3"/>
        <v>235.32</v>
      </c>
      <c r="H46" s="21">
        <f t="shared" si="1"/>
        <v>0</v>
      </c>
      <c r="I46" s="25">
        <v>13271226</v>
      </c>
      <c r="J46" s="114">
        <v>45670</v>
      </c>
    </row>
    <row r="47" spans="1:11" s="6" customFormat="1" x14ac:dyDescent="0.25">
      <c r="A47" s="12">
        <v>44</v>
      </c>
      <c r="B47" s="12">
        <v>2647</v>
      </c>
      <c r="C47" s="13" t="s">
        <v>161</v>
      </c>
      <c r="D47" s="12">
        <v>299.39999999999998</v>
      </c>
      <c r="E47" s="14" t="s">
        <v>16</v>
      </c>
      <c r="F47" s="15">
        <f t="shared" si="0"/>
        <v>119.75999999999999</v>
      </c>
      <c r="G47" s="15">
        <f t="shared" si="3"/>
        <v>119.75999999999999</v>
      </c>
      <c r="H47" s="15">
        <f t="shared" si="1"/>
        <v>0</v>
      </c>
      <c r="I47" s="16">
        <v>828714</v>
      </c>
      <c r="J47" s="16" t="s">
        <v>22</v>
      </c>
    </row>
    <row r="48" spans="1:11" s="6" customFormat="1" x14ac:dyDescent="0.25">
      <c r="A48" s="18">
        <v>45</v>
      </c>
      <c r="B48" s="18">
        <v>2648</v>
      </c>
      <c r="C48" s="19" t="s">
        <v>163</v>
      </c>
      <c r="D48" s="18">
        <v>292.7</v>
      </c>
      <c r="E48" s="20" t="s">
        <v>16</v>
      </c>
      <c r="F48" s="21">
        <f t="shared" si="0"/>
        <v>117.08</v>
      </c>
      <c r="G48" s="21">
        <f>116.17+0.91</f>
        <v>117.08</v>
      </c>
      <c r="H48" s="21">
        <f t="shared" si="1"/>
        <v>0</v>
      </c>
      <c r="I48" s="25">
        <v>5086</v>
      </c>
      <c r="J48" s="114">
        <v>45607</v>
      </c>
      <c r="K48" s="127">
        <v>45630</v>
      </c>
    </row>
    <row r="49" spans="1:11" s="6" customFormat="1" x14ac:dyDescent="0.25">
      <c r="A49" s="18">
        <v>46</v>
      </c>
      <c r="B49" s="18">
        <v>2649</v>
      </c>
      <c r="C49" s="19" t="s">
        <v>165</v>
      </c>
      <c r="D49" s="18">
        <v>342.8</v>
      </c>
      <c r="E49" s="20" t="s">
        <v>16</v>
      </c>
      <c r="F49" s="21">
        <f t="shared" si="0"/>
        <v>137.12</v>
      </c>
      <c r="G49" s="21">
        <f>134.28+2.84</f>
        <v>137.12</v>
      </c>
      <c r="H49" s="21">
        <f t="shared" si="1"/>
        <v>0</v>
      </c>
      <c r="I49" s="25">
        <v>1282981</v>
      </c>
      <c r="J49" s="114">
        <v>45621</v>
      </c>
      <c r="K49" s="127">
        <v>45630</v>
      </c>
    </row>
    <row r="50" spans="1:11" s="6" customFormat="1" x14ac:dyDescent="0.25">
      <c r="A50" s="12">
        <v>47</v>
      </c>
      <c r="B50" s="69">
        <v>2650</v>
      </c>
      <c r="C50" s="70" t="s">
        <v>167</v>
      </c>
      <c r="D50" s="69">
        <v>318.39999999999998</v>
      </c>
      <c r="E50" s="14" t="s">
        <v>16</v>
      </c>
      <c r="F50" s="15">
        <f t="shared" si="0"/>
        <v>127.36</v>
      </c>
      <c r="G50" s="15">
        <f>F50</f>
        <v>127.36</v>
      </c>
      <c r="H50" s="15">
        <f t="shared" si="1"/>
        <v>0</v>
      </c>
      <c r="I50" s="16">
        <v>5949449</v>
      </c>
      <c r="J50" s="16"/>
    </row>
    <row r="51" spans="1:11" s="6" customFormat="1" x14ac:dyDescent="0.25">
      <c r="A51" s="12">
        <v>48</v>
      </c>
      <c r="B51" s="69">
        <v>2651</v>
      </c>
      <c r="C51" s="70" t="s">
        <v>169</v>
      </c>
      <c r="D51" s="69">
        <v>308</v>
      </c>
      <c r="E51" s="14" t="s">
        <v>16</v>
      </c>
      <c r="F51" s="15">
        <f t="shared" si="0"/>
        <v>123.2</v>
      </c>
      <c r="G51" s="15">
        <f>F51</f>
        <v>123.2</v>
      </c>
      <c r="H51" s="15">
        <f t="shared" si="1"/>
        <v>0</v>
      </c>
      <c r="I51" s="16">
        <v>18629431</v>
      </c>
      <c r="J51" s="16"/>
    </row>
    <row r="52" spans="1:11" s="6" customFormat="1" x14ac:dyDescent="0.25">
      <c r="A52" s="18">
        <v>49</v>
      </c>
      <c r="B52" s="18">
        <v>2652</v>
      </c>
      <c r="C52" s="19" t="s">
        <v>171</v>
      </c>
      <c r="D52" s="18">
        <v>508.5</v>
      </c>
      <c r="E52" s="20" t="s">
        <v>16</v>
      </c>
      <c r="F52" s="21">
        <f t="shared" si="0"/>
        <v>203.4</v>
      </c>
      <c r="G52" s="21">
        <f>199.64+3.76</f>
        <v>203.39999999999998</v>
      </c>
      <c r="H52" s="21">
        <f t="shared" si="1"/>
        <v>0</v>
      </c>
      <c r="I52" s="25">
        <v>23212756</v>
      </c>
      <c r="J52" s="114">
        <v>45601</v>
      </c>
      <c r="K52" s="127">
        <v>45630</v>
      </c>
    </row>
    <row r="53" spans="1:11" s="6" customFormat="1" x14ac:dyDescent="0.25">
      <c r="A53" s="12">
        <v>50</v>
      </c>
      <c r="B53" s="69">
        <v>2653</v>
      </c>
      <c r="C53" s="70" t="s">
        <v>173</v>
      </c>
      <c r="D53" s="69">
        <v>725</v>
      </c>
      <c r="E53" s="14" t="s">
        <v>16</v>
      </c>
      <c r="F53" s="15">
        <f t="shared" si="0"/>
        <v>290</v>
      </c>
      <c r="G53" s="15">
        <f>F53</f>
        <v>290</v>
      </c>
      <c r="H53" s="15">
        <f t="shared" si="1"/>
        <v>0</v>
      </c>
      <c r="I53" s="16">
        <v>9097024</v>
      </c>
      <c r="J53" s="16"/>
    </row>
    <row r="54" spans="1:11" s="6" customFormat="1" x14ac:dyDescent="0.25">
      <c r="A54" s="18">
        <v>51</v>
      </c>
      <c r="B54" s="18">
        <v>2654</v>
      </c>
      <c r="C54" s="19" t="s">
        <v>54</v>
      </c>
      <c r="D54" s="18">
        <v>574.5</v>
      </c>
      <c r="E54" s="20" t="s">
        <v>16</v>
      </c>
      <c r="F54" s="21">
        <f t="shared" si="0"/>
        <v>229.8</v>
      </c>
      <c r="G54" s="21">
        <f>228.79+1.01</f>
        <v>229.79999999999998</v>
      </c>
      <c r="H54" s="21">
        <f t="shared" si="1"/>
        <v>0</v>
      </c>
      <c r="I54" s="25">
        <v>6073815</v>
      </c>
      <c r="J54" s="114">
        <v>45603</v>
      </c>
      <c r="K54" s="6" t="s">
        <v>319</v>
      </c>
    </row>
    <row r="55" spans="1:11" s="6" customFormat="1" x14ac:dyDescent="0.25">
      <c r="A55" s="18">
        <v>52</v>
      </c>
      <c r="B55" s="18">
        <v>2655</v>
      </c>
      <c r="C55" s="19" t="s">
        <v>56</v>
      </c>
      <c r="D55" s="18">
        <v>220.2</v>
      </c>
      <c r="E55" s="20" t="s">
        <v>16</v>
      </c>
      <c r="F55" s="21">
        <f t="shared" si="0"/>
        <v>88.08</v>
      </c>
      <c r="G55" s="21">
        <f>F55</f>
        <v>88.08</v>
      </c>
      <c r="H55" s="21">
        <f t="shared" si="1"/>
        <v>0</v>
      </c>
      <c r="I55" s="25">
        <v>20987274</v>
      </c>
      <c r="J55" s="223">
        <v>45637</v>
      </c>
    </row>
    <row r="56" spans="1:11" s="6" customFormat="1" x14ac:dyDescent="0.25">
      <c r="A56" s="18">
        <v>53</v>
      </c>
      <c r="B56" s="18">
        <v>2656</v>
      </c>
      <c r="C56" s="19" t="s">
        <v>177</v>
      </c>
      <c r="D56" s="18">
        <v>300.7</v>
      </c>
      <c r="E56" s="20" t="s">
        <v>16</v>
      </c>
      <c r="F56" s="21">
        <f t="shared" si="0"/>
        <v>120.28</v>
      </c>
      <c r="G56" s="21">
        <f>117.29+2.99</f>
        <v>120.28</v>
      </c>
      <c r="H56" s="21">
        <f t="shared" si="1"/>
        <v>0</v>
      </c>
      <c r="I56" s="25">
        <v>21910635</v>
      </c>
      <c r="J56" s="114">
        <v>45601</v>
      </c>
      <c r="K56" s="127">
        <v>45629</v>
      </c>
    </row>
    <row r="57" spans="1:11" s="6" customFormat="1" x14ac:dyDescent="0.25">
      <c r="A57" s="12">
        <v>54</v>
      </c>
      <c r="B57" s="12">
        <v>2657</v>
      </c>
      <c r="C57" s="13" t="s">
        <v>179</v>
      </c>
      <c r="D57" s="12">
        <v>323.7</v>
      </c>
      <c r="E57" s="14" t="s">
        <v>16</v>
      </c>
      <c r="F57" s="15">
        <f t="shared" si="0"/>
        <v>129.47999999999999</v>
      </c>
      <c r="G57" s="15">
        <f>F57</f>
        <v>129.47999999999999</v>
      </c>
      <c r="H57" s="15">
        <f t="shared" si="1"/>
        <v>0</v>
      </c>
      <c r="I57" s="16">
        <v>6502761</v>
      </c>
      <c r="J57" s="16" t="s">
        <v>22</v>
      </c>
    </row>
    <row r="58" spans="1:11" s="6" customFormat="1" x14ac:dyDescent="0.25">
      <c r="A58" s="18">
        <v>55</v>
      </c>
      <c r="B58" s="18">
        <v>2658</v>
      </c>
      <c r="C58" s="19" t="s">
        <v>181</v>
      </c>
      <c r="D58" s="18">
        <v>117.4</v>
      </c>
      <c r="E58" s="38">
        <v>0.4</v>
      </c>
      <c r="F58" s="21">
        <f t="shared" si="0"/>
        <v>46.960000000000008</v>
      </c>
      <c r="G58" s="21">
        <f>F58</f>
        <v>46.960000000000008</v>
      </c>
      <c r="H58" s="21">
        <f t="shared" si="1"/>
        <v>0</v>
      </c>
      <c r="I58" s="25">
        <v>6726168</v>
      </c>
      <c r="J58" s="114">
        <v>45629</v>
      </c>
    </row>
    <row r="59" spans="1:11" s="6" customFormat="1" x14ac:dyDescent="0.25">
      <c r="A59" s="18">
        <v>56</v>
      </c>
      <c r="B59" s="18">
        <v>2659</v>
      </c>
      <c r="C59" s="19" t="s">
        <v>183</v>
      </c>
      <c r="D59" s="18">
        <v>192</v>
      </c>
      <c r="E59" s="38">
        <v>0.4</v>
      </c>
      <c r="F59" s="21">
        <f t="shared" si="0"/>
        <v>76.800000000000011</v>
      </c>
      <c r="G59" s="21">
        <f>75.42+1.38</f>
        <v>76.8</v>
      </c>
      <c r="H59" s="21">
        <f t="shared" si="1"/>
        <v>0</v>
      </c>
      <c r="I59" s="25">
        <v>5796837</v>
      </c>
      <c r="J59" s="114">
        <v>45602</v>
      </c>
      <c r="K59" s="127">
        <v>45629</v>
      </c>
    </row>
    <row r="60" spans="1:11" s="6" customFormat="1" x14ac:dyDescent="0.25">
      <c r="A60" s="18">
        <v>57</v>
      </c>
      <c r="B60" s="18">
        <v>2660</v>
      </c>
      <c r="C60" s="19" t="s">
        <v>185</v>
      </c>
      <c r="D60" s="18">
        <v>346.7</v>
      </c>
      <c r="E60" s="38">
        <v>0.4</v>
      </c>
      <c r="F60" s="21">
        <f t="shared" si="0"/>
        <v>138.68</v>
      </c>
      <c r="G60" s="21">
        <f>137.76+0.92</f>
        <v>138.67999999999998</v>
      </c>
      <c r="H60" s="21">
        <f t="shared" si="1"/>
        <v>0</v>
      </c>
      <c r="I60" s="25">
        <v>7250691</v>
      </c>
      <c r="J60" s="114">
        <v>45601</v>
      </c>
      <c r="K60" s="127">
        <v>45623</v>
      </c>
    </row>
    <row r="61" spans="1:11" s="72" customFormat="1" x14ac:dyDescent="0.25">
      <c r="A61" s="18">
        <v>58</v>
      </c>
      <c r="B61" s="18">
        <v>2661</v>
      </c>
      <c r="C61" s="19" t="s">
        <v>187</v>
      </c>
      <c r="D61" s="18">
        <v>244.5</v>
      </c>
      <c r="E61" s="38">
        <v>0.4</v>
      </c>
      <c r="F61" s="21">
        <f t="shared" si="0"/>
        <v>97.800000000000011</v>
      </c>
      <c r="G61" s="21">
        <f>94.45+3.35</f>
        <v>97.8</v>
      </c>
      <c r="H61" s="21">
        <f t="shared" si="1"/>
        <v>0</v>
      </c>
      <c r="I61" s="25">
        <v>24935198</v>
      </c>
      <c r="J61" s="114">
        <v>45609</v>
      </c>
      <c r="K61" s="142">
        <v>45635</v>
      </c>
    </row>
    <row r="62" spans="1:11" s="6" customFormat="1" x14ac:dyDescent="0.25">
      <c r="A62" s="18">
        <v>59</v>
      </c>
      <c r="B62" s="18">
        <v>2662</v>
      </c>
      <c r="C62" s="19" t="s">
        <v>189</v>
      </c>
      <c r="D62" s="18">
        <v>706.7</v>
      </c>
      <c r="E62" s="38">
        <v>0.4</v>
      </c>
      <c r="F62" s="21">
        <f t="shared" si="0"/>
        <v>282.68</v>
      </c>
      <c r="G62" s="21">
        <f>F62</f>
        <v>282.68</v>
      </c>
      <c r="H62" s="21">
        <f t="shared" si="1"/>
        <v>0</v>
      </c>
      <c r="I62" s="25">
        <v>2931011</v>
      </c>
      <c r="J62" s="114">
        <v>45623</v>
      </c>
    </row>
    <row r="63" spans="1:11" s="6" customFormat="1" x14ac:dyDescent="0.25">
      <c r="A63" s="18">
        <v>60</v>
      </c>
      <c r="B63" s="18">
        <v>2663</v>
      </c>
      <c r="C63" s="19" t="s">
        <v>191</v>
      </c>
      <c r="D63" s="18">
        <v>641.9</v>
      </c>
      <c r="E63" s="38">
        <v>0.4</v>
      </c>
      <c r="F63" s="21">
        <f t="shared" si="0"/>
        <v>256.76</v>
      </c>
      <c r="G63" s="21">
        <f>F63</f>
        <v>256.76</v>
      </c>
      <c r="H63" s="21">
        <f t="shared" si="1"/>
        <v>0</v>
      </c>
      <c r="I63" s="25">
        <v>568448</v>
      </c>
      <c r="J63" s="114">
        <v>45642</v>
      </c>
    </row>
    <row r="64" spans="1:11" s="35" customFormat="1" x14ac:dyDescent="0.25">
      <c r="A64" s="18">
        <v>61</v>
      </c>
      <c r="B64" s="18">
        <v>2665</v>
      </c>
      <c r="C64" s="19" t="s">
        <v>194</v>
      </c>
      <c r="D64" s="18">
        <v>475.5</v>
      </c>
      <c r="E64" s="38">
        <v>0.4</v>
      </c>
      <c r="F64" s="21">
        <f t="shared" si="0"/>
        <v>190.20000000000002</v>
      </c>
      <c r="G64" s="21">
        <f>186.53+3.67</f>
        <v>190.2</v>
      </c>
      <c r="H64" s="21">
        <f t="shared" si="1"/>
        <v>0</v>
      </c>
      <c r="I64" s="25">
        <v>8467055</v>
      </c>
      <c r="J64" s="114">
        <v>45623</v>
      </c>
      <c r="K64" s="129">
        <v>45645</v>
      </c>
    </row>
    <row r="65" spans="1:11" s="35" customFormat="1" x14ac:dyDescent="0.25">
      <c r="A65" s="18">
        <v>62</v>
      </c>
      <c r="B65" s="18">
        <v>2666</v>
      </c>
      <c r="C65" s="19" t="s">
        <v>196</v>
      </c>
      <c r="D65" s="18">
        <v>315.7</v>
      </c>
      <c r="E65" s="38">
        <v>0.4</v>
      </c>
      <c r="F65" s="21">
        <f t="shared" si="0"/>
        <v>126.28</v>
      </c>
      <c r="G65" s="21">
        <f>125.56+0.72</f>
        <v>126.28</v>
      </c>
      <c r="H65" s="21">
        <f t="shared" si="1"/>
        <v>0</v>
      </c>
      <c r="I65" s="25">
        <v>23188968</v>
      </c>
      <c r="J65" s="114">
        <v>45601</v>
      </c>
      <c r="K65" s="129">
        <v>45629</v>
      </c>
    </row>
    <row r="66" spans="1:11" s="35" customFormat="1" x14ac:dyDescent="0.25">
      <c r="A66" s="12">
        <v>63</v>
      </c>
      <c r="B66" s="69">
        <v>2667</v>
      </c>
      <c r="C66" s="70" t="s">
        <v>198</v>
      </c>
      <c r="D66" s="69">
        <v>296.3</v>
      </c>
      <c r="E66" s="34">
        <v>0.4</v>
      </c>
      <c r="F66" s="15">
        <f t="shared" si="0"/>
        <v>118.52000000000001</v>
      </c>
      <c r="G66" s="15">
        <f>F66</f>
        <v>118.52000000000001</v>
      </c>
      <c r="H66" s="15">
        <f t="shared" si="1"/>
        <v>0</v>
      </c>
      <c r="I66" s="16">
        <v>210053</v>
      </c>
      <c r="J66" s="16"/>
    </row>
    <row r="67" spans="1:11" s="35" customFormat="1" x14ac:dyDescent="0.25">
      <c r="A67" s="12">
        <v>64</v>
      </c>
      <c r="B67" s="69">
        <v>2668</v>
      </c>
      <c r="C67" s="70" t="s">
        <v>200</v>
      </c>
      <c r="D67" s="69">
        <v>249.5</v>
      </c>
      <c r="E67" s="34">
        <v>0.4</v>
      </c>
      <c r="F67" s="15">
        <f t="shared" si="0"/>
        <v>99.800000000000011</v>
      </c>
      <c r="G67" s="15">
        <f>F67</f>
        <v>99.800000000000011</v>
      </c>
      <c r="H67" s="15">
        <f t="shared" si="1"/>
        <v>0</v>
      </c>
      <c r="I67" s="16">
        <v>8542496</v>
      </c>
      <c r="J67" s="16"/>
    </row>
    <row r="68" spans="1:11" s="35" customFormat="1" x14ac:dyDescent="0.25">
      <c r="A68" s="96">
        <v>65</v>
      </c>
      <c r="B68" s="96">
        <v>2669</v>
      </c>
      <c r="C68" s="97" t="s">
        <v>202</v>
      </c>
      <c r="D68" s="96">
        <v>333.2</v>
      </c>
      <c r="E68" s="125">
        <v>0.4</v>
      </c>
      <c r="F68" s="99">
        <f t="shared" ref="F68:F127" si="4">D68*E68</f>
        <v>133.28</v>
      </c>
      <c r="G68" s="99">
        <f>F68</f>
        <v>133.28</v>
      </c>
      <c r="H68" s="99">
        <f t="shared" si="1"/>
        <v>0</v>
      </c>
      <c r="I68" s="100">
        <v>6460241</v>
      </c>
      <c r="J68" s="100" t="s">
        <v>317</v>
      </c>
    </row>
    <row r="69" spans="1:11" s="35" customFormat="1" x14ac:dyDescent="0.25">
      <c r="A69" s="12">
        <v>66</v>
      </c>
      <c r="B69" s="69">
        <v>2670</v>
      </c>
      <c r="C69" s="70" t="s">
        <v>205</v>
      </c>
      <c r="D69" s="69">
        <v>348.4</v>
      </c>
      <c r="E69" s="34">
        <v>0.4</v>
      </c>
      <c r="F69" s="15">
        <f t="shared" si="4"/>
        <v>139.35999999999999</v>
      </c>
      <c r="G69" s="15">
        <f>F69</f>
        <v>139.35999999999999</v>
      </c>
      <c r="H69" s="15">
        <f t="shared" ref="H69:H127" si="5">F69-G69</f>
        <v>0</v>
      </c>
      <c r="I69" s="16">
        <v>1481996</v>
      </c>
      <c r="J69" s="16"/>
    </row>
    <row r="70" spans="1:11" s="35" customFormat="1" x14ac:dyDescent="0.25">
      <c r="A70" s="12">
        <v>67</v>
      </c>
      <c r="B70" s="69">
        <v>2671</v>
      </c>
      <c r="C70" s="70" t="s">
        <v>207</v>
      </c>
      <c r="D70" s="69">
        <v>369.6</v>
      </c>
      <c r="E70" s="34">
        <v>0.4</v>
      </c>
      <c r="F70" s="15">
        <f t="shared" si="4"/>
        <v>147.84</v>
      </c>
      <c r="G70" s="15">
        <f t="shared" ref="G70:G72" si="6">F70</f>
        <v>147.84</v>
      </c>
      <c r="H70" s="15">
        <f t="shared" si="5"/>
        <v>0</v>
      </c>
      <c r="I70" s="16">
        <v>19595084</v>
      </c>
      <c r="J70" s="16"/>
    </row>
    <row r="71" spans="1:11" s="35" customFormat="1" x14ac:dyDescent="0.25">
      <c r="A71" s="12">
        <v>68</v>
      </c>
      <c r="B71" s="69">
        <v>2672</v>
      </c>
      <c r="C71" s="70" t="s">
        <v>209</v>
      </c>
      <c r="D71" s="69">
        <v>40.6</v>
      </c>
      <c r="E71" s="34">
        <v>0.4</v>
      </c>
      <c r="F71" s="15">
        <f t="shared" si="4"/>
        <v>16.240000000000002</v>
      </c>
      <c r="G71" s="15">
        <f t="shared" si="6"/>
        <v>16.240000000000002</v>
      </c>
      <c r="H71" s="15">
        <f t="shared" si="5"/>
        <v>0</v>
      </c>
      <c r="I71" s="33">
        <v>21469064</v>
      </c>
      <c r="J71" s="16"/>
    </row>
    <row r="72" spans="1:11" s="35" customFormat="1" x14ac:dyDescent="0.25">
      <c r="A72" s="12">
        <v>69</v>
      </c>
      <c r="B72" s="57">
        <v>2673</v>
      </c>
      <c r="C72" s="13" t="s">
        <v>58</v>
      </c>
      <c r="D72" s="12">
        <v>297.2</v>
      </c>
      <c r="E72" s="34">
        <v>0.4</v>
      </c>
      <c r="F72" s="15">
        <f t="shared" si="4"/>
        <v>118.88</v>
      </c>
      <c r="G72" s="15">
        <f t="shared" si="6"/>
        <v>118.88</v>
      </c>
      <c r="H72" s="15">
        <f t="shared" si="5"/>
        <v>0</v>
      </c>
      <c r="I72" s="33">
        <v>8393437</v>
      </c>
      <c r="J72" s="16"/>
    </row>
    <row r="73" spans="1:11" s="6" customFormat="1" x14ac:dyDescent="0.25">
      <c r="A73" s="18">
        <v>70</v>
      </c>
      <c r="B73" s="18">
        <v>2674</v>
      </c>
      <c r="C73" s="19" t="s">
        <v>37</v>
      </c>
      <c r="D73" s="18">
        <v>319.89999999999998</v>
      </c>
      <c r="E73" s="38">
        <v>0.4</v>
      </c>
      <c r="F73" s="21">
        <f t="shared" si="4"/>
        <v>127.96</v>
      </c>
      <c r="G73" s="21">
        <f>F73</f>
        <v>127.96</v>
      </c>
      <c r="H73" s="21">
        <f t="shared" si="5"/>
        <v>0</v>
      </c>
      <c r="I73" s="25">
        <v>6332118</v>
      </c>
      <c r="J73" s="114">
        <v>45645</v>
      </c>
    </row>
    <row r="74" spans="1:11" s="6" customFormat="1" x14ac:dyDescent="0.25">
      <c r="A74" s="18">
        <v>71</v>
      </c>
      <c r="B74" s="18">
        <v>2675</v>
      </c>
      <c r="C74" s="19" t="s">
        <v>39</v>
      </c>
      <c r="D74" s="18">
        <v>287.5</v>
      </c>
      <c r="E74" s="38">
        <v>0.4</v>
      </c>
      <c r="F74" s="21">
        <f t="shared" si="4"/>
        <v>115</v>
      </c>
      <c r="G74" s="21">
        <f>F74</f>
        <v>115</v>
      </c>
      <c r="H74" s="21">
        <f t="shared" si="5"/>
        <v>0</v>
      </c>
      <c r="I74" s="25">
        <v>6332123</v>
      </c>
      <c r="J74" s="115">
        <v>45645</v>
      </c>
    </row>
    <row r="75" spans="1:11" s="6" customFormat="1" x14ac:dyDescent="0.25">
      <c r="A75" s="18">
        <v>72</v>
      </c>
      <c r="B75" s="18">
        <v>2676</v>
      </c>
      <c r="C75" s="19" t="s">
        <v>59</v>
      </c>
      <c r="D75" s="18">
        <v>251.8</v>
      </c>
      <c r="E75" s="38">
        <v>0.4</v>
      </c>
      <c r="F75" s="21">
        <f t="shared" si="4"/>
        <v>100.72000000000001</v>
      </c>
      <c r="G75" s="21">
        <f>98.41+2.31</f>
        <v>100.72</v>
      </c>
      <c r="H75" s="21">
        <f t="shared" si="5"/>
        <v>0</v>
      </c>
      <c r="I75" s="30">
        <v>568083</v>
      </c>
      <c r="J75" s="114">
        <v>45614</v>
      </c>
      <c r="K75" s="127">
        <v>45628</v>
      </c>
    </row>
    <row r="76" spans="1:11" s="6" customFormat="1" x14ac:dyDescent="0.25">
      <c r="A76" s="18">
        <v>73</v>
      </c>
      <c r="B76" s="18">
        <v>2677</v>
      </c>
      <c r="C76" s="19" t="s">
        <v>214</v>
      </c>
      <c r="D76" s="18">
        <v>338.5</v>
      </c>
      <c r="E76" s="38">
        <v>0.4</v>
      </c>
      <c r="F76" s="21">
        <f t="shared" si="4"/>
        <v>135.4</v>
      </c>
      <c r="G76" s="21">
        <f>F76</f>
        <v>135.4</v>
      </c>
      <c r="H76" s="21">
        <f t="shared" si="5"/>
        <v>0</v>
      </c>
      <c r="I76" s="30">
        <v>7031534</v>
      </c>
      <c r="J76" s="114">
        <v>45658</v>
      </c>
    </row>
    <row r="77" spans="1:11" s="6" customFormat="1" x14ac:dyDescent="0.25">
      <c r="A77" s="18">
        <v>74</v>
      </c>
      <c r="B77" s="18">
        <v>2678</v>
      </c>
      <c r="C77" s="19" t="s">
        <v>216</v>
      </c>
      <c r="D77" s="18">
        <v>623.6</v>
      </c>
      <c r="E77" s="38">
        <v>0.4</v>
      </c>
      <c r="F77" s="21">
        <f t="shared" si="4"/>
        <v>249.44000000000003</v>
      </c>
      <c r="G77" s="21">
        <f>247.71+1.73</f>
        <v>249.44</v>
      </c>
      <c r="H77" s="21">
        <f t="shared" si="5"/>
        <v>0</v>
      </c>
      <c r="I77" s="30">
        <v>7211987</v>
      </c>
      <c r="J77" s="114">
        <v>45602</v>
      </c>
      <c r="K77" s="127">
        <v>45637</v>
      </c>
    </row>
    <row r="78" spans="1:11" s="6" customFormat="1" x14ac:dyDescent="0.25">
      <c r="A78" s="18">
        <v>75</v>
      </c>
      <c r="B78" s="18">
        <v>2680</v>
      </c>
      <c r="C78" s="19" t="s">
        <v>218</v>
      </c>
      <c r="D78" s="18">
        <v>176.4</v>
      </c>
      <c r="E78" s="38">
        <v>0.4</v>
      </c>
      <c r="F78" s="21">
        <f t="shared" si="4"/>
        <v>70.56</v>
      </c>
      <c r="G78" s="21">
        <f>F78</f>
        <v>70.56</v>
      </c>
      <c r="H78" s="21">
        <f t="shared" si="5"/>
        <v>0</v>
      </c>
      <c r="I78" s="30">
        <v>553684</v>
      </c>
      <c r="J78" s="222">
        <v>45637</v>
      </c>
    </row>
    <row r="79" spans="1:11" s="6" customFormat="1" x14ac:dyDescent="0.25">
      <c r="A79" s="12">
        <v>76</v>
      </c>
      <c r="B79" s="69">
        <v>2681</v>
      </c>
      <c r="C79" s="70" t="s">
        <v>61</v>
      </c>
      <c r="D79" s="69">
        <v>217.1</v>
      </c>
      <c r="E79" s="34">
        <v>0.4</v>
      </c>
      <c r="F79" s="15">
        <f t="shared" si="4"/>
        <v>86.84</v>
      </c>
      <c r="G79" s="15">
        <f>F79</f>
        <v>86.84</v>
      </c>
      <c r="H79" s="15">
        <f t="shared" si="5"/>
        <v>0</v>
      </c>
      <c r="I79" s="32">
        <v>23172723</v>
      </c>
      <c r="J79" s="111"/>
    </row>
    <row r="80" spans="1:11" s="6" customFormat="1" x14ac:dyDescent="0.25">
      <c r="A80" s="12">
        <v>77</v>
      </c>
      <c r="B80" s="69">
        <v>2682</v>
      </c>
      <c r="C80" s="70" t="s">
        <v>222</v>
      </c>
      <c r="D80" s="69">
        <v>425</v>
      </c>
      <c r="E80" s="34">
        <v>0.4</v>
      </c>
      <c r="F80" s="15">
        <f t="shared" si="4"/>
        <v>170</v>
      </c>
      <c r="G80" s="15">
        <f t="shared" ref="G80:G81" si="7">F80</f>
        <v>170</v>
      </c>
      <c r="H80" s="15">
        <f t="shared" si="5"/>
        <v>0</v>
      </c>
      <c r="I80" s="32">
        <v>1356383</v>
      </c>
      <c r="J80" s="111"/>
    </row>
    <row r="81" spans="1:11" x14ac:dyDescent="0.25">
      <c r="A81" s="12">
        <v>78</v>
      </c>
      <c r="B81" s="69">
        <v>2683</v>
      </c>
      <c r="C81" s="70" t="s">
        <v>224</v>
      </c>
      <c r="D81" s="69">
        <v>691.5</v>
      </c>
      <c r="E81" s="34">
        <v>0.4</v>
      </c>
      <c r="F81" s="15">
        <f t="shared" si="4"/>
        <v>276.60000000000002</v>
      </c>
      <c r="G81" s="15">
        <f t="shared" si="7"/>
        <v>276.60000000000002</v>
      </c>
      <c r="H81" s="15">
        <f t="shared" si="5"/>
        <v>0</v>
      </c>
      <c r="I81" s="32">
        <v>5912206</v>
      </c>
      <c r="J81" s="111"/>
    </row>
    <row r="82" spans="1:11" s="6" customFormat="1" x14ac:dyDescent="0.25">
      <c r="A82" s="18">
        <v>79</v>
      </c>
      <c r="B82" s="18">
        <v>2684</v>
      </c>
      <c r="C82" s="19" t="s">
        <v>226</v>
      </c>
      <c r="D82" s="18">
        <v>253.3</v>
      </c>
      <c r="E82" s="38">
        <v>0.4</v>
      </c>
      <c r="F82" s="21">
        <f t="shared" si="4"/>
        <v>101.32000000000001</v>
      </c>
      <c r="G82" s="21">
        <f>99.78+1.54</f>
        <v>101.32000000000001</v>
      </c>
      <c r="H82" s="21">
        <f t="shared" si="5"/>
        <v>0</v>
      </c>
      <c r="I82" s="30">
        <v>4768041</v>
      </c>
      <c r="J82" s="131">
        <v>45601</v>
      </c>
      <c r="K82" s="127">
        <v>45635</v>
      </c>
    </row>
    <row r="83" spans="1:11" s="6" customFormat="1" x14ac:dyDescent="0.25">
      <c r="A83" s="18">
        <v>80</v>
      </c>
      <c r="B83" s="18">
        <v>2685</v>
      </c>
      <c r="C83" s="19" t="s">
        <v>228</v>
      </c>
      <c r="D83" s="18">
        <v>245.1</v>
      </c>
      <c r="E83" s="38">
        <v>0.4</v>
      </c>
      <c r="F83" s="21">
        <f t="shared" si="4"/>
        <v>98.04</v>
      </c>
      <c r="G83" s="21">
        <f>97.48+0.56</f>
        <v>98.04</v>
      </c>
      <c r="H83" s="21">
        <f t="shared" si="5"/>
        <v>0</v>
      </c>
      <c r="I83" s="30">
        <v>25026854</v>
      </c>
      <c r="J83" s="116">
        <v>45601</v>
      </c>
      <c r="K83" s="127">
        <v>45629</v>
      </c>
    </row>
    <row r="84" spans="1:11" s="6" customFormat="1" x14ac:dyDescent="0.25">
      <c r="A84" s="12">
        <v>81</v>
      </c>
      <c r="B84" s="69">
        <v>2686</v>
      </c>
      <c r="C84" s="70" t="s">
        <v>230</v>
      </c>
      <c r="D84" s="36">
        <v>467.6</v>
      </c>
      <c r="E84" s="34">
        <v>0.4</v>
      </c>
      <c r="F84" s="15">
        <f t="shared" si="4"/>
        <v>187.04000000000002</v>
      </c>
      <c r="G84" s="15">
        <f>F84</f>
        <v>187.04000000000002</v>
      </c>
      <c r="H84" s="15">
        <f t="shared" si="5"/>
        <v>0</v>
      </c>
      <c r="I84" s="32">
        <v>6064295</v>
      </c>
      <c r="J84" s="111"/>
    </row>
    <row r="85" spans="1:11" s="6" customFormat="1" x14ac:dyDescent="0.25">
      <c r="A85" s="18">
        <v>82</v>
      </c>
      <c r="B85" s="18">
        <v>2687</v>
      </c>
      <c r="C85" s="144" t="s">
        <v>62</v>
      </c>
      <c r="D85" s="37">
        <v>337</v>
      </c>
      <c r="E85" s="38">
        <v>0.4</v>
      </c>
      <c r="F85" s="21">
        <f t="shared" si="4"/>
        <v>134.80000000000001</v>
      </c>
      <c r="G85" s="21">
        <f>131.61+3.19</f>
        <v>134.80000000000001</v>
      </c>
      <c r="H85" s="21">
        <f t="shared" si="5"/>
        <v>0</v>
      </c>
      <c r="I85" s="30">
        <v>14175595</v>
      </c>
      <c r="J85" s="115">
        <v>45615</v>
      </c>
      <c r="K85" s="127">
        <v>45605</v>
      </c>
    </row>
    <row r="86" spans="1:11" s="6" customFormat="1" x14ac:dyDescent="0.25">
      <c r="A86" s="18">
        <v>83</v>
      </c>
      <c r="B86" s="18">
        <v>2688</v>
      </c>
      <c r="C86" s="25" t="s">
        <v>234</v>
      </c>
      <c r="D86" s="37">
        <v>493</v>
      </c>
      <c r="E86" s="38">
        <v>0.4</v>
      </c>
      <c r="F86" s="21">
        <f t="shared" si="4"/>
        <v>197.20000000000002</v>
      </c>
      <c r="G86" s="21">
        <f>194.24+2.96</f>
        <v>197.20000000000002</v>
      </c>
      <c r="H86" s="21">
        <f t="shared" si="5"/>
        <v>0</v>
      </c>
      <c r="I86" s="30">
        <v>18647005</v>
      </c>
      <c r="J86" s="115">
        <v>45607</v>
      </c>
      <c r="K86" s="127">
        <v>45635</v>
      </c>
    </row>
    <row r="87" spans="1:11" s="6" customFormat="1" x14ac:dyDescent="0.25">
      <c r="A87" s="18">
        <v>84</v>
      </c>
      <c r="B87" s="18">
        <v>2689</v>
      </c>
      <c r="C87" s="25" t="s">
        <v>236</v>
      </c>
      <c r="D87" s="37">
        <v>428.6</v>
      </c>
      <c r="E87" s="38">
        <v>0.4</v>
      </c>
      <c r="F87" s="21">
        <f t="shared" si="4"/>
        <v>171.44000000000003</v>
      </c>
      <c r="G87" s="21">
        <f>167.86+3.58</f>
        <v>171.44000000000003</v>
      </c>
      <c r="H87" s="21">
        <f t="shared" si="5"/>
        <v>0</v>
      </c>
      <c r="I87" s="30">
        <v>1527206</v>
      </c>
      <c r="J87" s="115">
        <v>45601</v>
      </c>
      <c r="K87" s="6" t="s">
        <v>320</v>
      </c>
    </row>
    <row r="88" spans="1:11" s="6" customFormat="1" x14ac:dyDescent="0.25">
      <c r="A88" s="18">
        <v>85</v>
      </c>
      <c r="B88" s="18">
        <v>2690</v>
      </c>
      <c r="C88" s="25" t="s">
        <v>238</v>
      </c>
      <c r="D88" s="37">
        <v>567.70000000000005</v>
      </c>
      <c r="E88" s="38">
        <v>0.4</v>
      </c>
      <c r="F88" s="21">
        <f t="shared" si="4"/>
        <v>227.08000000000004</v>
      </c>
      <c r="G88" s="21">
        <f>226.52+0.56</f>
        <v>227.08</v>
      </c>
      <c r="H88" s="21">
        <f t="shared" si="5"/>
        <v>0</v>
      </c>
      <c r="I88" s="30">
        <v>7376171</v>
      </c>
      <c r="J88" s="116">
        <v>45601</v>
      </c>
      <c r="K88" s="127">
        <v>45630</v>
      </c>
    </row>
    <row r="89" spans="1:11" s="6" customFormat="1" x14ac:dyDescent="0.25">
      <c r="A89" s="96">
        <v>86</v>
      </c>
      <c r="B89" s="96">
        <v>2691</v>
      </c>
      <c r="C89" s="100" t="s">
        <v>240</v>
      </c>
      <c r="D89" s="124">
        <v>434.7</v>
      </c>
      <c r="E89" s="125">
        <v>0.4</v>
      </c>
      <c r="F89" s="99">
        <f t="shared" si="4"/>
        <v>173.88</v>
      </c>
      <c r="G89" s="99">
        <f>F89</f>
        <v>173.88</v>
      </c>
      <c r="H89" s="99">
        <f t="shared" si="5"/>
        <v>0</v>
      </c>
      <c r="I89" s="102">
        <v>7376203</v>
      </c>
      <c r="J89" s="126" t="s">
        <v>317</v>
      </c>
    </row>
    <row r="90" spans="1:11" s="6" customFormat="1" x14ac:dyDescent="0.25">
      <c r="A90" s="18">
        <v>87</v>
      </c>
      <c r="B90" s="18">
        <v>2692</v>
      </c>
      <c r="C90" s="25" t="s">
        <v>243</v>
      </c>
      <c r="D90" s="37">
        <v>588.79999999999995</v>
      </c>
      <c r="E90" s="38">
        <v>0.4</v>
      </c>
      <c r="F90" s="21">
        <f t="shared" si="4"/>
        <v>235.51999999999998</v>
      </c>
      <c r="G90" s="21">
        <f>231.06+4.46</f>
        <v>235.52</v>
      </c>
      <c r="H90" s="21">
        <f t="shared" si="5"/>
        <v>0</v>
      </c>
      <c r="I90" s="30">
        <v>626838</v>
      </c>
      <c r="J90" s="116">
        <v>45601</v>
      </c>
      <c r="K90" s="127">
        <v>45628</v>
      </c>
    </row>
    <row r="91" spans="1:11" s="6" customFormat="1" x14ac:dyDescent="0.25">
      <c r="A91" s="18">
        <v>88</v>
      </c>
      <c r="B91" s="18">
        <v>2693</v>
      </c>
      <c r="C91" s="25" t="s">
        <v>245</v>
      </c>
      <c r="D91" s="37">
        <v>379.7</v>
      </c>
      <c r="E91" s="38">
        <v>0.4</v>
      </c>
      <c r="F91" s="21">
        <f t="shared" si="4"/>
        <v>151.88</v>
      </c>
      <c r="G91" s="21">
        <f>149.94+1.94</f>
        <v>151.88</v>
      </c>
      <c r="H91" s="21">
        <f t="shared" si="5"/>
        <v>0</v>
      </c>
      <c r="I91" s="30">
        <v>20233513</v>
      </c>
      <c r="J91" s="116">
        <v>45601</v>
      </c>
      <c r="K91" s="127">
        <v>45630</v>
      </c>
    </row>
    <row r="92" spans="1:11" s="6" customFormat="1" x14ac:dyDescent="0.25">
      <c r="A92" s="12">
        <v>89</v>
      </c>
      <c r="B92" s="69">
        <v>2694</v>
      </c>
      <c r="C92" s="16" t="s">
        <v>248</v>
      </c>
      <c r="D92" s="36">
        <v>149.5</v>
      </c>
      <c r="E92" s="34">
        <v>0.4</v>
      </c>
      <c r="F92" s="15">
        <f t="shared" si="4"/>
        <v>59.800000000000004</v>
      </c>
      <c r="G92" s="15">
        <f>F92</f>
        <v>59.800000000000004</v>
      </c>
      <c r="H92" s="15">
        <f t="shared" si="5"/>
        <v>0</v>
      </c>
      <c r="I92" s="32">
        <v>18620904</v>
      </c>
      <c r="J92" s="33"/>
    </row>
    <row r="93" spans="1:11" s="6" customFormat="1" x14ac:dyDescent="0.25">
      <c r="A93" s="18">
        <v>90</v>
      </c>
      <c r="B93" s="18">
        <v>2697</v>
      </c>
      <c r="C93" s="25" t="s">
        <v>250</v>
      </c>
      <c r="D93" s="37">
        <v>398.3</v>
      </c>
      <c r="E93" s="38">
        <v>0.4</v>
      </c>
      <c r="F93" s="21">
        <f t="shared" si="4"/>
        <v>159.32000000000002</v>
      </c>
      <c r="G93" s="21">
        <f>155.9+3.42</f>
        <v>159.32</v>
      </c>
      <c r="H93" s="21">
        <f t="shared" si="5"/>
        <v>0</v>
      </c>
      <c r="I93" s="30">
        <v>24992357</v>
      </c>
      <c r="J93" s="116">
        <v>45601</v>
      </c>
      <c r="K93" s="127">
        <v>45630</v>
      </c>
    </row>
    <row r="94" spans="1:11" s="6" customFormat="1" x14ac:dyDescent="0.25">
      <c r="A94" s="18">
        <v>91</v>
      </c>
      <c r="B94" s="18">
        <v>2698</v>
      </c>
      <c r="C94" s="25" t="s">
        <v>63</v>
      </c>
      <c r="D94" s="37">
        <v>645.5</v>
      </c>
      <c r="E94" s="38">
        <v>0.4</v>
      </c>
      <c r="F94" s="21">
        <f t="shared" si="4"/>
        <v>258.2</v>
      </c>
      <c r="G94" s="21">
        <f>F94</f>
        <v>258.2</v>
      </c>
      <c r="H94" s="21">
        <f t="shared" si="5"/>
        <v>0</v>
      </c>
      <c r="I94" s="30">
        <v>21332246</v>
      </c>
      <c r="J94" s="115">
        <v>45630</v>
      </c>
    </row>
    <row r="95" spans="1:11" s="6" customFormat="1" x14ac:dyDescent="0.25">
      <c r="A95" s="18">
        <v>92</v>
      </c>
      <c r="B95" s="18">
        <v>2699</v>
      </c>
      <c r="C95" s="25" t="s">
        <v>253</v>
      </c>
      <c r="D95" s="37">
        <v>274.2</v>
      </c>
      <c r="E95" s="38">
        <v>0.4</v>
      </c>
      <c r="F95" s="21">
        <f t="shared" si="4"/>
        <v>109.68</v>
      </c>
      <c r="G95" s="21">
        <f>F95</f>
        <v>109.68</v>
      </c>
      <c r="H95" s="21">
        <f t="shared" si="5"/>
        <v>0</v>
      </c>
      <c r="I95" s="30">
        <v>5031003</v>
      </c>
      <c r="J95" s="115">
        <v>45635</v>
      </c>
    </row>
    <row r="96" spans="1:11" s="6" customFormat="1" x14ac:dyDescent="0.25">
      <c r="A96" s="18">
        <v>93</v>
      </c>
      <c r="B96" s="18">
        <v>2700</v>
      </c>
      <c r="C96" s="25" t="s">
        <v>254</v>
      </c>
      <c r="D96" s="37">
        <v>93</v>
      </c>
      <c r="E96" s="38">
        <v>0.4</v>
      </c>
      <c r="F96" s="21">
        <f t="shared" si="4"/>
        <v>37.200000000000003</v>
      </c>
      <c r="G96" s="21">
        <f>F96</f>
        <v>37.200000000000003</v>
      </c>
      <c r="H96" s="21">
        <f t="shared" si="5"/>
        <v>0</v>
      </c>
      <c r="I96" s="30">
        <v>2216024</v>
      </c>
      <c r="J96" s="115">
        <v>45629</v>
      </c>
    </row>
    <row r="97" spans="1:11" s="6" customFormat="1" x14ac:dyDescent="0.25">
      <c r="A97" s="18">
        <v>94</v>
      </c>
      <c r="B97" s="18">
        <v>2702</v>
      </c>
      <c r="C97" s="25" t="s">
        <v>256</v>
      </c>
      <c r="D97" s="37">
        <v>697.8</v>
      </c>
      <c r="E97" s="38">
        <v>0.4</v>
      </c>
      <c r="F97" s="21">
        <f t="shared" si="4"/>
        <v>279.12</v>
      </c>
      <c r="G97" s="21">
        <f>F97</f>
        <v>279.12</v>
      </c>
      <c r="H97" s="21">
        <f t="shared" si="5"/>
        <v>0</v>
      </c>
      <c r="I97" s="30">
        <v>2045458</v>
      </c>
      <c r="J97" s="115">
        <v>45663</v>
      </c>
    </row>
    <row r="98" spans="1:11" s="6" customFormat="1" x14ac:dyDescent="0.25">
      <c r="A98" s="18">
        <v>95</v>
      </c>
      <c r="B98" s="18">
        <v>2703</v>
      </c>
      <c r="C98" s="25" t="s">
        <v>258</v>
      </c>
      <c r="D98" s="37">
        <v>203.3</v>
      </c>
      <c r="E98" s="38">
        <v>0.4</v>
      </c>
      <c r="F98" s="21">
        <f t="shared" si="4"/>
        <v>81.320000000000007</v>
      </c>
      <c r="G98" s="21">
        <f>76.74+4.58</f>
        <v>81.319999999999993</v>
      </c>
      <c r="H98" s="21">
        <f t="shared" si="5"/>
        <v>0</v>
      </c>
      <c r="I98" s="30">
        <v>652182</v>
      </c>
      <c r="J98" s="115">
        <v>45601</v>
      </c>
      <c r="K98" s="127">
        <v>45629</v>
      </c>
    </row>
    <row r="99" spans="1:11" s="6" customFormat="1" x14ac:dyDescent="0.25">
      <c r="A99" s="18">
        <v>96</v>
      </c>
      <c r="B99" s="18">
        <v>2706</v>
      </c>
      <c r="C99" s="25" t="s">
        <v>260</v>
      </c>
      <c r="D99" s="37">
        <v>450.7</v>
      </c>
      <c r="E99" s="38">
        <v>0.4</v>
      </c>
      <c r="F99" s="21">
        <f t="shared" si="4"/>
        <v>180.28</v>
      </c>
      <c r="G99" s="21">
        <f>180.09+0.19</f>
        <v>180.28</v>
      </c>
      <c r="H99" s="21">
        <f t="shared" si="5"/>
        <v>0</v>
      </c>
      <c r="I99" s="30">
        <v>23144392</v>
      </c>
      <c r="J99" s="115">
        <v>45602</v>
      </c>
      <c r="K99" s="127">
        <v>45629</v>
      </c>
    </row>
    <row r="100" spans="1:11" s="6" customFormat="1" ht="14.25" customHeight="1" x14ac:dyDescent="0.25">
      <c r="A100" s="12">
        <v>97</v>
      </c>
      <c r="B100" s="69">
        <v>2707</v>
      </c>
      <c r="C100" s="16" t="s">
        <v>262</v>
      </c>
      <c r="D100" s="36">
        <v>515.70000000000005</v>
      </c>
      <c r="E100" s="34">
        <v>0.4</v>
      </c>
      <c r="F100" s="15">
        <f t="shared" si="4"/>
        <v>206.28000000000003</v>
      </c>
      <c r="G100" s="15">
        <f>F100</f>
        <v>206.28000000000003</v>
      </c>
      <c r="H100" s="15">
        <f t="shared" si="5"/>
        <v>0</v>
      </c>
      <c r="I100" s="32">
        <v>7026153</v>
      </c>
      <c r="J100" s="33"/>
    </row>
    <row r="101" spans="1:11" s="260" customFormat="1" x14ac:dyDescent="0.25">
      <c r="A101" s="252">
        <v>98</v>
      </c>
      <c r="B101" s="252">
        <v>2708</v>
      </c>
      <c r="C101" s="253" t="s">
        <v>41</v>
      </c>
      <c r="D101" s="254"/>
      <c r="E101" s="255">
        <v>0.4</v>
      </c>
      <c r="F101" s="256">
        <f t="shared" si="4"/>
        <v>0</v>
      </c>
      <c r="G101" s="256">
        <f t="shared" ref="G101:G102" si="8">F101</f>
        <v>0</v>
      </c>
      <c r="H101" s="256">
        <f t="shared" si="5"/>
        <v>0</v>
      </c>
      <c r="I101" s="257">
        <v>426432</v>
      </c>
      <c r="J101" s="261"/>
    </row>
    <row r="102" spans="1:11" s="6" customFormat="1" x14ac:dyDescent="0.25">
      <c r="A102" s="12">
        <v>99</v>
      </c>
      <c r="B102" s="69">
        <v>2710</v>
      </c>
      <c r="C102" s="16" t="s">
        <v>265</v>
      </c>
      <c r="D102" s="36">
        <v>327.3</v>
      </c>
      <c r="E102" s="34">
        <v>0.4</v>
      </c>
      <c r="F102" s="15">
        <f t="shared" si="4"/>
        <v>130.92000000000002</v>
      </c>
      <c r="G102" s="15">
        <f t="shared" si="8"/>
        <v>130.92000000000002</v>
      </c>
      <c r="H102" s="15">
        <f t="shared" si="5"/>
        <v>0</v>
      </c>
      <c r="I102" s="32">
        <v>944469</v>
      </c>
      <c r="J102" s="33"/>
    </row>
    <row r="103" spans="1:11" s="6" customFormat="1" x14ac:dyDescent="0.25">
      <c r="A103" s="18">
        <v>100</v>
      </c>
      <c r="B103" s="18">
        <v>2711</v>
      </c>
      <c r="C103" s="25" t="s">
        <v>267</v>
      </c>
      <c r="D103" s="37">
        <v>287</v>
      </c>
      <c r="E103" s="38">
        <v>0.4</v>
      </c>
      <c r="F103" s="21">
        <f t="shared" si="4"/>
        <v>114.80000000000001</v>
      </c>
      <c r="G103" s="21">
        <f>113.53+1.27</f>
        <v>114.8</v>
      </c>
      <c r="H103" s="21">
        <f t="shared" si="5"/>
        <v>0</v>
      </c>
      <c r="I103" s="30">
        <v>5775933</v>
      </c>
      <c r="J103" s="115">
        <v>45621</v>
      </c>
      <c r="K103" s="115">
        <v>45623</v>
      </c>
    </row>
    <row r="104" spans="1:11" s="6" customFormat="1" x14ac:dyDescent="0.25">
      <c r="A104" s="18">
        <v>101</v>
      </c>
      <c r="B104" s="18">
        <v>2712</v>
      </c>
      <c r="C104" s="25" t="s">
        <v>64</v>
      </c>
      <c r="D104" s="37">
        <v>293.39999999999998</v>
      </c>
      <c r="E104" s="38">
        <v>0.4</v>
      </c>
      <c r="F104" s="21">
        <f t="shared" si="4"/>
        <v>117.36</v>
      </c>
      <c r="G104" s="21">
        <f>F104</f>
        <v>117.36</v>
      </c>
      <c r="H104" s="21">
        <f t="shared" si="5"/>
        <v>0</v>
      </c>
      <c r="I104" s="30">
        <v>2439264</v>
      </c>
      <c r="J104" s="115">
        <v>45623</v>
      </c>
    </row>
    <row r="105" spans="1:11" s="6" customFormat="1" x14ac:dyDescent="0.25">
      <c r="A105" s="12">
        <v>102</v>
      </c>
      <c r="B105" s="69">
        <v>2714</v>
      </c>
      <c r="C105" s="16" t="s">
        <v>270</v>
      </c>
      <c r="D105" s="36">
        <v>297.2</v>
      </c>
      <c r="E105" s="34">
        <v>0.4</v>
      </c>
      <c r="F105" s="15">
        <f t="shared" si="4"/>
        <v>118.88</v>
      </c>
      <c r="G105" s="15">
        <f>F105</f>
        <v>118.88</v>
      </c>
      <c r="H105" s="15">
        <f t="shared" si="5"/>
        <v>0</v>
      </c>
      <c r="I105" s="32">
        <v>18813939</v>
      </c>
      <c r="J105" s="33"/>
    </row>
    <row r="106" spans="1:11" s="6" customFormat="1" x14ac:dyDescent="0.25">
      <c r="A106" s="12">
        <v>103</v>
      </c>
      <c r="B106" s="69">
        <v>2715</v>
      </c>
      <c r="C106" s="16" t="s">
        <v>272</v>
      </c>
      <c r="D106" s="36">
        <v>299.60000000000002</v>
      </c>
      <c r="E106" s="34">
        <v>0.4</v>
      </c>
      <c r="F106" s="15">
        <f t="shared" si="4"/>
        <v>119.84000000000002</v>
      </c>
      <c r="G106" s="15">
        <f t="shared" ref="G106:G109" si="9">F106</f>
        <v>119.84000000000002</v>
      </c>
      <c r="H106" s="15">
        <f t="shared" si="5"/>
        <v>0</v>
      </c>
      <c r="I106" s="32">
        <v>5571701</v>
      </c>
      <c r="J106" s="33"/>
    </row>
    <row r="107" spans="1:11" s="6" customFormat="1" x14ac:dyDescent="0.25">
      <c r="A107" s="12">
        <v>104</v>
      </c>
      <c r="B107" s="69">
        <v>2716</v>
      </c>
      <c r="C107" s="16" t="s">
        <v>274</v>
      </c>
      <c r="D107" s="36">
        <v>308</v>
      </c>
      <c r="E107" s="34">
        <v>0.4</v>
      </c>
      <c r="F107" s="15">
        <f t="shared" si="4"/>
        <v>123.2</v>
      </c>
      <c r="G107" s="15">
        <f t="shared" si="9"/>
        <v>123.2</v>
      </c>
      <c r="H107" s="15">
        <f t="shared" si="5"/>
        <v>0</v>
      </c>
      <c r="I107" s="32">
        <v>1398299</v>
      </c>
      <c r="J107" s="33"/>
    </row>
    <row r="108" spans="1:11" s="6" customFormat="1" x14ac:dyDescent="0.25">
      <c r="A108" s="12">
        <v>105</v>
      </c>
      <c r="B108" s="69">
        <v>2717</v>
      </c>
      <c r="C108" s="16" t="s">
        <v>277</v>
      </c>
      <c r="D108" s="36">
        <v>323.39999999999998</v>
      </c>
      <c r="E108" s="34">
        <v>0.4</v>
      </c>
      <c r="F108" s="15">
        <f t="shared" si="4"/>
        <v>129.35999999999999</v>
      </c>
      <c r="G108" s="15">
        <f t="shared" si="9"/>
        <v>129.35999999999999</v>
      </c>
      <c r="H108" s="15">
        <f t="shared" si="5"/>
        <v>0</v>
      </c>
      <c r="I108" s="32">
        <v>5968087</v>
      </c>
      <c r="J108" s="33"/>
    </row>
    <row r="109" spans="1:11" s="6" customFormat="1" x14ac:dyDescent="0.25">
      <c r="A109" s="12">
        <v>106</v>
      </c>
      <c r="B109" s="69">
        <v>2718</v>
      </c>
      <c r="C109" s="16" t="s">
        <v>279</v>
      </c>
      <c r="D109" s="36">
        <v>309.39999999999998</v>
      </c>
      <c r="E109" s="34">
        <v>0.4</v>
      </c>
      <c r="F109" s="15">
        <f t="shared" si="4"/>
        <v>123.75999999999999</v>
      </c>
      <c r="G109" s="15">
        <f t="shared" si="9"/>
        <v>123.75999999999999</v>
      </c>
      <c r="H109" s="15">
        <f t="shared" si="5"/>
        <v>0</v>
      </c>
      <c r="I109" s="32">
        <v>5571729</v>
      </c>
      <c r="J109" s="33"/>
    </row>
    <row r="110" spans="1:11" s="6" customFormat="1" x14ac:dyDescent="0.25">
      <c r="A110" s="18">
        <v>107</v>
      </c>
      <c r="B110" s="80">
        <v>2719</v>
      </c>
      <c r="C110" s="25" t="s">
        <v>281</v>
      </c>
      <c r="D110" s="37">
        <v>570.70000000000005</v>
      </c>
      <c r="E110" s="38">
        <v>0.4</v>
      </c>
      <c r="F110" s="21">
        <f t="shared" si="4"/>
        <v>228.28000000000003</v>
      </c>
      <c r="G110" s="21">
        <f>223.76+4.52</f>
        <v>228.28</v>
      </c>
      <c r="H110" s="21">
        <f t="shared" si="5"/>
        <v>0</v>
      </c>
      <c r="I110" s="30">
        <v>925058</v>
      </c>
      <c r="J110" s="115">
        <v>45601</v>
      </c>
      <c r="K110" s="127">
        <v>45635</v>
      </c>
    </row>
    <row r="111" spans="1:11" s="6" customFormat="1" x14ac:dyDescent="0.25">
      <c r="A111" s="18">
        <v>108</v>
      </c>
      <c r="B111" s="80">
        <v>2721</v>
      </c>
      <c r="C111" s="25" t="s">
        <v>284</v>
      </c>
      <c r="D111" s="18">
        <v>561.4</v>
      </c>
      <c r="E111" s="38">
        <v>0.4</v>
      </c>
      <c r="F111" s="21">
        <f t="shared" si="4"/>
        <v>224.56</v>
      </c>
      <c r="G111" s="21">
        <f>221.68+2.88</f>
        <v>224.56</v>
      </c>
      <c r="H111" s="21">
        <f t="shared" si="5"/>
        <v>0</v>
      </c>
      <c r="I111" s="30">
        <v>7673741</v>
      </c>
      <c r="J111" s="115">
        <v>45607</v>
      </c>
      <c r="K111" s="127">
        <v>45629</v>
      </c>
    </row>
    <row r="112" spans="1:11" s="6" customFormat="1" x14ac:dyDescent="0.25">
      <c r="A112" s="18">
        <v>109</v>
      </c>
      <c r="B112" s="80">
        <v>2722</v>
      </c>
      <c r="C112" s="19" t="s">
        <v>66</v>
      </c>
      <c r="D112" s="18">
        <v>208.9</v>
      </c>
      <c r="E112" s="38">
        <v>0.4</v>
      </c>
      <c r="F112" s="21">
        <f t="shared" si="4"/>
        <v>83.56</v>
      </c>
      <c r="G112" s="21">
        <f>82.38+1.18</f>
        <v>83.56</v>
      </c>
      <c r="H112" s="21">
        <f t="shared" si="5"/>
        <v>0</v>
      </c>
      <c r="I112" s="30">
        <v>675043</v>
      </c>
      <c r="J112" s="115">
        <v>45602</v>
      </c>
      <c r="K112" s="127">
        <v>45623</v>
      </c>
    </row>
    <row r="113" spans="1:11" s="6" customFormat="1" x14ac:dyDescent="0.25">
      <c r="A113" s="18">
        <v>110</v>
      </c>
      <c r="B113" s="80">
        <v>2724</v>
      </c>
      <c r="C113" s="84" t="s">
        <v>287</v>
      </c>
      <c r="D113" s="18">
        <v>566.6</v>
      </c>
      <c r="E113" s="38">
        <v>0.4</v>
      </c>
      <c r="F113" s="21">
        <f t="shared" si="4"/>
        <v>226.64000000000001</v>
      </c>
      <c r="G113" s="21">
        <f>F113</f>
        <v>226.64000000000001</v>
      </c>
      <c r="H113" s="21">
        <f t="shared" si="5"/>
        <v>0</v>
      </c>
      <c r="I113" s="30">
        <v>272921</v>
      </c>
      <c r="J113" s="115">
        <v>45645</v>
      </c>
    </row>
    <row r="114" spans="1:11" s="6" customFormat="1" x14ac:dyDescent="0.25">
      <c r="A114" s="18">
        <v>111</v>
      </c>
      <c r="B114" s="80">
        <v>2725</v>
      </c>
      <c r="C114" s="84" t="s">
        <v>289</v>
      </c>
      <c r="D114" s="18">
        <v>686.4</v>
      </c>
      <c r="E114" s="38">
        <v>0.4</v>
      </c>
      <c r="F114" s="21">
        <f t="shared" si="4"/>
        <v>274.56</v>
      </c>
      <c r="G114" s="21">
        <f>192.16+82.4</f>
        <v>274.56</v>
      </c>
      <c r="H114" s="21">
        <f t="shared" si="5"/>
        <v>0</v>
      </c>
      <c r="I114" s="30">
        <v>21910195</v>
      </c>
      <c r="J114" s="115">
        <v>45615</v>
      </c>
      <c r="K114" s="127">
        <v>45629</v>
      </c>
    </row>
    <row r="115" spans="1:11" s="6" customFormat="1" x14ac:dyDescent="0.25">
      <c r="A115" s="12">
        <v>112</v>
      </c>
      <c r="B115" s="81">
        <v>2726</v>
      </c>
      <c r="C115" s="82" t="s">
        <v>293</v>
      </c>
      <c r="D115" s="12">
        <v>352.6</v>
      </c>
      <c r="E115" s="34">
        <v>0.4</v>
      </c>
      <c r="F115" s="15">
        <f t="shared" si="4"/>
        <v>141.04000000000002</v>
      </c>
      <c r="G115" s="15">
        <f>F115</f>
        <v>141.04000000000002</v>
      </c>
      <c r="H115" s="15">
        <f t="shared" si="5"/>
        <v>0</v>
      </c>
      <c r="I115" s="32">
        <v>5932095</v>
      </c>
      <c r="J115" s="33"/>
    </row>
    <row r="116" spans="1:11" s="6" customFormat="1" x14ac:dyDescent="0.25">
      <c r="A116" s="18">
        <v>113</v>
      </c>
      <c r="B116" s="80">
        <v>2727</v>
      </c>
      <c r="C116" s="84" t="s">
        <v>294</v>
      </c>
      <c r="D116" s="18">
        <v>203.5</v>
      </c>
      <c r="E116" s="38">
        <v>0.4</v>
      </c>
      <c r="F116" s="21">
        <f t="shared" si="4"/>
        <v>81.400000000000006</v>
      </c>
      <c r="G116" s="21">
        <f>F116</f>
        <v>81.400000000000006</v>
      </c>
      <c r="H116" s="21">
        <f t="shared" si="5"/>
        <v>0</v>
      </c>
      <c r="I116" s="30">
        <v>14874655</v>
      </c>
      <c r="J116" s="115">
        <v>45670</v>
      </c>
    </row>
    <row r="117" spans="1:11" s="6" customFormat="1" x14ac:dyDescent="0.25">
      <c r="A117" s="12">
        <v>114</v>
      </c>
      <c r="B117" s="81">
        <v>2728</v>
      </c>
      <c r="C117" s="83" t="s">
        <v>295</v>
      </c>
      <c r="D117" s="12">
        <v>278.8</v>
      </c>
      <c r="E117" s="34">
        <v>0.4</v>
      </c>
      <c r="F117" s="15">
        <f t="shared" si="4"/>
        <v>111.52000000000001</v>
      </c>
      <c r="G117" s="15">
        <f>F117</f>
        <v>111.52000000000001</v>
      </c>
      <c r="H117" s="15">
        <f t="shared" si="5"/>
        <v>0</v>
      </c>
      <c r="I117" s="32">
        <v>6300163</v>
      </c>
      <c r="J117" s="33"/>
    </row>
    <row r="118" spans="1:11" s="6" customFormat="1" x14ac:dyDescent="0.25">
      <c r="A118" s="12">
        <v>115</v>
      </c>
      <c r="B118" s="81">
        <v>2729</v>
      </c>
      <c r="C118" s="83" t="s">
        <v>297</v>
      </c>
      <c r="D118" s="12">
        <v>212.8</v>
      </c>
      <c r="E118" s="34">
        <v>0.4</v>
      </c>
      <c r="F118" s="15">
        <f t="shared" si="4"/>
        <v>85.12</v>
      </c>
      <c r="G118" s="15">
        <f>F118</f>
        <v>85.12</v>
      </c>
      <c r="H118" s="15">
        <f t="shared" si="5"/>
        <v>0</v>
      </c>
      <c r="I118" s="32">
        <v>21145036</v>
      </c>
      <c r="J118" s="33"/>
    </row>
    <row r="119" spans="1:11" s="6" customFormat="1" x14ac:dyDescent="0.25">
      <c r="A119" s="18">
        <v>116</v>
      </c>
      <c r="B119" s="80">
        <v>2730</v>
      </c>
      <c r="C119" s="84" t="s">
        <v>67</v>
      </c>
      <c r="D119" s="18">
        <v>462.4</v>
      </c>
      <c r="E119" s="38">
        <v>0.4</v>
      </c>
      <c r="F119" s="21">
        <f t="shared" si="4"/>
        <v>184.96</v>
      </c>
      <c r="G119" s="21">
        <f>181.59+3.37</f>
        <v>184.96</v>
      </c>
      <c r="H119" s="21">
        <f t="shared" si="5"/>
        <v>0</v>
      </c>
      <c r="I119" s="30">
        <v>5138892</v>
      </c>
      <c r="J119" s="115">
        <v>45621</v>
      </c>
      <c r="K119" s="127">
        <v>45623</v>
      </c>
    </row>
    <row r="120" spans="1:11" s="6" customFormat="1" x14ac:dyDescent="0.25">
      <c r="A120" s="18">
        <v>117</v>
      </c>
      <c r="B120" s="80">
        <v>2731</v>
      </c>
      <c r="C120" s="25" t="s">
        <v>300</v>
      </c>
      <c r="D120" s="18">
        <v>241.9</v>
      </c>
      <c r="E120" s="38">
        <v>0.4</v>
      </c>
      <c r="F120" s="21">
        <f t="shared" si="4"/>
        <v>96.76</v>
      </c>
      <c r="G120" s="21">
        <f>F120</f>
        <v>96.76</v>
      </c>
      <c r="H120" s="21">
        <f t="shared" si="5"/>
        <v>0</v>
      </c>
      <c r="I120" s="30">
        <v>3912773</v>
      </c>
      <c r="J120" s="143"/>
      <c r="K120" s="127">
        <v>45630</v>
      </c>
    </row>
    <row r="121" spans="1:11" s="72" customFormat="1" x14ac:dyDescent="0.25">
      <c r="A121" s="18">
        <v>118</v>
      </c>
      <c r="B121" s="80">
        <v>2732</v>
      </c>
      <c r="C121" s="19" t="s">
        <v>302</v>
      </c>
      <c r="D121" s="18">
        <v>700</v>
      </c>
      <c r="E121" s="38">
        <v>0.4</v>
      </c>
      <c r="F121" s="21">
        <f t="shared" si="4"/>
        <v>280</v>
      </c>
      <c r="G121" s="21">
        <f>274.23+5.77</f>
        <v>280</v>
      </c>
      <c r="H121" s="21">
        <f t="shared" si="5"/>
        <v>0</v>
      </c>
      <c r="I121" s="30">
        <v>846753</v>
      </c>
      <c r="J121" s="115">
        <v>45627</v>
      </c>
      <c r="K121" s="142">
        <v>45629</v>
      </c>
    </row>
    <row r="122" spans="1:11" s="6" customFormat="1" x14ac:dyDescent="0.25">
      <c r="A122" s="12">
        <v>119</v>
      </c>
      <c r="B122" s="69">
        <v>2733</v>
      </c>
      <c r="C122" s="16" t="s">
        <v>304</v>
      </c>
      <c r="D122" s="12">
        <v>764</v>
      </c>
      <c r="E122" s="34">
        <v>0.4</v>
      </c>
      <c r="F122" s="15">
        <f t="shared" si="4"/>
        <v>305.60000000000002</v>
      </c>
      <c r="G122" s="15">
        <f>F122</f>
        <v>305.60000000000002</v>
      </c>
      <c r="H122" s="15">
        <f t="shared" si="5"/>
        <v>0</v>
      </c>
      <c r="I122" s="32">
        <v>20444019</v>
      </c>
      <c r="J122" s="33"/>
    </row>
    <row r="123" spans="1:11" s="6" customFormat="1" x14ac:dyDescent="0.25">
      <c r="A123" s="18">
        <v>120</v>
      </c>
      <c r="B123" s="18">
        <v>2734</v>
      </c>
      <c r="C123" s="25" t="s">
        <v>306</v>
      </c>
      <c r="D123" s="18">
        <v>338.1</v>
      </c>
      <c r="E123" s="38">
        <v>0.4</v>
      </c>
      <c r="F123" s="21">
        <f t="shared" si="4"/>
        <v>135.24</v>
      </c>
      <c r="G123" s="21">
        <f>132.81+2.43</f>
        <v>135.24</v>
      </c>
      <c r="H123" s="21">
        <f t="shared" si="5"/>
        <v>0</v>
      </c>
      <c r="I123" s="30">
        <v>24187516</v>
      </c>
      <c r="J123" s="115">
        <v>45609</v>
      </c>
      <c r="K123" s="127">
        <v>45630</v>
      </c>
    </row>
    <row r="124" spans="1:11" s="6" customFormat="1" x14ac:dyDescent="0.25">
      <c r="A124" s="12">
        <v>121</v>
      </c>
      <c r="B124" s="69">
        <v>2736</v>
      </c>
      <c r="C124" s="16" t="s">
        <v>308</v>
      </c>
      <c r="D124" s="12">
        <v>309.60000000000002</v>
      </c>
      <c r="E124" s="34">
        <v>0.4</v>
      </c>
      <c r="F124" s="15">
        <f t="shared" si="4"/>
        <v>123.84000000000002</v>
      </c>
      <c r="G124" s="15">
        <f>F124</f>
        <v>123.84000000000002</v>
      </c>
      <c r="H124" s="15">
        <f t="shared" si="5"/>
        <v>0</v>
      </c>
      <c r="I124" s="32">
        <v>4629429</v>
      </c>
      <c r="J124" s="33"/>
    </row>
    <row r="125" spans="1:11" s="6" customFormat="1" x14ac:dyDescent="0.25">
      <c r="A125" s="18">
        <v>122</v>
      </c>
      <c r="B125" s="18">
        <v>2737</v>
      </c>
      <c r="C125" s="25" t="s">
        <v>310</v>
      </c>
      <c r="D125" s="18">
        <v>441</v>
      </c>
      <c r="E125" s="38">
        <v>0.4</v>
      </c>
      <c r="F125" s="21">
        <f t="shared" si="4"/>
        <v>176.4</v>
      </c>
      <c r="G125" s="21">
        <f>F125</f>
        <v>176.4</v>
      </c>
      <c r="H125" s="21">
        <f t="shared" si="5"/>
        <v>0</v>
      </c>
      <c r="I125" s="30">
        <v>734135</v>
      </c>
      <c r="J125" s="115">
        <v>45641</v>
      </c>
    </row>
    <row r="126" spans="1:11" s="6" customFormat="1" x14ac:dyDescent="0.25">
      <c r="A126" s="12">
        <v>123</v>
      </c>
      <c r="B126" s="69">
        <v>2738</v>
      </c>
      <c r="C126" s="16" t="s">
        <v>312</v>
      </c>
      <c r="D126" s="12">
        <v>358.1</v>
      </c>
      <c r="E126" s="34">
        <v>0.4</v>
      </c>
      <c r="F126" s="15">
        <f t="shared" si="4"/>
        <v>143.24</v>
      </c>
      <c r="G126" s="15">
        <f>F126</f>
        <v>143.24</v>
      </c>
      <c r="H126" s="15">
        <f t="shared" si="5"/>
        <v>0</v>
      </c>
      <c r="I126" s="32">
        <v>1298606</v>
      </c>
      <c r="J126" s="33"/>
    </row>
    <row r="127" spans="1:11" s="6" customFormat="1" ht="14.25" thickBot="1" x14ac:dyDescent="0.3">
      <c r="A127" s="96">
        <v>124</v>
      </c>
      <c r="B127" s="146">
        <v>2740</v>
      </c>
      <c r="C127" s="147" t="s">
        <v>314</v>
      </c>
      <c r="D127" s="146">
        <v>592.9</v>
      </c>
      <c r="E127" s="148">
        <v>0.4</v>
      </c>
      <c r="F127" s="149">
        <f t="shared" si="4"/>
        <v>237.16</v>
      </c>
      <c r="G127" s="149">
        <f>F127</f>
        <v>237.16</v>
      </c>
      <c r="H127" s="99">
        <f t="shared" si="5"/>
        <v>0</v>
      </c>
      <c r="I127" s="150">
        <v>18315397</v>
      </c>
      <c r="J127" s="151" t="s">
        <v>317</v>
      </c>
    </row>
    <row r="128" spans="1:11" s="6" customFormat="1" ht="14.25" thickBot="1" x14ac:dyDescent="0.3">
      <c r="A128" s="41"/>
      <c r="B128" s="42"/>
      <c r="C128" s="43"/>
      <c r="D128" s="44">
        <f>SUM(D4:D127)</f>
        <v>47935.600000000006</v>
      </c>
      <c r="E128" s="45"/>
      <c r="F128" s="46">
        <f>SUM(F4:F127)</f>
        <v>19174.240000000009</v>
      </c>
      <c r="G128" s="46">
        <f t="shared" ref="G128" si="10">SUM(G4:G127)</f>
        <v>19174.240000000009</v>
      </c>
      <c r="H128" s="46">
        <f>SUM(H4:H127)</f>
        <v>0</v>
      </c>
      <c r="I128" s="45"/>
      <c r="J128" s="207"/>
    </row>
    <row r="129" spans="1:16" s="6" customFormat="1" x14ac:dyDescent="0.25">
      <c r="A129" s="50"/>
      <c r="B129" s="51"/>
      <c r="C129" s="50"/>
      <c r="D129" s="52"/>
      <c r="E129" s="53"/>
      <c r="F129" s="52"/>
      <c r="G129" s="52"/>
      <c r="H129" s="52"/>
      <c r="I129" s="54"/>
      <c r="J129" s="208"/>
    </row>
    <row r="130" spans="1:16" s="6" customFormat="1" x14ac:dyDescent="0.25">
      <c r="A130" s="28"/>
      <c r="B130" s="57"/>
      <c r="D130" s="58"/>
      <c r="E130" s="58"/>
      <c r="F130" s="58"/>
      <c r="G130" s="58"/>
      <c r="H130" s="58"/>
      <c r="I130" s="59"/>
      <c r="J130" s="224"/>
    </row>
    <row r="131" spans="1:16" x14ac:dyDescent="0.25">
      <c r="F131" s="306"/>
      <c r="G131" s="306"/>
      <c r="H131" s="306"/>
      <c r="I131" s="306"/>
      <c r="J131" s="209"/>
    </row>
    <row r="132" spans="1:16" s="64" customFormat="1" x14ac:dyDescent="0.25">
      <c r="A132" s="28"/>
      <c r="B132" s="61"/>
      <c r="D132" s="61"/>
      <c r="E132" s="61"/>
      <c r="F132" s="306"/>
      <c r="G132" s="306"/>
      <c r="H132" s="306"/>
      <c r="I132" s="306"/>
      <c r="J132" s="210"/>
    </row>
    <row r="133" spans="1:16" s="64" customFormat="1" x14ac:dyDescent="0.25">
      <c r="A133" s="28"/>
      <c r="B133" s="61"/>
      <c r="D133" s="61"/>
      <c r="E133" s="28"/>
      <c r="F133" s="62"/>
      <c r="G133" s="62"/>
      <c r="H133" s="62"/>
      <c r="J133" s="210"/>
    </row>
    <row r="134" spans="1:16" s="64" customFormat="1" x14ac:dyDescent="0.25">
      <c r="A134" s="28"/>
      <c r="B134" s="61"/>
      <c r="C134" s="28"/>
      <c r="D134" s="61"/>
      <c r="E134" s="61"/>
      <c r="F134" s="62"/>
      <c r="G134" s="62"/>
      <c r="H134" s="62"/>
      <c r="J134" s="210"/>
      <c r="P134" s="175"/>
    </row>
    <row r="135" spans="1:16" s="64" customFormat="1" x14ac:dyDescent="0.25">
      <c r="A135" s="28"/>
      <c r="B135" s="61"/>
      <c r="C135" s="28"/>
      <c r="D135" s="61"/>
      <c r="E135" s="61"/>
      <c r="F135" s="62"/>
      <c r="G135" s="62"/>
      <c r="H135" s="62"/>
      <c r="J135" s="210"/>
    </row>
    <row r="136" spans="1:16" s="64" customFormat="1" x14ac:dyDescent="0.25">
      <c r="A136" s="28"/>
      <c r="B136" s="61"/>
      <c r="C136" s="28"/>
      <c r="D136" s="68"/>
      <c r="E136" s="61"/>
      <c r="F136" s="68"/>
      <c r="G136" s="68"/>
      <c r="H136" s="68"/>
      <c r="J136" s="210"/>
    </row>
    <row r="137" spans="1:16" s="64" customFormat="1" x14ac:dyDescent="0.25">
      <c r="A137" s="28"/>
      <c r="B137" s="61"/>
      <c r="C137" s="28"/>
      <c r="D137" s="61"/>
      <c r="E137" s="61"/>
      <c r="F137" s="62"/>
      <c r="G137" s="62"/>
      <c r="H137" s="62"/>
      <c r="J137" s="210"/>
    </row>
    <row r="138" spans="1:16" s="64" customFormat="1" x14ac:dyDescent="0.25">
      <c r="A138" s="28"/>
      <c r="B138" s="61"/>
      <c r="C138" s="28"/>
      <c r="D138" s="61"/>
      <c r="E138" s="61"/>
      <c r="F138" s="62"/>
      <c r="G138" s="62"/>
      <c r="H138" s="62"/>
      <c r="J138" s="210"/>
      <c r="P138" s="175"/>
    </row>
    <row r="139" spans="1:16" s="64" customFormat="1" x14ac:dyDescent="0.25">
      <c r="A139" s="28"/>
      <c r="B139" s="61"/>
      <c r="C139" s="28"/>
      <c r="D139" s="61"/>
      <c r="E139" s="61"/>
      <c r="F139" s="62"/>
      <c r="G139" s="62"/>
      <c r="H139" s="62"/>
      <c r="J139" s="210"/>
    </row>
    <row r="140" spans="1:16" s="64" customFormat="1" x14ac:dyDescent="0.25">
      <c r="A140" s="28"/>
      <c r="B140" s="61"/>
      <c r="C140" s="28"/>
      <c r="D140" s="61"/>
      <c r="E140" s="61"/>
      <c r="F140" s="62"/>
      <c r="G140" s="62"/>
      <c r="H140" s="62"/>
      <c r="J140" s="210"/>
    </row>
    <row r="141" spans="1:16" s="64" customFormat="1" x14ac:dyDescent="0.25">
      <c r="A141" s="28"/>
      <c r="B141" s="61"/>
      <c r="C141" s="28"/>
      <c r="D141" s="61"/>
      <c r="E141" s="61"/>
      <c r="F141" s="62"/>
      <c r="G141" s="62"/>
      <c r="H141" s="62"/>
      <c r="J141" s="210"/>
    </row>
    <row r="142" spans="1:16" s="64" customFormat="1" x14ac:dyDescent="0.25">
      <c r="A142" s="28"/>
      <c r="B142" s="61"/>
      <c r="C142" s="28"/>
      <c r="D142" s="61"/>
      <c r="E142" s="61"/>
      <c r="F142" s="62"/>
      <c r="G142" s="62"/>
      <c r="H142" s="62"/>
      <c r="J142" s="210"/>
    </row>
    <row r="143" spans="1:16" s="64" customFormat="1" x14ac:dyDescent="0.25">
      <c r="A143" s="28"/>
      <c r="B143" s="61"/>
      <c r="C143" s="28"/>
      <c r="D143" s="61"/>
      <c r="E143" s="61"/>
      <c r="F143" s="62"/>
      <c r="G143" s="62"/>
      <c r="H143" s="62"/>
      <c r="J143" s="210"/>
    </row>
    <row r="144" spans="1:16" s="64" customFormat="1" x14ac:dyDescent="0.25">
      <c r="A144" s="28"/>
      <c r="B144" s="61"/>
      <c r="C144" s="28"/>
      <c r="D144" s="61"/>
      <c r="E144" s="61"/>
      <c r="F144" s="62"/>
      <c r="G144" s="62"/>
      <c r="H144" s="62"/>
      <c r="J144" s="210"/>
    </row>
    <row r="145" spans="1:10" s="64" customFormat="1" x14ac:dyDescent="0.25">
      <c r="A145" s="28"/>
      <c r="B145" s="61"/>
      <c r="C145" s="28"/>
      <c r="D145" s="61"/>
      <c r="E145" s="61"/>
      <c r="F145" s="62"/>
      <c r="G145" s="62"/>
      <c r="H145" s="62"/>
      <c r="J145" s="210"/>
    </row>
    <row r="146" spans="1:10" s="64" customFormat="1" x14ac:dyDescent="0.25">
      <c r="A146" s="28"/>
      <c r="B146" s="61"/>
      <c r="C146" s="28"/>
      <c r="D146" s="61"/>
      <c r="E146" s="61"/>
      <c r="F146" s="62"/>
      <c r="G146" s="62"/>
      <c r="H146" s="62"/>
      <c r="J146" s="210"/>
    </row>
    <row r="147" spans="1:10" s="64" customFormat="1" x14ac:dyDescent="0.25">
      <c r="A147" s="28"/>
      <c r="B147" s="61"/>
      <c r="C147" s="28"/>
      <c r="D147" s="61"/>
      <c r="E147" s="61"/>
      <c r="F147" s="62"/>
      <c r="G147" s="62"/>
      <c r="H147" s="62"/>
      <c r="J147" s="210"/>
    </row>
    <row r="148" spans="1:10" s="64" customFormat="1" x14ac:dyDescent="0.25">
      <c r="B148" s="61"/>
      <c r="C148" s="28"/>
      <c r="D148" s="61"/>
      <c r="E148" s="61"/>
      <c r="F148" s="62"/>
      <c r="G148" s="62"/>
      <c r="H148" s="62"/>
      <c r="J148" s="210"/>
    </row>
    <row r="149" spans="1:10" s="64" customFormat="1" x14ac:dyDescent="0.25">
      <c r="B149" s="61"/>
      <c r="C149" s="28"/>
      <c r="D149" s="61"/>
      <c r="E149" s="61"/>
      <c r="F149" s="62"/>
      <c r="G149" s="62"/>
      <c r="H149" s="62"/>
      <c r="J149" s="210"/>
    </row>
    <row r="150" spans="1:10" s="64" customFormat="1" x14ac:dyDescent="0.25">
      <c r="B150" s="61"/>
      <c r="C150" s="28"/>
      <c r="D150" s="61"/>
      <c r="E150" s="61"/>
      <c r="F150" s="62"/>
      <c r="G150" s="62"/>
      <c r="H150" s="62"/>
      <c r="J150" s="210"/>
    </row>
    <row r="151" spans="1:10" s="64" customFormat="1" x14ac:dyDescent="0.25">
      <c r="B151" s="61"/>
      <c r="C151" s="28"/>
      <c r="D151" s="61"/>
      <c r="E151" s="61"/>
      <c r="F151" s="62"/>
      <c r="G151" s="62"/>
      <c r="H151" s="62"/>
      <c r="J151" s="210"/>
    </row>
    <row r="152" spans="1:10" s="64" customFormat="1" x14ac:dyDescent="0.25">
      <c r="B152" s="61"/>
      <c r="C152" s="28"/>
      <c r="D152" s="61"/>
      <c r="E152" s="61"/>
      <c r="F152" s="62"/>
      <c r="G152" s="62"/>
      <c r="H152" s="62"/>
      <c r="J152" s="210"/>
    </row>
    <row r="153" spans="1:10" s="64" customFormat="1" x14ac:dyDescent="0.25">
      <c r="B153" s="61"/>
      <c r="C153" s="28"/>
      <c r="D153" s="61"/>
      <c r="E153" s="61"/>
      <c r="F153" s="62"/>
      <c r="G153" s="62"/>
      <c r="H153" s="62"/>
      <c r="J153" s="210"/>
    </row>
    <row r="154" spans="1:10" s="64" customFormat="1" x14ac:dyDescent="0.25">
      <c r="B154" s="61"/>
      <c r="C154" s="28"/>
      <c r="D154" s="61"/>
      <c r="E154" s="61"/>
      <c r="F154" s="62"/>
      <c r="G154" s="62"/>
      <c r="H154" s="62"/>
      <c r="J154" s="210"/>
    </row>
    <row r="155" spans="1:10" s="64" customFormat="1" x14ac:dyDescent="0.25">
      <c r="B155" s="61"/>
      <c r="C155" s="28"/>
      <c r="D155" s="61"/>
      <c r="E155" s="61"/>
      <c r="F155" s="62"/>
      <c r="G155" s="62"/>
      <c r="H155" s="62"/>
      <c r="J155" s="210"/>
    </row>
    <row r="156" spans="1:10" s="64" customFormat="1" x14ac:dyDescent="0.25">
      <c r="B156" s="61"/>
      <c r="C156" s="28"/>
      <c r="D156" s="61"/>
      <c r="E156" s="61"/>
      <c r="F156" s="62"/>
      <c r="G156" s="62"/>
      <c r="H156" s="62"/>
      <c r="J156" s="210"/>
    </row>
    <row r="157" spans="1:10" s="64" customFormat="1" x14ac:dyDescent="0.25">
      <c r="B157" s="61"/>
      <c r="C157" s="28"/>
      <c r="D157" s="61"/>
      <c r="E157" s="61"/>
      <c r="F157" s="62"/>
      <c r="G157" s="62"/>
      <c r="H157" s="62"/>
      <c r="J157" s="210"/>
    </row>
    <row r="158" spans="1:10" s="64" customFormat="1" x14ac:dyDescent="0.25">
      <c r="B158" s="61"/>
      <c r="C158" s="28"/>
      <c r="D158" s="61"/>
      <c r="E158" s="61"/>
      <c r="F158" s="62"/>
      <c r="G158" s="62"/>
      <c r="H158" s="62"/>
      <c r="J158" s="210"/>
    </row>
    <row r="159" spans="1:10" s="64" customFormat="1" x14ac:dyDescent="0.25">
      <c r="B159" s="61"/>
      <c r="C159" s="28"/>
      <c r="D159" s="61"/>
      <c r="E159" s="61"/>
      <c r="F159" s="62"/>
      <c r="G159" s="62"/>
      <c r="H159" s="62"/>
      <c r="J159" s="210"/>
    </row>
    <row r="160" spans="1:10" s="64" customFormat="1" x14ac:dyDescent="0.25">
      <c r="B160" s="61"/>
      <c r="C160" s="28"/>
      <c r="D160" s="61"/>
      <c r="E160" s="61"/>
      <c r="F160" s="62"/>
      <c r="G160" s="62"/>
      <c r="H160" s="62"/>
      <c r="J160" s="210"/>
    </row>
    <row r="161" spans="2:10" s="64" customFormat="1" x14ac:dyDescent="0.25">
      <c r="B161" s="61"/>
      <c r="C161" s="28"/>
      <c r="D161" s="61"/>
      <c r="E161" s="61"/>
      <c r="F161" s="62"/>
      <c r="G161" s="62"/>
      <c r="H161" s="62"/>
      <c r="J161" s="210"/>
    </row>
    <row r="162" spans="2:10" s="64" customFormat="1" x14ac:dyDescent="0.25">
      <c r="B162" s="61"/>
      <c r="C162" s="28"/>
      <c r="D162" s="61"/>
      <c r="E162" s="61"/>
      <c r="F162" s="62"/>
      <c r="G162" s="62"/>
      <c r="H162" s="62"/>
      <c r="J162" s="210"/>
    </row>
    <row r="163" spans="2:10" s="64" customFormat="1" x14ac:dyDescent="0.25">
      <c r="B163" s="61"/>
      <c r="C163" s="28"/>
      <c r="D163" s="61"/>
      <c r="E163" s="61"/>
      <c r="F163" s="62"/>
      <c r="G163" s="62"/>
      <c r="H163" s="62"/>
      <c r="J163" s="210"/>
    </row>
    <row r="164" spans="2:10" s="64" customFormat="1" x14ac:dyDescent="0.25">
      <c r="B164" s="61"/>
      <c r="C164" s="28"/>
      <c r="D164" s="61"/>
      <c r="E164" s="61"/>
      <c r="F164" s="62"/>
      <c r="G164" s="62"/>
      <c r="H164" s="62"/>
      <c r="J164" s="210"/>
    </row>
    <row r="165" spans="2:10" s="64" customFormat="1" x14ac:dyDescent="0.25">
      <c r="B165" s="61"/>
      <c r="C165" s="28"/>
      <c r="D165" s="61"/>
      <c r="E165" s="61"/>
      <c r="F165" s="62"/>
      <c r="G165" s="62"/>
      <c r="H165" s="62"/>
      <c r="J165" s="210"/>
    </row>
  </sheetData>
  <autoFilter ref="A2:L128" xr:uid="{A735C850-ADFC-4424-9F73-85686DDEC1E6}"/>
  <mergeCells count="13">
    <mergeCell ref="J2:J3"/>
    <mergeCell ref="F131:I131"/>
    <mergeCell ref="F132:I132"/>
    <mergeCell ref="G2:G3"/>
    <mergeCell ref="A1:J1"/>
    <mergeCell ref="A2:A3"/>
    <mergeCell ref="B2:B3"/>
    <mergeCell ref="C2:C3"/>
    <mergeCell ref="D2:D3"/>
    <mergeCell ref="E2:E3"/>
    <mergeCell ref="F2:F3"/>
    <mergeCell ref="I2:I3"/>
    <mergeCell ref="H2:H3"/>
  </mergeCells>
  <pageMargins left="0.7" right="0.7" top="0.75" bottom="0.75" header="0.3" footer="0.3"/>
  <pageSetup paperSize="8" scale="51" orientation="landscape" r:id="rId1"/>
  <rowBreaks count="1" manualBreakCount="1">
    <brk id="131" max="1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4AA33-AC5D-4E97-B4CC-879E93EFD117}">
  <dimension ref="A1:L165"/>
  <sheetViews>
    <sheetView view="pageBreakPreview" zoomScale="130" zoomScaleNormal="96" zoomScaleSheetLayoutView="130" workbookViewId="0">
      <pane xSplit="3" ySplit="3" topLeftCell="D85" activePane="bottomRight" state="frozen"/>
      <selection activeCell="D110" sqref="D110"/>
      <selection pane="topRight" activeCell="D110" sqref="D110"/>
      <selection pane="bottomLeft" activeCell="D110" sqref="D110"/>
      <selection pane="bottomRight" activeCell="D110" sqref="D110"/>
    </sheetView>
  </sheetViews>
  <sheetFormatPr defaultColWidth="9.140625" defaultRowHeight="13.5" x14ac:dyDescent="0.25"/>
  <cols>
    <col min="1" max="1" width="4.7109375" style="28" customWidth="1"/>
    <col min="2" max="2" width="10.28515625" style="61" customWidth="1"/>
    <col min="3" max="3" width="38.28515625" style="28" customWidth="1"/>
    <col min="4" max="4" width="16" style="61" bestFit="1" customWidth="1"/>
    <col min="5" max="5" width="12.42578125" style="61" customWidth="1"/>
    <col min="6" max="6" width="16" style="61" bestFit="1" customWidth="1"/>
    <col min="7" max="8" width="16" style="61" customWidth="1"/>
    <col min="9" max="9" width="12.28515625" style="64" customWidth="1"/>
    <col min="10" max="10" width="16.85546875" style="203" customWidth="1"/>
    <col min="11" max="11" width="10.140625" style="176" bestFit="1" customWidth="1"/>
    <col min="12" max="12" width="10.140625" style="28" bestFit="1" customWidth="1"/>
    <col min="13" max="16384" width="9.140625" style="28"/>
  </cols>
  <sheetData>
    <row r="1" spans="1:11" s="7" customFormat="1" ht="30" customHeight="1" x14ac:dyDescent="0.25">
      <c r="A1" s="310" t="s">
        <v>321</v>
      </c>
      <c r="B1" s="311"/>
      <c r="C1" s="311"/>
      <c r="D1" s="311"/>
      <c r="E1" s="311"/>
      <c r="F1" s="311"/>
      <c r="G1" s="311"/>
      <c r="H1" s="311"/>
      <c r="I1" s="311"/>
      <c r="J1" s="312"/>
      <c r="K1" s="176"/>
    </row>
    <row r="2" spans="1:11" s="11" customFormat="1" ht="19.5" customHeight="1" x14ac:dyDescent="0.25">
      <c r="A2" s="308" t="s">
        <v>1</v>
      </c>
      <c r="B2" s="313" t="s">
        <v>2</v>
      </c>
      <c r="C2" s="308" t="s">
        <v>3</v>
      </c>
      <c r="D2" s="314" t="s">
        <v>4</v>
      </c>
      <c r="E2" s="308" t="s">
        <v>5</v>
      </c>
      <c r="F2" s="308" t="s">
        <v>6</v>
      </c>
      <c r="G2" s="308" t="s">
        <v>30</v>
      </c>
      <c r="H2" s="308" t="s">
        <v>31</v>
      </c>
      <c r="I2" s="308" t="s">
        <v>9</v>
      </c>
      <c r="J2" s="318" t="s">
        <v>14</v>
      </c>
      <c r="K2" s="177"/>
    </row>
    <row r="3" spans="1:11" s="11" customFormat="1" ht="26.25" customHeight="1" x14ac:dyDescent="0.25">
      <c r="A3" s="308"/>
      <c r="B3" s="313"/>
      <c r="C3" s="308"/>
      <c r="D3" s="315"/>
      <c r="E3" s="308"/>
      <c r="F3" s="308"/>
      <c r="G3" s="308"/>
      <c r="H3" s="308"/>
      <c r="I3" s="308"/>
      <c r="J3" s="318"/>
      <c r="K3" s="177"/>
    </row>
    <row r="4" spans="1:11" s="6" customFormat="1" x14ac:dyDescent="0.25">
      <c r="A4" s="18">
        <v>1</v>
      </c>
      <c r="B4" s="18">
        <v>2603</v>
      </c>
      <c r="C4" s="19" t="s">
        <v>71</v>
      </c>
      <c r="D4" s="18">
        <v>571.79999999999995</v>
      </c>
      <c r="E4" s="20" t="s">
        <v>16</v>
      </c>
      <c r="F4" s="21">
        <f t="shared" ref="F4:F67" si="0">D4*E4</f>
        <v>228.72</v>
      </c>
      <c r="G4" s="21">
        <f>227.15+1.57</f>
        <v>228.72</v>
      </c>
      <c r="H4" s="21">
        <f>F4-G4</f>
        <v>0</v>
      </c>
      <c r="I4" s="25">
        <v>5744412</v>
      </c>
      <c r="J4" s="186">
        <v>45635</v>
      </c>
      <c r="K4" s="176">
        <v>45665</v>
      </c>
    </row>
    <row r="5" spans="1:11" s="6" customFormat="1" x14ac:dyDescent="0.25">
      <c r="A5" s="18">
        <v>2</v>
      </c>
      <c r="B5" s="18">
        <v>2604</v>
      </c>
      <c r="C5" s="19" t="s">
        <v>46</v>
      </c>
      <c r="D5" s="18">
        <v>436.5</v>
      </c>
      <c r="E5" s="20" t="s">
        <v>16</v>
      </c>
      <c r="F5" s="21">
        <f t="shared" si="0"/>
        <v>174.60000000000002</v>
      </c>
      <c r="G5" s="21">
        <f>171.441+3.159</f>
        <v>174.6</v>
      </c>
      <c r="H5" s="21">
        <f t="shared" ref="H5:H68" si="1">F5-G5</f>
        <v>0</v>
      </c>
      <c r="I5" s="25">
        <v>3946807</v>
      </c>
      <c r="J5" s="186">
        <v>45656</v>
      </c>
      <c r="K5" s="176">
        <v>45672</v>
      </c>
    </row>
    <row r="6" spans="1:11" s="72" customFormat="1" x14ac:dyDescent="0.25">
      <c r="A6" s="18">
        <v>3</v>
      </c>
      <c r="B6" s="18">
        <v>2606</v>
      </c>
      <c r="C6" s="19" t="s">
        <v>78</v>
      </c>
      <c r="D6" s="18">
        <v>259.5</v>
      </c>
      <c r="E6" s="20" t="s">
        <v>16</v>
      </c>
      <c r="F6" s="21">
        <f t="shared" si="0"/>
        <v>103.80000000000001</v>
      </c>
      <c r="G6" s="21">
        <f>101.35+2.45</f>
        <v>103.8</v>
      </c>
      <c r="H6" s="21">
        <f t="shared" si="1"/>
        <v>0</v>
      </c>
      <c r="I6" s="25">
        <v>13974337</v>
      </c>
      <c r="J6" s="186">
        <v>45624</v>
      </c>
      <c r="K6" s="178">
        <v>45658</v>
      </c>
    </row>
    <row r="7" spans="1:11" s="6" customFormat="1" x14ac:dyDescent="0.25">
      <c r="A7" s="18">
        <v>4</v>
      </c>
      <c r="B7" s="18">
        <v>2607</v>
      </c>
      <c r="C7" s="19" t="s">
        <v>82</v>
      </c>
      <c r="D7" s="18">
        <v>306.7</v>
      </c>
      <c r="E7" s="20" t="s">
        <v>16</v>
      </c>
      <c r="F7" s="21">
        <f t="shared" si="0"/>
        <v>122.68</v>
      </c>
      <c r="G7" s="21">
        <f>122.12+0.56</f>
        <v>122.68</v>
      </c>
      <c r="H7" s="21">
        <f t="shared" si="1"/>
        <v>0</v>
      </c>
      <c r="I7" s="25">
        <v>6488366</v>
      </c>
      <c r="J7" s="186">
        <v>45628</v>
      </c>
      <c r="K7" s="176">
        <v>45658</v>
      </c>
    </row>
    <row r="8" spans="1:11" s="6" customFormat="1" x14ac:dyDescent="0.25">
      <c r="A8" s="96">
        <v>5</v>
      </c>
      <c r="B8" s="96">
        <v>2608</v>
      </c>
      <c r="C8" s="97" t="s">
        <v>84</v>
      </c>
      <c r="D8" s="96">
        <v>269</v>
      </c>
      <c r="E8" s="98" t="s">
        <v>16</v>
      </c>
      <c r="F8" s="99">
        <f t="shared" si="0"/>
        <v>107.60000000000001</v>
      </c>
      <c r="G8" s="99">
        <f>F8</f>
        <v>107.60000000000001</v>
      </c>
      <c r="H8" s="99">
        <f t="shared" si="1"/>
        <v>0</v>
      </c>
      <c r="I8" s="100">
        <v>1233627</v>
      </c>
      <c r="J8" s="197" t="s">
        <v>65</v>
      </c>
      <c r="K8" s="176"/>
    </row>
    <row r="9" spans="1:11" s="6" customFormat="1" x14ac:dyDescent="0.25">
      <c r="A9" s="18">
        <v>6</v>
      </c>
      <c r="B9" s="18">
        <v>2609</v>
      </c>
      <c r="C9" s="19" t="s">
        <v>87</v>
      </c>
      <c r="D9" s="18">
        <v>301.8</v>
      </c>
      <c r="E9" s="20" t="s">
        <v>16</v>
      </c>
      <c r="F9" s="21">
        <f t="shared" si="0"/>
        <v>120.72000000000001</v>
      </c>
      <c r="G9" s="21">
        <f>116.19+4.53</f>
        <v>120.72</v>
      </c>
      <c r="H9" s="21">
        <f t="shared" si="1"/>
        <v>0</v>
      </c>
      <c r="I9" s="25">
        <v>1248701</v>
      </c>
      <c r="J9" s="186">
        <v>45629</v>
      </c>
      <c r="K9" s="176">
        <v>45658</v>
      </c>
    </row>
    <row r="10" spans="1:11" s="6" customFormat="1" x14ac:dyDescent="0.25">
      <c r="A10" s="18">
        <v>7</v>
      </c>
      <c r="B10" s="18">
        <v>2610</v>
      </c>
      <c r="C10" s="19" t="s">
        <v>47</v>
      </c>
      <c r="D10" s="18">
        <v>491.6</v>
      </c>
      <c r="E10" s="20" t="s">
        <v>16</v>
      </c>
      <c r="F10" s="21">
        <f t="shared" si="0"/>
        <v>196.64000000000001</v>
      </c>
      <c r="G10" s="21">
        <f>193.64+3</f>
        <v>196.64</v>
      </c>
      <c r="H10" s="21">
        <f t="shared" si="1"/>
        <v>0</v>
      </c>
      <c r="I10" s="25">
        <v>1183461</v>
      </c>
      <c r="J10" s="187">
        <v>45658</v>
      </c>
      <c r="K10" s="176">
        <v>45679</v>
      </c>
    </row>
    <row r="11" spans="1:11" s="6" customFormat="1" x14ac:dyDescent="0.25">
      <c r="A11" s="12">
        <v>8</v>
      </c>
      <c r="B11" s="12">
        <v>2611</v>
      </c>
      <c r="C11" s="13" t="s">
        <v>92</v>
      </c>
      <c r="D11" s="12">
        <v>315</v>
      </c>
      <c r="E11" s="14" t="s">
        <v>16</v>
      </c>
      <c r="F11" s="15">
        <f t="shared" si="0"/>
        <v>126</v>
      </c>
      <c r="G11" s="15"/>
      <c r="H11" s="15">
        <f t="shared" si="1"/>
        <v>126</v>
      </c>
      <c r="I11" s="16">
        <v>1348989</v>
      </c>
      <c r="J11" s="188" t="s">
        <v>22</v>
      </c>
      <c r="K11" s="176"/>
    </row>
    <row r="12" spans="1:11" s="6" customFormat="1" x14ac:dyDescent="0.25">
      <c r="A12" s="12">
        <v>9</v>
      </c>
      <c r="B12" s="69">
        <v>2612</v>
      </c>
      <c r="C12" s="70" t="s">
        <v>96</v>
      </c>
      <c r="D12" s="69">
        <v>765.8</v>
      </c>
      <c r="E12" s="14" t="s">
        <v>16</v>
      </c>
      <c r="F12" s="15">
        <f t="shared" si="0"/>
        <v>306.32</v>
      </c>
      <c r="G12" s="15"/>
      <c r="H12" s="15">
        <f t="shared" si="1"/>
        <v>306.32</v>
      </c>
      <c r="I12" s="16">
        <v>896658</v>
      </c>
      <c r="J12" s="188"/>
      <c r="K12" s="176"/>
    </row>
    <row r="13" spans="1:11" s="72" customFormat="1" x14ac:dyDescent="0.25">
      <c r="A13" s="18">
        <v>10</v>
      </c>
      <c r="B13" s="18">
        <v>2613</v>
      </c>
      <c r="C13" s="19" t="s">
        <v>98</v>
      </c>
      <c r="D13" s="18">
        <v>278.89999999999998</v>
      </c>
      <c r="E13" s="20" t="s">
        <v>16</v>
      </c>
      <c r="F13" s="21">
        <f t="shared" si="0"/>
        <v>111.56</v>
      </c>
      <c r="G13" s="21">
        <f>110.04+1.52</f>
        <v>111.56</v>
      </c>
      <c r="H13" s="21">
        <f t="shared" si="1"/>
        <v>0</v>
      </c>
      <c r="I13" s="25">
        <v>2884732</v>
      </c>
      <c r="J13" s="187">
        <v>45630</v>
      </c>
      <c r="K13" s="176">
        <v>45679</v>
      </c>
    </row>
    <row r="14" spans="1:11" s="6" customFormat="1" x14ac:dyDescent="0.25">
      <c r="A14" s="12">
        <v>11</v>
      </c>
      <c r="B14" s="12">
        <v>2614</v>
      </c>
      <c r="C14" s="13" t="s">
        <v>100</v>
      </c>
      <c r="D14" s="12">
        <v>517.5</v>
      </c>
      <c r="E14" s="14" t="s">
        <v>16</v>
      </c>
      <c r="F14" s="15">
        <f t="shared" si="0"/>
        <v>207</v>
      </c>
      <c r="G14" s="15"/>
      <c r="H14" s="15">
        <f t="shared" si="1"/>
        <v>207</v>
      </c>
      <c r="I14" s="16">
        <v>1015515</v>
      </c>
      <c r="J14" s="189"/>
      <c r="K14" s="176"/>
    </row>
    <row r="15" spans="1:11" s="6" customFormat="1" x14ac:dyDescent="0.25">
      <c r="A15" s="18">
        <v>12</v>
      </c>
      <c r="B15" s="18">
        <v>2615</v>
      </c>
      <c r="C15" s="19" t="s">
        <v>102</v>
      </c>
      <c r="D15" s="18">
        <v>613.29999999999995</v>
      </c>
      <c r="E15" s="20" t="s">
        <v>16</v>
      </c>
      <c r="F15" s="21">
        <f t="shared" si="0"/>
        <v>245.32</v>
      </c>
      <c r="G15" s="21">
        <f>242.28+3.04</f>
        <v>245.32</v>
      </c>
      <c r="H15" s="21">
        <f t="shared" si="1"/>
        <v>0</v>
      </c>
      <c r="I15" s="25">
        <v>1248772</v>
      </c>
      <c r="J15" s="186" t="s">
        <v>322</v>
      </c>
      <c r="K15" s="176"/>
    </row>
    <row r="16" spans="1:11" x14ac:dyDescent="0.25">
      <c r="A16" s="18">
        <v>13</v>
      </c>
      <c r="B16" s="18">
        <v>2616</v>
      </c>
      <c r="C16" s="19" t="s">
        <v>15</v>
      </c>
      <c r="D16" s="18">
        <v>247.8</v>
      </c>
      <c r="E16" s="20" t="s">
        <v>16</v>
      </c>
      <c r="F16" s="21">
        <f t="shared" si="0"/>
        <v>99.12</v>
      </c>
      <c r="G16" s="22">
        <f>95.84+3.28</f>
        <v>99.12</v>
      </c>
      <c r="H16" s="21">
        <f t="shared" si="1"/>
        <v>0</v>
      </c>
      <c r="I16" s="23">
        <v>6225617</v>
      </c>
      <c r="J16" s="187">
        <v>45623</v>
      </c>
      <c r="K16" s="176">
        <v>45658</v>
      </c>
    </row>
    <row r="17" spans="1:12" s="6" customFormat="1" x14ac:dyDescent="0.25">
      <c r="A17" s="18">
        <v>14</v>
      </c>
      <c r="B17" s="18">
        <v>2617</v>
      </c>
      <c r="C17" s="19" t="s">
        <v>105</v>
      </c>
      <c r="D17" s="18">
        <v>298.39999999999998</v>
      </c>
      <c r="E17" s="20" t="s">
        <v>16</v>
      </c>
      <c r="F17" s="21">
        <f t="shared" si="0"/>
        <v>119.36</v>
      </c>
      <c r="G17" s="21">
        <f>119.27+0.09</f>
        <v>119.36</v>
      </c>
      <c r="H17" s="21">
        <f t="shared" si="1"/>
        <v>0</v>
      </c>
      <c r="I17" s="18">
        <v>17375838</v>
      </c>
      <c r="J17" s="187">
        <v>45663</v>
      </c>
      <c r="K17" s="176">
        <v>45691</v>
      </c>
    </row>
    <row r="18" spans="1:12" s="6" customFormat="1" x14ac:dyDescent="0.25">
      <c r="A18" s="18">
        <v>15</v>
      </c>
      <c r="B18" s="18">
        <v>2618</v>
      </c>
      <c r="C18" s="19" t="s">
        <v>48</v>
      </c>
      <c r="D18" s="18">
        <v>489.2</v>
      </c>
      <c r="E18" s="20" t="s">
        <v>16</v>
      </c>
      <c r="F18" s="21">
        <f t="shared" si="0"/>
        <v>195.68</v>
      </c>
      <c r="G18" s="21">
        <f>194.08</f>
        <v>194.08</v>
      </c>
      <c r="H18" s="21">
        <f t="shared" si="1"/>
        <v>1.5999999999999943</v>
      </c>
      <c r="I18" s="25">
        <v>6552811</v>
      </c>
      <c r="J18" s="186">
        <v>45685</v>
      </c>
      <c r="K18" s="176"/>
    </row>
    <row r="19" spans="1:12" s="6" customFormat="1" x14ac:dyDescent="0.25">
      <c r="A19" s="18">
        <v>16</v>
      </c>
      <c r="B19" s="18">
        <v>2619</v>
      </c>
      <c r="C19" s="19" t="s">
        <v>108</v>
      </c>
      <c r="D19" s="18">
        <v>580.6</v>
      </c>
      <c r="E19" s="20" t="s">
        <v>16</v>
      </c>
      <c r="F19" s="21">
        <f t="shared" si="0"/>
        <v>232.24</v>
      </c>
      <c r="G19" s="21">
        <f>229.86+2.38</f>
        <v>232.24</v>
      </c>
      <c r="H19" s="21">
        <f t="shared" si="1"/>
        <v>0</v>
      </c>
      <c r="I19" s="25">
        <v>6552839</v>
      </c>
      <c r="J19" s="186">
        <v>45656</v>
      </c>
      <c r="K19" s="176">
        <v>45685</v>
      </c>
    </row>
    <row r="20" spans="1:12" s="6" customFormat="1" x14ac:dyDescent="0.25">
      <c r="A20" s="18">
        <v>17</v>
      </c>
      <c r="B20" s="18">
        <v>2620</v>
      </c>
      <c r="C20" s="19" t="s">
        <v>110</v>
      </c>
      <c r="D20" s="18">
        <v>551.20000000000005</v>
      </c>
      <c r="E20" s="20" t="s">
        <v>16</v>
      </c>
      <c r="F20" s="21">
        <f t="shared" si="0"/>
        <v>220.48000000000002</v>
      </c>
      <c r="G20" s="21">
        <f>106.7+111.55+2.23</f>
        <v>220.48</v>
      </c>
      <c r="H20" s="21">
        <f t="shared" si="1"/>
        <v>0</v>
      </c>
      <c r="I20" s="25">
        <v>1183437</v>
      </c>
      <c r="J20" s="186">
        <v>45642</v>
      </c>
      <c r="K20" s="176">
        <v>45656</v>
      </c>
      <c r="L20" s="127">
        <v>45665</v>
      </c>
    </row>
    <row r="21" spans="1:12" s="72" customFormat="1" x14ac:dyDescent="0.25">
      <c r="A21" s="18">
        <v>18</v>
      </c>
      <c r="B21" s="18">
        <v>2621</v>
      </c>
      <c r="C21" s="19" t="s">
        <v>113</v>
      </c>
      <c r="D21" s="18">
        <v>328.5</v>
      </c>
      <c r="E21" s="20" t="s">
        <v>16</v>
      </c>
      <c r="F21" s="21">
        <f t="shared" si="0"/>
        <v>131.4</v>
      </c>
      <c r="G21" s="21">
        <f>F21</f>
        <v>131.4</v>
      </c>
      <c r="H21" s="21">
        <f t="shared" si="1"/>
        <v>0</v>
      </c>
      <c r="I21" s="25">
        <v>19745547</v>
      </c>
      <c r="J21" s="114">
        <v>45963</v>
      </c>
      <c r="K21" s="178"/>
    </row>
    <row r="22" spans="1:12" s="6" customFormat="1" x14ac:dyDescent="0.25">
      <c r="A22" s="18">
        <v>19</v>
      </c>
      <c r="B22" s="18">
        <v>2622</v>
      </c>
      <c r="C22" s="19" t="s">
        <v>115</v>
      </c>
      <c r="D22" s="18">
        <v>644.79999999999995</v>
      </c>
      <c r="E22" s="20" t="s">
        <v>16</v>
      </c>
      <c r="F22" s="21">
        <f t="shared" si="0"/>
        <v>257.92</v>
      </c>
      <c r="G22" s="21">
        <f>91.32+166.6</f>
        <v>257.91999999999996</v>
      </c>
      <c r="H22" s="21">
        <f t="shared" si="1"/>
        <v>0</v>
      </c>
      <c r="I22" s="25">
        <v>6067343</v>
      </c>
      <c r="J22" s="186">
        <v>45607</v>
      </c>
      <c r="K22" s="179">
        <v>45629</v>
      </c>
      <c r="L22" s="31" t="s">
        <v>22</v>
      </c>
    </row>
    <row r="23" spans="1:12" s="6" customFormat="1" x14ac:dyDescent="0.25">
      <c r="A23" s="12">
        <v>20</v>
      </c>
      <c r="B23" s="69">
        <v>2623</v>
      </c>
      <c r="C23" s="70" t="s">
        <v>49</v>
      </c>
      <c r="D23" s="69">
        <v>301.8</v>
      </c>
      <c r="E23" s="14" t="s">
        <v>16</v>
      </c>
      <c r="F23" s="15">
        <f t="shared" si="0"/>
        <v>120.72000000000001</v>
      </c>
      <c r="G23" s="15"/>
      <c r="H23" s="15">
        <f t="shared" si="1"/>
        <v>120.72000000000001</v>
      </c>
      <c r="I23" s="16">
        <v>1994004</v>
      </c>
      <c r="J23" s="188"/>
      <c r="K23" s="176"/>
    </row>
    <row r="24" spans="1:12" s="6" customFormat="1" x14ac:dyDescent="0.25">
      <c r="A24" s="18">
        <v>21</v>
      </c>
      <c r="B24" s="18">
        <v>2624</v>
      </c>
      <c r="C24" s="19" t="s">
        <v>118</v>
      </c>
      <c r="D24" s="18">
        <v>227.8</v>
      </c>
      <c r="E24" s="20" t="s">
        <v>16</v>
      </c>
      <c r="F24" s="21">
        <f t="shared" si="0"/>
        <v>91.12</v>
      </c>
      <c r="G24" s="21">
        <f>88+3.12</f>
        <v>91.12</v>
      </c>
      <c r="H24" s="21">
        <f t="shared" si="1"/>
        <v>0</v>
      </c>
      <c r="I24" s="25">
        <v>3206725</v>
      </c>
      <c r="J24" s="186">
        <v>45624</v>
      </c>
      <c r="K24" s="176">
        <v>45663</v>
      </c>
    </row>
    <row r="25" spans="1:12" x14ac:dyDescent="0.25">
      <c r="A25" s="18">
        <v>22</v>
      </c>
      <c r="B25" s="18">
        <v>2625</v>
      </c>
      <c r="C25" s="19" t="s">
        <v>119</v>
      </c>
      <c r="D25" s="18">
        <v>837.8</v>
      </c>
      <c r="E25" s="20" t="s">
        <v>16</v>
      </c>
      <c r="F25" s="21">
        <f t="shared" si="0"/>
        <v>335.12</v>
      </c>
      <c r="G25" s="21">
        <f>334.68+0.44</f>
        <v>335.12</v>
      </c>
      <c r="H25" s="21">
        <f t="shared" si="1"/>
        <v>0</v>
      </c>
      <c r="I25" s="25">
        <v>5474204</v>
      </c>
      <c r="J25" s="186">
        <v>45629</v>
      </c>
      <c r="K25" s="176">
        <v>45670</v>
      </c>
    </row>
    <row r="26" spans="1:12" s="6" customFormat="1" x14ac:dyDescent="0.25">
      <c r="A26" s="12">
        <v>23</v>
      </c>
      <c r="B26" s="69">
        <v>2626</v>
      </c>
      <c r="C26" s="70" t="s">
        <v>51</v>
      </c>
      <c r="D26" s="69">
        <v>320.89999999999998</v>
      </c>
      <c r="E26" s="14" t="s">
        <v>16</v>
      </c>
      <c r="F26" s="15">
        <f t="shared" si="0"/>
        <v>128.35999999999999</v>
      </c>
      <c r="G26" s="15"/>
      <c r="H26" s="15">
        <f t="shared" si="1"/>
        <v>128.35999999999999</v>
      </c>
      <c r="I26" s="78">
        <v>3083395</v>
      </c>
      <c r="J26" s="198"/>
      <c r="K26" s="176"/>
    </row>
    <row r="27" spans="1:12" s="6" customFormat="1" x14ac:dyDescent="0.25">
      <c r="A27" s="18">
        <v>24</v>
      </c>
      <c r="B27" s="18">
        <v>2627</v>
      </c>
      <c r="C27" s="19" t="s">
        <v>122</v>
      </c>
      <c r="D27" s="18">
        <v>242.9</v>
      </c>
      <c r="E27" s="20" t="s">
        <v>16</v>
      </c>
      <c r="F27" s="21">
        <f t="shared" si="0"/>
        <v>97.160000000000011</v>
      </c>
      <c r="G27" s="21">
        <f>97+0.16</f>
        <v>97.16</v>
      </c>
      <c r="H27" s="21">
        <f t="shared" si="1"/>
        <v>0</v>
      </c>
      <c r="I27" s="25">
        <v>2011348</v>
      </c>
      <c r="J27" s="186">
        <v>45630</v>
      </c>
      <c r="K27" s="176">
        <v>45663</v>
      </c>
    </row>
    <row r="28" spans="1:12" s="6" customFormat="1" x14ac:dyDescent="0.25">
      <c r="A28" s="18">
        <v>25</v>
      </c>
      <c r="B28" s="18">
        <v>2628</v>
      </c>
      <c r="C28" s="19" t="s">
        <v>124</v>
      </c>
      <c r="D28" s="18">
        <v>434.9</v>
      </c>
      <c r="E28" s="20" t="s">
        <v>16</v>
      </c>
      <c r="F28" s="21">
        <f t="shared" si="0"/>
        <v>173.96</v>
      </c>
      <c r="G28" s="21">
        <f>170.73</f>
        <v>170.73</v>
      </c>
      <c r="H28" s="21">
        <f t="shared" si="1"/>
        <v>3.2300000000000182</v>
      </c>
      <c r="I28" s="25">
        <v>2396272</v>
      </c>
      <c r="J28" s="178">
        <v>45679</v>
      </c>
      <c r="K28" s="176">
        <v>45679</v>
      </c>
    </row>
    <row r="29" spans="1:12" s="6" customFormat="1" x14ac:dyDescent="0.25">
      <c r="A29" s="18">
        <v>26</v>
      </c>
      <c r="B29" s="18">
        <v>2629</v>
      </c>
      <c r="C29" s="19" t="s">
        <v>32</v>
      </c>
      <c r="D29" s="18">
        <v>416.8</v>
      </c>
      <c r="E29" s="20" t="s">
        <v>16</v>
      </c>
      <c r="F29" s="21">
        <f t="shared" si="0"/>
        <v>166.72000000000003</v>
      </c>
      <c r="G29" s="21">
        <f>162.58+4.14</f>
        <v>166.72</v>
      </c>
      <c r="H29" s="21">
        <f t="shared" si="1"/>
        <v>0</v>
      </c>
      <c r="I29" s="25">
        <v>6488371</v>
      </c>
      <c r="J29" s="186">
        <v>45628</v>
      </c>
      <c r="K29" s="180">
        <v>45658</v>
      </c>
    </row>
    <row r="30" spans="1:12" s="6" customFormat="1" x14ac:dyDescent="0.25">
      <c r="A30" s="18">
        <v>27</v>
      </c>
      <c r="B30" s="18">
        <v>2630</v>
      </c>
      <c r="C30" s="19" t="s">
        <v>127</v>
      </c>
      <c r="D30" s="18">
        <v>296.5</v>
      </c>
      <c r="E30" s="20" t="s">
        <v>16</v>
      </c>
      <c r="F30" s="21">
        <f t="shared" si="0"/>
        <v>118.60000000000001</v>
      </c>
      <c r="G30" s="21">
        <f>116.52+2.08</f>
        <v>118.6</v>
      </c>
      <c r="H30" s="21">
        <f t="shared" si="1"/>
        <v>0</v>
      </c>
      <c r="I30" s="25">
        <v>8098813</v>
      </c>
      <c r="J30" s="186">
        <v>45650</v>
      </c>
      <c r="K30" s="176">
        <v>45677</v>
      </c>
    </row>
    <row r="31" spans="1:12" s="6" customFormat="1" x14ac:dyDescent="0.25">
      <c r="A31" s="18">
        <v>28</v>
      </c>
      <c r="B31" s="18">
        <v>2631</v>
      </c>
      <c r="C31" s="19" t="s">
        <v>129</v>
      </c>
      <c r="D31" s="18">
        <v>259.7</v>
      </c>
      <c r="E31" s="20" t="s">
        <v>16</v>
      </c>
      <c r="F31" s="21">
        <f t="shared" si="0"/>
        <v>103.88</v>
      </c>
      <c r="G31" s="21">
        <f>99.4+4.48</f>
        <v>103.88000000000001</v>
      </c>
      <c r="H31" s="21">
        <f t="shared" si="1"/>
        <v>0</v>
      </c>
      <c r="I31" s="25">
        <v>931835</v>
      </c>
      <c r="J31" s="186">
        <v>45637</v>
      </c>
      <c r="K31" s="176">
        <v>45663</v>
      </c>
    </row>
    <row r="32" spans="1:12" s="6" customFormat="1" x14ac:dyDescent="0.25">
      <c r="A32" s="18">
        <v>29</v>
      </c>
      <c r="B32" s="18">
        <v>2632</v>
      </c>
      <c r="C32" s="19" t="s">
        <v>53</v>
      </c>
      <c r="D32" s="18">
        <v>307.8</v>
      </c>
      <c r="E32" s="20" t="s">
        <v>16</v>
      </c>
      <c r="F32" s="21">
        <f t="shared" si="0"/>
        <v>123.12</v>
      </c>
      <c r="G32" s="21">
        <f>118.35+4.77</f>
        <v>123.11999999999999</v>
      </c>
      <c r="H32" s="21">
        <f t="shared" si="1"/>
        <v>0</v>
      </c>
      <c r="I32" s="25">
        <v>18395066</v>
      </c>
      <c r="J32" s="186">
        <v>45656</v>
      </c>
      <c r="K32" s="176">
        <v>45672</v>
      </c>
    </row>
    <row r="33" spans="1:12" s="6" customFormat="1" x14ac:dyDescent="0.25">
      <c r="A33" s="12">
        <v>30</v>
      </c>
      <c r="B33" s="69">
        <v>2633</v>
      </c>
      <c r="C33" s="70" t="s">
        <v>134</v>
      </c>
      <c r="D33" s="69">
        <v>108.3</v>
      </c>
      <c r="E33" s="14" t="s">
        <v>16</v>
      </c>
      <c r="F33" s="15">
        <f t="shared" si="0"/>
        <v>43.32</v>
      </c>
      <c r="G33" s="15"/>
      <c r="H33" s="15">
        <f t="shared" si="1"/>
        <v>43.32</v>
      </c>
      <c r="I33" s="16">
        <v>5585042</v>
      </c>
      <c r="J33" s="188"/>
      <c r="K33" s="176"/>
    </row>
    <row r="34" spans="1:12" s="6" customFormat="1" x14ac:dyDescent="0.25">
      <c r="A34" s="18">
        <v>31</v>
      </c>
      <c r="B34" s="18">
        <v>2634</v>
      </c>
      <c r="C34" s="19" t="s">
        <v>136</v>
      </c>
      <c r="D34" s="18">
        <v>461.8</v>
      </c>
      <c r="E34" s="20" t="s">
        <v>16</v>
      </c>
      <c r="F34" s="21">
        <f t="shared" si="0"/>
        <v>184.72000000000003</v>
      </c>
      <c r="G34" s="21">
        <f>182.35+2.37</f>
        <v>184.72</v>
      </c>
      <c r="H34" s="21">
        <f t="shared" si="1"/>
        <v>0</v>
      </c>
      <c r="I34" s="25">
        <v>24361971</v>
      </c>
      <c r="J34" s="199">
        <v>45623</v>
      </c>
      <c r="K34" s="176">
        <v>45658</v>
      </c>
    </row>
    <row r="35" spans="1:12" s="6" customFormat="1" x14ac:dyDescent="0.25">
      <c r="A35" s="18">
        <v>32</v>
      </c>
      <c r="B35" s="18">
        <v>2635</v>
      </c>
      <c r="C35" s="19" t="s">
        <v>138</v>
      </c>
      <c r="D35" s="18">
        <v>330</v>
      </c>
      <c r="E35" s="20" t="s">
        <v>16</v>
      </c>
      <c r="F35" s="21">
        <f t="shared" si="0"/>
        <v>132</v>
      </c>
      <c r="G35" s="21">
        <f>128.32+3.68</f>
        <v>132</v>
      </c>
      <c r="H35" s="21">
        <f t="shared" si="1"/>
        <v>0</v>
      </c>
      <c r="I35" s="30">
        <v>19928115</v>
      </c>
      <c r="J35" s="190">
        <v>45656</v>
      </c>
      <c r="K35" s="176">
        <v>45679</v>
      </c>
    </row>
    <row r="36" spans="1:12" s="6" customFormat="1" x14ac:dyDescent="0.25">
      <c r="A36" s="18">
        <v>33</v>
      </c>
      <c r="B36" s="18">
        <v>2636</v>
      </c>
      <c r="C36" s="19" t="s">
        <v>140</v>
      </c>
      <c r="D36" s="18">
        <v>415.5</v>
      </c>
      <c r="E36" s="20" t="s">
        <v>16</v>
      </c>
      <c r="F36" s="21">
        <f t="shared" si="0"/>
        <v>166.20000000000002</v>
      </c>
      <c r="G36" s="21">
        <f>163.65+2.55</f>
        <v>166.20000000000002</v>
      </c>
      <c r="H36" s="21">
        <f t="shared" si="1"/>
        <v>0</v>
      </c>
      <c r="I36" s="25">
        <v>2092081</v>
      </c>
      <c r="J36" s="186">
        <v>45645</v>
      </c>
      <c r="K36" s="176">
        <v>45810</v>
      </c>
    </row>
    <row r="37" spans="1:12" s="6" customFormat="1" x14ac:dyDescent="0.25">
      <c r="A37" s="12">
        <v>34</v>
      </c>
      <c r="B37" s="69">
        <v>2637</v>
      </c>
      <c r="C37" s="70" t="s">
        <v>142</v>
      </c>
      <c r="D37" s="69">
        <v>261.7</v>
      </c>
      <c r="E37" s="14" t="s">
        <v>16</v>
      </c>
      <c r="F37" s="15">
        <f t="shared" si="0"/>
        <v>104.68</v>
      </c>
      <c r="G37" s="15"/>
      <c r="H37" s="15">
        <f t="shared" si="1"/>
        <v>104.68</v>
      </c>
      <c r="I37" s="16">
        <v>12073906</v>
      </c>
      <c r="J37" s="188"/>
      <c r="K37" s="176"/>
    </row>
    <row r="38" spans="1:12" s="6" customFormat="1" x14ac:dyDescent="0.25">
      <c r="A38" s="12">
        <v>35</v>
      </c>
      <c r="B38" s="69">
        <v>2638</v>
      </c>
      <c r="C38" s="70" t="s">
        <v>144</v>
      </c>
      <c r="D38" s="69"/>
      <c r="E38" s="14" t="s">
        <v>16</v>
      </c>
      <c r="F38" s="15">
        <f t="shared" si="0"/>
        <v>0</v>
      </c>
      <c r="G38" s="15"/>
      <c r="H38" s="15">
        <f t="shared" si="1"/>
        <v>0</v>
      </c>
      <c r="I38" s="16">
        <v>21944623</v>
      </c>
      <c r="J38" s="188"/>
      <c r="K38" s="176"/>
    </row>
    <row r="39" spans="1:12" s="6" customFormat="1" x14ac:dyDescent="0.25">
      <c r="A39" s="12">
        <v>36</v>
      </c>
      <c r="B39" s="69">
        <v>2639</v>
      </c>
      <c r="C39" s="70" t="s">
        <v>146</v>
      </c>
      <c r="D39" s="69">
        <v>243.2</v>
      </c>
      <c r="E39" s="14" t="s">
        <v>16</v>
      </c>
      <c r="F39" s="15">
        <f t="shared" si="0"/>
        <v>97.28</v>
      </c>
      <c r="G39" s="15"/>
      <c r="H39" s="15">
        <f t="shared" si="1"/>
        <v>97.28</v>
      </c>
      <c r="I39" s="16">
        <v>1389397</v>
      </c>
      <c r="J39" s="188"/>
      <c r="K39" s="176"/>
    </row>
    <row r="40" spans="1:12" s="72" customFormat="1" x14ac:dyDescent="0.25">
      <c r="A40" s="18">
        <v>37</v>
      </c>
      <c r="B40" s="18">
        <v>2640</v>
      </c>
      <c r="C40" s="19" t="s">
        <v>35</v>
      </c>
      <c r="D40" s="18">
        <v>237.8</v>
      </c>
      <c r="E40" s="20" t="s">
        <v>16</v>
      </c>
      <c r="F40" s="21">
        <f t="shared" si="0"/>
        <v>95.12</v>
      </c>
      <c r="G40" s="21">
        <f>F40</f>
        <v>95.12</v>
      </c>
      <c r="H40" s="21">
        <f t="shared" si="1"/>
        <v>0</v>
      </c>
      <c r="I40" s="25">
        <v>25021829</v>
      </c>
      <c r="J40" s="186">
        <v>45810</v>
      </c>
      <c r="K40" s="178"/>
    </row>
    <row r="41" spans="1:12" s="6" customFormat="1" x14ac:dyDescent="0.25">
      <c r="A41" s="12">
        <v>38</v>
      </c>
      <c r="B41" s="69">
        <v>2641</v>
      </c>
      <c r="C41" s="70" t="s">
        <v>149</v>
      </c>
      <c r="D41" s="69">
        <v>244.2</v>
      </c>
      <c r="E41" s="14" t="s">
        <v>16</v>
      </c>
      <c r="F41" s="15">
        <f t="shared" si="0"/>
        <v>97.68</v>
      </c>
      <c r="G41" s="15"/>
      <c r="H41" s="15">
        <f t="shared" si="1"/>
        <v>97.68</v>
      </c>
      <c r="I41" s="16">
        <v>1499316</v>
      </c>
      <c r="J41" s="188"/>
      <c r="K41" s="176"/>
    </row>
    <row r="42" spans="1:12" s="6" customFormat="1" x14ac:dyDescent="0.25">
      <c r="A42" s="18">
        <v>39</v>
      </c>
      <c r="B42" s="18">
        <v>2642</v>
      </c>
      <c r="C42" s="19" t="s">
        <v>151</v>
      </c>
      <c r="D42" s="18">
        <v>430.1</v>
      </c>
      <c r="E42" s="20" t="s">
        <v>16</v>
      </c>
      <c r="F42" s="21">
        <f t="shared" si="0"/>
        <v>172.04000000000002</v>
      </c>
      <c r="G42" s="21">
        <f>36.66+130.95+4.43</f>
        <v>172.04</v>
      </c>
      <c r="H42" s="21">
        <f t="shared" si="1"/>
        <v>0</v>
      </c>
      <c r="I42" s="25">
        <v>3018879</v>
      </c>
      <c r="J42" s="186">
        <v>45629</v>
      </c>
      <c r="K42" s="176">
        <v>45630</v>
      </c>
      <c r="L42" s="127">
        <v>45658</v>
      </c>
    </row>
    <row r="43" spans="1:12" s="6" customFormat="1" x14ac:dyDescent="0.25">
      <c r="A43" s="96">
        <v>40</v>
      </c>
      <c r="B43" s="96">
        <v>2643</v>
      </c>
      <c r="C43" s="97" t="s">
        <v>153</v>
      </c>
      <c r="D43" s="96">
        <v>584</v>
      </c>
      <c r="E43" s="98" t="s">
        <v>16</v>
      </c>
      <c r="F43" s="99">
        <f t="shared" si="0"/>
        <v>233.60000000000002</v>
      </c>
      <c r="G43" s="99">
        <f>F43</f>
        <v>233.60000000000002</v>
      </c>
      <c r="H43" s="99">
        <f t="shared" si="1"/>
        <v>0</v>
      </c>
      <c r="I43" s="100">
        <v>1485446</v>
      </c>
      <c r="J43" s="191" t="s">
        <v>65</v>
      </c>
      <c r="K43" s="176"/>
    </row>
    <row r="44" spans="1:12" x14ac:dyDescent="0.25">
      <c r="A44" s="12">
        <v>41</v>
      </c>
      <c r="B44" s="69">
        <v>2644</v>
      </c>
      <c r="C44" s="70" t="s">
        <v>155</v>
      </c>
      <c r="D44" s="69">
        <v>324.89999999999998</v>
      </c>
      <c r="E44" s="14" t="s">
        <v>16</v>
      </c>
      <c r="F44" s="15">
        <f t="shared" si="0"/>
        <v>129.96</v>
      </c>
      <c r="G44" s="15"/>
      <c r="H44" s="15">
        <f t="shared" si="1"/>
        <v>129.96</v>
      </c>
      <c r="I44" s="78">
        <v>23180515</v>
      </c>
      <c r="J44" s="188" t="s">
        <v>22</v>
      </c>
    </row>
    <row r="45" spans="1:12" s="6" customFormat="1" x14ac:dyDescent="0.25">
      <c r="A45" s="12">
        <v>42</v>
      </c>
      <c r="B45" s="69">
        <v>2645</v>
      </c>
      <c r="C45" s="70" t="s">
        <v>157</v>
      </c>
      <c r="D45" s="69">
        <v>319.5</v>
      </c>
      <c r="E45" s="14" t="s">
        <v>16</v>
      </c>
      <c r="F45" s="15">
        <f t="shared" si="0"/>
        <v>127.80000000000001</v>
      </c>
      <c r="G45" s="15"/>
      <c r="H45" s="15">
        <f t="shared" si="1"/>
        <v>127.80000000000001</v>
      </c>
      <c r="I45" s="16">
        <v>20133638</v>
      </c>
      <c r="J45" s="188" t="s">
        <v>22</v>
      </c>
      <c r="K45" s="176"/>
    </row>
    <row r="46" spans="1:12" s="72" customFormat="1" x14ac:dyDescent="0.25">
      <c r="A46" s="18">
        <v>43</v>
      </c>
      <c r="B46" s="18">
        <v>2646</v>
      </c>
      <c r="C46" s="19" t="s">
        <v>159</v>
      </c>
      <c r="D46" s="18">
        <v>518.5</v>
      </c>
      <c r="E46" s="20" t="s">
        <v>16</v>
      </c>
      <c r="F46" s="21">
        <f t="shared" si="0"/>
        <v>207.4</v>
      </c>
      <c r="G46" s="21">
        <f>F46</f>
        <v>207.4</v>
      </c>
      <c r="H46" s="21">
        <f t="shared" si="1"/>
        <v>0</v>
      </c>
      <c r="I46" s="25">
        <v>13271226</v>
      </c>
      <c r="J46" s="31">
        <v>45670</v>
      </c>
      <c r="K46" s="178"/>
    </row>
    <row r="47" spans="1:12" s="6" customFormat="1" x14ac:dyDescent="0.25">
      <c r="A47" s="12">
        <v>44</v>
      </c>
      <c r="B47" s="12">
        <v>2647</v>
      </c>
      <c r="C47" s="13" t="s">
        <v>161</v>
      </c>
      <c r="D47" s="12">
        <v>264</v>
      </c>
      <c r="E47" s="14" t="s">
        <v>16</v>
      </c>
      <c r="F47" s="15">
        <f t="shared" si="0"/>
        <v>105.60000000000001</v>
      </c>
      <c r="G47" s="15"/>
      <c r="H47" s="15">
        <f t="shared" si="1"/>
        <v>105.60000000000001</v>
      </c>
      <c r="I47" s="16">
        <v>828714</v>
      </c>
      <c r="J47" s="188" t="s">
        <v>22</v>
      </c>
      <c r="K47" s="176"/>
    </row>
    <row r="48" spans="1:12" s="6" customFormat="1" x14ac:dyDescent="0.25">
      <c r="A48" s="18">
        <v>45</v>
      </c>
      <c r="B48" s="18">
        <v>2648</v>
      </c>
      <c r="C48" s="19" t="s">
        <v>163</v>
      </c>
      <c r="D48" s="18">
        <v>256</v>
      </c>
      <c r="E48" s="20" t="s">
        <v>16</v>
      </c>
      <c r="F48" s="21">
        <f t="shared" si="0"/>
        <v>102.4</v>
      </c>
      <c r="G48" s="21">
        <f>100.94+1.46</f>
        <v>102.39999999999999</v>
      </c>
      <c r="H48" s="21">
        <f t="shared" si="1"/>
        <v>0</v>
      </c>
      <c r="I48" s="25">
        <v>5086</v>
      </c>
      <c r="J48" s="186">
        <v>45630</v>
      </c>
      <c r="K48" s="176">
        <v>45658</v>
      </c>
    </row>
    <row r="49" spans="1:11" s="6" customFormat="1" x14ac:dyDescent="0.25">
      <c r="A49" s="18">
        <v>46</v>
      </c>
      <c r="B49" s="18">
        <v>2649</v>
      </c>
      <c r="C49" s="19" t="s">
        <v>165</v>
      </c>
      <c r="D49" s="18">
        <v>288</v>
      </c>
      <c r="E49" s="20" t="s">
        <v>16</v>
      </c>
      <c r="F49" s="21">
        <f t="shared" si="0"/>
        <v>115.2</v>
      </c>
      <c r="G49" s="21">
        <f>113.56+1.64</f>
        <v>115.2</v>
      </c>
      <c r="H49" s="21">
        <f t="shared" si="1"/>
        <v>0</v>
      </c>
      <c r="I49" s="25">
        <v>1282981</v>
      </c>
      <c r="J49" s="186">
        <v>45630</v>
      </c>
      <c r="K49" s="142">
        <v>45691</v>
      </c>
    </row>
    <row r="50" spans="1:11" s="6" customFormat="1" x14ac:dyDescent="0.25">
      <c r="A50" s="12">
        <v>47</v>
      </c>
      <c r="B50" s="69">
        <v>2650</v>
      </c>
      <c r="C50" s="70" t="s">
        <v>167</v>
      </c>
      <c r="D50" s="69">
        <v>271.60000000000002</v>
      </c>
      <c r="E50" s="14" t="s">
        <v>16</v>
      </c>
      <c r="F50" s="15">
        <f t="shared" si="0"/>
        <v>108.64000000000001</v>
      </c>
      <c r="G50" s="15"/>
      <c r="H50" s="15">
        <f t="shared" si="1"/>
        <v>108.64000000000001</v>
      </c>
      <c r="I50" s="16">
        <v>5949449</v>
      </c>
      <c r="J50" s="188"/>
      <c r="K50" s="176"/>
    </row>
    <row r="51" spans="1:11" s="6" customFormat="1" x14ac:dyDescent="0.25">
      <c r="A51" s="12">
        <v>48</v>
      </c>
      <c r="B51" s="69">
        <v>2651</v>
      </c>
      <c r="C51" s="70" t="s">
        <v>169</v>
      </c>
      <c r="D51" s="69">
        <v>261</v>
      </c>
      <c r="E51" s="14" t="s">
        <v>16</v>
      </c>
      <c r="F51" s="15">
        <f t="shared" si="0"/>
        <v>104.4</v>
      </c>
      <c r="G51" s="15"/>
      <c r="H51" s="15">
        <f t="shared" si="1"/>
        <v>104.4</v>
      </c>
      <c r="I51" s="16">
        <v>18629431</v>
      </c>
      <c r="J51" s="188"/>
      <c r="K51" s="176"/>
    </row>
    <row r="52" spans="1:11" s="6" customFormat="1" x14ac:dyDescent="0.25">
      <c r="A52" s="18">
        <v>49</v>
      </c>
      <c r="B52" s="18">
        <v>2652</v>
      </c>
      <c r="C52" s="19" t="s">
        <v>171</v>
      </c>
      <c r="D52" s="18">
        <v>361.2</v>
      </c>
      <c r="E52" s="20" t="s">
        <v>16</v>
      </c>
      <c r="F52" s="21">
        <f t="shared" si="0"/>
        <v>144.47999999999999</v>
      </c>
      <c r="G52" s="21">
        <f>141.74+2.74</f>
        <v>144.48000000000002</v>
      </c>
      <c r="H52" s="21">
        <f t="shared" si="1"/>
        <v>0</v>
      </c>
      <c r="I52" s="25">
        <v>23212756</v>
      </c>
      <c r="J52" s="186">
        <v>45630</v>
      </c>
      <c r="K52" s="176">
        <v>45663</v>
      </c>
    </row>
    <row r="53" spans="1:11" s="6" customFormat="1" x14ac:dyDescent="0.25">
      <c r="A53" s="12">
        <v>50</v>
      </c>
      <c r="B53" s="69">
        <v>2653</v>
      </c>
      <c r="C53" s="70" t="s">
        <v>173</v>
      </c>
      <c r="D53" s="69">
        <v>633.6</v>
      </c>
      <c r="E53" s="14" t="s">
        <v>16</v>
      </c>
      <c r="F53" s="15">
        <f t="shared" si="0"/>
        <v>253.44000000000003</v>
      </c>
      <c r="G53" s="15"/>
      <c r="H53" s="15">
        <f t="shared" si="1"/>
        <v>253.44000000000003</v>
      </c>
      <c r="I53" s="16">
        <v>9097024</v>
      </c>
      <c r="J53" s="188"/>
      <c r="K53" s="176"/>
    </row>
    <row r="54" spans="1:11" s="72" customFormat="1" x14ac:dyDescent="0.25">
      <c r="A54" s="18">
        <v>51</v>
      </c>
      <c r="B54" s="18">
        <v>2654</v>
      </c>
      <c r="C54" s="19" t="s">
        <v>54</v>
      </c>
      <c r="D54" s="18">
        <v>353.3</v>
      </c>
      <c r="E54" s="20" t="s">
        <v>16</v>
      </c>
      <c r="F54" s="21">
        <f t="shared" si="0"/>
        <v>141.32000000000002</v>
      </c>
      <c r="G54" s="21">
        <f>139.64+1.68</f>
        <v>141.32</v>
      </c>
      <c r="H54" s="21">
        <f t="shared" si="1"/>
        <v>0</v>
      </c>
      <c r="I54" s="25">
        <v>6073815</v>
      </c>
      <c r="J54" s="186">
        <v>45630</v>
      </c>
      <c r="K54" s="178">
        <v>45657</v>
      </c>
    </row>
    <row r="55" spans="1:11" s="6" customFormat="1" x14ac:dyDescent="0.25">
      <c r="A55" s="12">
        <v>52</v>
      </c>
      <c r="B55" s="18">
        <v>2655</v>
      </c>
      <c r="C55" s="19" t="s">
        <v>56</v>
      </c>
      <c r="D55" s="18">
        <v>270.2</v>
      </c>
      <c r="E55" s="20" t="s">
        <v>16</v>
      </c>
      <c r="F55" s="21">
        <f t="shared" si="0"/>
        <v>108.08</v>
      </c>
      <c r="G55" s="21">
        <f>105.03+3.05</f>
        <v>108.08</v>
      </c>
      <c r="H55" s="21">
        <f t="shared" si="1"/>
        <v>0</v>
      </c>
      <c r="I55" s="25">
        <v>20987274</v>
      </c>
      <c r="J55" s="186">
        <v>45637</v>
      </c>
      <c r="K55" s="176">
        <v>45672</v>
      </c>
    </row>
    <row r="56" spans="1:11" s="6" customFormat="1" x14ac:dyDescent="0.25">
      <c r="A56" s="18">
        <v>53</v>
      </c>
      <c r="B56" s="18">
        <v>2656</v>
      </c>
      <c r="C56" s="19" t="s">
        <v>177</v>
      </c>
      <c r="D56" s="18">
        <v>283.7</v>
      </c>
      <c r="E56" s="20" t="s">
        <v>16</v>
      </c>
      <c r="F56" s="21">
        <f t="shared" si="0"/>
        <v>113.48</v>
      </c>
      <c r="G56" s="21">
        <f>112.51+0.97</f>
        <v>113.48</v>
      </c>
      <c r="H56" s="21">
        <f t="shared" si="1"/>
        <v>0</v>
      </c>
      <c r="I56" s="25">
        <v>21910635</v>
      </c>
      <c r="J56" s="186" t="s">
        <v>322</v>
      </c>
      <c r="K56" s="176"/>
    </row>
    <row r="57" spans="1:11" s="6" customFormat="1" x14ac:dyDescent="0.25">
      <c r="A57" s="12">
        <v>54</v>
      </c>
      <c r="B57" s="12">
        <v>2657</v>
      </c>
      <c r="C57" s="13" t="s">
        <v>179</v>
      </c>
      <c r="D57" s="12">
        <v>286</v>
      </c>
      <c r="E57" s="14" t="s">
        <v>16</v>
      </c>
      <c r="F57" s="15">
        <f t="shared" si="0"/>
        <v>114.4</v>
      </c>
      <c r="G57" s="15"/>
      <c r="H57" s="15">
        <f t="shared" si="1"/>
        <v>114.4</v>
      </c>
      <c r="I57" s="16">
        <v>6502761</v>
      </c>
      <c r="J57" s="188" t="s">
        <v>22</v>
      </c>
      <c r="K57" s="176"/>
    </row>
    <row r="58" spans="1:11" s="6" customFormat="1" x14ac:dyDescent="0.25">
      <c r="A58" s="18">
        <v>55</v>
      </c>
      <c r="B58" s="18">
        <v>2658</v>
      </c>
      <c r="C58" s="19" t="s">
        <v>181</v>
      </c>
      <c r="D58" s="18">
        <v>156.19999999999999</v>
      </c>
      <c r="E58" s="38">
        <v>0.4</v>
      </c>
      <c r="F58" s="21">
        <f t="shared" si="0"/>
        <v>62.48</v>
      </c>
      <c r="G58" s="21">
        <f>59.63+2.85</f>
        <v>62.480000000000004</v>
      </c>
      <c r="H58" s="21">
        <f t="shared" si="1"/>
        <v>0</v>
      </c>
      <c r="I58" s="25">
        <v>6726168</v>
      </c>
      <c r="J58" s="186">
        <v>45629</v>
      </c>
      <c r="K58" s="176">
        <v>45658</v>
      </c>
    </row>
    <row r="59" spans="1:11" s="6" customFormat="1" x14ac:dyDescent="0.25">
      <c r="A59" s="18">
        <v>56</v>
      </c>
      <c r="B59" s="18">
        <v>2659</v>
      </c>
      <c r="C59" s="19" t="s">
        <v>183</v>
      </c>
      <c r="D59" s="18">
        <v>280.5</v>
      </c>
      <c r="E59" s="38">
        <v>0.4</v>
      </c>
      <c r="F59" s="21">
        <f t="shared" si="0"/>
        <v>112.2</v>
      </c>
      <c r="G59" s="21">
        <f>110.17+2.03</f>
        <v>112.2</v>
      </c>
      <c r="H59" s="21">
        <f t="shared" si="1"/>
        <v>0</v>
      </c>
      <c r="I59" s="25">
        <v>5796837</v>
      </c>
      <c r="J59" s="186">
        <v>45629</v>
      </c>
      <c r="K59" s="176">
        <v>45672</v>
      </c>
    </row>
    <row r="60" spans="1:11" s="6" customFormat="1" x14ac:dyDescent="0.25">
      <c r="A60" s="18">
        <v>57</v>
      </c>
      <c r="B60" s="18">
        <v>2660</v>
      </c>
      <c r="C60" s="19" t="s">
        <v>185</v>
      </c>
      <c r="D60" s="18">
        <v>267</v>
      </c>
      <c r="E60" s="38">
        <v>0.4</v>
      </c>
      <c r="F60" s="21">
        <f t="shared" si="0"/>
        <v>106.80000000000001</v>
      </c>
      <c r="G60" s="21">
        <f>105.78+1.02</f>
        <v>106.8</v>
      </c>
      <c r="H60" s="21">
        <f t="shared" si="1"/>
        <v>0</v>
      </c>
      <c r="I60" s="25">
        <v>7250691</v>
      </c>
      <c r="J60" s="186">
        <v>45623</v>
      </c>
      <c r="K60" s="176">
        <v>45658</v>
      </c>
    </row>
    <row r="61" spans="1:11" s="6" customFormat="1" x14ac:dyDescent="0.25">
      <c r="A61" s="18">
        <v>58</v>
      </c>
      <c r="B61" s="18">
        <v>2661</v>
      </c>
      <c r="C61" s="19" t="s">
        <v>187</v>
      </c>
      <c r="D61" s="18">
        <v>197.4</v>
      </c>
      <c r="E61" s="38">
        <v>0.4</v>
      </c>
      <c r="F61" s="21">
        <f t="shared" si="0"/>
        <v>78.960000000000008</v>
      </c>
      <c r="G61" s="21">
        <f>74.25+4.71</f>
        <v>78.959999999999994</v>
      </c>
      <c r="H61" s="21">
        <f t="shared" si="1"/>
        <v>0</v>
      </c>
      <c r="I61" s="25">
        <v>24935198</v>
      </c>
      <c r="J61" s="186">
        <v>45635</v>
      </c>
      <c r="K61" s="176">
        <v>45670</v>
      </c>
    </row>
    <row r="62" spans="1:11" s="6" customFormat="1" x14ac:dyDescent="0.25">
      <c r="A62" s="18">
        <v>59</v>
      </c>
      <c r="B62" s="18">
        <v>2662</v>
      </c>
      <c r="C62" s="19" t="s">
        <v>189</v>
      </c>
      <c r="D62" s="18">
        <v>551.1</v>
      </c>
      <c r="E62" s="38">
        <v>0.4</v>
      </c>
      <c r="F62" s="21">
        <f t="shared" si="0"/>
        <v>220.44000000000003</v>
      </c>
      <c r="G62" s="21">
        <f>216.82+3.62</f>
        <v>220.44</v>
      </c>
      <c r="H62" s="21">
        <f t="shared" si="1"/>
        <v>0</v>
      </c>
      <c r="I62" s="25">
        <v>2931011</v>
      </c>
      <c r="J62" s="186">
        <v>45623</v>
      </c>
      <c r="K62" s="176">
        <v>45663</v>
      </c>
    </row>
    <row r="63" spans="1:11" s="6" customFormat="1" x14ac:dyDescent="0.25">
      <c r="A63" s="18">
        <v>60</v>
      </c>
      <c r="B63" s="18">
        <v>2663</v>
      </c>
      <c r="C63" s="19" t="s">
        <v>191</v>
      </c>
      <c r="D63" s="18">
        <v>544.29999999999995</v>
      </c>
      <c r="E63" s="38">
        <v>0.4</v>
      </c>
      <c r="F63" s="21">
        <f t="shared" si="0"/>
        <v>217.72</v>
      </c>
      <c r="G63" s="21">
        <f>215.62</f>
        <v>215.62</v>
      </c>
      <c r="H63" s="21">
        <f t="shared" si="1"/>
        <v>2.0999999999999943</v>
      </c>
      <c r="I63" s="25">
        <v>568448</v>
      </c>
      <c r="J63" s="186">
        <v>45642</v>
      </c>
      <c r="K63" s="176"/>
    </row>
    <row r="64" spans="1:11" s="35" customFormat="1" x14ac:dyDescent="0.25">
      <c r="A64" s="18">
        <v>61</v>
      </c>
      <c r="B64" s="18">
        <v>2665</v>
      </c>
      <c r="C64" s="19" t="s">
        <v>194</v>
      </c>
      <c r="D64" s="18">
        <v>470.4</v>
      </c>
      <c r="E64" s="38">
        <v>0.4</v>
      </c>
      <c r="F64" s="21">
        <f t="shared" si="0"/>
        <v>188.16</v>
      </c>
      <c r="G64" s="21">
        <f>185.48+2.68</f>
        <v>188.16</v>
      </c>
      <c r="H64" s="21">
        <f t="shared" si="1"/>
        <v>0</v>
      </c>
      <c r="I64" s="25">
        <v>8467055</v>
      </c>
      <c r="J64" s="186">
        <v>45645</v>
      </c>
      <c r="K64" s="176">
        <v>45658</v>
      </c>
    </row>
    <row r="65" spans="1:11" s="35" customFormat="1" x14ac:dyDescent="0.25">
      <c r="A65" s="18">
        <v>62</v>
      </c>
      <c r="B65" s="18">
        <v>2666</v>
      </c>
      <c r="C65" s="19" t="s">
        <v>196</v>
      </c>
      <c r="D65" s="18">
        <v>300</v>
      </c>
      <c r="E65" s="38">
        <v>0.4</v>
      </c>
      <c r="F65" s="21">
        <f t="shared" si="0"/>
        <v>120</v>
      </c>
      <c r="G65" s="21">
        <f>118.63+1.37</f>
        <v>120</v>
      </c>
      <c r="H65" s="21">
        <f t="shared" si="1"/>
        <v>0</v>
      </c>
      <c r="I65" s="25">
        <v>23188968</v>
      </c>
      <c r="J65" s="186">
        <v>45629</v>
      </c>
      <c r="K65" s="176">
        <v>45658</v>
      </c>
    </row>
    <row r="66" spans="1:11" s="35" customFormat="1" x14ac:dyDescent="0.25">
      <c r="A66" s="12">
        <v>63</v>
      </c>
      <c r="B66" s="69">
        <v>2667</v>
      </c>
      <c r="C66" s="70" t="s">
        <v>198</v>
      </c>
      <c r="D66" s="69">
        <v>284.39999999999998</v>
      </c>
      <c r="E66" s="34">
        <v>0.4</v>
      </c>
      <c r="F66" s="15">
        <f t="shared" si="0"/>
        <v>113.75999999999999</v>
      </c>
      <c r="G66" s="15"/>
      <c r="H66" s="15">
        <f t="shared" si="1"/>
        <v>113.75999999999999</v>
      </c>
      <c r="I66" s="16">
        <v>210053</v>
      </c>
      <c r="J66" s="188"/>
      <c r="K66" s="176"/>
    </row>
    <row r="67" spans="1:11" s="35" customFormat="1" x14ac:dyDescent="0.25">
      <c r="A67" s="12">
        <v>64</v>
      </c>
      <c r="B67" s="69">
        <v>2668</v>
      </c>
      <c r="C67" s="70" t="s">
        <v>200</v>
      </c>
      <c r="D67" s="69">
        <v>238.7</v>
      </c>
      <c r="E67" s="34">
        <v>0.4</v>
      </c>
      <c r="F67" s="15">
        <f t="shared" si="0"/>
        <v>95.48</v>
      </c>
      <c r="G67" s="15"/>
      <c r="H67" s="15">
        <f t="shared" si="1"/>
        <v>95.48</v>
      </c>
      <c r="I67" s="16">
        <v>8542496</v>
      </c>
      <c r="J67" s="188"/>
      <c r="K67" s="176"/>
    </row>
    <row r="68" spans="1:11" s="35" customFormat="1" x14ac:dyDescent="0.25">
      <c r="A68" s="96">
        <v>65</v>
      </c>
      <c r="B68" s="96">
        <v>2669</v>
      </c>
      <c r="C68" s="97" t="s">
        <v>202</v>
      </c>
      <c r="D68" s="96">
        <v>276.8</v>
      </c>
      <c r="E68" s="125">
        <v>0.4</v>
      </c>
      <c r="F68" s="99">
        <f t="shared" ref="F68:F127" si="2">D68*E68</f>
        <v>110.72000000000001</v>
      </c>
      <c r="G68" s="99">
        <f>F68</f>
        <v>110.72000000000001</v>
      </c>
      <c r="H68" s="99">
        <f t="shared" si="1"/>
        <v>0</v>
      </c>
      <c r="I68" s="100">
        <v>6460241</v>
      </c>
      <c r="J68" s="197" t="s">
        <v>65</v>
      </c>
      <c r="K68" s="176"/>
    </row>
    <row r="69" spans="1:11" s="35" customFormat="1" x14ac:dyDescent="0.25">
      <c r="A69" s="12">
        <v>66</v>
      </c>
      <c r="B69" s="69">
        <v>2670</v>
      </c>
      <c r="C69" s="70" t="s">
        <v>205</v>
      </c>
      <c r="D69" s="69">
        <v>288.8</v>
      </c>
      <c r="E69" s="34">
        <v>0.4</v>
      </c>
      <c r="F69" s="15">
        <f t="shared" si="2"/>
        <v>115.52000000000001</v>
      </c>
      <c r="G69" s="15"/>
      <c r="H69" s="15">
        <f t="shared" ref="H69:H127" si="3">F69-G69</f>
        <v>115.52000000000001</v>
      </c>
      <c r="I69" s="16">
        <v>1481996</v>
      </c>
      <c r="J69" s="188"/>
      <c r="K69" s="176"/>
    </row>
    <row r="70" spans="1:11" s="35" customFormat="1" x14ac:dyDescent="0.25">
      <c r="A70" s="12">
        <v>67</v>
      </c>
      <c r="B70" s="69">
        <v>2671</v>
      </c>
      <c r="C70" s="70" t="s">
        <v>207</v>
      </c>
      <c r="D70" s="69">
        <v>309.8</v>
      </c>
      <c r="E70" s="34">
        <v>0.4</v>
      </c>
      <c r="F70" s="15">
        <f t="shared" si="2"/>
        <v>123.92000000000002</v>
      </c>
      <c r="G70" s="15"/>
      <c r="H70" s="15">
        <f t="shared" si="3"/>
        <v>123.92000000000002</v>
      </c>
      <c r="I70" s="16">
        <v>19595084</v>
      </c>
      <c r="J70" s="188"/>
      <c r="K70" s="176"/>
    </row>
    <row r="71" spans="1:11" s="35" customFormat="1" x14ac:dyDescent="0.25">
      <c r="A71" s="12">
        <v>68</v>
      </c>
      <c r="B71" s="69">
        <v>2672</v>
      </c>
      <c r="C71" s="70" t="s">
        <v>209</v>
      </c>
      <c r="D71" s="69">
        <v>247.4</v>
      </c>
      <c r="E71" s="34">
        <v>0.4</v>
      </c>
      <c r="F71" s="15">
        <f t="shared" si="2"/>
        <v>98.960000000000008</v>
      </c>
      <c r="G71" s="15"/>
      <c r="H71" s="15">
        <f t="shared" si="3"/>
        <v>98.960000000000008</v>
      </c>
      <c r="I71" s="33">
        <v>21469064</v>
      </c>
      <c r="J71" s="188"/>
      <c r="K71" s="176"/>
    </row>
    <row r="72" spans="1:11" s="35" customFormat="1" x14ac:dyDescent="0.25">
      <c r="A72" s="12">
        <v>69</v>
      </c>
      <c r="B72" s="57">
        <v>2673</v>
      </c>
      <c r="C72" s="13" t="s">
        <v>58</v>
      </c>
      <c r="D72" s="12">
        <v>262</v>
      </c>
      <c r="E72" s="34">
        <v>0.4</v>
      </c>
      <c r="F72" s="15">
        <f t="shared" si="2"/>
        <v>104.80000000000001</v>
      </c>
      <c r="G72" s="15"/>
      <c r="H72" s="15">
        <f t="shared" si="3"/>
        <v>104.80000000000001</v>
      </c>
      <c r="I72" s="33">
        <v>8393437</v>
      </c>
      <c r="J72" s="188"/>
      <c r="K72" s="176"/>
    </row>
    <row r="73" spans="1:11" s="6" customFormat="1" x14ac:dyDescent="0.25">
      <c r="A73" s="18">
        <v>70</v>
      </c>
      <c r="B73" s="18">
        <v>2674</v>
      </c>
      <c r="C73" s="19" t="s">
        <v>37</v>
      </c>
      <c r="D73" s="18">
        <v>300.8</v>
      </c>
      <c r="E73" s="38">
        <v>0.4</v>
      </c>
      <c r="F73" s="21">
        <f t="shared" si="2"/>
        <v>120.32000000000001</v>
      </c>
      <c r="G73" s="21">
        <f>118.58+1.74</f>
        <v>120.32</v>
      </c>
      <c r="H73" s="21">
        <f t="shared" si="3"/>
        <v>0</v>
      </c>
      <c r="I73" s="25">
        <v>6332118</v>
      </c>
      <c r="J73" s="186">
        <v>45645</v>
      </c>
      <c r="K73" s="176">
        <v>45665</v>
      </c>
    </row>
    <row r="74" spans="1:11" s="6" customFormat="1" x14ac:dyDescent="0.25">
      <c r="A74" s="18">
        <v>71</v>
      </c>
      <c r="B74" s="18">
        <v>2675</v>
      </c>
      <c r="C74" s="19" t="s">
        <v>39</v>
      </c>
      <c r="D74" s="18">
        <v>282.8</v>
      </c>
      <c r="E74" s="38">
        <v>0.4</v>
      </c>
      <c r="F74" s="21">
        <f t="shared" si="2"/>
        <v>113.12</v>
      </c>
      <c r="G74" s="21">
        <f>111.63+1.49</f>
        <v>113.11999999999999</v>
      </c>
      <c r="H74" s="21">
        <f t="shared" si="3"/>
        <v>0</v>
      </c>
      <c r="I74" s="25">
        <v>6332123</v>
      </c>
      <c r="J74" s="190">
        <v>45645</v>
      </c>
      <c r="K74" s="176">
        <v>45665</v>
      </c>
    </row>
    <row r="75" spans="1:11" s="6" customFormat="1" x14ac:dyDescent="0.25">
      <c r="A75" s="18">
        <v>72</v>
      </c>
      <c r="B75" s="18">
        <v>2676</v>
      </c>
      <c r="C75" s="19" t="s">
        <v>59</v>
      </c>
      <c r="D75" s="18">
        <v>235</v>
      </c>
      <c r="E75" s="38">
        <v>0.4</v>
      </c>
      <c r="F75" s="21">
        <f t="shared" si="2"/>
        <v>94</v>
      </c>
      <c r="G75" s="21">
        <f>89.54+4.46</f>
        <v>94</v>
      </c>
      <c r="H75" s="21">
        <f t="shared" si="3"/>
        <v>0</v>
      </c>
      <c r="I75" s="30">
        <v>568083</v>
      </c>
      <c r="J75" s="186">
        <v>45629</v>
      </c>
      <c r="K75" s="176">
        <v>45679</v>
      </c>
    </row>
    <row r="76" spans="1:11" s="6" customFormat="1" x14ac:dyDescent="0.25">
      <c r="A76" s="18">
        <v>73</v>
      </c>
      <c r="B76" s="18">
        <v>2677</v>
      </c>
      <c r="C76" s="19" t="s">
        <v>214</v>
      </c>
      <c r="D76" s="18">
        <v>295.89999999999998</v>
      </c>
      <c r="E76" s="38">
        <v>0.4</v>
      </c>
      <c r="F76" s="21">
        <f t="shared" si="2"/>
        <v>118.36</v>
      </c>
      <c r="G76" s="21">
        <f>116.65+1.71</f>
        <v>118.36</v>
      </c>
      <c r="H76" s="21">
        <f t="shared" si="3"/>
        <v>0</v>
      </c>
      <c r="I76" s="30">
        <v>7031534</v>
      </c>
      <c r="J76" s="186">
        <v>45658</v>
      </c>
      <c r="K76" s="114">
        <v>45810</v>
      </c>
    </row>
    <row r="77" spans="1:11" s="6" customFormat="1" x14ac:dyDescent="0.25">
      <c r="A77" s="18">
        <v>74</v>
      </c>
      <c r="B77" s="18">
        <v>2678</v>
      </c>
      <c r="C77" s="19" t="s">
        <v>216</v>
      </c>
      <c r="D77" s="18">
        <v>521.5</v>
      </c>
      <c r="E77" s="38">
        <v>0.4</v>
      </c>
      <c r="F77" s="21">
        <f t="shared" si="2"/>
        <v>208.60000000000002</v>
      </c>
      <c r="G77" s="21">
        <f>206.82+1.78</f>
        <v>208.6</v>
      </c>
      <c r="H77" s="21">
        <f t="shared" si="3"/>
        <v>0</v>
      </c>
      <c r="I77" s="30">
        <v>7211987</v>
      </c>
      <c r="J77" s="186">
        <v>45637</v>
      </c>
      <c r="K77" s="176">
        <v>45658</v>
      </c>
    </row>
    <row r="78" spans="1:11" s="6" customFormat="1" x14ac:dyDescent="0.25">
      <c r="A78" s="18">
        <v>75</v>
      </c>
      <c r="B78" s="18">
        <v>2680</v>
      </c>
      <c r="C78" s="19" t="s">
        <v>218</v>
      </c>
      <c r="D78" s="18">
        <v>203.2</v>
      </c>
      <c r="E78" s="38">
        <v>0.4</v>
      </c>
      <c r="F78" s="21">
        <f t="shared" si="2"/>
        <v>81.28</v>
      </c>
      <c r="G78" s="21">
        <f>79.01+2.27</f>
        <v>81.28</v>
      </c>
      <c r="H78" s="21">
        <f t="shared" si="3"/>
        <v>0</v>
      </c>
      <c r="I78" s="30">
        <v>553684</v>
      </c>
      <c r="J78" s="199">
        <v>45637</v>
      </c>
      <c r="K78" s="176">
        <v>45672</v>
      </c>
    </row>
    <row r="79" spans="1:11" s="6" customFormat="1" x14ac:dyDescent="0.25">
      <c r="A79" s="12">
        <v>76</v>
      </c>
      <c r="B79" s="69">
        <v>2681</v>
      </c>
      <c r="C79" s="70" t="s">
        <v>61</v>
      </c>
      <c r="D79" s="69">
        <v>174.4</v>
      </c>
      <c r="E79" s="34">
        <v>0.4</v>
      </c>
      <c r="F79" s="15">
        <f t="shared" si="2"/>
        <v>69.760000000000005</v>
      </c>
      <c r="G79" s="15"/>
      <c r="H79" s="15">
        <f t="shared" si="3"/>
        <v>69.760000000000005</v>
      </c>
      <c r="I79" s="32">
        <v>23172723</v>
      </c>
      <c r="J79" s="192"/>
      <c r="K79" s="176"/>
    </row>
    <row r="80" spans="1:11" s="6" customFormat="1" x14ac:dyDescent="0.25">
      <c r="A80" s="12">
        <v>77</v>
      </c>
      <c r="B80" s="69">
        <v>2682</v>
      </c>
      <c r="C80" s="70" t="s">
        <v>222</v>
      </c>
      <c r="D80" s="69">
        <v>374</v>
      </c>
      <c r="E80" s="34">
        <v>0.4</v>
      </c>
      <c r="F80" s="15">
        <f t="shared" si="2"/>
        <v>149.6</v>
      </c>
      <c r="G80" s="15"/>
      <c r="H80" s="15">
        <f t="shared" si="3"/>
        <v>149.6</v>
      </c>
      <c r="I80" s="32">
        <v>1356383</v>
      </c>
      <c r="J80" s="192"/>
      <c r="K80" s="176"/>
    </row>
    <row r="81" spans="1:11" x14ac:dyDescent="0.25">
      <c r="A81" s="12">
        <v>78</v>
      </c>
      <c r="B81" s="69">
        <v>2683</v>
      </c>
      <c r="C81" s="70" t="s">
        <v>224</v>
      </c>
      <c r="D81" s="69">
        <v>549.1</v>
      </c>
      <c r="E81" s="34">
        <v>0.4</v>
      </c>
      <c r="F81" s="15">
        <f t="shared" si="2"/>
        <v>219.64000000000001</v>
      </c>
      <c r="G81" s="15"/>
      <c r="H81" s="15">
        <f t="shared" si="3"/>
        <v>219.64000000000001</v>
      </c>
      <c r="I81" s="32">
        <v>5912206</v>
      </c>
      <c r="J81" s="192"/>
    </row>
    <row r="82" spans="1:11" s="6" customFormat="1" x14ac:dyDescent="0.25">
      <c r="A82" s="18">
        <v>79</v>
      </c>
      <c r="B82" s="18">
        <v>2684</v>
      </c>
      <c r="C82" s="19" t="s">
        <v>226</v>
      </c>
      <c r="D82" s="18">
        <v>284.2</v>
      </c>
      <c r="E82" s="38">
        <v>0.4</v>
      </c>
      <c r="F82" s="21">
        <f t="shared" si="2"/>
        <v>113.68</v>
      </c>
      <c r="G82" s="21">
        <f>110.11+3.57</f>
        <v>113.67999999999999</v>
      </c>
      <c r="H82" s="21">
        <f t="shared" si="3"/>
        <v>0</v>
      </c>
      <c r="I82" s="30">
        <v>4768041</v>
      </c>
      <c r="J82" s="193">
        <v>45635</v>
      </c>
      <c r="K82" s="31">
        <v>45665</v>
      </c>
    </row>
    <row r="83" spans="1:11" s="6" customFormat="1" x14ac:dyDescent="0.25">
      <c r="A83" s="18">
        <v>80</v>
      </c>
      <c r="B83" s="18">
        <v>2685</v>
      </c>
      <c r="C83" s="19" t="s">
        <v>228</v>
      </c>
      <c r="D83" s="18">
        <v>248.1</v>
      </c>
      <c r="E83" s="38">
        <v>0.4</v>
      </c>
      <c r="F83" s="21">
        <f t="shared" si="2"/>
        <v>99.240000000000009</v>
      </c>
      <c r="G83" s="21">
        <f>96.44+2.8</f>
        <v>99.24</v>
      </c>
      <c r="H83" s="21">
        <f t="shared" si="3"/>
        <v>0</v>
      </c>
      <c r="I83" s="30">
        <v>25026854</v>
      </c>
      <c r="J83" s="193">
        <v>45629</v>
      </c>
      <c r="K83" s="176">
        <v>45670</v>
      </c>
    </row>
    <row r="84" spans="1:11" s="6" customFormat="1" x14ac:dyDescent="0.25">
      <c r="A84" s="12">
        <v>81</v>
      </c>
      <c r="B84" s="69">
        <v>2686</v>
      </c>
      <c r="C84" s="70" t="s">
        <v>230</v>
      </c>
      <c r="D84" s="36">
        <v>379.2</v>
      </c>
      <c r="E84" s="34">
        <v>0.4</v>
      </c>
      <c r="F84" s="15">
        <f t="shared" si="2"/>
        <v>151.68</v>
      </c>
      <c r="G84" s="15"/>
      <c r="H84" s="15">
        <f t="shared" si="3"/>
        <v>151.68</v>
      </c>
      <c r="I84" s="32">
        <v>6064295</v>
      </c>
      <c r="J84" s="192"/>
      <c r="K84" s="176"/>
    </row>
    <row r="85" spans="1:11" s="6" customFormat="1" x14ac:dyDescent="0.25">
      <c r="A85" s="18">
        <v>82</v>
      </c>
      <c r="B85" s="18">
        <v>2687</v>
      </c>
      <c r="C85" s="144" t="s">
        <v>62</v>
      </c>
      <c r="D85" s="37">
        <v>311.2</v>
      </c>
      <c r="E85" s="38">
        <v>0.4</v>
      </c>
      <c r="F85" s="21">
        <f t="shared" si="2"/>
        <v>124.48</v>
      </c>
      <c r="G85" s="21">
        <f>123.86+0.62</f>
        <v>124.48</v>
      </c>
      <c r="H85" s="21">
        <f t="shared" si="3"/>
        <v>0</v>
      </c>
      <c r="I85" s="30">
        <v>14175595</v>
      </c>
      <c r="J85" s="190">
        <v>45635</v>
      </c>
      <c r="K85" s="176">
        <v>45691</v>
      </c>
    </row>
    <row r="86" spans="1:11" s="6" customFormat="1" x14ac:dyDescent="0.25">
      <c r="A86" s="18">
        <v>83</v>
      </c>
      <c r="B86" s="18">
        <v>2688</v>
      </c>
      <c r="C86" s="25" t="s">
        <v>234</v>
      </c>
      <c r="D86" s="37">
        <v>421.4</v>
      </c>
      <c r="E86" s="38">
        <v>0.4</v>
      </c>
      <c r="F86" s="21">
        <f t="shared" si="2"/>
        <v>168.56</v>
      </c>
      <c r="G86" s="21">
        <f>168.24+0.32</f>
        <v>168.56</v>
      </c>
      <c r="H86" s="21">
        <f t="shared" si="3"/>
        <v>0</v>
      </c>
      <c r="I86" s="30">
        <v>18647005</v>
      </c>
      <c r="J86" s="190">
        <v>45635</v>
      </c>
      <c r="K86" s="176">
        <v>45663</v>
      </c>
    </row>
    <row r="87" spans="1:11" s="6" customFormat="1" x14ac:dyDescent="0.25">
      <c r="A87" s="96">
        <v>84</v>
      </c>
      <c r="B87" s="96">
        <v>2689</v>
      </c>
      <c r="C87" s="100" t="s">
        <v>236</v>
      </c>
      <c r="D87" s="124">
        <v>338.5</v>
      </c>
      <c r="E87" s="125">
        <v>0.4</v>
      </c>
      <c r="F87" s="99">
        <f t="shared" si="2"/>
        <v>135.4</v>
      </c>
      <c r="G87" s="99">
        <f>F87</f>
        <v>135.4</v>
      </c>
      <c r="H87" s="99">
        <f t="shared" si="3"/>
        <v>0</v>
      </c>
      <c r="I87" s="102">
        <v>1527206</v>
      </c>
      <c r="J87" s="194"/>
      <c r="K87" s="176"/>
    </row>
    <row r="88" spans="1:11" s="6" customFormat="1" x14ac:dyDescent="0.25">
      <c r="A88" s="18">
        <v>85</v>
      </c>
      <c r="B88" s="18">
        <v>2690</v>
      </c>
      <c r="C88" s="25" t="s">
        <v>238</v>
      </c>
      <c r="D88" s="37">
        <v>506.3</v>
      </c>
      <c r="E88" s="38">
        <v>0.4</v>
      </c>
      <c r="F88" s="21">
        <f t="shared" si="2"/>
        <v>202.52</v>
      </c>
      <c r="G88" s="21">
        <f>198.29+4.23</f>
        <v>202.51999999999998</v>
      </c>
      <c r="H88" s="21">
        <f t="shared" si="3"/>
        <v>0</v>
      </c>
      <c r="I88" s="30">
        <v>7376171</v>
      </c>
      <c r="J88" s="190">
        <v>45630</v>
      </c>
      <c r="K88" s="176">
        <v>45670</v>
      </c>
    </row>
    <row r="89" spans="1:11" s="6" customFormat="1" x14ac:dyDescent="0.25">
      <c r="A89" s="18">
        <v>86</v>
      </c>
      <c r="B89" s="18">
        <v>2691</v>
      </c>
      <c r="C89" s="25" t="s">
        <v>240</v>
      </c>
      <c r="D89" s="37">
        <v>347.4</v>
      </c>
      <c r="E89" s="38">
        <v>0.4</v>
      </c>
      <c r="F89" s="21">
        <f t="shared" si="2"/>
        <v>138.96</v>
      </c>
      <c r="G89" s="21">
        <f>138.6+0.36</f>
        <v>138.96</v>
      </c>
      <c r="H89" s="21">
        <f t="shared" si="3"/>
        <v>0</v>
      </c>
      <c r="I89" s="30">
        <v>7376203</v>
      </c>
      <c r="J89" s="190">
        <v>45630</v>
      </c>
      <c r="K89" s="176">
        <v>45670</v>
      </c>
    </row>
    <row r="90" spans="1:11" s="6" customFormat="1" x14ac:dyDescent="0.25">
      <c r="A90" s="18">
        <v>87</v>
      </c>
      <c r="B90" s="18">
        <v>2692</v>
      </c>
      <c r="C90" s="25" t="s">
        <v>243</v>
      </c>
      <c r="D90" s="37">
        <v>475.9</v>
      </c>
      <c r="E90" s="38">
        <v>0.4</v>
      </c>
      <c r="F90" s="21">
        <f t="shared" si="2"/>
        <v>190.36</v>
      </c>
      <c r="G90" s="21">
        <f>189.54+0.82</f>
        <v>190.35999999999999</v>
      </c>
      <c r="H90" s="21">
        <f t="shared" si="3"/>
        <v>0</v>
      </c>
      <c r="I90" s="30">
        <v>626838</v>
      </c>
      <c r="J90" s="190">
        <v>45629</v>
      </c>
      <c r="K90" s="176">
        <v>45658</v>
      </c>
    </row>
    <row r="91" spans="1:11" s="6" customFormat="1" x14ac:dyDescent="0.25">
      <c r="A91" s="18">
        <v>88</v>
      </c>
      <c r="B91" s="18">
        <v>2693</v>
      </c>
      <c r="C91" s="25" t="s">
        <v>245</v>
      </c>
      <c r="D91" s="37">
        <v>303.3</v>
      </c>
      <c r="E91" s="38">
        <v>0.4</v>
      </c>
      <c r="F91" s="21">
        <f t="shared" si="2"/>
        <v>121.32000000000001</v>
      </c>
      <c r="G91" s="21">
        <f>119.31+2.01</f>
        <v>121.32000000000001</v>
      </c>
      <c r="H91" s="21">
        <f t="shared" si="3"/>
        <v>0</v>
      </c>
      <c r="I91" s="30">
        <v>20233513</v>
      </c>
      <c r="J91" s="190">
        <v>45630</v>
      </c>
      <c r="K91" s="176">
        <v>45658</v>
      </c>
    </row>
    <row r="92" spans="1:11" s="6" customFormat="1" x14ac:dyDescent="0.25">
      <c r="A92" s="12">
        <v>89</v>
      </c>
      <c r="B92" s="69">
        <v>2694</v>
      </c>
      <c r="C92" s="16" t="s">
        <v>248</v>
      </c>
      <c r="D92" s="36">
        <v>133</v>
      </c>
      <c r="E92" s="34">
        <v>0.4</v>
      </c>
      <c r="F92" s="15">
        <f t="shared" si="2"/>
        <v>53.2</v>
      </c>
      <c r="G92" s="15"/>
      <c r="H92" s="15">
        <f t="shared" si="3"/>
        <v>53.2</v>
      </c>
      <c r="I92" s="32">
        <v>18620904</v>
      </c>
      <c r="J92" s="195"/>
      <c r="K92" s="176"/>
    </row>
    <row r="93" spans="1:11" s="6" customFormat="1" x14ac:dyDescent="0.25">
      <c r="A93" s="18">
        <v>90</v>
      </c>
      <c r="B93" s="18">
        <v>2697</v>
      </c>
      <c r="C93" s="25" t="s">
        <v>250</v>
      </c>
      <c r="D93" s="37">
        <v>310.7</v>
      </c>
      <c r="E93" s="38">
        <v>0.4</v>
      </c>
      <c r="F93" s="21">
        <f t="shared" si="2"/>
        <v>124.28</v>
      </c>
      <c r="G93" s="21">
        <f>123.63+0.65</f>
        <v>124.28</v>
      </c>
      <c r="H93" s="21">
        <f t="shared" si="3"/>
        <v>0</v>
      </c>
      <c r="I93" s="30">
        <v>24992357</v>
      </c>
      <c r="J93" s="190">
        <v>45630</v>
      </c>
      <c r="K93" s="176">
        <v>45658</v>
      </c>
    </row>
    <row r="94" spans="1:11" s="6" customFormat="1" x14ac:dyDescent="0.25">
      <c r="A94" s="18">
        <v>91</v>
      </c>
      <c r="B94" s="18">
        <v>2698</v>
      </c>
      <c r="C94" s="25" t="s">
        <v>63</v>
      </c>
      <c r="D94" s="37">
        <v>551.70000000000005</v>
      </c>
      <c r="E94" s="38">
        <v>0.4</v>
      </c>
      <c r="F94" s="21">
        <f t="shared" si="2"/>
        <v>220.68000000000004</v>
      </c>
      <c r="G94" s="21">
        <f>218.7+1.98</f>
        <v>220.67999999999998</v>
      </c>
      <c r="H94" s="21">
        <f t="shared" si="3"/>
        <v>0</v>
      </c>
      <c r="I94" s="30">
        <v>21332246</v>
      </c>
      <c r="J94" s="190">
        <v>45630</v>
      </c>
      <c r="K94" s="176">
        <v>45670</v>
      </c>
    </row>
    <row r="95" spans="1:11" s="6" customFormat="1" x14ac:dyDescent="0.25">
      <c r="A95" s="18">
        <v>92</v>
      </c>
      <c r="B95" s="18">
        <v>2699</v>
      </c>
      <c r="C95" s="25" t="s">
        <v>253</v>
      </c>
      <c r="D95" s="37">
        <v>239.2</v>
      </c>
      <c r="E95" s="38">
        <v>0.4</v>
      </c>
      <c r="F95" s="21">
        <f t="shared" si="2"/>
        <v>95.68</v>
      </c>
      <c r="G95" s="21">
        <f>95.32+0.36</f>
        <v>95.679999999999993</v>
      </c>
      <c r="H95" s="21">
        <f t="shared" si="3"/>
        <v>0</v>
      </c>
      <c r="I95" s="30">
        <v>5031003</v>
      </c>
      <c r="J95" s="190">
        <v>45635</v>
      </c>
      <c r="K95" s="176">
        <v>45663</v>
      </c>
    </row>
    <row r="96" spans="1:11" s="6" customFormat="1" x14ac:dyDescent="0.25">
      <c r="A96" s="18">
        <v>93</v>
      </c>
      <c r="B96" s="18">
        <v>2700</v>
      </c>
      <c r="C96" s="25" t="s">
        <v>254</v>
      </c>
      <c r="D96" s="37">
        <v>405.4</v>
      </c>
      <c r="E96" s="38">
        <v>0.4</v>
      </c>
      <c r="F96" s="21">
        <f t="shared" si="2"/>
        <v>162.16</v>
      </c>
      <c r="G96" s="21">
        <f>161.5+0.66</f>
        <v>162.16</v>
      </c>
      <c r="H96" s="21">
        <f t="shared" si="3"/>
        <v>0</v>
      </c>
      <c r="I96" s="30">
        <v>2216024</v>
      </c>
      <c r="J96" s="190">
        <v>45629</v>
      </c>
      <c r="K96" s="178">
        <v>45658</v>
      </c>
    </row>
    <row r="97" spans="1:11" s="6" customFormat="1" x14ac:dyDescent="0.25">
      <c r="A97" s="18">
        <v>94</v>
      </c>
      <c r="B97" s="18">
        <v>2702</v>
      </c>
      <c r="C97" s="25" t="s">
        <v>256</v>
      </c>
      <c r="D97" s="37">
        <v>587.1</v>
      </c>
      <c r="E97" s="38">
        <v>0.4</v>
      </c>
      <c r="F97" s="21">
        <f t="shared" si="2"/>
        <v>234.84000000000003</v>
      </c>
      <c r="G97" s="21">
        <f>F97</f>
        <v>234.84000000000003</v>
      </c>
      <c r="H97" s="21">
        <f t="shared" si="3"/>
        <v>0</v>
      </c>
      <c r="I97" s="30">
        <v>2045458</v>
      </c>
      <c r="J97" s="190">
        <v>45663</v>
      </c>
      <c r="K97" s="176"/>
    </row>
    <row r="98" spans="1:11" s="6" customFormat="1" x14ac:dyDescent="0.25">
      <c r="A98" s="18">
        <v>95</v>
      </c>
      <c r="B98" s="18">
        <v>2703</v>
      </c>
      <c r="C98" s="25" t="s">
        <v>258</v>
      </c>
      <c r="D98" s="37">
        <v>121.2</v>
      </c>
      <c r="E98" s="38">
        <v>0.4</v>
      </c>
      <c r="F98" s="21">
        <f t="shared" si="2"/>
        <v>48.480000000000004</v>
      </c>
      <c r="G98" s="21">
        <f>43.92+4.56</f>
        <v>48.480000000000004</v>
      </c>
      <c r="H98" s="21">
        <f t="shared" si="3"/>
        <v>0</v>
      </c>
      <c r="I98" s="30">
        <v>652182</v>
      </c>
      <c r="J98" s="190">
        <v>45629</v>
      </c>
      <c r="K98" s="176">
        <v>45658</v>
      </c>
    </row>
    <row r="99" spans="1:11" s="6" customFormat="1" x14ac:dyDescent="0.25">
      <c r="A99" s="18">
        <v>96</v>
      </c>
      <c r="B99" s="18">
        <v>2706</v>
      </c>
      <c r="C99" s="25" t="s">
        <v>260</v>
      </c>
      <c r="D99" s="37">
        <v>400.3</v>
      </c>
      <c r="E99" s="38">
        <v>0.4</v>
      </c>
      <c r="F99" s="21">
        <f t="shared" si="2"/>
        <v>160.12</v>
      </c>
      <c r="G99" s="21">
        <f>159.86+0.26</f>
        <v>160.12</v>
      </c>
      <c r="H99" s="21">
        <f t="shared" si="3"/>
        <v>0</v>
      </c>
      <c r="I99" s="30">
        <v>23144392</v>
      </c>
      <c r="J99" s="190">
        <v>45629</v>
      </c>
      <c r="K99" s="176">
        <v>45663</v>
      </c>
    </row>
    <row r="100" spans="1:11" s="72" customFormat="1" x14ac:dyDescent="0.25">
      <c r="A100" s="18">
        <v>97</v>
      </c>
      <c r="B100" s="18">
        <v>2707</v>
      </c>
      <c r="C100" s="25" t="s">
        <v>262</v>
      </c>
      <c r="D100" s="37">
        <v>483.6</v>
      </c>
      <c r="E100" s="38">
        <v>0.4</v>
      </c>
      <c r="F100" s="21">
        <f t="shared" si="2"/>
        <v>193.44000000000003</v>
      </c>
      <c r="G100" s="21">
        <f>F100</f>
        <v>193.44000000000003</v>
      </c>
      <c r="H100" s="21">
        <f t="shared" si="3"/>
        <v>0</v>
      </c>
      <c r="I100" s="30">
        <v>7026153</v>
      </c>
      <c r="J100" s="241">
        <v>45993</v>
      </c>
      <c r="K100" s="178"/>
    </row>
    <row r="101" spans="1:11" s="260" customFormat="1" x14ac:dyDescent="0.25">
      <c r="A101" s="252">
        <v>98</v>
      </c>
      <c r="B101" s="252">
        <v>2708</v>
      </c>
      <c r="C101" s="253" t="s">
        <v>41</v>
      </c>
      <c r="D101" s="254"/>
      <c r="E101" s="255">
        <v>0.4</v>
      </c>
      <c r="F101" s="256">
        <f t="shared" si="2"/>
        <v>0</v>
      </c>
      <c r="G101" s="256"/>
      <c r="H101" s="256">
        <f t="shared" si="3"/>
        <v>0</v>
      </c>
      <c r="I101" s="257">
        <v>426432</v>
      </c>
      <c r="J101" s="258"/>
      <c r="K101" s="259"/>
    </row>
    <row r="102" spans="1:11" s="6" customFormat="1" x14ac:dyDescent="0.25">
      <c r="A102" s="12">
        <v>99</v>
      </c>
      <c r="B102" s="69">
        <v>2710</v>
      </c>
      <c r="C102" s="16" t="s">
        <v>265</v>
      </c>
      <c r="D102" s="36">
        <v>305.7</v>
      </c>
      <c r="E102" s="34">
        <v>0.4</v>
      </c>
      <c r="F102" s="15">
        <f t="shared" si="2"/>
        <v>122.28</v>
      </c>
      <c r="G102" s="15"/>
      <c r="H102" s="15">
        <f t="shared" si="3"/>
        <v>122.28</v>
      </c>
      <c r="I102" s="32">
        <v>944469</v>
      </c>
      <c r="J102" s="195"/>
      <c r="K102" s="176"/>
    </row>
    <row r="103" spans="1:11" s="6" customFormat="1" x14ac:dyDescent="0.25">
      <c r="A103" s="18">
        <v>100</v>
      </c>
      <c r="B103" s="18">
        <v>2711</v>
      </c>
      <c r="C103" s="25" t="s">
        <v>267</v>
      </c>
      <c r="D103" s="37">
        <v>270.39999999999998</v>
      </c>
      <c r="E103" s="38">
        <v>0.4</v>
      </c>
      <c r="F103" s="21">
        <f t="shared" si="2"/>
        <v>108.16</v>
      </c>
      <c r="G103" s="21">
        <f>105.43+2.73</f>
        <v>108.16000000000001</v>
      </c>
      <c r="H103" s="21">
        <f t="shared" si="3"/>
        <v>0</v>
      </c>
      <c r="I103" s="30">
        <v>5775933</v>
      </c>
      <c r="J103" s="190">
        <v>45623</v>
      </c>
      <c r="K103" s="176">
        <v>45670</v>
      </c>
    </row>
    <row r="104" spans="1:11" s="6" customFormat="1" x14ac:dyDescent="0.25">
      <c r="A104" s="18">
        <v>101</v>
      </c>
      <c r="B104" s="18">
        <v>2712</v>
      </c>
      <c r="C104" s="25" t="s">
        <v>64</v>
      </c>
      <c r="D104" s="37">
        <v>207.2</v>
      </c>
      <c r="E104" s="38">
        <v>0.4</v>
      </c>
      <c r="F104" s="21">
        <f t="shared" si="2"/>
        <v>82.88</v>
      </c>
      <c r="G104" s="21">
        <f>81.49+1.39</f>
        <v>82.88</v>
      </c>
      <c r="H104" s="21">
        <f t="shared" si="3"/>
        <v>0</v>
      </c>
      <c r="I104" s="30">
        <v>2439264</v>
      </c>
      <c r="J104" s="190">
        <v>45623</v>
      </c>
      <c r="K104" s="176">
        <v>45670</v>
      </c>
    </row>
    <row r="105" spans="1:11" s="6" customFormat="1" x14ac:dyDescent="0.25">
      <c r="A105" s="12">
        <v>102</v>
      </c>
      <c r="B105" s="69">
        <v>2714</v>
      </c>
      <c r="C105" s="16" t="s">
        <v>270</v>
      </c>
      <c r="D105" s="36">
        <v>268.10000000000002</v>
      </c>
      <c r="E105" s="34">
        <v>0.4</v>
      </c>
      <c r="F105" s="15">
        <f t="shared" si="2"/>
        <v>107.24000000000001</v>
      </c>
      <c r="G105" s="15"/>
      <c r="H105" s="15">
        <f t="shared" si="3"/>
        <v>107.24000000000001</v>
      </c>
      <c r="I105" s="32">
        <v>18813939</v>
      </c>
      <c r="J105" s="195"/>
      <c r="K105" s="176"/>
    </row>
    <row r="106" spans="1:11" s="6" customFormat="1" x14ac:dyDescent="0.25">
      <c r="A106" s="12">
        <v>103</v>
      </c>
      <c r="B106" s="69">
        <v>2715</v>
      </c>
      <c r="C106" s="16" t="s">
        <v>272</v>
      </c>
      <c r="D106" s="36">
        <v>244.6</v>
      </c>
      <c r="E106" s="34">
        <v>0.4</v>
      </c>
      <c r="F106" s="15">
        <f t="shared" si="2"/>
        <v>97.84</v>
      </c>
      <c r="G106" s="15"/>
      <c r="H106" s="15">
        <f t="shared" si="3"/>
        <v>97.84</v>
      </c>
      <c r="I106" s="32">
        <v>5571701</v>
      </c>
      <c r="J106" s="195"/>
      <c r="K106" s="176"/>
    </row>
    <row r="107" spans="1:11" s="6" customFormat="1" x14ac:dyDescent="0.25">
      <c r="A107" s="12">
        <v>104</v>
      </c>
      <c r="B107" s="69">
        <v>2716</v>
      </c>
      <c r="C107" s="16" t="s">
        <v>274</v>
      </c>
      <c r="D107" s="36">
        <v>308</v>
      </c>
      <c r="E107" s="34">
        <v>0.4</v>
      </c>
      <c r="F107" s="15">
        <v>123.2</v>
      </c>
      <c r="G107" s="15"/>
      <c r="H107" s="15">
        <f t="shared" si="3"/>
        <v>123.2</v>
      </c>
      <c r="I107" s="32">
        <v>1398299</v>
      </c>
      <c r="J107" s="195"/>
      <c r="K107" s="176"/>
    </row>
    <row r="108" spans="1:11" s="6" customFormat="1" x14ac:dyDescent="0.25">
      <c r="A108" s="12">
        <v>105</v>
      </c>
      <c r="B108" s="69">
        <v>2717</v>
      </c>
      <c r="C108" s="16" t="s">
        <v>277</v>
      </c>
      <c r="D108" s="36">
        <v>287.5</v>
      </c>
      <c r="E108" s="34">
        <v>0.4</v>
      </c>
      <c r="F108" s="15">
        <f t="shared" si="2"/>
        <v>115</v>
      </c>
      <c r="G108" s="15"/>
      <c r="H108" s="15">
        <f t="shared" si="3"/>
        <v>115</v>
      </c>
      <c r="I108" s="32">
        <v>5968087</v>
      </c>
      <c r="J108" s="195"/>
      <c r="K108" s="176"/>
    </row>
    <row r="109" spans="1:11" s="6" customFormat="1" x14ac:dyDescent="0.25">
      <c r="A109" s="12">
        <v>106</v>
      </c>
      <c r="B109" s="69">
        <v>2718</v>
      </c>
      <c r="C109" s="16" t="s">
        <v>279</v>
      </c>
      <c r="D109" s="36">
        <v>242.6</v>
      </c>
      <c r="E109" s="34">
        <v>0.4</v>
      </c>
      <c r="F109" s="15">
        <f t="shared" si="2"/>
        <v>97.04</v>
      </c>
      <c r="G109" s="15"/>
      <c r="H109" s="15">
        <f t="shared" si="3"/>
        <v>97.04</v>
      </c>
      <c r="I109" s="32">
        <v>5571729</v>
      </c>
      <c r="J109" s="195"/>
      <c r="K109" s="176"/>
    </row>
    <row r="110" spans="1:11" s="6" customFormat="1" x14ac:dyDescent="0.25">
      <c r="A110" s="18">
        <v>107</v>
      </c>
      <c r="B110" s="80">
        <v>2719</v>
      </c>
      <c r="C110" s="25" t="s">
        <v>281</v>
      </c>
      <c r="D110" s="37">
        <v>504.9</v>
      </c>
      <c r="E110" s="38">
        <v>0.4</v>
      </c>
      <c r="F110" s="21">
        <f t="shared" si="2"/>
        <v>201.96</v>
      </c>
      <c r="G110" s="21">
        <f>199.84+2.12</f>
        <v>201.96</v>
      </c>
      <c r="H110" s="21">
        <f t="shared" si="3"/>
        <v>0</v>
      </c>
      <c r="I110" s="30">
        <v>925058</v>
      </c>
      <c r="J110" s="190">
        <v>45635</v>
      </c>
      <c r="K110" s="176">
        <v>45684</v>
      </c>
    </row>
    <row r="111" spans="1:11" s="6" customFormat="1" x14ac:dyDescent="0.25">
      <c r="A111" s="18">
        <v>108</v>
      </c>
      <c r="B111" s="80">
        <v>2721</v>
      </c>
      <c r="C111" s="25" t="s">
        <v>284</v>
      </c>
      <c r="D111" s="18">
        <v>493.7</v>
      </c>
      <c r="E111" s="38">
        <v>0.4</v>
      </c>
      <c r="F111" s="21">
        <f t="shared" si="2"/>
        <v>197.48000000000002</v>
      </c>
      <c r="G111" s="21">
        <f>195.97+1.51</f>
        <v>197.48</v>
      </c>
      <c r="H111" s="21">
        <f t="shared" si="3"/>
        <v>0</v>
      </c>
      <c r="I111" s="30">
        <v>7673741</v>
      </c>
      <c r="J111" s="190">
        <v>45629</v>
      </c>
      <c r="K111" s="176">
        <v>45663</v>
      </c>
    </row>
    <row r="112" spans="1:11" s="6" customFormat="1" x14ac:dyDescent="0.25">
      <c r="A112" s="18">
        <v>109</v>
      </c>
      <c r="B112" s="80">
        <v>2722</v>
      </c>
      <c r="C112" s="19" t="s">
        <v>66</v>
      </c>
      <c r="D112" s="18">
        <v>148.9</v>
      </c>
      <c r="E112" s="38">
        <v>0.4</v>
      </c>
      <c r="F112" s="21">
        <f t="shared" si="2"/>
        <v>59.56</v>
      </c>
      <c r="G112" s="21">
        <f>56.57+2.99</f>
        <v>59.56</v>
      </c>
      <c r="H112" s="21">
        <f t="shared" si="3"/>
        <v>0</v>
      </c>
      <c r="I112" s="30">
        <v>675043</v>
      </c>
      <c r="J112" s="190">
        <v>45623</v>
      </c>
      <c r="K112" s="176">
        <v>45670</v>
      </c>
    </row>
    <row r="113" spans="1:12" s="6" customFormat="1" x14ac:dyDescent="0.25">
      <c r="A113" s="18">
        <v>110</v>
      </c>
      <c r="B113" s="80">
        <v>2724</v>
      </c>
      <c r="C113" s="84" t="s">
        <v>287</v>
      </c>
      <c r="D113" s="18">
        <v>354.5</v>
      </c>
      <c r="E113" s="38">
        <v>0.4</v>
      </c>
      <c r="F113" s="21">
        <f t="shared" si="2"/>
        <v>141.80000000000001</v>
      </c>
      <c r="G113" s="21">
        <f>137.11+4.69</f>
        <v>141.80000000000001</v>
      </c>
      <c r="H113" s="21">
        <f t="shared" si="3"/>
        <v>0</v>
      </c>
      <c r="I113" s="30">
        <v>272921</v>
      </c>
      <c r="J113" s="190">
        <v>45645</v>
      </c>
      <c r="K113" s="176">
        <v>45663</v>
      </c>
    </row>
    <row r="114" spans="1:12" s="6" customFormat="1" x14ac:dyDescent="0.25">
      <c r="A114" s="18">
        <v>111</v>
      </c>
      <c r="B114" s="80">
        <v>2725</v>
      </c>
      <c r="C114" s="84" t="s">
        <v>289</v>
      </c>
      <c r="D114" s="18">
        <v>616</v>
      </c>
      <c r="E114" s="38">
        <v>0.4</v>
      </c>
      <c r="F114" s="21">
        <f t="shared" si="2"/>
        <v>246.4</v>
      </c>
      <c r="G114" s="21">
        <f>131.6+112.35+2.45</f>
        <v>246.39999999999998</v>
      </c>
      <c r="H114" s="21">
        <f t="shared" si="3"/>
        <v>0</v>
      </c>
      <c r="I114" s="30">
        <v>21910195</v>
      </c>
      <c r="J114" s="190">
        <v>45629</v>
      </c>
      <c r="K114" s="176">
        <v>45642</v>
      </c>
      <c r="L114" s="127">
        <v>45658</v>
      </c>
    </row>
    <row r="115" spans="1:12" s="6" customFormat="1" x14ac:dyDescent="0.25">
      <c r="A115" s="12">
        <v>112</v>
      </c>
      <c r="B115" s="81">
        <v>2726</v>
      </c>
      <c r="C115" s="82" t="s">
        <v>293</v>
      </c>
      <c r="D115" s="12">
        <v>307.60000000000002</v>
      </c>
      <c r="E115" s="34">
        <v>0.4</v>
      </c>
      <c r="F115" s="15">
        <f t="shared" si="2"/>
        <v>123.04000000000002</v>
      </c>
      <c r="G115" s="15"/>
      <c r="H115" s="15">
        <f t="shared" si="3"/>
        <v>123.04000000000002</v>
      </c>
      <c r="I115" s="32">
        <v>5932095</v>
      </c>
      <c r="J115" s="195"/>
      <c r="K115" s="176"/>
    </row>
    <row r="116" spans="1:12" s="6" customFormat="1" x14ac:dyDescent="0.25">
      <c r="A116" s="18">
        <v>113</v>
      </c>
      <c r="B116" s="80">
        <v>2727</v>
      </c>
      <c r="C116" s="84" t="s">
        <v>294</v>
      </c>
      <c r="D116" s="18">
        <v>133.9</v>
      </c>
      <c r="E116" s="38">
        <v>0.4</v>
      </c>
      <c r="F116" s="21">
        <f t="shared" si="2"/>
        <v>53.56</v>
      </c>
      <c r="G116" s="21">
        <f>F116</f>
        <v>53.56</v>
      </c>
      <c r="H116" s="21">
        <f t="shared" si="3"/>
        <v>0</v>
      </c>
      <c r="I116" s="30">
        <v>14874655</v>
      </c>
      <c r="J116" s="190">
        <v>45670</v>
      </c>
      <c r="K116" s="176"/>
    </row>
    <row r="117" spans="1:12" s="6" customFormat="1" x14ac:dyDescent="0.25">
      <c r="A117" s="12">
        <v>114</v>
      </c>
      <c r="B117" s="81">
        <v>2728</v>
      </c>
      <c r="C117" s="83" t="s">
        <v>295</v>
      </c>
      <c r="D117" s="12">
        <v>255.5</v>
      </c>
      <c r="E117" s="34">
        <v>0.4</v>
      </c>
      <c r="F117" s="15">
        <f t="shared" si="2"/>
        <v>102.2</v>
      </c>
      <c r="G117" s="15"/>
      <c r="H117" s="15">
        <f t="shared" si="3"/>
        <v>102.2</v>
      </c>
      <c r="I117" s="32">
        <v>6300163</v>
      </c>
      <c r="J117" s="195"/>
      <c r="K117" s="176"/>
    </row>
    <row r="118" spans="1:12" s="6" customFormat="1" x14ac:dyDescent="0.25">
      <c r="A118" s="12">
        <v>115</v>
      </c>
      <c r="B118" s="81">
        <v>2729</v>
      </c>
      <c r="C118" s="83" t="s">
        <v>297</v>
      </c>
      <c r="D118" s="12">
        <v>168</v>
      </c>
      <c r="E118" s="34">
        <v>0.4</v>
      </c>
      <c r="F118" s="15">
        <f t="shared" si="2"/>
        <v>67.2</v>
      </c>
      <c r="G118" s="15"/>
      <c r="H118" s="15">
        <f t="shared" si="3"/>
        <v>67.2</v>
      </c>
      <c r="I118" s="32">
        <v>21145036</v>
      </c>
      <c r="J118" s="195"/>
      <c r="K118" s="176"/>
    </row>
    <row r="119" spans="1:12" s="6" customFormat="1" x14ac:dyDescent="0.25">
      <c r="A119" s="18">
        <v>116</v>
      </c>
      <c r="B119" s="80">
        <v>2730</v>
      </c>
      <c r="C119" s="84" t="s">
        <v>67</v>
      </c>
      <c r="D119" s="18">
        <v>337.3</v>
      </c>
      <c r="E119" s="38">
        <v>0.4</v>
      </c>
      <c r="F119" s="21">
        <f t="shared" si="2"/>
        <v>134.92000000000002</v>
      </c>
      <c r="G119" s="21">
        <f>132.43+2.49</f>
        <v>134.92000000000002</v>
      </c>
      <c r="H119" s="21">
        <f t="shared" si="3"/>
        <v>0</v>
      </c>
      <c r="I119" s="30">
        <v>5138892</v>
      </c>
      <c r="J119" s="190">
        <v>45623</v>
      </c>
      <c r="K119" s="176">
        <v>45663</v>
      </c>
    </row>
    <row r="120" spans="1:12" s="6" customFormat="1" x14ac:dyDescent="0.25">
      <c r="A120" s="18">
        <v>117</v>
      </c>
      <c r="B120" s="80">
        <v>2731</v>
      </c>
      <c r="C120" s="25" t="s">
        <v>300</v>
      </c>
      <c r="D120" s="18">
        <v>166.1</v>
      </c>
      <c r="E120" s="38">
        <v>0.4</v>
      </c>
      <c r="F120" s="21">
        <f t="shared" si="2"/>
        <v>66.44</v>
      </c>
      <c r="G120" s="21">
        <f>64.32+2.12</f>
        <v>66.44</v>
      </c>
      <c r="H120" s="21">
        <f t="shared" si="3"/>
        <v>0</v>
      </c>
      <c r="I120" s="30">
        <v>3912773</v>
      </c>
      <c r="J120" s="190">
        <v>45630</v>
      </c>
      <c r="K120" s="176">
        <v>45663</v>
      </c>
    </row>
    <row r="121" spans="1:12" s="6" customFormat="1" x14ac:dyDescent="0.25">
      <c r="A121" s="18">
        <v>118</v>
      </c>
      <c r="B121" s="80">
        <v>2732</v>
      </c>
      <c r="C121" s="19" t="s">
        <v>302</v>
      </c>
      <c r="D121" s="18">
        <v>616</v>
      </c>
      <c r="E121" s="38">
        <v>0.4</v>
      </c>
      <c r="F121" s="21">
        <f t="shared" si="2"/>
        <v>246.4</v>
      </c>
      <c r="G121" s="21">
        <f>241.58+4.82</f>
        <v>246.4</v>
      </c>
      <c r="H121" s="21">
        <f t="shared" si="3"/>
        <v>0</v>
      </c>
      <c r="I121" s="30">
        <v>846753</v>
      </c>
      <c r="J121" s="190" t="s">
        <v>323</v>
      </c>
      <c r="K121" s="176">
        <v>45672</v>
      </c>
    </row>
    <row r="122" spans="1:12" s="6" customFormat="1" x14ac:dyDescent="0.25">
      <c r="A122" s="12">
        <v>119</v>
      </c>
      <c r="B122" s="69">
        <v>2733</v>
      </c>
      <c r="C122" s="16" t="s">
        <v>304</v>
      </c>
      <c r="D122" s="12">
        <v>621.70000000000005</v>
      </c>
      <c r="E122" s="34">
        <v>0.4</v>
      </c>
      <c r="F122" s="15">
        <f t="shared" si="2"/>
        <v>248.68000000000004</v>
      </c>
      <c r="G122" s="15"/>
      <c r="H122" s="15">
        <f t="shared" si="3"/>
        <v>248.68000000000004</v>
      </c>
      <c r="I122" s="32">
        <v>20444019</v>
      </c>
      <c r="J122" s="195"/>
      <c r="K122" s="176"/>
    </row>
    <row r="123" spans="1:12" s="6" customFormat="1" x14ac:dyDescent="0.25">
      <c r="A123" s="18">
        <v>120</v>
      </c>
      <c r="B123" s="18">
        <v>2734</v>
      </c>
      <c r="C123" s="25" t="s">
        <v>306</v>
      </c>
      <c r="D123" s="18">
        <v>244.2</v>
      </c>
      <c r="E123" s="38">
        <v>0.4</v>
      </c>
      <c r="F123" s="21">
        <f t="shared" si="2"/>
        <v>97.68</v>
      </c>
      <c r="G123" s="21">
        <f>94.57+3.11</f>
        <v>97.679999999999993</v>
      </c>
      <c r="H123" s="21">
        <f t="shared" si="3"/>
        <v>0</v>
      </c>
      <c r="I123" s="30">
        <v>24187516</v>
      </c>
      <c r="J123" s="190">
        <v>45630</v>
      </c>
      <c r="K123" s="176">
        <v>45658</v>
      </c>
    </row>
    <row r="124" spans="1:12" s="6" customFormat="1" x14ac:dyDescent="0.25">
      <c r="A124" s="12">
        <v>121</v>
      </c>
      <c r="B124" s="69">
        <v>2736</v>
      </c>
      <c r="C124" s="16" t="s">
        <v>308</v>
      </c>
      <c r="D124" s="12">
        <v>268.3</v>
      </c>
      <c r="E124" s="34">
        <v>0.4</v>
      </c>
      <c r="F124" s="15">
        <f t="shared" si="2"/>
        <v>107.32000000000001</v>
      </c>
      <c r="G124" s="15"/>
      <c r="H124" s="15">
        <f t="shared" si="3"/>
        <v>107.32000000000001</v>
      </c>
      <c r="I124" s="32">
        <v>4629429</v>
      </c>
      <c r="J124" s="195"/>
      <c r="K124" s="176"/>
    </row>
    <row r="125" spans="1:12" s="6" customFormat="1" x14ac:dyDescent="0.25">
      <c r="A125" s="18">
        <v>122</v>
      </c>
      <c r="B125" s="18">
        <v>2737</v>
      </c>
      <c r="C125" s="25" t="s">
        <v>310</v>
      </c>
      <c r="D125" s="18">
        <v>373.3</v>
      </c>
      <c r="E125" s="38">
        <v>0.4</v>
      </c>
      <c r="F125" s="21">
        <f t="shared" si="2"/>
        <v>149.32000000000002</v>
      </c>
      <c r="G125" s="21">
        <f>146.84+2.48</f>
        <v>149.32</v>
      </c>
      <c r="H125" s="21">
        <f t="shared" si="3"/>
        <v>0</v>
      </c>
      <c r="I125" s="30">
        <v>734135</v>
      </c>
      <c r="J125" s="190">
        <v>45641</v>
      </c>
      <c r="K125" s="176">
        <v>45691</v>
      </c>
    </row>
    <row r="126" spans="1:12" s="6" customFormat="1" x14ac:dyDescent="0.25">
      <c r="A126" s="12">
        <v>123</v>
      </c>
      <c r="B126" s="69">
        <v>2738</v>
      </c>
      <c r="C126" s="16" t="s">
        <v>312</v>
      </c>
      <c r="D126" s="12">
        <v>292.10000000000002</v>
      </c>
      <c r="E126" s="34">
        <v>0.4</v>
      </c>
      <c r="F126" s="15">
        <f t="shared" si="2"/>
        <v>116.84000000000002</v>
      </c>
      <c r="G126" s="15"/>
      <c r="H126" s="15">
        <f t="shared" si="3"/>
        <v>116.84000000000002</v>
      </c>
      <c r="I126" s="32">
        <v>1298606</v>
      </c>
      <c r="J126" s="195"/>
      <c r="K126" s="176"/>
    </row>
    <row r="127" spans="1:12" s="6" customFormat="1" ht="14.25" thickBot="1" x14ac:dyDescent="0.3">
      <c r="A127" s="96">
        <v>124</v>
      </c>
      <c r="B127" s="146">
        <v>2740</v>
      </c>
      <c r="C127" s="147" t="s">
        <v>314</v>
      </c>
      <c r="D127" s="146">
        <v>539.79999999999995</v>
      </c>
      <c r="E127" s="148">
        <v>0.4</v>
      </c>
      <c r="F127" s="149">
        <f t="shared" si="2"/>
        <v>215.92</v>
      </c>
      <c r="G127" s="149">
        <f>F127</f>
        <v>215.92</v>
      </c>
      <c r="H127" s="99">
        <f t="shared" si="3"/>
        <v>0</v>
      </c>
      <c r="I127" s="150">
        <v>18315397</v>
      </c>
      <c r="J127" s="196" t="s">
        <v>65</v>
      </c>
      <c r="K127" s="176"/>
    </row>
    <row r="128" spans="1:12" s="6" customFormat="1" ht="14.25" thickBot="1" x14ac:dyDescent="0.3">
      <c r="A128" s="41"/>
      <c r="B128" s="42"/>
      <c r="C128" s="43"/>
      <c r="D128" s="44">
        <f>SUM(D4:D127)</f>
        <v>42957.999999999993</v>
      </c>
      <c r="E128" s="45"/>
      <c r="F128" s="46">
        <f>SUM(F4:F127)</f>
        <v>17183.199999999997</v>
      </c>
      <c r="G128" s="46">
        <f t="shared" ref="G128:H128" si="4">SUM(G4:G127)</f>
        <v>12276.469999999994</v>
      </c>
      <c r="H128" s="46">
        <f t="shared" si="4"/>
        <v>4906.7299999999996</v>
      </c>
      <c r="I128" s="45"/>
      <c r="J128" s="200"/>
      <c r="K128" s="176"/>
    </row>
    <row r="129" spans="1:11" s="6" customFormat="1" x14ac:dyDescent="0.25">
      <c r="A129" s="50"/>
      <c r="B129" s="51"/>
      <c r="C129" s="50"/>
      <c r="D129" s="52"/>
      <c r="E129" s="53"/>
      <c r="F129" s="52"/>
      <c r="G129" s="52"/>
      <c r="H129" s="52"/>
      <c r="I129" s="54"/>
      <c r="J129" s="201"/>
      <c r="K129" s="176"/>
    </row>
    <row r="130" spans="1:11" s="6" customFormat="1" x14ac:dyDescent="0.25">
      <c r="A130" s="28"/>
      <c r="B130" s="57"/>
      <c r="D130" s="58"/>
      <c r="E130" s="58"/>
      <c r="F130" s="58"/>
      <c r="G130" s="204">
        <f>G128/F128</f>
        <v>0.71444608687555267</v>
      </c>
      <c r="H130" s="58"/>
      <c r="I130" s="59"/>
      <c r="J130" s="202"/>
      <c r="K130" s="176"/>
    </row>
    <row r="131" spans="1:11" x14ac:dyDescent="0.25">
      <c r="A131" s="28" t="s">
        <v>23</v>
      </c>
      <c r="E131" s="61" t="s">
        <v>43</v>
      </c>
      <c r="F131" s="306"/>
      <c r="G131" s="306"/>
      <c r="H131" s="306"/>
      <c r="I131" s="306"/>
      <c r="J131" s="202"/>
    </row>
    <row r="132" spans="1:11" s="64" customFormat="1" x14ac:dyDescent="0.25">
      <c r="A132" s="28" t="s">
        <v>26</v>
      </c>
      <c r="B132" s="61"/>
      <c r="D132" s="61"/>
      <c r="E132" s="61" t="s">
        <v>44</v>
      </c>
      <c r="F132" s="306"/>
      <c r="G132" s="306"/>
      <c r="H132" s="306"/>
      <c r="I132" s="306"/>
      <c r="J132" s="203"/>
      <c r="K132" s="176"/>
    </row>
    <row r="133" spans="1:11" s="64" customFormat="1" x14ac:dyDescent="0.25">
      <c r="A133" s="28"/>
      <c r="B133" s="61"/>
      <c r="D133" s="61"/>
      <c r="E133" s="28"/>
      <c r="F133" s="62"/>
      <c r="G133" s="62"/>
      <c r="H133" s="62"/>
      <c r="J133" s="203"/>
      <c r="K133" s="176"/>
    </row>
    <row r="134" spans="1:11" s="64" customFormat="1" x14ac:dyDescent="0.25">
      <c r="A134" s="28"/>
      <c r="B134" s="61"/>
      <c r="C134" s="28"/>
      <c r="D134" s="61"/>
      <c r="E134" s="61"/>
      <c r="F134" s="62"/>
      <c r="G134" s="62"/>
      <c r="H134" s="62"/>
      <c r="J134" s="203"/>
      <c r="K134" s="176"/>
    </row>
    <row r="135" spans="1:11" s="64" customFormat="1" x14ac:dyDescent="0.25">
      <c r="A135" s="28"/>
      <c r="B135" s="61"/>
      <c r="C135" s="28"/>
      <c r="D135" s="61"/>
      <c r="E135" s="61"/>
      <c r="F135" s="62"/>
      <c r="G135" s="62"/>
      <c r="H135" s="62"/>
      <c r="J135" s="203"/>
      <c r="K135" s="176"/>
    </row>
    <row r="136" spans="1:11" s="64" customFormat="1" x14ac:dyDescent="0.25">
      <c r="A136" s="28"/>
      <c r="B136" s="61"/>
      <c r="C136" s="28"/>
      <c r="D136" s="68"/>
      <c r="E136" s="61"/>
      <c r="F136" s="68"/>
      <c r="G136" s="68"/>
      <c r="H136" s="68"/>
      <c r="J136" s="203"/>
      <c r="K136" s="176"/>
    </row>
    <row r="137" spans="1:11" s="64" customFormat="1" x14ac:dyDescent="0.25">
      <c r="A137" s="28"/>
      <c r="B137" s="61"/>
      <c r="C137" s="28"/>
      <c r="D137" s="61"/>
      <c r="E137" s="61"/>
      <c r="F137" s="62"/>
      <c r="G137" s="62"/>
      <c r="H137" s="62"/>
      <c r="J137" s="203"/>
      <c r="K137" s="176"/>
    </row>
    <row r="138" spans="1:11" s="64" customFormat="1" x14ac:dyDescent="0.25">
      <c r="A138" s="28"/>
      <c r="B138" s="61"/>
      <c r="C138" s="28"/>
      <c r="D138" s="61"/>
      <c r="E138" s="61"/>
      <c r="F138" s="62"/>
      <c r="G138" s="62"/>
      <c r="H138" s="62"/>
      <c r="J138" s="203"/>
      <c r="K138" s="176"/>
    </row>
    <row r="139" spans="1:11" s="64" customFormat="1" x14ac:dyDescent="0.25">
      <c r="A139" s="28"/>
      <c r="B139" s="61"/>
      <c r="C139" s="28"/>
      <c r="D139" s="61"/>
      <c r="E139" s="61"/>
      <c r="F139" s="62"/>
      <c r="G139" s="62"/>
      <c r="H139" s="62"/>
      <c r="J139" s="203"/>
      <c r="K139" s="176"/>
    </row>
    <row r="140" spans="1:11" s="64" customFormat="1" x14ac:dyDescent="0.25">
      <c r="A140" s="28"/>
      <c r="B140" s="61"/>
      <c r="C140" s="28"/>
      <c r="D140" s="61"/>
      <c r="E140" s="61"/>
      <c r="F140" s="62"/>
      <c r="G140" s="62"/>
      <c r="H140" s="62"/>
      <c r="J140" s="203"/>
      <c r="K140" s="176"/>
    </row>
    <row r="141" spans="1:11" s="64" customFormat="1" x14ac:dyDescent="0.25">
      <c r="A141" s="28"/>
      <c r="B141" s="61"/>
      <c r="C141" s="28"/>
      <c r="D141" s="61"/>
      <c r="E141" s="61"/>
      <c r="F141" s="62"/>
      <c r="G141" s="62"/>
      <c r="H141" s="62"/>
      <c r="J141" s="203"/>
      <c r="K141" s="176"/>
    </row>
    <row r="142" spans="1:11" s="64" customFormat="1" x14ac:dyDescent="0.25">
      <c r="A142" s="28"/>
      <c r="B142" s="61"/>
      <c r="C142" s="28"/>
      <c r="D142" s="61"/>
      <c r="E142" s="61"/>
      <c r="F142" s="62"/>
      <c r="G142" s="62"/>
      <c r="H142" s="62"/>
      <c r="J142" s="203"/>
      <c r="K142" s="176"/>
    </row>
    <row r="143" spans="1:11" s="64" customFormat="1" x14ac:dyDescent="0.25">
      <c r="A143" s="28"/>
      <c r="B143" s="61"/>
      <c r="C143" s="28"/>
      <c r="D143" s="61"/>
      <c r="E143" s="61"/>
      <c r="F143" s="62"/>
      <c r="G143" s="62"/>
      <c r="H143" s="62"/>
      <c r="J143" s="203"/>
      <c r="K143" s="176"/>
    </row>
    <row r="144" spans="1:11" s="64" customFormat="1" x14ac:dyDescent="0.25">
      <c r="A144" s="28"/>
      <c r="B144" s="61"/>
      <c r="C144" s="28"/>
      <c r="D144" s="61"/>
      <c r="E144" s="61"/>
      <c r="F144" s="62"/>
      <c r="G144" s="62"/>
      <c r="H144" s="62"/>
      <c r="J144" s="203"/>
      <c r="K144" s="176"/>
    </row>
    <row r="145" spans="1:11" s="64" customFormat="1" x14ac:dyDescent="0.25">
      <c r="A145" s="28"/>
      <c r="B145" s="61"/>
      <c r="C145" s="28"/>
      <c r="D145" s="61"/>
      <c r="E145" s="61"/>
      <c r="F145" s="62"/>
      <c r="G145" s="62"/>
      <c r="H145" s="62"/>
      <c r="J145" s="203"/>
      <c r="K145" s="176"/>
    </row>
    <row r="146" spans="1:11" s="64" customFormat="1" x14ac:dyDescent="0.25">
      <c r="A146" s="28"/>
      <c r="B146" s="61"/>
      <c r="C146" s="28"/>
      <c r="D146" s="61"/>
      <c r="E146" s="61"/>
      <c r="F146" s="62"/>
      <c r="G146" s="62"/>
      <c r="H146" s="62"/>
      <c r="J146" s="203"/>
      <c r="K146" s="176"/>
    </row>
    <row r="147" spans="1:11" s="64" customFormat="1" x14ac:dyDescent="0.25">
      <c r="A147" s="28"/>
      <c r="B147" s="61"/>
      <c r="C147" s="28"/>
      <c r="D147" s="61"/>
      <c r="E147" s="61"/>
      <c r="F147" s="62"/>
      <c r="G147" s="62"/>
      <c r="H147" s="62"/>
      <c r="J147" s="203"/>
      <c r="K147" s="176"/>
    </row>
    <row r="148" spans="1:11" s="64" customFormat="1" x14ac:dyDescent="0.25">
      <c r="B148" s="61"/>
      <c r="C148" s="28"/>
      <c r="D148" s="61"/>
      <c r="E148" s="61"/>
      <c r="F148" s="62"/>
      <c r="G148" s="62"/>
      <c r="H148" s="62"/>
      <c r="J148" s="203"/>
      <c r="K148" s="176"/>
    </row>
    <row r="149" spans="1:11" s="64" customFormat="1" x14ac:dyDescent="0.25">
      <c r="B149" s="61"/>
      <c r="C149" s="28"/>
      <c r="D149" s="61"/>
      <c r="E149" s="61"/>
      <c r="F149" s="62"/>
      <c r="G149" s="62"/>
      <c r="H149" s="62"/>
      <c r="J149" s="203"/>
      <c r="K149" s="176"/>
    </row>
    <row r="150" spans="1:11" s="64" customFormat="1" x14ac:dyDescent="0.25">
      <c r="B150" s="61"/>
      <c r="C150" s="28"/>
      <c r="D150" s="61"/>
      <c r="E150" s="61"/>
      <c r="F150" s="62"/>
      <c r="G150" s="62"/>
      <c r="H150" s="62"/>
      <c r="J150" s="203"/>
      <c r="K150" s="176"/>
    </row>
    <row r="151" spans="1:11" s="64" customFormat="1" x14ac:dyDescent="0.25">
      <c r="B151" s="61"/>
      <c r="C151" s="28"/>
      <c r="D151" s="61"/>
      <c r="E151" s="61"/>
      <c r="F151" s="62"/>
      <c r="G151" s="62"/>
      <c r="H151" s="62"/>
      <c r="J151" s="203"/>
      <c r="K151" s="176"/>
    </row>
    <row r="152" spans="1:11" s="64" customFormat="1" x14ac:dyDescent="0.25">
      <c r="B152" s="61"/>
      <c r="C152" s="28"/>
      <c r="D152" s="61"/>
      <c r="E152" s="61"/>
      <c r="F152" s="62"/>
      <c r="G152" s="62"/>
      <c r="H152" s="62"/>
      <c r="J152" s="203"/>
      <c r="K152" s="176"/>
    </row>
    <row r="153" spans="1:11" s="64" customFormat="1" x14ac:dyDescent="0.25">
      <c r="B153" s="61"/>
      <c r="C153" s="28"/>
      <c r="D153" s="61"/>
      <c r="E153" s="61"/>
      <c r="F153" s="62"/>
      <c r="G153" s="62"/>
      <c r="H153" s="62"/>
      <c r="J153" s="203"/>
      <c r="K153" s="176"/>
    </row>
    <row r="154" spans="1:11" s="64" customFormat="1" x14ac:dyDescent="0.25">
      <c r="B154" s="61"/>
      <c r="C154" s="28"/>
      <c r="D154" s="61"/>
      <c r="E154" s="61"/>
      <c r="F154" s="62"/>
      <c r="G154" s="62"/>
      <c r="H154" s="62"/>
      <c r="J154" s="203"/>
      <c r="K154" s="176"/>
    </row>
    <row r="155" spans="1:11" s="64" customFormat="1" x14ac:dyDescent="0.25">
      <c r="B155" s="61"/>
      <c r="C155" s="28"/>
      <c r="D155" s="61"/>
      <c r="E155" s="61"/>
      <c r="F155" s="62"/>
      <c r="G155" s="62"/>
      <c r="H155" s="62"/>
      <c r="J155" s="203"/>
      <c r="K155" s="176"/>
    </row>
    <row r="156" spans="1:11" s="64" customFormat="1" x14ac:dyDescent="0.25">
      <c r="B156" s="61"/>
      <c r="C156" s="28"/>
      <c r="D156" s="61"/>
      <c r="E156" s="61"/>
      <c r="F156" s="62"/>
      <c r="G156" s="62"/>
      <c r="H156" s="62"/>
      <c r="J156" s="203"/>
      <c r="K156" s="176"/>
    </row>
    <row r="157" spans="1:11" s="64" customFormat="1" x14ac:dyDescent="0.25">
      <c r="B157" s="61"/>
      <c r="C157" s="28"/>
      <c r="D157" s="61"/>
      <c r="E157" s="61"/>
      <c r="F157" s="62"/>
      <c r="G157" s="62"/>
      <c r="H157" s="62"/>
      <c r="J157" s="203"/>
      <c r="K157" s="176"/>
    </row>
    <row r="158" spans="1:11" s="64" customFormat="1" x14ac:dyDescent="0.25">
      <c r="B158" s="61"/>
      <c r="C158" s="28"/>
      <c r="D158" s="61"/>
      <c r="E158" s="61"/>
      <c r="F158" s="62"/>
      <c r="G158" s="62"/>
      <c r="H158" s="62"/>
      <c r="J158" s="203"/>
      <c r="K158" s="176"/>
    </row>
    <row r="159" spans="1:11" s="64" customFormat="1" x14ac:dyDescent="0.25">
      <c r="B159" s="61"/>
      <c r="C159" s="28"/>
      <c r="D159" s="61"/>
      <c r="E159" s="61"/>
      <c r="F159" s="62"/>
      <c r="G159" s="62"/>
      <c r="H159" s="62"/>
      <c r="J159" s="203"/>
      <c r="K159" s="176"/>
    </row>
    <row r="160" spans="1:11" s="64" customFormat="1" x14ac:dyDescent="0.25">
      <c r="B160" s="61"/>
      <c r="C160" s="28"/>
      <c r="D160" s="61"/>
      <c r="E160" s="61"/>
      <c r="F160" s="62"/>
      <c r="G160" s="62"/>
      <c r="H160" s="62"/>
      <c r="J160" s="203"/>
      <c r="K160" s="176"/>
    </row>
    <row r="161" spans="2:11" s="64" customFormat="1" x14ac:dyDescent="0.25">
      <c r="B161" s="61"/>
      <c r="C161" s="28"/>
      <c r="D161" s="61"/>
      <c r="E161" s="61"/>
      <c r="F161" s="62"/>
      <c r="G161" s="62"/>
      <c r="H161" s="62"/>
      <c r="J161" s="203"/>
      <c r="K161" s="176"/>
    </row>
    <row r="162" spans="2:11" s="64" customFormat="1" x14ac:dyDescent="0.25">
      <c r="B162" s="61"/>
      <c r="C162" s="28"/>
      <c r="D162" s="61"/>
      <c r="E162" s="61"/>
      <c r="F162" s="62"/>
      <c r="G162" s="62"/>
      <c r="H162" s="62"/>
      <c r="J162" s="203"/>
      <c r="K162" s="176"/>
    </row>
    <row r="163" spans="2:11" s="64" customFormat="1" x14ac:dyDescent="0.25">
      <c r="B163" s="61"/>
      <c r="C163" s="28"/>
      <c r="D163" s="61"/>
      <c r="E163" s="61"/>
      <c r="F163" s="62"/>
      <c r="G163" s="62"/>
      <c r="H163" s="62"/>
      <c r="J163" s="203"/>
      <c r="K163" s="176"/>
    </row>
    <row r="164" spans="2:11" s="64" customFormat="1" x14ac:dyDescent="0.25">
      <c r="B164" s="61"/>
      <c r="C164" s="28"/>
      <c r="D164" s="61"/>
      <c r="E164" s="61"/>
      <c r="F164" s="62"/>
      <c r="G164" s="62"/>
      <c r="H164" s="62"/>
      <c r="J164" s="203"/>
      <c r="K164" s="176"/>
    </row>
    <row r="165" spans="2:11" s="64" customFormat="1" x14ac:dyDescent="0.25">
      <c r="B165" s="61"/>
      <c r="C165" s="28"/>
      <c r="D165" s="61"/>
      <c r="E165" s="61"/>
      <c r="F165" s="62"/>
      <c r="G165" s="62"/>
      <c r="H165" s="62"/>
      <c r="J165" s="203"/>
      <c r="K165" s="176"/>
    </row>
  </sheetData>
  <autoFilter ref="A2:J128" xr:uid="{3584AA33-AC5D-4E97-B4CC-879E93EFD117}"/>
  <mergeCells count="13">
    <mergeCell ref="F131:I131"/>
    <mergeCell ref="F132:I132"/>
    <mergeCell ref="G2:G3"/>
    <mergeCell ref="A1:J1"/>
    <mergeCell ref="A2:A3"/>
    <mergeCell ref="B2:B3"/>
    <mergeCell ref="C2:C3"/>
    <mergeCell ref="D2:D3"/>
    <mergeCell ref="E2:E3"/>
    <mergeCell ref="F2:F3"/>
    <mergeCell ref="I2:I3"/>
    <mergeCell ref="H2:H3"/>
    <mergeCell ref="J2:J3"/>
  </mergeCells>
  <pageMargins left="0.7" right="0.7" top="0.75" bottom="0.75" header="0.3" footer="0.3"/>
  <pageSetup paperSize="8" scale="51" orientation="landscape" r:id="rId1"/>
  <rowBreaks count="1" manualBreakCount="1">
    <brk id="102" max="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267D-4A37-4FF7-A9B5-93FB4B6F451E}">
  <dimension ref="A1:P165"/>
  <sheetViews>
    <sheetView view="pageBreakPreview" topLeftCell="A91" zoomScaleNormal="124" zoomScaleSheetLayoutView="100" workbookViewId="0">
      <selection activeCell="D110" sqref="D110"/>
    </sheetView>
  </sheetViews>
  <sheetFormatPr defaultColWidth="9.140625" defaultRowHeight="13.5" x14ac:dyDescent="0.25"/>
  <cols>
    <col min="1" max="1" width="4.7109375" style="28" customWidth="1"/>
    <col min="2" max="2" width="10.28515625" style="61" customWidth="1"/>
    <col min="3" max="3" width="30.85546875" style="28" customWidth="1"/>
    <col min="4" max="4" width="16" style="61" bestFit="1" customWidth="1"/>
    <col min="5" max="5" width="12.42578125" style="61" customWidth="1"/>
    <col min="6" max="6" width="16" style="61" bestFit="1" customWidth="1"/>
    <col min="7" max="8" width="16" style="61" customWidth="1"/>
    <col min="9" max="9" width="12.28515625" style="64" customWidth="1"/>
    <col min="10" max="10" width="21.42578125" style="63" hidden="1" customWidth="1"/>
    <col min="11" max="11" width="20" style="64" hidden="1" customWidth="1"/>
    <col min="12" max="12" width="17.5703125" style="64" hidden="1" customWidth="1"/>
    <col min="13" max="13" width="12" style="64" hidden="1" customWidth="1"/>
    <col min="14" max="14" width="11" style="128" customWidth="1"/>
    <col min="15" max="15" width="10.5703125" style="127" customWidth="1"/>
    <col min="16" max="16" width="10.5703125" style="28" bestFit="1" customWidth="1"/>
    <col min="17" max="16384" width="9.140625" style="28"/>
  </cols>
  <sheetData>
    <row r="1" spans="1:15" s="7" customFormat="1" ht="30" customHeight="1" x14ac:dyDescent="0.25">
      <c r="A1" s="310" t="s">
        <v>324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2"/>
      <c r="O1" s="127"/>
    </row>
    <row r="2" spans="1:15" s="11" customFormat="1" ht="19.5" customHeight="1" x14ac:dyDescent="0.25">
      <c r="A2" s="308" t="s">
        <v>1</v>
      </c>
      <c r="B2" s="313" t="s">
        <v>2</v>
      </c>
      <c r="C2" s="308" t="s">
        <v>3</v>
      </c>
      <c r="D2" s="314" t="s">
        <v>4</v>
      </c>
      <c r="E2" s="308" t="s">
        <v>5</v>
      </c>
      <c r="F2" s="308" t="s">
        <v>6</v>
      </c>
      <c r="G2" s="308" t="s">
        <v>30</v>
      </c>
      <c r="H2" s="308" t="s">
        <v>31</v>
      </c>
      <c r="I2" s="308" t="s">
        <v>9</v>
      </c>
      <c r="J2" s="308" t="s">
        <v>10</v>
      </c>
      <c r="K2" s="308" t="s">
        <v>11</v>
      </c>
      <c r="L2" s="308" t="s">
        <v>12</v>
      </c>
      <c r="M2" s="308" t="s">
        <v>13</v>
      </c>
      <c r="N2" s="319" t="s">
        <v>14</v>
      </c>
      <c r="O2" s="141"/>
    </row>
    <row r="3" spans="1:15" s="11" customFormat="1" ht="26.25" customHeight="1" x14ac:dyDescent="0.25">
      <c r="A3" s="308"/>
      <c r="B3" s="313"/>
      <c r="C3" s="308"/>
      <c r="D3" s="315"/>
      <c r="E3" s="308"/>
      <c r="F3" s="308"/>
      <c r="G3" s="308"/>
      <c r="H3" s="308"/>
      <c r="I3" s="308"/>
      <c r="J3" s="308"/>
      <c r="K3" s="308"/>
      <c r="L3" s="308"/>
      <c r="M3" s="308"/>
      <c r="N3" s="319"/>
      <c r="O3" s="141"/>
    </row>
    <row r="4" spans="1:15" s="6" customFormat="1" x14ac:dyDescent="0.25">
      <c r="A4" s="18">
        <v>1</v>
      </c>
      <c r="B4" s="18">
        <v>2603</v>
      </c>
      <c r="C4" s="19" t="s">
        <v>71</v>
      </c>
      <c r="D4" s="18">
        <v>562.5</v>
      </c>
      <c r="E4" s="20" t="s">
        <v>16</v>
      </c>
      <c r="F4" s="21">
        <f t="shared" ref="F4:F35" si="0">D4*E4</f>
        <v>225</v>
      </c>
      <c r="G4" s="21">
        <f>221.53+3.47</f>
        <v>225</v>
      </c>
      <c r="H4" s="21">
        <f t="shared" ref="H4:H35" si="1">F4-G4</f>
        <v>0</v>
      </c>
      <c r="I4" s="25">
        <v>5744412</v>
      </c>
      <c r="J4" s="27" t="s">
        <v>72</v>
      </c>
      <c r="K4" s="25" t="s">
        <v>73</v>
      </c>
      <c r="L4" s="132" t="s">
        <v>74</v>
      </c>
      <c r="M4" s="25">
        <v>92566993</v>
      </c>
      <c r="N4" s="114">
        <v>45665</v>
      </c>
      <c r="O4" s="127">
        <v>45932</v>
      </c>
    </row>
    <row r="5" spans="1:15" s="6" customFormat="1" x14ac:dyDescent="0.25">
      <c r="A5" s="18">
        <v>2</v>
      </c>
      <c r="B5" s="18">
        <v>2604</v>
      </c>
      <c r="C5" s="19" t="s">
        <v>46</v>
      </c>
      <c r="D5" s="18">
        <v>457.5</v>
      </c>
      <c r="E5" s="20" t="s">
        <v>16</v>
      </c>
      <c r="F5" s="21">
        <f t="shared" si="0"/>
        <v>183</v>
      </c>
      <c r="G5" s="21">
        <f>181.14+1.86</f>
        <v>183</v>
      </c>
      <c r="H5" s="21">
        <f t="shared" si="1"/>
        <v>0</v>
      </c>
      <c r="I5" s="25">
        <v>3946807</v>
      </c>
      <c r="J5" s="27" t="s">
        <v>75</v>
      </c>
      <c r="K5" s="25" t="s">
        <v>76</v>
      </c>
      <c r="L5" s="25" t="s">
        <v>77</v>
      </c>
      <c r="M5" s="25">
        <v>99702767</v>
      </c>
      <c r="N5" s="114">
        <v>45672</v>
      </c>
      <c r="O5" s="127">
        <v>45810</v>
      </c>
    </row>
    <row r="6" spans="1:15" s="6" customFormat="1" x14ac:dyDescent="0.25">
      <c r="A6" s="18">
        <v>3</v>
      </c>
      <c r="B6" s="18">
        <v>2606</v>
      </c>
      <c r="C6" s="19" t="s">
        <v>78</v>
      </c>
      <c r="D6" s="18">
        <v>282.2</v>
      </c>
      <c r="E6" s="20" t="s">
        <v>16</v>
      </c>
      <c r="F6" s="21">
        <f t="shared" si="0"/>
        <v>112.88</v>
      </c>
      <c r="G6" s="21">
        <f>109.1+3.78</f>
        <v>112.88</v>
      </c>
      <c r="H6" s="21">
        <f t="shared" si="1"/>
        <v>0</v>
      </c>
      <c r="I6" s="25">
        <v>13974337</v>
      </c>
      <c r="J6" s="27" t="s">
        <v>79</v>
      </c>
      <c r="K6" s="25" t="s">
        <v>80</v>
      </c>
      <c r="L6" s="30" t="s">
        <v>81</v>
      </c>
      <c r="M6" s="25">
        <v>99291110</v>
      </c>
      <c r="N6" s="114">
        <v>45658</v>
      </c>
      <c r="O6" s="127">
        <v>45684</v>
      </c>
    </row>
    <row r="7" spans="1:15" s="6" customFormat="1" x14ac:dyDescent="0.25">
      <c r="A7" s="18">
        <v>4</v>
      </c>
      <c r="B7" s="18">
        <v>2607</v>
      </c>
      <c r="C7" s="19" t="s">
        <v>82</v>
      </c>
      <c r="D7" s="18">
        <v>317.5</v>
      </c>
      <c r="E7" s="20" t="s">
        <v>16</v>
      </c>
      <c r="F7" s="21">
        <f t="shared" si="0"/>
        <v>127</v>
      </c>
      <c r="G7" s="21">
        <f>122.64+4.36</f>
        <v>127</v>
      </c>
      <c r="H7" s="21">
        <f t="shared" si="1"/>
        <v>0</v>
      </c>
      <c r="I7" s="25">
        <v>6488366</v>
      </c>
      <c r="J7" s="27" t="s">
        <v>83</v>
      </c>
      <c r="K7" s="25" t="s">
        <v>73</v>
      </c>
      <c r="L7" s="30" t="s">
        <v>74</v>
      </c>
      <c r="M7" s="25">
        <v>95479797</v>
      </c>
      <c r="N7" s="114">
        <v>45658</v>
      </c>
      <c r="O7" s="127">
        <v>45685</v>
      </c>
    </row>
    <row r="8" spans="1:15" s="6" customFormat="1" x14ac:dyDescent="0.25">
      <c r="A8" s="96">
        <v>5</v>
      </c>
      <c r="B8" s="96">
        <v>2608</v>
      </c>
      <c r="C8" s="97" t="s">
        <v>84</v>
      </c>
      <c r="D8" s="96">
        <v>265.8</v>
      </c>
      <c r="E8" s="98" t="s">
        <v>16</v>
      </c>
      <c r="F8" s="99">
        <f t="shared" si="0"/>
        <v>106.32000000000001</v>
      </c>
      <c r="G8" s="99">
        <f>F8</f>
        <v>106.32000000000001</v>
      </c>
      <c r="H8" s="99">
        <f t="shared" si="1"/>
        <v>0</v>
      </c>
      <c r="I8" s="100">
        <v>1233627</v>
      </c>
      <c r="J8" s="101" t="s">
        <v>85</v>
      </c>
      <c r="K8" s="100" t="s">
        <v>73</v>
      </c>
      <c r="L8" s="102" t="s">
        <v>74</v>
      </c>
      <c r="M8" s="100">
        <v>92788274</v>
      </c>
      <c r="N8" s="217" t="s">
        <v>86</v>
      </c>
      <c r="O8" s="127"/>
    </row>
    <row r="9" spans="1:15" s="6" customFormat="1" x14ac:dyDescent="0.25">
      <c r="A9" s="18">
        <v>6</v>
      </c>
      <c r="B9" s="18">
        <v>2609</v>
      </c>
      <c r="C9" s="19" t="s">
        <v>87</v>
      </c>
      <c r="D9" s="18">
        <v>171.7</v>
      </c>
      <c r="E9" s="20" t="s">
        <v>16</v>
      </c>
      <c r="F9" s="21">
        <f t="shared" si="0"/>
        <v>68.679999999999993</v>
      </c>
      <c r="G9" s="21">
        <f>63.37+5.31</f>
        <v>68.679999999999993</v>
      </c>
      <c r="H9" s="21">
        <f t="shared" si="1"/>
        <v>0</v>
      </c>
      <c r="I9" s="25">
        <v>1248701</v>
      </c>
      <c r="J9" s="27" t="s">
        <v>88</v>
      </c>
      <c r="K9" s="25" t="s">
        <v>73</v>
      </c>
      <c r="L9" s="30" t="s">
        <v>74</v>
      </c>
      <c r="M9" s="25">
        <v>90911500</v>
      </c>
      <c r="N9" s="31">
        <v>45658</v>
      </c>
      <c r="O9" s="127">
        <v>45685</v>
      </c>
    </row>
    <row r="10" spans="1:15" s="6" customFormat="1" x14ac:dyDescent="0.25">
      <c r="A10" s="18">
        <v>7</v>
      </c>
      <c r="B10" s="18">
        <v>2610</v>
      </c>
      <c r="C10" s="19" t="s">
        <v>47</v>
      </c>
      <c r="D10" s="18">
        <v>541.4</v>
      </c>
      <c r="E10" s="20" t="s">
        <v>16</v>
      </c>
      <c r="F10" s="21">
        <f t="shared" si="0"/>
        <v>216.56</v>
      </c>
      <c r="G10" s="21">
        <f>215.25+1.31</f>
        <v>216.56</v>
      </c>
      <c r="H10" s="21">
        <f t="shared" si="1"/>
        <v>0</v>
      </c>
      <c r="I10" s="25">
        <v>1183461</v>
      </c>
      <c r="J10" s="27" t="s">
        <v>89</v>
      </c>
      <c r="K10" s="25" t="s">
        <v>90</v>
      </c>
      <c r="L10" s="26" t="s">
        <v>91</v>
      </c>
      <c r="M10" s="25">
        <v>95622123</v>
      </c>
      <c r="N10" s="121">
        <v>45679</v>
      </c>
      <c r="O10" s="127" t="s">
        <v>344</v>
      </c>
    </row>
    <row r="11" spans="1:15" s="6" customFormat="1" x14ac:dyDescent="0.25">
      <c r="A11" s="12">
        <v>8</v>
      </c>
      <c r="B11" s="12">
        <v>2611</v>
      </c>
      <c r="C11" s="13" t="s">
        <v>92</v>
      </c>
      <c r="D11" s="12">
        <v>319.89999999999998</v>
      </c>
      <c r="E11" s="14" t="s">
        <v>16</v>
      </c>
      <c r="F11" s="15">
        <f t="shared" si="0"/>
        <v>127.96</v>
      </c>
      <c r="G11" s="15"/>
      <c r="H11" s="15">
        <f t="shared" si="1"/>
        <v>127.96</v>
      </c>
      <c r="I11" s="16">
        <v>1348989</v>
      </c>
      <c r="J11" s="17" t="s">
        <v>93</v>
      </c>
      <c r="K11" s="16" t="s">
        <v>94</v>
      </c>
      <c r="L11" s="182" t="s">
        <v>95</v>
      </c>
      <c r="M11" s="16">
        <v>99678203</v>
      </c>
      <c r="N11" s="211" t="s">
        <v>22</v>
      </c>
      <c r="O11" s="127"/>
    </row>
    <row r="12" spans="1:15" s="6" customFormat="1" x14ac:dyDescent="0.25">
      <c r="A12" s="12">
        <v>9</v>
      </c>
      <c r="B12" s="69">
        <v>2612</v>
      </c>
      <c r="C12" s="70" t="s">
        <v>96</v>
      </c>
      <c r="D12" s="69">
        <v>786.3</v>
      </c>
      <c r="E12" s="14" t="s">
        <v>16</v>
      </c>
      <c r="F12" s="15">
        <f t="shared" si="0"/>
        <v>314.52</v>
      </c>
      <c r="G12" s="15"/>
      <c r="H12" s="15">
        <f t="shared" si="1"/>
        <v>314.52</v>
      </c>
      <c r="I12" s="16">
        <v>896658</v>
      </c>
      <c r="J12" s="17" t="s">
        <v>97</v>
      </c>
      <c r="K12" s="16" t="s">
        <v>90</v>
      </c>
      <c r="L12" s="29" t="s">
        <v>91</v>
      </c>
      <c r="M12" s="16">
        <v>99831783</v>
      </c>
      <c r="N12" s="122"/>
      <c r="O12" s="127"/>
    </row>
    <row r="13" spans="1:15" s="72" customFormat="1" x14ac:dyDescent="0.25">
      <c r="A13" s="18">
        <v>10</v>
      </c>
      <c r="B13" s="18">
        <v>2613</v>
      </c>
      <c r="C13" s="19" t="s">
        <v>98</v>
      </c>
      <c r="D13" s="18">
        <v>261.5</v>
      </c>
      <c r="E13" s="20" t="s">
        <v>16</v>
      </c>
      <c r="F13" s="21">
        <f t="shared" si="0"/>
        <v>104.60000000000001</v>
      </c>
      <c r="G13" s="21">
        <f>F13</f>
        <v>104.60000000000001</v>
      </c>
      <c r="H13" s="21">
        <f t="shared" si="1"/>
        <v>0</v>
      </c>
      <c r="I13" s="25">
        <v>2884732</v>
      </c>
      <c r="J13" s="27" t="s">
        <v>99</v>
      </c>
      <c r="K13" s="25" t="s">
        <v>18</v>
      </c>
      <c r="L13" s="30" t="s">
        <v>19</v>
      </c>
      <c r="M13" s="25">
        <v>95878851</v>
      </c>
      <c r="N13" s="121">
        <v>45679</v>
      </c>
      <c r="O13" s="127"/>
    </row>
    <row r="14" spans="1:15" s="6" customFormat="1" x14ac:dyDescent="0.25">
      <c r="A14" s="12">
        <v>11</v>
      </c>
      <c r="B14" s="12">
        <v>2614</v>
      </c>
      <c r="C14" s="13" t="s">
        <v>100</v>
      </c>
      <c r="D14" s="12">
        <v>386.7</v>
      </c>
      <c r="E14" s="14" t="s">
        <v>16</v>
      </c>
      <c r="F14" s="15">
        <f t="shared" si="0"/>
        <v>154.68</v>
      </c>
      <c r="G14" s="15"/>
      <c r="H14" s="15">
        <f t="shared" si="1"/>
        <v>154.68</v>
      </c>
      <c r="I14" s="16">
        <v>1015515</v>
      </c>
      <c r="J14" s="17" t="s">
        <v>101</v>
      </c>
      <c r="K14" s="16" t="s">
        <v>90</v>
      </c>
      <c r="L14" s="29" t="s">
        <v>91</v>
      </c>
      <c r="M14" s="16">
        <v>92350077</v>
      </c>
      <c r="N14" s="212"/>
      <c r="O14" s="127"/>
    </row>
    <row r="15" spans="1:15" s="6" customFormat="1" x14ac:dyDescent="0.25">
      <c r="A15" s="18">
        <v>12</v>
      </c>
      <c r="B15" s="18">
        <v>2615</v>
      </c>
      <c r="C15" s="19" t="s">
        <v>102</v>
      </c>
      <c r="D15" s="18">
        <v>635.6</v>
      </c>
      <c r="E15" s="20" t="s">
        <v>16</v>
      </c>
      <c r="F15" s="21">
        <f t="shared" si="0"/>
        <v>254.24</v>
      </c>
      <c r="G15" s="21">
        <f>254.01+0.23</f>
        <v>254.23999999999998</v>
      </c>
      <c r="H15" s="21">
        <f t="shared" si="1"/>
        <v>0</v>
      </c>
      <c r="I15" s="25">
        <v>1248772</v>
      </c>
      <c r="J15" s="27" t="s">
        <v>103</v>
      </c>
      <c r="K15" s="25" t="s">
        <v>94</v>
      </c>
      <c r="L15" s="73" t="s">
        <v>95</v>
      </c>
      <c r="M15" s="25">
        <v>91102881</v>
      </c>
      <c r="N15" s="114">
        <v>45652</v>
      </c>
      <c r="O15" s="127">
        <v>45665</v>
      </c>
    </row>
    <row r="16" spans="1:15" x14ac:dyDescent="0.25">
      <c r="A16" s="18">
        <v>13</v>
      </c>
      <c r="B16" s="18">
        <v>2616</v>
      </c>
      <c r="C16" s="19" t="s">
        <v>15</v>
      </c>
      <c r="D16" s="18">
        <v>209.9</v>
      </c>
      <c r="E16" s="20" t="s">
        <v>16</v>
      </c>
      <c r="F16" s="21">
        <f t="shared" si="0"/>
        <v>83.960000000000008</v>
      </c>
      <c r="G16" s="22">
        <f>79.17+4.79</f>
        <v>83.960000000000008</v>
      </c>
      <c r="H16" s="21">
        <f t="shared" si="1"/>
        <v>0</v>
      </c>
      <c r="I16" s="23">
        <v>6225617</v>
      </c>
      <c r="J16" s="24" t="s">
        <v>17</v>
      </c>
      <c r="K16" s="25" t="s">
        <v>18</v>
      </c>
      <c r="L16" s="26" t="s">
        <v>19</v>
      </c>
      <c r="M16" s="25">
        <v>98004554</v>
      </c>
      <c r="N16" s="121">
        <v>45658</v>
      </c>
      <c r="O16" s="127">
        <v>45671</v>
      </c>
    </row>
    <row r="17" spans="1:16" s="6" customFormat="1" x14ac:dyDescent="0.25">
      <c r="A17" s="18">
        <v>14</v>
      </c>
      <c r="B17" s="18">
        <v>2617</v>
      </c>
      <c r="C17" s="19" t="s">
        <v>105</v>
      </c>
      <c r="D17" s="18">
        <v>302.60000000000002</v>
      </c>
      <c r="E17" s="20" t="s">
        <v>16</v>
      </c>
      <c r="F17" s="21">
        <f t="shared" si="0"/>
        <v>121.04000000000002</v>
      </c>
      <c r="G17" s="21">
        <f>F17</f>
        <v>121.04000000000002</v>
      </c>
      <c r="H17" s="21">
        <f t="shared" si="1"/>
        <v>0</v>
      </c>
      <c r="I17" s="18">
        <v>17375838</v>
      </c>
      <c r="J17" s="27" t="s">
        <v>106</v>
      </c>
      <c r="K17" s="25" t="s">
        <v>73</v>
      </c>
      <c r="L17" s="30" t="s">
        <v>74</v>
      </c>
      <c r="M17" s="30">
        <v>95089970</v>
      </c>
      <c r="N17" s="178">
        <v>45691</v>
      </c>
      <c r="O17" s="127"/>
    </row>
    <row r="18" spans="1:16" s="6" customFormat="1" x14ac:dyDescent="0.25">
      <c r="A18" s="12">
        <v>15</v>
      </c>
      <c r="B18" s="69">
        <v>2618</v>
      </c>
      <c r="C18" s="70" t="s">
        <v>48</v>
      </c>
      <c r="D18" s="69">
        <v>552</v>
      </c>
      <c r="E18" s="14" t="s">
        <v>16</v>
      </c>
      <c r="F18" s="15">
        <f t="shared" si="0"/>
        <v>220.8</v>
      </c>
      <c r="G18" s="15"/>
      <c r="H18" s="15">
        <f t="shared" si="1"/>
        <v>220.8</v>
      </c>
      <c r="I18" s="16">
        <v>6552811</v>
      </c>
      <c r="J18" s="17" t="s">
        <v>107</v>
      </c>
      <c r="K18" s="16" t="s">
        <v>73</v>
      </c>
      <c r="L18" s="32" t="s">
        <v>74</v>
      </c>
      <c r="M18" s="16">
        <v>99085221</v>
      </c>
      <c r="N18" s="122"/>
      <c r="O18" s="127"/>
    </row>
    <row r="19" spans="1:16" s="6" customFormat="1" x14ac:dyDescent="0.25">
      <c r="A19" s="18">
        <v>16</v>
      </c>
      <c r="B19" s="18">
        <v>2619</v>
      </c>
      <c r="C19" s="19" t="s">
        <v>108</v>
      </c>
      <c r="D19" s="18">
        <v>644</v>
      </c>
      <c r="E19" s="20" t="s">
        <v>16</v>
      </c>
      <c r="F19" s="21">
        <f t="shared" si="0"/>
        <v>257.60000000000002</v>
      </c>
      <c r="G19" s="21">
        <f>254.67</f>
        <v>254.67</v>
      </c>
      <c r="H19" s="21">
        <f t="shared" si="1"/>
        <v>2.9300000000000352</v>
      </c>
      <c r="I19" s="25">
        <v>6552839</v>
      </c>
      <c r="J19" s="27" t="s">
        <v>109</v>
      </c>
      <c r="K19" s="25" t="s">
        <v>90</v>
      </c>
      <c r="L19" s="26" t="s">
        <v>91</v>
      </c>
      <c r="M19" s="25">
        <v>92017833</v>
      </c>
      <c r="N19" s="31">
        <v>45685</v>
      </c>
      <c r="O19" s="127"/>
    </row>
    <row r="20" spans="1:16" s="6" customFormat="1" x14ac:dyDescent="0.25">
      <c r="A20" s="18">
        <v>17</v>
      </c>
      <c r="B20" s="18">
        <v>2620</v>
      </c>
      <c r="C20" s="19" t="s">
        <v>110</v>
      </c>
      <c r="D20" s="18">
        <v>423.5</v>
      </c>
      <c r="E20" s="20" t="s">
        <v>16</v>
      </c>
      <c r="F20" s="21">
        <f t="shared" si="0"/>
        <v>169.4</v>
      </c>
      <c r="G20" s="21">
        <f>109.32+58.2+1.88</f>
        <v>169.39999999999998</v>
      </c>
      <c r="H20" s="21">
        <f t="shared" si="1"/>
        <v>0</v>
      </c>
      <c r="I20" s="25">
        <v>1183437</v>
      </c>
      <c r="J20" s="27" t="s">
        <v>111</v>
      </c>
      <c r="K20" s="25" t="s">
        <v>73</v>
      </c>
      <c r="L20" s="30" t="s">
        <v>74</v>
      </c>
      <c r="M20" s="25">
        <v>92585717</v>
      </c>
      <c r="N20" s="31">
        <v>45665</v>
      </c>
      <c r="O20" s="127">
        <v>45679</v>
      </c>
      <c r="P20" s="142" t="s">
        <v>344</v>
      </c>
    </row>
    <row r="21" spans="1:16" s="72" customFormat="1" x14ac:dyDescent="0.25">
      <c r="A21" s="18">
        <v>18</v>
      </c>
      <c r="B21" s="18">
        <v>2621</v>
      </c>
      <c r="C21" s="19" t="s">
        <v>113</v>
      </c>
      <c r="D21" s="18">
        <v>328.6</v>
      </c>
      <c r="E21" s="20" t="s">
        <v>16</v>
      </c>
      <c r="F21" s="21">
        <f t="shared" si="0"/>
        <v>131.44000000000003</v>
      </c>
      <c r="G21" s="21">
        <f>F21</f>
        <v>131.44000000000003</v>
      </c>
      <c r="H21" s="21">
        <f t="shared" si="1"/>
        <v>0</v>
      </c>
      <c r="I21" s="25">
        <v>19745547</v>
      </c>
      <c r="J21" s="27" t="s">
        <v>114</v>
      </c>
      <c r="K21" s="25" t="s">
        <v>73</v>
      </c>
      <c r="L21" s="30" t="s">
        <v>74</v>
      </c>
      <c r="M21" s="25">
        <v>98821811</v>
      </c>
      <c r="N21" s="114">
        <v>45963</v>
      </c>
      <c r="O21" s="142"/>
    </row>
    <row r="22" spans="1:16" s="72" customFormat="1" x14ac:dyDescent="0.25">
      <c r="A22" s="18">
        <v>19</v>
      </c>
      <c r="B22" s="18">
        <v>2622</v>
      </c>
      <c r="C22" s="19" t="s">
        <v>115</v>
      </c>
      <c r="D22" s="18">
        <v>643.4</v>
      </c>
      <c r="E22" s="20" t="s">
        <v>16</v>
      </c>
      <c r="F22" s="21">
        <f t="shared" si="0"/>
        <v>257.36</v>
      </c>
      <c r="G22" s="21">
        <f>95.55+160.5+1.31</f>
        <v>257.36</v>
      </c>
      <c r="H22" s="21">
        <f t="shared" si="1"/>
        <v>0</v>
      </c>
      <c r="I22" s="25">
        <v>6067343</v>
      </c>
      <c r="J22" s="27" t="s">
        <v>116</v>
      </c>
      <c r="K22" s="25" t="s">
        <v>94</v>
      </c>
      <c r="L22" s="73" t="s">
        <v>95</v>
      </c>
      <c r="M22" s="25">
        <v>91329902</v>
      </c>
      <c r="N22" s="31">
        <v>45629</v>
      </c>
      <c r="O22" s="142">
        <v>45658</v>
      </c>
      <c r="P22" s="142">
        <v>45677</v>
      </c>
    </row>
    <row r="23" spans="1:16" s="6" customFormat="1" x14ac:dyDescent="0.25">
      <c r="A23" s="12">
        <v>20</v>
      </c>
      <c r="B23" s="69">
        <v>2623</v>
      </c>
      <c r="C23" s="70" t="s">
        <v>49</v>
      </c>
      <c r="D23" s="69">
        <v>292.60000000000002</v>
      </c>
      <c r="E23" s="14" t="s">
        <v>16</v>
      </c>
      <c r="F23" s="15">
        <f t="shared" si="0"/>
        <v>117.04000000000002</v>
      </c>
      <c r="G23" s="15"/>
      <c r="H23" s="15">
        <f t="shared" si="1"/>
        <v>117.04000000000002</v>
      </c>
      <c r="I23" s="16">
        <v>1994004</v>
      </c>
      <c r="J23" s="17" t="s">
        <v>117</v>
      </c>
      <c r="K23" s="16" t="s">
        <v>73</v>
      </c>
      <c r="L23" s="32" t="s">
        <v>74</v>
      </c>
      <c r="M23" s="16">
        <v>99489917</v>
      </c>
      <c r="N23" s="122"/>
      <c r="O23" s="127"/>
    </row>
    <row r="24" spans="1:16" s="6" customFormat="1" x14ac:dyDescent="0.25">
      <c r="A24" s="18">
        <v>21</v>
      </c>
      <c r="B24" s="18">
        <v>2624</v>
      </c>
      <c r="C24" s="19" t="s">
        <v>118</v>
      </c>
      <c r="D24" s="18">
        <v>288.3</v>
      </c>
      <c r="E24" s="20" t="s">
        <v>16</v>
      </c>
      <c r="F24" s="21">
        <f t="shared" si="0"/>
        <v>115.32000000000001</v>
      </c>
      <c r="G24" s="21">
        <f>113.28+2.04</f>
        <v>115.32000000000001</v>
      </c>
      <c r="H24" s="21">
        <f t="shared" si="1"/>
        <v>0</v>
      </c>
      <c r="I24" s="25">
        <v>3206725</v>
      </c>
      <c r="J24" s="27">
        <v>401002509090012</v>
      </c>
      <c r="K24" s="25" t="s">
        <v>73</v>
      </c>
      <c r="L24" s="30" t="s">
        <v>74</v>
      </c>
      <c r="M24" s="25">
        <v>93325253</v>
      </c>
      <c r="N24" s="31">
        <v>45663</v>
      </c>
      <c r="O24" s="127">
        <v>45810</v>
      </c>
    </row>
    <row r="25" spans="1:16" x14ac:dyDescent="0.25">
      <c r="A25" s="18">
        <v>22</v>
      </c>
      <c r="B25" s="18">
        <v>2625</v>
      </c>
      <c r="C25" s="19" t="s">
        <v>119</v>
      </c>
      <c r="D25" s="18">
        <v>826.6</v>
      </c>
      <c r="E25" s="20" t="s">
        <v>16</v>
      </c>
      <c r="F25" s="21">
        <f t="shared" si="0"/>
        <v>330.64000000000004</v>
      </c>
      <c r="G25" s="21">
        <f>326.81</f>
        <v>326.81</v>
      </c>
      <c r="H25" s="21">
        <f t="shared" si="1"/>
        <v>3.8300000000000409</v>
      </c>
      <c r="I25" s="25">
        <v>5474204</v>
      </c>
      <c r="J25" s="27" t="s">
        <v>120</v>
      </c>
      <c r="K25" s="25" t="s">
        <v>73</v>
      </c>
      <c r="L25" s="30" t="s">
        <v>74</v>
      </c>
      <c r="M25" s="25">
        <v>92806972</v>
      </c>
      <c r="N25" s="31">
        <v>45670</v>
      </c>
    </row>
    <row r="26" spans="1:16" s="6" customFormat="1" x14ac:dyDescent="0.25">
      <c r="A26" s="12">
        <v>23</v>
      </c>
      <c r="B26" s="69">
        <v>2626</v>
      </c>
      <c r="C26" s="70" t="s">
        <v>51</v>
      </c>
      <c r="D26" s="69">
        <v>322.39999999999998</v>
      </c>
      <c r="E26" s="14" t="s">
        <v>16</v>
      </c>
      <c r="F26" s="15">
        <f t="shared" si="0"/>
        <v>128.96</v>
      </c>
      <c r="G26" s="15"/>
      <c r="H26" s="15">
        <f t="shared" si="1"/>
        <v>128.96</v>
      </c>
      <c r="I26" s="78">
        <v>3083395</v>
      </c>
      <c r="J26" s="183" t="s">
        <v>121</v>
      </c>
      <c r="K26" s="78" t="s">
        <v>73</v>
      </c>
      <c r="L26" s="79" t="s">
        <v>74</v>
      </c>
      <c r="M26" s="78">
        <v>99287760</v>
      </c>
      <c r="N26" s="218"/>
      <c r="O26" s="127"/>
    </row>
    <row r="27" spans="1:16" s="6" customFormat="1" x14ac:dyDescent="0.25">
      <c r="A27" s="18">
        <v>24</v>
      </c>
      <c r="B27" s="18">
        <v>2627</v>
      </c>
      <c r="C27" s="19" t="s">
        <v>122</v>
      </c>
      <c r="D27" s="18">
        <v>191.9</v>
      </c>
      <c r="E27" s="20" t="s">
        <v>16</v>
      </c>
      <c r="F27" s="21">
        <f t="shared" si="0"/>
        <v>76.760000000000005</v>
      </c>
      <c r="G27" s="21">
        <f>72.59+4.17</f>
        <v>76.760000000000005</v>
      </c>
      <c r="H27" s="21">
        <f t="shared" si="1"/>
        <v>0</v>
      </c>
      <c r="I27" s="25">
        <v>2011348</v>
      </c>
      <c r="J27" s="27" t="s">
        <v>123</v>
      </c>
      <c r="K27" s="25" t="s">
        <v>94</v>
      </c>
      <c r="L27" s="73" t="s">
        <v>95</v>
      </c>
      <c r="M27" s="25">
        <v>98509729</v>
      </c>
      <c r="N27" s="31">
        <v>45663</v>
      </c>
      <c r="O27" s="127">
        <v>45677</v>
      </c>
    </row>
    <row r="28" spans="1:16" s="6" customFormat="1" x14ac:dyDescent="0.25">
      <c r="A28" s="12">
        <v>25</v>
      </c>
      <c r="B28" s="12">
        <v>2628</v>
      </c>
      <c r="C28" s="13" t="s">
        <v>124</v>
      </c>
      <c r="D28" s="12">
        <v>443.1</v>
      </c>
      <c r="E28" s="14" t="s">
        <v>16</v>
      </c>
      <c r="F28" s="15">
        <f t="shared" si="0"/>
        <v>177.24</v>
      </c>
      <c r="G28" s="15"/>
      <c r="H28" s="15">
        <f t="shared" si="1"/>
        <v>177.24</v>
      </c>
      <c r="I28" s="16">
        <v>2396272</v>
      </c>
      <c r="J28" s="17" t="s">
        <v>125</v>
      </c>
      <c r="K28" s="16" t="s">
        <v>73</v>
      </c>
      <c r="L28" s="32" t="s">
        <v>74</v>
      </c>
      <c r="M28" s="16">
        <v>990991999</v>
      </c>
      <c r="N28" s="211" t="s">
        <v>22</v>
      </c>
      <c r="O28" s="127"/>
    </row>
    <row r="29" spans="1:16" s="6" customFormat="1" x14ac:dyDescent="0.25">
      <c r="A29" s="18">
        <v>26</v>
      </c>
      <c r="B29" s="18">
        <v>2629</v>
      </c>
      <c r="C29" s="19" t="s">
        <v>32</v>
      </c>
      <c r="D29" s="18">
        <v>443.2</v>
      </c>
      <c r="E29" s="20" t="s">
        <v>16</v>
      </c>
      <c r="F29" s="21">
        <f t="shared" si="0"/>
        <v>177.28</v>
      </c>
      <c r="G29" s="21">
        <f>F29</f>
        <v>177.28</v>
      </c>
      <c r="H29" s="21">
        <f t="shared" si="1"/>
        <v>0</v>
      </c>
      <c r="I29" s="25">
        <v>6488371</v>
      </c>
      <c r="J29" s="27" t="s">
        <v>126</v>
      </c>
      <c r="K29" s="25" t="s">
        <v>18</v>
      </c>
      <c r="L29" s="74" t="s">
        <v>19</v>
      </c>
      <c r="M29" s="25">
        <v>99096166</v>
      </c>
      <c r="N29" s="114">
        <v>45658</v>
      </c>
      <c r="O29" s="206">
        <v>36.83</v>
      </c>
      <c r="P29" s="6" t="s">
        <v>325</v>
      </c>
    </row>
    <row r="30" spans="1:16" s="6" customFormat="1" x14ac:dyDescent="0.25">
      <c r="A30" s="18">
        <v>27</v>
      </c>
      <c r="B30" s="18">
        <v>2630</v>
      </c>
      <c r="C30" s="19" t="s">
        <v>127</v>
      </c>
      <c r="D30" s="18">
        <v>287.39999999999998</v>
      </c>
      <c r="E30" s="20" t="s">
        <v>16</v>
      </c>
      <c r="F30" s="21">
        <f t="shared" si="0"/>
        <v>114.96</v>
      </c>
      <c r="G30" s="21">
        <f>114.32</f>
        <v>114.32</v>
      </c>
      <c r="H30" s="21">
        <f t="shared" si="1"/>
        <v>0.64000000000000057</v>
      </c>
      <c r="I30" s="25">
        <v>8098813</v>
      </c>
      <c r="J30" s="27" t="s">
        <v>128</v>
      </c>
      <c r="K30" s="25" t="s">
        <v>80</v>
      </c>
      <c r="L30" s="76" t="s">
        <v>81</v>
      </c>
      <c r="M30" s="25">
        <v>98279944</v>
      </c>
      <c r="N30" s="31">
        <v>45677</v>
      </c>
      <c r="O30" s="127"/>
    </row>
    <row r="31" spans="1:16" s="6" customFormat="1" x14ac:dyDescent="0.25">
      <c r="A31" s="18">
        <v>28</v>
      </c>
      <c r="B31" s="18">
        <v>2631</v>
      </c>
      <c r="C31" s="19" t="s">
        <v>129</v>
      </c>
      <c r="D31" s="18">
        <v>267.60000000000002</v>
      </c>
      <c r="E31" s="20" t="s">
        <v>16</v>
      </c>
      <c r="F31" s="21">
        <f t="shared" si="0"/>
        <v>107.04000000000002</v>
      </c>
      <c r="G31" s="21">
        <f>102.22+4.82</f>
        <v>107.03999999999999</v>
      </c>
      <c r="H31" s="21">
        <f t="shared" si="1"/>
        <v>0</v>
      </c>
      <c r="I31" s="25">
        <v>931835</v>
      </c>
      <c r="J31" s="27" t="s">
        <v>130</v>
      </c>
      <c r="K31" s="25" t="s">
        <v>73</v>
      </c>
      <c r="L31" s="30" t="s">
        <v>74</v>
      </c>
      <c r="M31" s="25">
        <v>91766175</v>
      </c>
      <c r="N31" s="31">
        <v>45663</v>
      </c>
      <c r="O31" s="127">
        <v>45691</v>
      </c>
    </row>
    <row r="32" spans="1:16" s="6" customFormat="1" x14ac:dyDescent="0.25">
      <c r="A32" s="18">
        <v>29</v>
      </c>
      <c r="B32" s="18">
        <v>2632</v>
      </c>
      <c r="C32" s="19" t="s">
        <v>53</v>
      </c>
      <c r="D32" s="18">
        <v>340.5</v>
      </c>
      <c r="E32" s="20" t="s">
        <v>16</v>
      </c>
      <c r="F32" s="21">
        <f t="shared" si="0"/>
        <v>136.20000000000002</v>
      </c>
      <c r="G32" s="21">
        <f>135.88+0.32</f>
        <v>136.19999999999999</v>
      </c>
      <c r="H32" s="21">
        <f t="shared" si="1"/>
        <v>0</v>
      </c>
      <c r="I32" s="25">
        <v>18395066</v>
      </c>
      <c r="J32" s="27" t="s">
        <v>131</v>
      </c>
      <c r="K32" s="25" t="s">
        <v>132</v>
      </c>
      <c r="L32" s="30" t="s">
        <v>133</v>
      </c>
      <c r="M32" s="25">
        <v>9562212</v>
      </c>
      <c r="N32" s="31">
        <v>45672</v>
      </c>
      <c r="O32" s="127">
        <v>45810</v>
      </c>
    </row>
    <row r="33" spans="1:15" s="6" customFormat="1" x14ac:dyDescent="0.25">
      <c r="A33" s="12">
        <v>30</v>
      </c>
      <c r="B33" s="69">
        <v>2633</v>
      </c>
      <c r="C33" s="70" t="s">
        <v>134</v>
      </c>
      <c r="D33" s="69">
        <v>121.1</v>
      </c>
      <c r="E33" s="14" t="s">
        <v>16</v>
      </c>
      <c r="F33" s="15">
        <f t="shared" si="0"/>
        <v>48.44</v>
      </c>
      <c r="G33" s="15"/>
      <c r="H33" s="15">
        <f t="shared" si="1"/>
        <v>48.44</v>
      </c>
      <c r="I33" s="16">
        <v>5585042</v>
      </c>
      <c r="J33" s="17" t="s">
        <v>135</v>
      </c>
      <c r="K33" s="16" t="s">
        <v>80</v>
      </c>
      <c r="L33" s="185" t="s">
        <v>81</v>
      </c>
      <c r="M33" s="16">
        <v>92768880</v>
      </c>
      <c r="N33" s="122"/>
      <c r="O33" s="127"/>
    </row>
    <row r="34" spans="1:15" s="6" customFormat="1" x14ac:dyDescent="0.25">
      <c r="A34" s="18">
        <v>31</v>
      </c>
      <c r="B34" s="18">
        <v>2634</v>
      </c>
      <c r="C34" s="19" t="s">
        <v>136</v>
      </c>
      <c r="D34" s="18">
        <v>469.3</v>
      </c>
      <c r="E34" s="20" t="s">
        <v>16</v>
      </c>
      <c r="F34" s="21">
        <f t="shared" si="0"/>
        <v>187.72000000000003</v>
      </c>
      <c r="G34" s="21">
        <f>181.93+5.79</f>
        <v>187.72</v>
      </c>
      <c r="H34" s="21">
        <f t="shared" si="1"/>
        <v>0</v>
      </c>
      <c r="I34" s="25">
        <v>24361971</v>
      </c>
      <c r="J34" s="27" t="s">
        <v>137</v>
      </c>
      <c r="K34" s="25" t="s">
        <v>80</v>
      </c>
      <c r="L34" s="76" t="s">
        <v>81</v>
      </c>
      <c r="M34" s="25">
        <v>93384540</v>
      </c>
      <c r="N34" s="119">
        <v>45658</v>
      </c>
      <c r="O34" s="127">
        <v>45932</v>
      </c>
    </row>
    <row r="35" spans="1:15" s="6" customFormat="1" x14ac:dyDescent="0.25">
      <c r="A35" s="18">
        <v>32</v>
      </c>
      <c r="B35" s="18">
        <v>2635</v>
      </c>
      <c r="C35" s="19" t="s">
        <v>138</v>
      </c>
      <c r="D35" s="18">
        <v>345</v>
      </c>
      <c r="E35" s="20" t="s">
        <v>16</v>
      </c>
      <c r="F35" s="21">
        <f t="shared" si="0"/>
        <v>138</v>
      </c>
      <c r="G35" s="21">
        <f>F35</f>
        <v>138</v>
      </c>
      <c r="H35" s="21">
        <f t="shared" si="1"/>
        <v>0</v>
      </c>
      <c r="I35" s="30">
        <v>19928115</v>
      </c>
      <c r="J35" s="27" t="s">
        <v>139</v>
      </c>
      <c r="K35" s="30" t="s">
        <v>73</v>
      </c>
      <c r="L35" s="30" t="s">
        <v>74</v>
      </c>
      <c r="M35" s="25">
        <v>94606075</v>
      </c>
      <c r="N35" s="115">
        <v>45679</v>
      </c>
      <c r="O35" s="127"/>
    </row>
    <row r="36" spans="1:15" s="72" customFormat="1" x14ac:dyDescent="0.25">
      <c r="A36" s="18">
        <v>33</v>
      </c>
      <c r="B36" s="18">
        <v>2636</v>
      </c>
      <c r="C36" s="19" t="s">
        <v>140</v>
      </c>
      <c r="D36" s="18">
        <v>395.1</v>
      </c>
      <c r="E36" s="20" t="s">
        <v>16</v>
      </c>
      <c r="F36" s="21">
        <f t="shared" ref="F36:F67" si="2">D36*E36</f>
        <v>158.04000000000002</v>
      </c>
      <c r="G36" s="21">
        <f>F36</f>
        <v>158.04000000000002</v>
      </c>
      <c r="H36" s="21">
        <f t="shared" ref="H36:H67" si="3">F36-G36</f>
        <v>0</v>
      </c>
      <c r="I36" s="25">
        <v>2092081</v>
      </c>
      <c r="J36" s="27" t="s">
        <v>141</v>
      </c>
      <c r="K36" s="25" t="s">
        <v>73</v>
      </c>
      <c r="L36" s="30" t="s">
        <v>74</v>
      </c>
      <c r="M36" s="25">
        <v>92565542</v>
      </c>
      <c r="N36" s="31">
        <v>45810</v>
      </c>
      <c r="O36" s="142"/>
    </row>
    <row r="37" spans="1:15" s="6" customFormat="1" x14ac:dyDescent="0.25">
      <c r="A37" s="12">
        <v>34</v>
      </c>
      <c r="B37" s="69">
        <v>2637</v>
      </c>
      <c r="C37" s="70" t="s">
        <v>142</v>
      </c>
      <c r="D37" s="69">
        <v>322</v>
      </c>
      <c r="E37" s="14" t="s">
        <v>16</v>
      </c>
      <c r="F37" s="15">
        <f t="shared" si="2"/>
        <v>128.80000000000001</v>
      </c>
      <c r="G37" s="15"/>
      <c r="H37" s="15">
        <f t="shared" si="3"/>
        <v>128.80000000000001</v>
      </c>
      <c r="I37" s="16">
        <v>12073906</v>
      </c>
      <c r="J37" s="17" t="s">
        <v>143</v>
      </c>
      <c r="K37" s="16" t="s">
        <v>90</v>
      </c>
      <c r="L37" s="29" t="s">
        <v>91</v>
      </c>
      <c r="M37" s="16">
        <v>95851127</v>
      </c>
      <c r="N37" s="122"/>
      <c r="O37" s="127"/>
    </row>
    <row r="38" spans="1:15" s="6" customFormat="1" x14ac:dyDescent="0.25">
      <c r="A38" s="12">
        <v>35</v>
      </c>
      <c r="B38" s="69">
        <v>2638</v>
      </c>
      <c r="C38" s="70" t="s">
        <v>144</v>
      </c>
      <c r="D38" s="69"/>
      <c r="E38" s="14" t="s">
        <v>16</v>
      </c>
      <c r="F38" s="15">
        <f t="shared" si="2"/>
        <v>0</v>
      </c>
      <c r="G38" s="15"/>
      <c r="H38" s="15">
        <f t="shared" si="3"/>
        <v>0</v>
      </c>
      <c r="I38" s="16">
        <v>21944623</v>
      </c>
      <c r="J38" s="17" t="s">
        <v>145</v>
      </c>
      <c r="K38" s="16" t="s">
        <v>73</v>
      </c>
      <c r="L38" s="32" t="s">
        <v>74</v>
      </c>
      <c r="M38" s="16">
        <v>96622170</v>
      </c>
      <c r="N38" s="122"/>
      <c r="O38" s="127"/>
    </row>
    <row r="39" spans="1:15" s="6" customFormat="1" x14ac:dyDescent="0.25">
      <c r="A39" s="12">
        <v>36</v>
      </c>
      <c r="B39" s="69">
        <v>2639</v>
      </c>
      <c r="C39" s="70" t="s">
        <v>146</v>
      </c>
      <c r="D39" s="69">
        <v>255.7</v>
      </c>
      <c r="E39" s="14" t="s">
        <v>16</v>
      </c>
      <c r="F39" s="15">
        <f t="shared" si="2"/>
        <v>102.28</v>
      </c>
      <c r="G39" s="15"/>
      <c r="H39" s="15">
        <f t="shared" si="3"/>
        <v>102.28</v>
      </c>
      <c r="I39" s="16">
        <v>1389397</v>
      </c>
      <c r="J39" s="17" t="s">
        <v>147</v>
      </c>
      <c r="K39" s="16" t="s">
        <v>73</v>
      </c>
      <c r="L39" s="32" t="s">
        <v>74</v>
      </c>
      <c r="M39" s="16">
        <v>99282044</v>
      </c>
      <c r="N39" s="122"/>
      <c r="O39" s="127"/>
    </row>
    <row r="40" spans="1:15" s="72" customFormat="1" x14ac:dyDescent="0.25">
      <c r="A40" s="18">
        <v>37</v>
      </c>
      <c r="B40" s="18">
        <v>2640</v>
      </c>
      <c r="C40" s="19" t="s">
        <v>35</v>
      </c>
      <c r="D40" s="18">
        <v>142.30000000000001</v>
      </c>
      <c r="E40" s="20" t="s">
        <v>16</v>
      </c>
      <c r="F40" s="21">
        <f t="shared" si="2"/>
        <v>56.920000000000009</v>
      </c>
      <c r="G40" s="21">
        <f>F40</f>
        <v>56.920000000000009</v>
      </c>
      <c r="H40" s="21">
        <f t="shared" si="3"/>
        <v>0</v>
      </c>
      <c r="I40" s="25">
        <v>25021829</v>
      </c>
      <c r="J40" s="27" t="s">
        <v>148</v>
      </c>
      <c r="K40" s="25" t="s">
        <v>73</v>
      </c>
      <c r="L40" s="30" t="s">
        <v>74</v>
      </c>
      <c r="M40" s="25">
        <v>93383987</v>
      </c>
      <c r="N40" s="31">
        <v>45810</v>
      </c>
      <c r="O40" s="142"/>
    </row>
    <row r="41" spans="1:15" s="6" customFormat="1" x14ac:dyDescent="0.25">
      <c r="A41" s="12">
        <v>38</v>
      </c>
      <c r="B41" s="69">
        <v>2641</v>
      </c>
      <c r="C41" s="70" t="s">
        <v>149</v>
      </c>
      <c r="D41" s="69">
        <v>165.2</v>
      </c>
      <c r="E41" s="14" t="s">
        <v>16</v>
      </c>
      <c r="F41" s="15">
        <f t="shared" si="2"/>
        <v>66.08</v>
      </c>
      <c r="G41" s="15"/>
      <c r="H41" s="15">
        <f t="shared" si="3"/>
        <v>66.08</v>
      </c>
      <c r="I41" s="16">
        <v>1499316</v>
      </c>
      <c r="J41" s="17" t="s">
        <v>150</v>
      </c>
      <c r="K41" s="16" t="s">
        <v>90</v>
      </c>
      <c r="L41" s="32" t="s">
        <v>91</v>
      </c>
      <c r="M41" s="16">
        <v>99677197</v>
      </c>
      <c r="N41" s="122"/>
      <c r="O41" s="127"/>
    </row>
    <row r="42" spans="1:15" s="6" customFormat="1" x14ac:dyDescent="0.25">
      <c r="A42" s="18">
        <v>39</v>
      </c>
      <c r="B42" s="18">
        <v>2642</v>
      </c>
      <c r="C42" s="19" t="s">
        <v>151</v>
      </c>
      <c r="D42" s="18">
        <v>429.6</v>
      </c>
      <c r="E42" s="20" t="s">
        <v>16</v>
      </c>
      <c r="F42" s="21">
        <f t="shared" si="2"/>
        <v>171.84000000000003</v>
      </c>
      <c r="G42" s="21">
        <f>170.17+1.67</f>
        <v>171.83999999999997</v>
      </c>
      <c r="H42" s="21">
        <f t="shared" si="3"/>
        <v>0</v>
      </c>
      <c r="I42" s="25">
        <v>3018879</v>
      </c>
      <c r="J42" s="27" t="s">
        <v>152</v>
      </c>
      <c r="K42" s="25" t="s">
        <v>80</v>
      </c>
      <c r="L42" s="76" t="s">
        <v>81</v>
      </c>
      <c r="M42" s="25">
        <v>98818754</v>
      </c>
      <c r="N42" s="31">
        <v>45658</v>
      </c>
      <c r="O42" s="127">
        <v>45691</v>
      </c>
    </row>
    <row r="43" spans="1:15" s="120" customFormat="1" x14ac:dyDescent="0.25">
      <c r="A43" s="96">
        <v>40</v>
      </c>
      <c r="B43" s="96">
        <v>2643</v>
      </c>
      <c r="C43" s="97" t="s">
        <v>153</v>
      </c>
      <c r="D43" s="96">
        <v>641.4</v>
      </c>
      <c r="E43" s="98" t="s">
        <v>16</v>
      </c>
      <c r="F43" s="99">
        <f t="shared" si="2"/>
        <v>256.56</v>
      </c>
      <c r="G43" s="99">
        <f>F43</f>
        <v>256.56</v>
      </c>
      <c r="H43" s="99">
        <f t="shared" si="3"/>
        <v>0</v>
      </c>
      <c r="I43" s="100">
        <v>1485446</v>
      </c>
      <c r="J43" s="101" t="s">
        <v>154</v>
      </c>
      <c r="K43" s="100" t="s">
        <v>18</v>
      </c>
      <c r="L43" s="102" t="s">
        <v>19</v>
      </c>
      <c r="M43" s="100">
        <v>99747558</v>
      </c>
      <c r="N43" s="230">
        <v>45932</v>
      </c>
      <c r="O43" s="231"/>
    </row>
    <row r="44" spans="1:15" x14ac:dyDescent="0.25">
      <c r="A44" s="12">
        <v>41</v>
      </c>
      <c r="B44" s="69">
        <v>2644</v>
      </c>
      <c r="C44" s="70" t="s">
        <v>155</v>
      </c>
      <c r="D44" s="69">
        <v>327.7</v>
      </c>
      <c r="E44" s="14" t="s">
        <v>16</v>
      </c>
      <c r="F44" s="15">
        <f t="shared" si="2"/>
        <v>131.08000000000001</v>
      </c>
      <c r="G44" s="15"/>
      <c r="H44" s="15">
        <f t="shared" si="3"/>
        <v>131.08000000000001</v>
      </c>
      <c r="I44" s="78">
        <v>23180515</v>
      </c>
      <c r="J44" s="183" t="s">
        <v>156</v>
      </c>
      <c r="K44" s="78" t="s">
        <v>73</v>
      </c>
      <c r="L44" s="79" t="s">
        <v>74</v>
      </c>
      <c r="M44" s="78">
        <v>95931303</v>
      </c>
      <c r="N44" s="122" t="s">
        <v>22</v>
      </c>
    </row>
    <row r="45" spans="1:15" s="6" customFormat="1" x14ac:dyDescent="0.25">
      <c r="A45" s="12">
        <v>42</v>
      </c>
      <c r="B45" s="69">
        <v>2645</v>
      </c>
      <c r="C45" s="70" t="s">
        <v>157</v>
      </c>
      <c r="D45" s="69">
        <v>323.39999999999998</v>
      </c>
      <c r="E45" s="14" t="s">
        <v>16</v>
      </c>
      <c r="F45" s="15">
        <f t="shared" si="2"/>
        <v>129.35999999999999</v>
      </c>
      <c r="G45" s="15"/>
      <c r="H45" s="15">
        <f t="shared" si="3"/>
        <v>129.35999999999999</v>
      </c>
      <c r="I45" s="16">
        <v>20133638</v>
      </c>
      <c r="J45" s="17" t="s">
        <v>158</v>
      </c>
      <c r="K45" s="16" t="s">
        <v>76</v>
      </c>
      <c r="L45" s="182" t="s">
        <v>77</v>
      </c>
      <c r="M45" s="16">
        <v>92802502</v>
      </c>
      <c r="N45" s="122" t="s">
        <v>22</v>
      </c>
      <c r="O45" s="127"/>
    </row>
    <row r="46" spans="1:15" s="6" customFormat="1" x14ac:dyDescent="0.25">
      <c r="A46" s="18">
        <v>43</v>
      </c>
      <c r="B46" s="18">
        <v>2646</v>
      </c>
      <c r="C46" s="19" t="s">
        <v>159</v>
      </c>
      <c r="D46" s="18">
        <v>548.9</v>
      </c>
      <c r="E46" s="20" t="s">
        <v>16</v>
      </c>
      <c r="F46" s="21">
        <f t="shared" si="2"/>
        <v>219.56</v>
      </c>
      <c r="G46" s="21">
        <f>216.88+2.68</f>
        <v>219.56</v>
      </c>
      <c r="H46" s="21">
        <f t="shared" si="3"/>
        <v>0</v>
      </c>
      <c r="I46" s="25">
        <v>13271226</v>
      </c>
      <c r="J46" s="27" t="s">
        <v>160</v>
      </c>
      <c r="K46" s="25" t="s">
        <v>73</v>
      </c>
      <c r="L46" s="30" t="s">
        <v>74</v>
      </c>
      <c r="M46" s="25">
        <v>92231129</v>
      </c>
      <c r="N46" s="31">
        <v>45670</v>
      </c>
      <c r="O46" s="127">
        <v>45690</v>
      </c>
    </row>
    <row r="47" spans="1:15" s="6" customFormat="1" x14ac:dyDescent="0.25">
      <c r="A47" s="12">
        <v>44</v>
      </c>
      <c r="B47" s="12">
        <v>2647</v>
      </c>
      <c r="C47" s="13" t="s">
        <v>161</v>
      </c>
      <c r="D47" s="12">
        <v>276</v>
      </c>
      <c r="E47" s="14" t="s">
        <v>16</v>
      </c>
      <c r="F47" s="15">
        <f t="shared" si="2"/>
        <v>110.4</v>
      </c>
      <c r="G47" s="15"/>
      <c r="H47" s="15">
        <f t="shared" si="3"/>
        <v>110.4</v>
      </c>
      <c r="I47" s="16">
        <v>828714</v>
      </c>
      <c r="J47" s="17" t="s">
        <v>162</v>
      </c>
      <c r="K47" s="16" t="s">
        <v>94</v>
      </c>
      <c r="L47" s="182" t="s">
        <v>95</v>
      </c>
      <c r="M47" s="16">
        <v>99007372</v>
      </c>
      <c r="N47" s="122" t="s">
        <v>22</v>
      </c>
      <c r="O47" s="127"/>
    </row>
    <row r="48" spans="1:15" s="6" customFormat="1" x14ac:dyDescent="0.25">
      <c r="A48" s="18">
        <v>45</v>
      </c>
      <c r="B48" s="18">
        <v>2648</v>
      </c>
      <c r="C48" s="19" t="s">
        <v>163</v>
      </c>
      <c r="D48" s="18">
        <v>305.10000000000002</v>
      </c>
      <c r="E48" s="20" t="s">
        <v>16</v>
      </c>
      <c r="F48" s="21">
        <f t="shared" si="2"/>
        <v>122.04000000000002</v>
      </c>
      <c r="G48" s="21">
        <f>119.79+2.25</f>
        <v>122.04</v>
      </c>
      <c r="H48" s="21">
        <f t="shared" si="3"/>
        <v>0</v>
      </c>
      <c r="I48" s="25">
        <v>5086</v>
      </c>
      <c r="J48" s="27" t="s">
        <v>164</v>
      </c>
      <c r="K48" s="25" t="s">
        <v>94</v>
      </c>
      <c r="L48" s="73" t="s">
        <v>95</v>
      </c>
      <c r="M48" s="25">
        <v>99499787</v>
      </c>
      <c r="N48" s="31">
        <v>45658</v>
      </c>
      <c r="O48" s="127">
        <v>45932</v>
      </c>
    </row>
    <row r="49" spans="1:15" s="72" customFormat="1" x14ac:dyDescent="0.25">
      <c r="A49" s="18">
        <v>46</v>
      </c>
      <c r="B49" s="18">
        <v>2649</v>
      </c>
      <c r="C49" s="19" t="s">
        <v>165</v>
      </c>
      <c r="D49" s="18">
        <v>314.10000000000002</v>
      </c>
      <c r="E49" s="20" t="s">
        <v>16</v>
      </c>
      <c r="F49" s="21">
        <f t="shared" si="2"/>
        <v>125.64000000000001</v>
      </c>
      <c r="G49" s="21">
        <f>F49</f>
        <v>125.64000000000001</v>
      </c>
      <c r="H49" s="21">
        <f t="shared" si="3"/>
        <v>0</v>
      </c>
      <c r="I49" s="25">
        <v>1282981</v>
      </c>
      <c r="J49" s="27" t="s">
        <v>166</v>
      </c>
      <c r="K49" s="25" t="s">
        <v>80</v>
      </c>
      <c r="L49" s="76" t="s">
        <v>81</v>
      </c>
      <c r="M49" s="25">
        <v>99499053</v>
      </c>
      <c r="N49" s="142">
        <v>45691</v>
      </c>
      <c r="O49" s="142"/>
    </row>
    <row r="50" spans="1:15" s="6" customFormat="1" x14ac:dyDescent="0.25">
      <c r="A50" s="12">
        <v>47</v>
      </c>
      <c r="B50" s="69">
        <v>2650</v>
      </c>
      <c r="C50" s="70" t="s">
        <v>167</v>
      </c>
      <c r="D50" s="69">
        <v>294.39999999999998</v>
      </c>
      <c r="E50" s="14" t="s">
        <v>16</v>
      </c>
      <c r="F50" s="15">
        <f t="shared" si="2"/>
        <v>117.75999999999999</v>
      </c>
      <c r="G50" s="15"/>
      <c r="H50" s="15">
        <f t="shared" si="3"/>
        <v>117.75999999999999</v>
      </c>
      <c r="I50" s="16">
        <v>5949449</v>
      </c>
      <c r="J50" s="17" t="s">
        <v>168</v>
      </c>
      <c r="K50" s="16" t="s">
        <v>80</v>
      </c>
      <c r="L50" s="185" t="s">
        <v>81</v>
      </c>
      <c r="M50" s="16">
        <v>92781944</v>
      </c>
      <c r="N50" s="122"/>
      <c r="O50" s="127"/>
    </row>
    <row r="51" spans="1:15" s="6" customFormat="1" x14ac:dyDescent="0.25">
      <c r="A51" s="12">
        <v>48</v>
      </c>
      <c r="B51" s="69">
        <v>2651</v>
      </c>
      <c r="C51" s="70" t="s">
        <v>169</v>
      </c>
      <c r="D51" s="69">
        <v>190.5</v>
      </c>
      <c r="E51" s="14" t="s">
        <v>16</v>
      </c>
      <c r="F51" s="15">
        <f t="shared" si="2"/>
        <v>76.2</v>
      </c>
      <c r="G51" s="15"/>
      <c r="H51" s="15">
        <f t="shared" si="3"/>
        <v>76.2</v>
      </c>
      <c r="I51" s="16">
        <v>18629431</v>
      </c>
      <c r="J51" s="17" t="s">
        <v>170</v>
      </c>
      <c r="K51" s="16" t="s">
        <v>73</v>
      </c>
      <c r="L51" s="32" t="s">
        <v>74</v>
      </c>
      <c r="M51" s="16">
        <v>92333700</v>
      </c>
      <c r="N51" s="122"/>
      <c r="O51" s="127"/>
    </row>
    <row r="52" spans="1:15" s="6" customFormat="1" x14ac:dyDescent="0.25">
      <c r="A52" s="18">
        <v>49</v>
      </c>
      <c r="B52" s="18">
        <v>2652</v>
      </c>
      <c r="C52" s="19" t="s">
        <v>171</v>
      </c>
      <c r="D52" s="18">
        <v>320</v>
      </c>
      <c r="E52" s="20" t="s">
        <v>16</v>
      </c>
      <c r="F52" s="21">
        <f t="shared" si="2"/>
        <v>128</v>
      </c>
      <c r="G52" s="21">
        <f>123.77+4.23</f>
        <v>128</v>
      </c>
      <c r="H52" s="21">
        <f t="shared" si="3"/>
        <v>0</v>
      </c>
      <c r="I52" s="25">
        <v>23212756</v>
      </c>
      <c r="J52" s="27" t="s">
        <v>172</v>
      </c>
      <c r="K52" s="25" t="s">
        <v>94</v>
      </c>
      <c r="L52" s="73" t="s">
        <v>95</v>
      </c>
      <c r="M52" s="25">
        <v>98509729</v>
      </c>
      <c r="N52" s="31">
        <v>45663</v>
      </c>
      <c r="O52" s="127">
        <v>45677</v>
      </c>
    </row>
    <row r="53" spans="1:15" s="6" customFormat="1" x14ac:dyDescent="0.25">
      <c r="A53" s="12">
        <v>50</v>
      </c>
      <c r="B53" s="69">
        <v>2653</v>
      </c>
      <c r="C53" s="70" t="s">
        <v>173</v>
      </c>
      <c r="D53" s="69">
        <v>668</v>
      </c>
      <c r="E53" s="14" t="s">
        <v>16</v>
      </c>
      <c r="F53" s="15">
        <f t="shared" si="2"/>
        <v>267.2</v>
      </c>
      <c r="G53" s="15"/>
      <c r="H53" s="15">
        <f t="shared" si="3"/>
        <v>267.2</v>
      </c>
      <c r="I53" s="16">
        <v>9097024</v>
      </c>
      <c r="J53" s="17" t="s">
        <v>174</v>
      </c>
      <c r="K53" s="16" t="s">
        <v>18</v>
      </c>
      <c r="L53" s="32" t="s">
        <v>19</v>
      </c>
      <c r="M53" s="16">
        <v>95401775</v>
      </c>
      <c r="N53" s="122"/>
      <c r="O53" s="127"/>
    </row>
    <row r="54" spans="1:15" s="72" customFormat="1" x14ac:dyDescent="0.25">
      <c r="A54" s="18">
        <v>51</v>
      </c>
      <c r="B54" s="18">
        <v>2654</v>
      </c>
      <c r="C54" s="19" t="s">
        <v>54</v>
      </c>
      <c r="D54" s="18">
        <v>513.4</v>
      </c>
      <c r="E54" s="20" t="s">
        <v>16</v>
      </c>
      <c r="F54" s="21">
        <f t="shared" si="2"/>
        <v>205.36</v>
      </c>
      <c r="G54" s="21">
        <f>204.97+0.39</f>
        <v>205.35999999999999</v>
      </c>
      <c r="H54" s="21">
        <f t="shared" si="3"/>
        <v>0</v>
      </c>
      <c r="I54" s="25">
        <v>6073815</v>
      </c>
      <c r="J54" s="27" t="s">
        <v>175</v>
      </c>
      <c r="K54" s="25" t="s">
        <v>18</v>
      </c>
      <c r="L54" s="30" t="s">
        <v>19</v>
      </c>
      <c r="M54" s="25">
        <v>98780007</v>
      </c>
      <c r="N54" s="31">
        <v>45657</v>
      </c>
      <c r="O54" s="142">
        <v>45691</v>
      </c>
    </row>
    <row r="55" spans="1:15" s="6" customFormat="1" x14ac:dyDescent="0.25">
      <c r="A55" s="18">
        <v>52</v>
      </c>
      <c r="B55" s="18">
        <v>2655</v>
      </c>
      <c r="C55" s="19" t="s">
        <v>56</v>
      </c>
      <c r="D55" s="18">
        <v>290.89999999999998</v>
      </c>
      <c r="E55" s="20" t="s">
        <v>16</v>
      </c>
      <c r="F55" s="21">
        <f t="shared" si="2"/>
        <v>116.36</v>
      </c>
      <c r="G55" s="21">
        <f>110.9+5.46</f>
        <v>116.36</v>
      </c>
      <c r="H55" s="21">
        <f t="shared" si="3"/>
        <v>0</v>
      </c>
      <c r="I55" s="25">
        <v>20987274</v>
      </c>
      <c r="J55" s="27" t="s">
        <v>176</v>
      </c>
      <c r="K55" s="25" t="s">
        <v>73</v>
      </c>
      <c r="L55" s="30" t="s">
        <v>74</v>
      </c>
      <c r="M55" s="25">
        <v>92526652</v>
      </c>
      <c r="N55" s="31">
        <v>45672</v>
      </c>
      <c r="O55" s="127">
        <v>45810</v>
      </c>
    </row>
    <row r="56" spans="1:15" s="72" customFormat="1" x14ac:dyDescent="0.25">
      <c r="A56" s="18">
        <v>53</v>
      </c>
      <c r="B56" s="18">
        <v>2656</v>
      </c>
      <c r="C56" s="19" t="s">
        <v>177</v>
      </c>
      <c r="D56" s="18">
        <v>292.2</v>
      </c>
      <c r="E56" s="20" t="s">
        <v>16</v>
      </c>
      <c r="F56" s="21">
        <f t="shared" si="2"/>
        <v>116.88</v>
      </c>
      <c r="G56" s="21">
        <f>115.28+1.6</f>
        <v>116.88</v>
      </c>
      <c r="H56" s="21">
        <f t="shared" si="3"/>
        <v>0</v>
      </c>
      <c r="I56" s="25">
        <v>21910635</v>
      </c>
      <c r="J56" s="27" t="s">
        <v>178</v>
      </c>
      <c r="K56" s="25" t="s">
        <v>18</v>
      </c>
      <c r="L56" s="30" t="s">
        <v>19</v>
      </c>
      <c r="M56" s="25">
        <v>92934362</v>
      </c>
      <c r="N56" s="114">
        <v>45655</v>
      </c>
      <c r="O56" s="142">
        <v>45665</v>
      </c>
    </row>
    <row r="57" spans="1:15" s="6" customFormat="1" x14ac:dyDescent="0.25">
      <c r="A57" s="12">
        <v>54</v>
      </c>
      <c r="B57" s="12">
        <v>2657</v>
      </c>
      <c r="C57" s="13" t="s">
        <v>179</v>
      </c>
      <c r="D57" s="12">
        <v>291</v>
      </c>
      <c r="E57" s="14" t="s">
        <v>16</v>
      </c>
      <c r="F57" s="15">
        <f t="shared" si="2"/>
        <v>116.4</v>
      </c>
      <c r="G57" s="15"/>
      <c r="H57" s="15">
        <f t="shared" si="3"/>
        <v>116.4</v>
      </c>
      <c r="I57" s="16">
        <v>6502761</v>
      </c>
      <c r="J57" s="17" t="s">
        <v>180</v>
      </c>
      <c r="K57" s="16" t="s">
        <v>18</v>
      </c>
      <c r="L57" s="32" t="s">
        <v>19</v>
      </c>
      <c r="M57" s="16">
        <v>98033332</v>
      </c>
      <c r="N57" s="211" t="s">
        <v>22</v>
      </c>
      <c r="O57" s="127"/>
    </row>
    <row r="58" spans="1:15" s="6" customFormat="1" x14ac:dyDescent="0.25">
      <c r="A58" s="18">
        <v>55</v>
      </c>
      <c r="B58" s="18">
        <v>2658</v>
      </c>
      <c r="C58" s="19" t="s">
        <v>181</v>
      </c>
      <c r="D58" s="18">
        <v>81.2</v>
      </c>
      <c r="E58" s="38">
        <v>0.4</v>
      </c>
      <c r="F58" s="21">
        <f t="shared" si="2"/>
        <v>32.480000000000004</v>
      </c>
      <c r="G58" s="21">
        <f>31.1+1.38</f>
        <v>32.480000000000004</v>
      </c>
      <c r="H58" s="21">
        <f t="shared" si="3"/>
        <v>0</v>
      </c>
      <c r="I58" s="25">
        <v>6726168</v>
      </c>
      <c r="J58" s="27" t="s">
        <v>182</v>
      </c>
      <c r="K58" s="25" t="s">
        <v>73</v>
      </c>
      <c r="L58" s="30" t="s">
        <v>74</v>
      </c>
      <c r="M58" s="25"/>
      <c r="N58" s="114">
        <v>45658</v>
      </c>
      <c r="O58" s="127">
        <v>45685</v>
      </c>
    </row>
    <row r="59" spans="1:15" s="6" customFormat="1" x14ac:dyDescent="0.25">
      <c r="A59" s="18">
        <v>56</v>
      </c>
      <c r="B59" s="18">
        <v>2659</v>
      </c>
      <c r="C59" s="19" t="s">
        <v>183</v>
      </c>
      <c r="D59" s="18">
        <v>255.1</v>
      </c>
      <c r="E59" s="38">
        <v>0.4</v>
      </c>
      <c r="F59" s="21">
        <f t="shared" si="2"/>
        <v>102.04</v>
      </c>
      <c r="G59" s="21">
        <f>99.82+2.22</f>
        <v>102.03999999999999</v>
      </c>
      <c r="H59" s="21">
        <f t="shared" si="3"/>
        <v>0</v>
      </c>
      <c r="I59" s="25">
        <v>5796837</v>
      </c>
      <c r="J59" s="27" t="s">
        <v>184</v>
      </c>
      <c r="K59" s="25" t="s">
        <v>18</v>
      </c>
      <c r="L59" s="30" t="s">
        <v>19</v>
      </c>
      <c r="M59" s="25"/>
      <c r="N59" s="114">
        <v>45672</v>
      </c>
      <c r="O59" s="127">
        <v>45685</v>
      </c>
    </row>
    <row r="60" spans="1:15" s="6" customFormat="1" x14ac:dyDescent="0.25">
      <c r="A60" s="18">
        <v>57</v>
      </c>
      <c r="B60" s="18">
        <v>2660</v>
      </c>
      <c r="C60" s="19" t="s">
        <v>185</v>
      </c>
      <c r="D60" s="18">
        <v>188</v>
      </c>
      <c r="E60" s="38">
        <v>0.4</v>
      </c>
      <c r="F60" s="21">
        <f t="shared" si="2"/>
        <v>75.2</v>
      </c>
      <c r="G60" s="21">
        <f>71.73+3.47</f>
        <v>75.2</v>
      </c>
      <c r="H60" s="21">
        <f t="shared" si="3"/>
        <v>0</v>
      </c>
      <c r="I60" s="25">
        <v>7250691</v>
      </c>
      <c r="J60" s="27" t="s">
        <v>186</v>
      </c>
      <c r="K60" s="25" t="s">
        <v>73</v>
      </c>
      <c r="L60" s="30" t="s">
        <v>74</v>
      </c>
      <c r="M60" s="25"/>
      <c r="N60" s="114">
        <v>45658</v>
      </c>
      <c r="O60" s="127">
        <v>45685</v>
      </c>
    </row>
    <row r="61" spans="1:15" s="6" customFormat="1" x14ac:dyDescent="0.25">
      <c r="A61" s="18">
        <v>58</v>
      </c>
      <c r="B61" s="18">
        <v>2661</v>
      </c>
      <c r="C61" s="19" t="s">
        <v>187</v>
      </c>
      <c r="D61" s="18">
        <v>247.1</v>
      </c>
      <c r="E61" s="38">
        <v>0.4</v>
      </c>
      <c r="F61" s="21">
        <f t="shared" si="2"/>
        <v>98.84</v>
      </c>
      <c r="G61" s="21">
        <f>97.14+1.7</f>
        <v>98.84</v>
      </c>
      <c r="H61" s="21">
        <f t="shared" si="3"/>
        <v>0</v>
      </c>
      <c r="I61" s="25">
        <v>24935198</v>
      </c>
      <c r="J61" s="27" t="s">
        <v>188</v>
      </c>
      <c r="K61" s="30" t="s">
        <v>73</v>
      </c>
      <c r="L61" s="30" t="s">
        <v>74</v>
      </c>
      <c r="M61" s="25">
        <v>99101900</v>
      </c>
      <c r="N61" s="31">
        <v>45670</v>
      </c>
      <c r="O61" s="127">
        <v>45810</v>
      </c>
    </row>
    <row r="62" spans="1:15" s="6" customFormat="1" x14ac:dyDescent="0.25">
      <c r="A62" s="18">
        <v>59</v>
      </c>
      <c r="B62" s="18">
        <v>2662</v>
      </c>
      <c r="C62" s="19" t="s">
        <v>189</v>
      </c>
      <c r="D62" s="18">
        <v>633.9</v>
      </c>
      <c r="E62" s="38">
        <v>0.4</v>
      </c>
      <c r="F62" s="21">
        <f t="shared" si="2"/>
        <v>253.56</v>
      </c>
      <c r="G62" s="21">
        <f>253.43</f>
        <v>253.43</v>
      </c>
      <c r="H62" s="21">
        <f t="shared" si="3"/>
        <v>0.12999999999999545</v>
      </c>
      <c r="I62" s="25">
        <v>2931011</v>
      </c>
      <c r="J62" s="27" t="s">
        <v>190</v>
      </c>
      <c r="K62" s="25" t="s">
        <v>73</v>
      </c>
      <c r="L62" s="30" t="s">
        <v>74</v>
      </c>
      <c r="M62" s="25">
        <v>92997279</v>
      </c>
      <c r="N62" s="114">
        <v>45663</v>
      </c>
      <c r="O62" s="127"/>
    </row>
    <row r="63" spans="1:15" s="6" customFormat="1" x14ac:dyDescent="0.25">
      <c r="A63" s="12">
        <v>60</v>
      </c>
      <c r="B63" s="69">
        <v>2663</v>
      </c>
      <c r="C63" s="70" t="s">
        <v>191</v>
      </c>
      <c r="D63" s="69">
        <v>371.4</v>
      </c>
      <c r="E63" s="34">
        <v>0.4</v>
      </c>
      <c r="F63" s="15">
        <f t="shared" si="2"/>
        <v>148.56</v>
      </c>
      <c r="G63" s="15"/>
      <c r="H63" s="15">
        <f t="shared" si="3"/>
        <v>148.56</v>
      </c>
      <c r="I63" s="16">
        <v>568448</v>
      </c>
      <c r="J63" s="17" t="s">
        <v>192</v>
      </c>
      <c r="K63" s="16" t="s">
        <v>73</v>
      </c>
      <c r="L63" s="32" t="s">
        <v>74</v>
      </c>
      <c r="M63" s="16">
        <v>99298847</v>
      </c>
      <c r="N63" s="211"/>
      <c r="O63" s="127"/>
    </row>
    <row r="64" spans="1:15" s="35" customFormat="1" x14ac:dyDescent="0.25">
      <c r="A64" s="18">
        <v>61</v>
      </c>
      <c r="B64" s="18">
        <v>2665</v>
      </c>
      <c r="C64" s="19" t="s">
        <v>194</v>
      </c>
      <c r="D64" s="18">
        <v>513.70000000000005</v>
      </c>
      <c r="E64" s="38">
        <v>0.4</v>
      </c>
      <c r="F64" s="21">
        <f t="shared" si="2"/>
        <v>205.48000000000002</v>
      </c>
      <c r="G64" s="21">
        <f>201.02+4.46</f>
        <v>205.48000000000002</v>
      </c>
      <c r="H64" s="21">
        <f t="shared" si="3"/>
        <v>0</v>
      </c>
      <c r="I64" s="25">
        <v>8467055</v>
      </c>
      <c r="J64" s="27" t="s">
        <v>195</v>
      </c>
      <c r="K64" s="25" t="s">
        <v>73</v>
      </c>
      <c r="L64" s="30" t="s">
        <v>74</v>
      </c>
      <c r="M64" s="25">
        <v>98919778</v>
      </c>
      <c r="N64" s="31">
        <v>45658</v>
      </c>
      <c r="O64" s="127">
        <v>45677</v>
      </c>
    </row>
    <row r="65" spans="1:16" s="35" customFormat="1" x14ac:dyDescent="0.25">
      <c r="A65" s="18">
        <v>62</v>
      </c>
      <c r="B65" s="18">
        <v>2666</v>
      </c>
      <c r="C65" s="19" t="s">
        <v>196</v>
      </c>
      <c r="D65" s="18">
        <v>162.30000000000001</v>
      </c>
      <c r="E65" s="38">
        <v>0.4</v>
      </c>
      <c r="F65" s="21">
        <f t="shared" si="2"/>
        <v>64.92</v>
      </c>
      <c r="G65" s="21">
        <f>62.83+2.09</f>
        <v>64.92</v>
      </c>
      <c r="H65" s="21">
        <f t="shared" si="3"/>
        <v>0</v>
      </c>
      <c r="I65" s="25">
        <v>23188968</v>
      </c>
      <c r="J65" s="27" t="s">
        <v>197</v>
      </c>
      <c r="K65" s="25" t="s">
        <v>73</v>
      </c>
      <c r="L65" s="30" t="s">
        <v>74</v>
      </c>
      <c r="M65" s="25">
        <v>95058843</v>
      </c>
      <c r="N65" s="31">
        <v>45658</v>
      </c>
      <c r="O65" s="127">
        <v>45677</v>
      </c>
    </row>
    <row r="66" spans="1:16" s="35" customFormat="1" x14ac:dyDescent="0.25">
      <c r="A66" s="12">
        <v>63</v>
      </c>
      <c r="B66" s="69">
        <v>2667</v>
      </c>
      <c r="C66" s="70" t="s">
        <v>198</v>
      </c>
      <c r="D66" s="69">
        <v>307.3</v>
      </c>
      <c r="E66" s="34">
        <v>0.4</v>
      </c>
      <c r="F66" s="15">
        <f t="shared" si="2"/>
        <v>122.92000000000002</v>
      </c>
      <c r="G66" s="15"/>
      <c r="H66" s="15">
        <f t="shared" si="3"/>
        <v>122.92000000000002</v>
      </c>
      <c r="I66" s="16">
        <v>210053</v>
      </c>
      <c r="J66" s="17" t="s">
        <v>199</v>
      </c>
      <c r="K66" s="16" t="s">
        <v>18</v>
      </c>
      <c r="L66" s="32" t="s">
        <v>19</v>
      </c>
      <c r="M66" s="16">
        <v>92786724</v>
      </c>
      <c r="N66" s="122"/>
      <c r="O66" s="127"/>
    </row>
    <row r="67" spans="1:16" s="35" customFormat="1" x14ac:dyDescent="0.25">
      <c r="A67" s="12">
        <v>64</v>
      </c>
      <c r="B67" s="69">
        <v>2668</v>
      </c>
      <c r="C67" s="70" t="s">
        <v>200</v>
      </c>
      <c r="D67" s="69">
        <v>217</v>
      </c>
      <c r="E67" s="34">
        <v>0.4</v>
      </c>
      <c r="F67" s="15">
        <f t="shared" si="2"/>
        <v>86.800000000000011</v>
      </c>
      <c r="G67" s="15"/>
      <c r="H67" s="15">
        <f t="shared" si="3"/>
        <v>86.800000000000011</v>
      </c>
      <c r="I67" s="16">
        <v>8542496</v>
      </c>
      <c r="J67" s="17" t="s">
        <v>201</v>
      </c>
      <c r="K67" s="16" t="s">
        <v>73</v>
      </c>
      <c r="L67" s="32" t="s">
        <v>74</v>
      </c>
      <c r="M67" s="16">
        <v>99295329</v>
      </c>
      <c r="N67" s="122"/>
      <c r="O67" s="127"/>
    </row>
    <row r="68" spans="1:16" s="120" customFormat="1" x14ac:dyDescent="0.25">
      <c r="A68" s="96">
        <v>65</v>
      </c>
      <c r="B68" s="96">
        <v>2669</v>
      </c>
      <c r="C68" s="97" t="s">
        <v>202</v>
      </c>
      <c r="D68" s="96">
        <v>298.8</v>
      </c>
      <c r="E68" s="125">
        <v>0.4</v>
      </c>
      <c r="F68" s="99">
        <f t="shared" ref="F68:F99" si="4">D68*E68</f>
        <v>119.52000000000001</v>
      </c>
      <c r="G68" s="99">
        <f>F68</f>
        <v>119.52000000000001</v>
      </c>
      <c r="H68" s="99">
        <f t="shared" ref="H68:H99" si="5">F68-G68</f>
        <v>0</v>
      </c>
      <c r="I68" s="100">
        <v>6460241</v>
      </c>
      <c r="J68" s="101" t="s">
        <v>203</v>
      </c>
      <c r="K68" s="100" t="s">
        <v>18</v>
      </c>
      <c r="L68" s="102" t="s">
        <v>19</v>
      </c>
      <c r="M68" s="100">
        <v>92550479</v>
      </c>
      <c r="N68" s="225">
        <v>45932</v>
      </c>
      <c r="O68" s="231"/>
    </row>
    <row r="69" spans="1:16" s="35" customFormat="1" x14ac:dyDescent="0.25">
      <c r="A69" s="12">
        <v>66</v>
      </c>
      <c r="B69" s="69">
        <v>2670</v>
      </c>
      <c r="C69" s="70" t="s">
        <v>205</v>
      </c>
      <c r="D69" s="69">
        <v>318.3</v>
      </c>
      <c r="E69" s="34">
        <v>0.4</v>
      </c>
      <c r="F69" s="15">
        <f t="shared" si="4"/>
        <v>127.32000000000001</v>
      </c>
      <c r="G69" s="15"/>
      <c r="H69" s="15">
        <f t="shared" si="5"/>
        <v>127.32000000000001</v>
      </c>
      <c r="I69" s="16">
        <v>1481996</v>
      </c>
      <c r="J69" s="17" t="s">
        <v>206</v>
      </c>
      <c r="K69" s="16" t="s">
        <v>94</v>
      </c>
      <c r="L69" s="182" t="s">
        <v>95</v>
      </c>
      <c r="M69" s="16">
        <v>99491404</v>
      </c>
      <c r="N69" s="122"/>
      <c r="O69" s="127"/>
    </row>
    <row r="70" spans="1:16" s="35" customFormat="1" x14ac:dyDescent="0.25">
      <c r="A70" s="12">
        <v>67</v>
      </c>
      <c r="B70" s="69">
        <v>2671</v>
      </c>
      <c r="C70" s="70" t="s">
        <v>207</v>
      </c>
      <c r="D70" s="69">
        <v>341.1</v>
      </c>
      <c r="E70" s="34">
        <v>0.4</v>
      </c>
      <c r="F70" s="15">
        <f t="shared" si="4"/>
        <v>136.44000000000003</v>
      </c>
      <c r="G70" s="15"/>
      <c r="H70" s="15">
        <f t="shared" si="5"/>
        <v>136.44000000000003</v>
      </c>
      <c r="I70" s="16">
        <v>19595084</v>
      </c>
      <c r="J70" s="17" t="s">
        <v>208</v>
      </c>
      <c r="K70" s="16" t="s">
        <v>73</v>
      </c>
      <c r="L70" s="32" t="s">
        <v>74</v>
      </c>
      <c r="M70" s="16">
        <v>92921404</v>
      </c>
      <c r="N70" s="122"/>
      <c r="O70" s="127"/>
    </row>
    <row r="71" spans="1:16" s="35" customFormat="1" x14ac:dyDescent="0.25">
      <c r="A71" s="12">
        <v>68</v>
      </c>
      <c r="B71" s="69">
        <v>2672</v>
      </c>
      <c r="C71" s="70" t="s">
        <v>209</v>
      </c>
      <c r="D71" s="69">
        <v>157.4</v>
      </c>
      <c r="E71" s="34">
        <v>0.4</v>
      </c>
      <c r="F71" s="15">
        <f t="shared" si="4"/>
        <v>62.960000000000008</v>
      </c>
      <c r="G71" s="15"/>
      <c r="H71" s="15">
        <f t="shared" si="5"/>
        <v>62.960000000000008</v>
      </c>
      <c r="I71" s="33">
        <v>21469064</v>
      </c>
      <c r="J71" s="17" t="s">
        <v>210</v>
      </c>
      <c r="K71" s="33" t="s">
        <v>73</v>
      </c>
      <c r="L71" s="184" t="s">
        <v>74</v>
      </c>
      <c r="M71" s="16">
        <v>93316559</v>
      </c>
      <c r="N71" s="122"/>
      <c r="O71" s="127"/>
    </row>
    <row r="72" spans="1:16" s="35" customFormat="1" x14ac:dyDescent="0.25">
      <c r="A72" s="12">
        <v>69</v>
      </c>
      <c r="B72" s="57">
        <v>2673</v>
      </c>
      <c r="C72" s="13" t="s">
        <v>58</v>
      </c>
      <c r="D72" s="12">
        <v>248.3</v>
      </c>
      <c r="E72" s="34">
        <v>0.4</v>
      </c>
      <c r="F72" s="15">
        <f t="shared" si="4"/>
        <v>99.320000000000007</v>
      </c>
      <c r="G72" s="15"/>
      <c r="H72" s="15">
        <f t="shared" si="5"/>
        <v>99.320000000000007</v>
      </c>
      <c r="I72" s="33">
        <v>8393437</v>
      </c>
      <c r="J72" s="17">
        <v>401002466590016</v>
      </c>
      <c r="K72" s="33" t="s">
        <v>73</v>
      </c>
      <c r="L72" s="184" t="s">
        <v>74</v>
      </c>
      <c r="M72" s="16"/>
      <c r="N72" s="122"/>
      <c r="O72" s="127"/>
    </row>
    <row r="73" spans="1:16" s="6" customFormat="1" x14ac:dyDescent="0.25">
      <c r="A73" s="18">
        <v>70</v>
      </c>
      <c r="B73" s="18">
        <v>2674</v>
      </c>
      <c r="C73" s="19" t="s">
        <v>37</v>
      </c>
      <c r="D73" s="18">
        <v>278.5</v>
      </c>
      <c r="E73" s="38">
        <v>0.4</v>
      </c>
      <c r="F73" s="21">
        <f t="shared" si="4"/>
        <v>111.4</v>
      </c>
      <c r="G73" s="21">
        <f>110.61+0.79</f>
        <v>111.4</v>
      </c>
      <c r="H73" s="21">
        <f t="shared" si="5"/>
        <v>0</v>
      </c>
      <c r="I73" s="25">
        <v>6332118</v>
      </c>
      <c r="J73" s="27" t="s">
        <v>211</v>
      </c>
      <c r="K73" s="25" t="s">
        <v>18</v>
      </c>
      <c r="L73" s="30" t="s">
        <v>19</v>
      </c>
      <c r="M73" s="25">
        <v>98930047</v>
      </c>
      <c r="N73" s="31">
        <v>45665</v>
      </c>
      <c r="O73" s="127">
        <v>45810</v>
      </c>
    </row>
    <row r="74" spans="1:16" s="6" customFormat="1" x14ac:dyDescent="0.25">
      <c r="A74" s="18">
        <v>71</v>
      </c>
      <c r="B74" s="18">
        <v>2675</v>
      </c>
      <c r="C74" s="19" t="s">
        <v>39</v>
      </c>
      <c r="D74" s="18">
        <v>251.7</v>
      </c>
      <c r="E74" s="38">
        <v>0.4</v>
      </c>
      <c r="F74" s="21">
        <f t="shared" si="4"/>
        <v>100.68</v>
      </c>
      <c r="G74" s="21">
        <f>100.16+0.52</f>
        <v>100.67999999999999</v>
      </c>
      <c r="H74" s="21">
        <f t="shared" si="5"/>
        <v>0</v>
      </c>
      <c r="I74" s="25">
        <v>6332123</v>
      </c>
      <c r="J74" s="27" t="s">
        <v>212</v>
      </c>
      <c r="K74" s="25" t="s">
        <v>73</v>
      </c>
      <c r="L74" s="30" t="s">
        <v>74</v>
      </c>
      <c r="M74" s="25">
        <v>98777808</v>
      </c>
      <c r="N74" s="31">
        <v>45665</v>
      </c>
      <c r="O74" s="127">
        <v>45810</v>
      </c>
      <c r="P74" s="72"/>
    </row>
    <row r="75" spans="1:16" s="6" customFormat="1" x14ac:dyDescent="0.25">
      <c r="A75" s="18">
        <v>72</v>
      </c>
      <c r="B75" s="18">
        <v>2676</v>
      </c>
      <c r="C75" s="19" t="s">
        <v>59</v>
      </c>
      <c r="D75" s="18">
        <v>241.3</v>
      </c>
      <c r="E75" s="38">
        <v>0.4</v>
      </c>
      <c r="F75" s="21">
        <f t="shared" si="4"/>
        <v>96.52000000000001</v>
      </c>
      <c r="G75" s="21">
        <f>F75</f>
        <v>96.52000000000001</v>
      </c>
      <c r="H75" s="21">
        <f t="shared" si="5"/>
        <v>0</v>
      </c>
      <c r="I75" s="30">
        <v>568083</v>
      </c>
      <c r="J75" s="27" t="s">
        <v>213</v>
      </c>
      <c r="K75" s="30" t="s">
        <v>76</v>
      </c>
      <c r="L75" s="73" t="s">
        <v>77</v>
      </c>
      <c r="M75" s="25">
        <v>98146666</v>
      </c>
      <c r="N75" s="31">
        <v>45679</v>
      </c>
      <c r="O75" s="127"/>
    </row>
    <row r="76" spans="1:16" s="72" customFormat="1" x14ac:dyDescent="0.25">
      <c r="A76" s="18">
        <v>73</v>
      </c>
      <c r="B76" s="18">
        <v>2677</v>
      </c>
      <c r="C76" s="19" t="s">
        <v>214</v>
      </c>
      <c r="D76" s="18">
        <v>275.89999999999998</v>
      </c>
      <c r="E76" s="38">
        <v>0.4</v>
      </c>
      <c r="F76" s="21">
        <f t="shared" si="4"/>
        <v>110.36</v>
      </c>
      <c r="G76" s="21">
        <f>F76</f>
        <v>110.36</v>
      </c>
      <c r="H76" s="21">
        <f t="shared" si="5"/>
        <v>0</v>
      </c>
      <c r="I76" s="30">
        <v>7031534</v>
      </c>
      <c r="J76" s="27" t="s">
        <v>215</v>
      </c>
      <c r="K76" s="25" t="s">
        <v>73</v>
      </c>
      <c r="L76" s="30" t="s">
        <v>74</v>
      </c>
      <c r="M76" s="25">
        <v>92995115</v>
      </c>
      <c r="N76" s="114">
        <v>45810</v>
      </c>
      <c r="O76" s="142"/>
    </row>
    <row r="77" spans="1:16" s="6" customFormat="1" x14ac:dyDescent="0.25">
      <c r="A77" s="18">
        <v>74</v>
      </c>
      <c r="B77" s="18">
        <v>2678</v>
      </c>
      <c r="C77" s="19" t="s">
        <v>216</v>
      </c>
      <c r="D77" s="18">
        <v>554.4</v>
      </c>
      <c r="E77" s="38">
        <v>0.4</v>
      </c>
      <c r="F77" s="21">
        <f t="shared" si="4"/>
        <v>221.76</v>
      </c>
      <c r="G77" s="21">
        <f>177.67+44.09</f>
        <v>221.76</v>
      </c>
      <c r="H77" s="21">
        <f t="shared" si="5"/>
        <v>0</v>
      </c>
      <c r="I77" s="30">
        <v>7211987</v>
      </c>
      <c r="J77" s="27" t="s">
        <v>217</v>
      </c>
      <c r="K77" s="25" t="s">
        <v>73</v>
      </c>
      <c r="L77" s="30" t="s">
        <v>74</v>
      </c>
      <c r="M77" s="25"/>
      <c r="N77" s="31">
        <v>45658</v>
      </c>
      <c r="O77" s="127">
        <v>45685</v>
      </c>
    </row>
    <row r="78" spans="1:16" s="6" customFormat="1" x14ac:dyDescent="0.25">
      <c r="A78" s="18">
        <v>75</v>
      </c>
      <c r="B78" s="18">
        <v>2680</v>
      </c>
      <c r="C78" s="19" t="s">
        <v>218</v>
      </c>
      <c r="D78" s="18">
        <v>206.2</v>
      </c>
      <c r="E78" s="38">
        <v>0.4</v>
      </c>
      <c r="F78" s="21">
        <f t="shared" si="4"/>
        <v>82.48</v>
      </c>
      <c r="G78" s="21">
        <f>80.18+2.3</f>
        <v>82.48</v>
      </c>
      <c r="H78" s="21">
        <f t="shared" si="5"/>
        <v>0</v>
      </c>
      <c r="I78" s="30">
        <v>553684</v>
      </c>
      <c r="J78" s="27">
        <v>1010125978001</v>
      </c>
      <c r="K78" s="25" t="s">
        <v>80</v>
      </c>
      <c r="L78" s="30" t="s">
        <v>219</v>
      </c>
      <c r="M78" s="25">
        <v>98279480</v>
      </c>
      <c r="N78" s="119">
        <v>45672</v>
      </c>
      <c r="O78" s="127">
        <v>45810</v>
      </c>
    </row>
    <row r="79" spans="1:16" s="6" customFormat="1" x14ac:dyDescent="0.25">
      <c r="A79" s="12">
        <v>76</v>
      </c>
      <c r="B79" s="69">
        <v>2681</v>
      </c>
      <c r="C79" s="70" t="s">
        <v>61</v>
      </c>
      <c r="D79" s="69">
        <v>232.9</v>
      </c>
      <c r="E79" s="34">
        <v>0.4</v>
      </c>
      <c r="F79" s="15">
        <f t="shared" si="4"/>
        <v>93.160000000000011</v>
      </c>
      <c r="G79" s="15"/>
      <c r="H79" s="15">
        <f t="shared" si="5"/>
        <v>93.160000000000011</v>
      </c>
      <c r="I79" s="32">
        <v>23172723</v>
      </c>
      <c r="J79" s="17" t="s">
        <v>221</v>
      </c>
      <c r="K79" s="32" t="s">
        <v>73</v>
      </c>
      <c r="L79" s="32" t="s">
        <v>74</v>
      </c>
      <c r="M79" s="16">
        <v>93635099</v>
      </c>
      <c r="N79" s="214"/>
      <c r="O79" s="127"/>
    </row>
    <row r="80" spans="1:16" s="6" customFormat="1" x14ac:dyDescent="0.25">
      <c r="A80" s="12">
        <v>77</v>
      </c>
      <c r="B80" s="69">
        <v>2682</v>
      </c>
      <c r="C80" s="70" t="s">
        <v>222</v>
      </c>
      <c r="D80" s="69">
        <v>383.8</v>
      </c>
      <c r="E80" s="34">
        <v>0.4</v>
      </c>
      <c r="F80" s="15">
        <f t="shared" si="4"/>
        <v>153.52000000000001</v>
      </c>
      <c r="G80" s="15"/>
      <c r="H80" s="15">
        <f t="shared" si="5"/>
        <v>153.52000000000001</v>
      </c>
      <c r="I80" s="32">
        <v>1356383</v>
      </c>
      <c r="J80" s="17" t="s">
        <v>223</v>
      </c>
      <c r="K80" s="32" t="s">
        <v>80</v>
      </c>
      <c r="L80" s="32" t="s">
        <v>81</v>
      </c>
      <c r="M80" s="16"/>
      <c r="N80" s="214"/>
      <c r="O80" s="127"/>
    </row>
    <row r="81" spans="1:15" x14ac:dyDescent="0.25">
      <c r="A81" s="12">
        <v>78</v>
      </c>
      <c r="B81" s="69">
        <v>2683</v>
      </c>
      <c r="C81" s="70" t="s">
        <v>224</v>
      </c>
      <c r="D81" s="69">
        <v>516.70000000000005</v>
      </c>
      <c r="E81" s="34">
        <v>0.4</v>
      </c>
      <c r="F81" s="15">
        <f t="shared" si="4"/>
        <v>206.68000000000004</v>
      </c>
      <c r="G81" s="15"/>
      <c r="H81" s="15">
        <f t="shared" si="5"/>
        <v>206.68000000000004</v>
      </c>
      <c r="I81" s="32">
        <v>5912206</v>
      </c>
      <c r="J81" s="17" t="s">
        <v>225</v>
      </c>
      <c r="K81" s="16" t="s">
        <v>73</v>
      </c>
      <c r="L81" s="32" t="s">
        <v>74</v>
      </c>
      <c r="M81" s="16">
        <v>92704591</v>
      </c>
      <c r="N81" s="214"/>
    </row>
    <row r="82" spans="1:15" s="6" customFormat="1" x14ac:dyDescent="0.25">
      <c r="A82" s="18">
        <v>79</v>
      </c>
      <c r="B82" s="18">
        <v>2684</v>
      </c>
      <c r="C82" s="19" t="s">
        <v>226</v>
      </c>
      <c r="D82" s="18">
        <v>261.5</v>
      </c>
      <c r="E82" s="38">
        <v>0.4</v>
      </c>
      <c r="F82" s="21">
        <f t="shared" si="4"/>
        <v>104.60000000000001</v>
      </c>
      <c r="G82" s="21">
        <f>104.23</f>
        <v>104.23</v>
      </c>
      <c r="H82" s="21">
        <f t="shared" si="5"/>
        <v>0.37000000000000455</v>
      </c>
      <c r="I82" s="30">
        <v>4768041</v>
      </c>
      <c r="J82" s="27" t="s">
        <v>227</v>
      </c>
      <c r="K82" s="25" t="s">
        <v>73</v>
      </c>
      <c r="L82" s="30" t="s">
        <v>74</v>
      </c>
      <c r="M82" s="25">
        <v>99697032</v>
      </c>
      <c r="N82" s="31">
        <v>45665</v>
      </c>
      <c r="O82" s="127"/>
    </row>
    <row r="83" spans="1:15" s="6" customFormat="1" x14ac:dyDescent="0.25">
      <c r="A83" s="18">
        <v>80</v>
      </c>
      <c r="B83" s="18">
        <v>2685</v>
      </c>
      <c r="C83" s="19" t="s">
        <v>228</v>
      </c>
      <c r="D83" s="18">
        <v>239.8</v>
      </c>
      <c r="E83" s="38">
        <v>0.4</v>
      </c>
      <c r="F83" s="21">
        <f t="shared" si="4"/>
        <v>95.920000000000016</v>
      </c>
      <c r="G83" s="21">
        <f>94.2+1.72</f>
        <v>95.92</v>
      </c>
      <c r="H83" s="21">
        <f t="shared" si="5"/>
        <v>0</v>
      </c>
      <c r="I83" s="30">
        <v>25026854</v>
      </c>
      <c r="J83" s="27" t="s">
        <v>229</v>
      </c>
      <c r="K83" s="25" t="s">
        <v>18</v>
      </c>
      <c r="L83" s="30" t="s">
        <v>19</v>
      </c>
      <c r="M83" s="25">
        <v>96124005</v>
      </c>
      <c r="N83" s="116">
        <v>45670</v>
      </c>
      <c r="O83" s="127">
        <v>45684</v>
      </c>
    </row>
    <row r="84" spans="1:15" s="6" customFormat="1" x14ac:dyDescent="0.25">
      <c r="A84" s="12">
        <v>81</v>
      </c>
      <c r="B84" s="69">
        <v>2686</v>
      </c>
      <c r="C84" s="70" t="s">
        <v>230</v>
      </c>
      <c r="D84" s="36">
        <v>368.2</v>
      </c>
      <c r="E84" s="34">
        <v>0.4</v>
      </c>
      <c r="F84" s="15">
        <f t="shared" si="4"/>
        <v>147.28</v>
      </c>
      <c r="G84" s="15"/>
      <c r="H84" s="15">
        <f t="shared" si="5"/>
        <v>147.28</v>
      </c>
      <c r="I84" s="32">
        <v>6064295</v>
      </c>
      <c r="J84" s="17" t="s">
        <v>231</v>
      </c>
      <c r="K84" s="16" t="s">
        <v>73</v>
      </c>
      <c r="L84" s="32" t="s">
        <v>74</v>
      </c>
      <c r="M84" s="16"/>
      <c r="N84" s="214"/>
      <c r="O84" s="127"/>
    </row>
    <row r="85" spans="1:15" s="6" customFormat="1" x14ac:dyDescent="0.25">
      <c r="A85" s="18">
        <v>82</v>
      </c>
      <c r="B85" s="18">
        <v>2687</v>
      </c>
      <c r="C85" s="144" t="s">
        <v>62</v>
      </c>
      <c r="D85" s="37">
        <v>302.5</v>
      </c>
      <c r="E85" s="38">
        <v>0.4</v>
      </c>
      <c r="F85" s="21">
        <f t="shared" si="4"/>
        <v>121</v>
      </c>
      <c r="G85" s="21">
        <f>F85</f>
        <v>121</v>
      </c>
      <c r="H85" s="21">
        <f t="shared" si="5"/>
        <v>0</v>
      </c>
      <c r="I85" s="30">
        <v>14175595</v>
      </c>
      <c r="J85" s="27" t="s">
        <v>232</v>
      </c>
      <c r="K85" s="25" t="s">
        <v>76</v>
      </c>
      <c r="L85" s="73" t="s">
        <v>77</v>
      </c>
      <c r="M85" s="25">
        <v>99531669</v>
      </c>
      <c r="N85" s="115">
        <v>45691</v>
      </c>
      <c r="O85" s="127"/>
    </row>
    <row r="86" spans="1:15" s="6" customFormat="1" x14ac:dyDescent="0.25">
      <c r="A86" s="18">
        <v>83</v>
      </c>
      <c r="B86" s="18">
        <v>2688</v>
      </c>
      <c r="C86" s="25" t="s">
        <v>234</v>
      </c>
      <c r="D86" s="37">
        <v>427.2</v>
      </c>
      <c r="E86" s="38">
        <v>0.4</v>
      </c>
      <c r="F86" s="21">
        <f t="shared" si="4"/>
        <v>170.88</v>
      </c>
      <c r="G86" s="21">
        <f>170.88</f>
        <v>170.88</v>
      </c>
      <c r="H86" s="21">
        <f t="shared" si="5"/>
        <v>0</v>
      </c>
      <c r="I86" s="30">
        <v>18647005</v>
      </c>
      <c r="J86" s="27" t="s">
        <v>235</v>
      </c>
      <c r="K86" s="25" t="s">
        <v>73</v>
      </c>
      <c r="L86" s="30" t="s">
        <v>74</v>
      </c>
      <c r="M86" s="25"/>
      <c r="N86" s="115"/>
      <c r="O86" s="127"/>
    </row>
    <row r="87" spans="1:15" s="6" customFormat="1" x14ac:dyDescent="0.25">
      <c r="A87" s="96">
        <v>84</v>
      </c>
      <c r="B87" s="96">
        <v>2689</v>
      </c>
      <c r="C87" s="100" t="s">
        <v>236</v>
      </c>
      <c r="D87" s="124">
        <v>351.4</v>
      </c>
      <c r="E87" s="125">
        <v>0.4</v>
      </c>
      <c r="F87" s="99">
        <f t="shared" si="4"/>
        <v>140.56</v>
      </c>
      <c r="G87" s="99">
        <f>F87</f>
        <v>140.56</v>
      </c>
      <c r="H87" s="99">
        <f t="shared" si="5"/>
        <v>0</v>
      </c>
      <c r="I87" s="102">
        <v>1527206</v>
      </c>
      <c r="J87" s="101" t="s">
        <v>237</v>
      </c>
      <c r="K87" s="100" t="s">
        <v>73</v>
      </c>
      <c r="L87" s="102" t="s">
        <v>74</v>
      </c>
      <c r="M87" s="100"/>
      <c r="N87" s="205">
        <v>45664</v>
      </c>
      <c r="O87" s="127"/>
    </row>
    <row r="88" spans="1:15" s="6" customFormat="1" x14ac:dyDescent="0.25">
      <c r="A88" s="18">
        <v>85</v>
      </c>
      <c r="B88" s="18">
        <v>2690</v>
      </c>
      <c r="C88" s="25" t="s">
        <v>238</v>
      </c>
      <c r="D88" s="37">
        <v>478.2</v>
      </c>
      <c r="E88" s="38">
        <v>0.4</v>
      </c>
      <c r="F88" s="21">
        <f t="shared" si="4"/>
        <v>191.28</v>
      </c>
      <c r="G88" s="21">
        <f>188.27+3.01</f>
        <v>191.28</v>
      </c>
      <c r="H88" s="21">
        <f t="shared" si="5"/>
        <v>0</v>
      </c>
      <c r="I88" s="30">
        <v>7376171</v>
      </c>
      <c r="J88" s="27" t="s">
        <v>239</v>
      </c>
      <c r="K88" s="25" t="s">
        <v>80</v>
      </c>
      <c r="L88" s="30" t="s">
        <v>81</v>
      </c>
      <c r="M88" s="25"/>
      <c r="N88" s="115">
        <v>45670</v>
      </c>
      <c r="O88" s="127">
        <v>45677</v>
      </c>
    </row>
    <row r="89" spans="1:15" s="6" customFormat="1" x14ac:dyDescent="0.25">
      <c r="A89" s="18">
        <v>86</v>
      </c>
      <c r="B89" s="18">
        <v>2691</v>
      </c>
      <c r="C89" s="25" t="s">
        <v>240</v>
      </c>
      <c r="D89" s="37">
        <v>351.7</v>
      </c>
      <c r="E89" s="38">
        <v>0.4</v>
      </c>
      <c r="F89" s="21">
        <f t="shared" si="4"/>
        <v>140.68</v>
      </c>
      <c r="G89" s="21">
        <f>138.24+2.44</f>
        <v>140.68</v>
      </c>
      <c r="H89" s="21">
        <f t="shared" si="5"/>
        <v>0</v>
      </c>
      <c r="I89" s="30">
        <v>7376203</v>
      </c>
      <c r="J89" s="27" t="s">
        <v>241</v>
      </c>
      <c r="K89" s="25" t="s">
        <v>73</v>
      </c>
      <c r="L89" s="30" t="s">
        <v>74</v>
      </c>
      <c r="M89" s="25"/>
      <c r="N89" s="115">
        <v>45670</v>
      </c>
      <c r="O89" s="127" t="s">
        <v>326</v>
      </c>
    </row>
    <row r="90" spans="1:15" s="6" customFormat="1" x14ac:dyDescent="0.25">
      <c r="A90" s="18">
        <v>87</v>
      </c>
      <c r="B90" s="18">
        <v>2692</v>
      </c>
      <c r="C90" s="25" t="s">
        <v>243</v>
      </c>
      <c r="D90" s="37">
        <v>497.4</v>
      </c>
      <c r="E90" s="38">
        <v>0.4</v>
      </c>
      <c r="F90" s="21">
        <f t="shared" si="4"/>
        <v>198.96</v>
      </c>
      <c r="G90" s="21">
        <f>193.18+5.78</f>
        <v>198.96</v>
      </c>
      <c r="H90" s="21">
        <f t="shared" si="5"/>
        <v>0</v>
      </c>
      <c r="I90" s="30">
        <v>626838</v>
      </c>
      <c r="J90" s="27" t="s">
        <v>244</v>
      </c>
      <c r="K90" s="25" t="s">
        <v>73</v>
      </c>
      <c r="L90" s="30" t="s">
        <v>74</v>
      </c>
      <c r="M90" s="25"/>
      <c r="N90" s="115">
        <v>45658</v>
      </c>
      <c r="O90" s="127">
        <v>45677</v>
      </c>
    </row>
    <row r="91" spans="1:15" s="6" customFormat="1" x14ac:dyDescent="0.25">
      <c r="A91" s="18">
        <v>88</v>
      </c>
      <c r="B91" s="18">
        <v>2693</v>
      </c>
      <c r="C91" s="25" t="s">
        <v>245</v>
      </c>
      <c r="D91" s="37">
        <v>334.5</v>
      </c>
      <c r="E91" s="38">
        <v>0.4</v>
      </c>
      <c r="F91" s="21">
        <f t="shared" si="4"/>
        <v>133.80000000000001</v>
      </c>
      <c r="G91" s="21">
        <f>128.94+4.86</f>
        <v>133.80000000000001</v>
      </c>
      <c r="H91" s="21">
        <f t="shared" si="5"/>
        <v>0</v>
      </c>
      <c r="I91" s="30">
        <v>20233513</v>
      </c>
      <c r="J91" s="27" t="s">
        <v>246</v>
      </c>
      <c r="K91" s="25" t="s">
        <v>73</v>
      </c>
      <c r="L91" s="30" t="s">
        <v>74</v>
      </c>
      <c r="M91" s="25">
        <v>99669614</v>
      </c>
      <c r="N91" s="115">
        <v>45658</v>
      </c>
      <c r="O91" s="127">
        <v>45677</v>
      </c>
    </row>
    <row r="92" spans="1:15" s="6" customFormat="1" x14ac:dyDescent="0.25">
      <c r="A92" s="12">
        <v>89</v>
      </c>
      <c r="B92" s="69">
        <v>2694</v>
      </c>
      <c r="C92" s="16" t="s">
        <v>248</v>
      </c>
      <c r="D92" s="36">
        <v>118.2</v>
      </c>
      <c r="E92" s="34">
        <v>0.4</v>
      </c>
      <c r="F92" s="15">
        <f t="shared" si="4"/>
        <v>47.28</v>
      </c>
      <c r="G92" s="15"/>
      <c r="H92" s="15">
        <f t="shared" si="5"/>
        <v>47.28</v>
      </c>
      <c r="I92" s="32">
        <v>18620904</v>
      </c>
      <c r="J92" s="17" t="s">
        <v>249</v>
      </c>
      <c r="K92" s="16" t="s">
        <v>80</v>
      </c>
      <c r="L92" s="32" t="s">
        <v>81</v>
      </c>
      <c r="M92" s="16">
        <v>98255331</v>
      </c>
      <c r="N92" s="213"/>
      <c r="O92" s="127"/>
    </row>
    <row r="93" spans="1:15" s="6" customFormat="1" x14ac:dyDescent="0.25">
      <c r="A93" s="18">
        <v>90</v>
      </c>
      <c r="B93" s="18">
        <v>2697</v>
      </c>
      <c r="C93" s="25" t="s">
        <v>250</v>
      </c>
      <c r="D93" s="37">
        <v>330.8</v>
      </c>
      <c r="E93" s="38">
        <v>0.4</v>
      </c>
      <c r="F93" s="21">
        <f t="shared" si="4"/>
        <v>132.32000000000002</v>
      </c>
      <c r="G93" s="21">
        <f>130.3+2.02</f>
        <v>132.32000000000002</v>
      </c>
      <c r="H93" s="21">
        <f t="shared" si="5"/>
        <v>0</v>
      </c>
      <c r="I93" s="30">
        <v>24992357</v>
      </c>
      <c r="J93" s="27" t="s">
        <v>251</v>
      </c>
      <c r="K93" s="25" t="s">
        <v>73</v>
      </c>
      <c r="L93" s="30" t="s">
        <v>74</v>
      </c>
      <c r="M93" s="25">
        <v>96581299</v>
      </c>
      <c r="N93" s="115">
        <v>45658</v>
      </c>
      <c r="O93" s="127">
        <v>45677</v>
      </c>
    </row>
    <row r="94" spans="1:15" s="6" customFormat="1" x14ac:dyDescent="0.25">
      <c r="A94" s="18">
        <v>91</v>
      </c>
      <c r="B94" s="18">
        <v>2698</v>
      </c>
      <c r="C94" s="25" t="s">
        <v>63</v>
      </c>
      <c r="D94" s="37">
        <v>587.5</v>
      </c>
      <c r="E94" s="38">
        <v>0.4</v>
      </c>
      <c r="F94" s="21">
        <f t="shared" si="4"/>
        <v>235</v>
      </c>
      <c r="G94" s="21">
        <f>230.82</f>
        <v>230.82</v>
      </c>
      <c r="H94" s="21">
        <f t="shared" si="5"/>
        <v>4.1800000000000068</v>
      </c>
      <c r="I94" s="30">
        <v>21332246</v>
      </c>
      <c r="J94" s="27" t="s">
        <v>252</v>
      </c>
      <c r="K94" s="25" t="s">
        <v>73</v>
      </c>
      <c r="L94" s="30" t="s">
        <v>74</v>
      </c>
      <c r="M94" s="25">
        <v>98260073</v>
      </c>
      <c r="N94" s="115">
        <v>45670</v>
      </c>
      <c r="O94" s="127"/>
    </row>
    <row r="95" spans="1:15" s="6" customFormat="1" x14ac:dyDescent="0.25">
      <c r="A95" s="18">
        <v>92</v>
      </c>
      <c r="B95" s="18">
        <v>2699</v>
      </c>
      <c r="C95" s="25" t="s">
        <v>253</v>
      </c>
      <c r="D95" s="37">
        <v>279.8</v>
      </c>
      <c r="E95" s="38">
        <v>0.4</v>
      </c>
      <c r="F95" s="21">
        <f t="shared" si="4"/>
        <v>111.92000000000002</v>
      </c>
      <c r="G95" s="21">
        <f>106.34+5.58</f>
        <v>111.92</v>
      </c>
      <c r="H95" s="21">
        <f t="shared" si="5"/>
        <v>0</v>
      </c>
      <c r="I95" s="30">
        <v>5031003</v>
      </c>
      <c r="J95" s="27">
        <v>1006555153017</v>
      </c>
      <c r="K95" s="25" t="s">
        <v>18</v>
      </c>
      <c r="L95" s="30" t="s">
        <v>19</v>
      </c>
      <c r="M95" s="25">
        <v>98129999</v>
      </c>
      <c r="N95" s="115">
        <v>45663</v>
      </c>
      <c r="O95" s="127">
        <v>45810</v>
      </c>
    </row>
    <row r="96" spans="1:15" s="6" customFormat="1" x14ac:dyDescent="0.25">
      <c r="A96" s="18">
        <v>93</v>
      </c>
      <c r="B96" s="18">
        <v>2700</v>
      </c>
      <c r="C96" s="25" t="s">
        <v>254</v>
      </c>
      <c r="D96" s="37">
        <v>490.2</v>
      </c>
      <c r="E96" s="38">
        <v>0.4</v>
      </c>
      <c r="F96" s="21">
        <f t="shared" si="4"/>
        <v>196.08</v>
      </c>
      <c r="G96" s="21">
        <f>193.34+2.74</f>
        <v>196.08</v>
      </c>
      <c r="H96" s="21">
        <f t="shared" si="5"/>
        <v>0</v>
      </c>
      <c r="I96" s="30">
        <v>2216024</v>
      </c>
      <c r="J96" s="27" t="s">
        <v>255</v>
      </c>
      <c r="K96" s="25" t="s">
        <v>73</v>
      </c>
      <c r="L96" s="30" t="s">
        <v>74</v>
      </c>
      <c r="M96" s="25">
        <v>99093696</v>
      </c>
      <c r="N96" s="115">
        <v>45658</v>
      </c>
      <c r="O96" s="127">
        <v>45691</v>
      </c>
    </row>
    <row r="97" spans="1:15" s="6" customFormat="1" x14ac:dyDescent="0.25">
      <c r="A97" s="18">
        <v>94</v>
      </c>
      <c r="B97" s="18">
        <v>2702</v>
      </c>
      <c r="C97" s="25" t="s">
        <v>256</v>
      </c>
      <c r="D97" s="37">
        <v>616.9</v>
      </c>
      <c r="E97" s="38">
        <v>0.4</v>
      </c>
      <c r="F97" s="21">
        <f t="shared" si="4"/>
        <v>246.76</v>
      </c>
      <c r="G97" s="21">
        <f>242.29+4.47</f>
        <v>246.76</v>
      </c>
      <c r="H97" s="21">
        <f t="shared" si="5"/>
        <v>0</v>
      </c>
      <c r="I97" s="30">
        <v>2045458</v>
      </c>
      <c r="J97" s="27" t="s">
        <v>257</v>
      </c>
      <c r="K97" s="25" t="s">
        <v>80</v>
      </c>
      <c r="L97" s="30" t="s">
        <v>81</v>
      </c>
      <c r="M97" s="25">
        <v>99282287</v>
      </c>
      <c r="N97" s="115">
        <v>45663</v>
      </c>
      <c r="O97" s="127">
        <v>45673</v>
      </c>
    </row>
    <row r="98" spans="1:15" s="6" customFormat="1" x14ac:dyDescent="0.25">
      <c r="A98" s="18">
        <v>95</v>
      </c>
      <c r="B98" s="18">
        <v>2703</v>
      </c>
      <c r="C98" s="25" t="s">
        <v>258</v>
      </c>
      <c r="D98" s="37">
        <v>179.8</v>
      </c>
      <c r="E98" s="38">
        <v>0.4</v>
      </c>
      <c r="F98" s="21">
        <f t="shared" si="4"/>
        <v>71.92</v>
      </c>
      <c r="G98" s="21">
        <f>63.34+8.58</f>
        <v>71.92</v>
      </c>
      <c r="H98" s="21">
        <f t="shared" si="5"/>
        <v>0</v>
      </c>
      <c r="I98" s="30">
        <v>652182</v>
      </c>
      <c r="J98" s="27" t="s">
        <v>259</v>
      </c>
      <c r="K98" s="25" t="s">
        <v>73</v>
      </c>
      <c r="L98" s="30" t="s">
        <v>74</v>
      </c>
      <c r="M98" s="25">
        <v>99982977</v>
      </c>
      <c r="N98" s="115">
        <v>45658</v>
      </c>
      <c r="O98" s="142">
        <v>45691</v>
      </c>
    </row>
    <row r="99" spans="1:15" s="6" customFormat="1" x14ac:dyDescent="0.25">
      <c r="A99" s="18">
        <v>96</v>
      </c>
      <c r="B99" s="18">
        <v>2706</v>
      </c>
      <c r="C99" s="25" t="s">
        <v>260</v>
      </c>
      <c r="D99" s="37">
        <v>384</v>
      </c>
      <c r="E99" s="38">
        <v>0.4</v>
      </c>
      <c r="F99" s="21">
        <f t="shared" si="4"/>
        <v>153.60000000000002</v>
      </c>
      <c r="G99" s="21">
        <f>150.09+3.51</f>
        <v>153.6</v>
      </c>
      <c r="H99" s="21">
        <f t="shared" si="5"/>
        <v>0</v>
      </c>
      <c r="I99" s="30">
        <v>23144392</v>
      </c>
      <c r="J99" s="27" t="s">
        <v>261</v>
      </c>
      <c r="K99" s="25" t="s">
        <v>18</v>
      </c>
      <c r="L99" s="30" t="s">
        <v>19</v>
      </c>
      <c r="M99" s="25">
        <v>97216689</v>
      </c>
      <c r="N99" s="115">
        <v>45663</v>
      </c>
      <c r="O99" s="127">
        <v>45691</v>
      </c>
    </row>
    <row r="100" spans="1:15" s="72" customFormat="1" x14ac:dyDescent="0.25">
      <c r="A100" s="18">
        <v>97</v>
      </c>
      <c r="B100" s="18">
        <v>2707</v>
      </c>
      <c r="C100" s="25" t="s">
        <v>262</v>
      </c>
      <c r="D100" s="37">
        <v>467.9</v>
      </c>
      <c r="E100" s="38">
        <v>0.4</v>
      </c>
      <c r="F100" s="21">
        <f t="shared" ref="F100:F127" si="6">D100*E100</f>
        <v>187.16</v>
      </c>
      <c r="G100" s="21">
        <f>F100</f>
        <v>187.16</v>
      </c>
      <c r="H100" s="21">
        <f t="shared" ref="H100:H127" si="7">F100-G100</f>
        <v>0</v>
      </c>
      <c r="I100" s="30">
        <v>7026153</v>
      </c>
      <c r="J100" s="27" t="s">
        <v>263</v>
      </c>
      <c r="K100" s="25" t="s">
        <v>94</v>
      </c>
      <c r="L100" s="30" t="s">
        <v>95</v>
      </c>
      <c r="M100" s="25">
        <v>95333133</v>
      </c>
      <c r="N100" s="241">
        <v>45993</v>
      </c>
      <c r="O100" s="142"/>
    </row>
    <row r="101" spans="1:15" s="260" customFormat="1" x14ac:dyDescent="0.25">
      <c r="A101" s="252">
        <v>98</v>
      </c>
      <c r="B101" s="252">
        <v>2708</v>
      </c>
      <c r="C101" s="253" t="s">
        <v>41</v>
      </c>
      <c r="D101" s="254"/>
      <c r="E101" s="255">
        <v>0.4</v>
      </c>
      <c r="F101" s="256">
        <f t="shared" si="6"/>
        <v>0</v>
      </c>
      <c r="G101" s="256"/>
      <c r="H101" s="256">
        <f t="shared" si="7"/>
        <v>0</v>
      </c>
      <c r="I101" s="257">
        <v>426432</v>
      </c>
      <c r="J101" s="262" t="s">
        <v>264</v>
      </c>
      <c r="K101" s="253" t="s">
        <v>80</v>
      </c>
      <c r="L101" s="257" t="s">
        <v>81</v>
      </c>
      <c r="M101" s="253">
        <v>99092959</v>
      </c>
      <c r="N101" s="263"/>
      <c r="O101" s="264"/>
    </row>
    <row r="102" spans="1:15" s="6" customFormat="1" x14ac:dyDescent="0.25">
      <c r="A102" s="12">
        <v>99</v>
      </c>
      <c r="B102" s="69">
        <v>2710</v>
      </c>
      <c r="C102" s="16" t="s">
        <v>265</v>
      </c>
      <c r="D102" s="36">
        <v>303.7</v>
      </c>
      <c r="E102" s="34">
        <v>0.4</v>
      </c>
      <c r="F102" s="15">
        <f t="shared" si="6"/>
        <v>121.48</v>
      </c>
      <c r="G102" s="15"/>
      <c r="H102" s="15">
        <f t="shared" si="7"/>
        <v>121.48</v>
      </c>
      <c r="I102" s="32">
        <v>944469</v>
      </c>
      <c r="J102" s="17" t="s">
        <v>266</v>
      </c>
      <c r="K102" s="16" t="s">
        <v>73</v>
      </c>
      <c r="L102" s="32" t="s">
        <v>74</v>
      </c>
      <c r="M102" s="16"/>
      <c r="N102" s="213"/>
      <c r="O102" s="127"/>
    </row>
    <row r="103" spans="1:15" s="6" customFormat="1" x14ac:dyDescent="0.25">
      <c r="A103" s="18">
        <v>100</v>
      </c>
      <c r="B103" s="18">
        <v>2711</v>
      </c>
      <c r="C103" s="25" t="s">
        <v>267</v>
      </c>
      <c r="D103" s="37">
        <v>286.39999999999998</v>
      </c>
      <c r="E103" s="38">
        <v>0.4</v>
      </c>
      <c r="F103" s="21">
        <f t="shared" si="6"/>
        <v>114.56</v>
      </c>
      <c r="G103" s="21">
        <f>113.67</f>
        <v>113.67</v>
      </c>
      <c r="H103" s="21">
        <f t="shared" si="7"/>
        <v>0.89000000000000057</v>
      </c>
      <c r="I103" s="30">
        <v>5775933</v>
      </c>
      <c r="J103" s="27" t="s">
        <v>268</v>
      </c>
      <c r="K103" s="25" t="s">
        <v>80</v>
      </c>
      <c r="L103" s="30" t="s">
        <v>81</v>
      </c>
      <c r="M103" s="25"/>
      <c r="N103" s="115">
        <v>45670</v>
      </c>
      <c r="O103" s="127"/>
    </row>
    <row r="104" spans="1:15" s="6" customFormat="1" x14ac:dyDescent="0.25">
      <c r="A104" s="18">
        <v>101</v>
      </c>
      <c r="B104" s="18">
        <v>2712</v>
      </c>
      <c r="C104" s="25" t="s">
        <v>64</v>
      </c>
      <c r="D104" s="37">
        <v>191.7</v>
      </c>
      <c r="E104" s="38">
        <v>0.4</v>
      </c>
      <c r="F104" s="21">
        <f t="shared" si="6"/>
        <v>76.679999999999993</v>
      </c>
      <c r="G104" s="21">
        <f>76.21+0.47</f>
        <v>76.679999999999993</v>
      </c>
      <c r="H104" s="21">
        <f t="shared" si="7"/>
        <v>0</v>
      </c>
      <c r="I104" s="30">
        <v>2439264</v>
      </c>
      <c r="J104" s="27" t="s">
        <v>269</v>
      </c>
      <c r="K104" s="25" t="s">
        <v>18</v>
      </c>
      <c r="L104" s="30" t="s">
        <v>19</v>
      </c>
      <c r="M104" s="25">
        <v>91780732</v>
      </c>
      <c r="N104" s="115">
        <v>45670</v>
      </c>
      <c r="O104" s="127">
        <v>45691</v>
      </c>
    </row>
    <row r="105" spans="1:15" s="6" customFormat="1" x14ac:dyDescent="0.25">
      <c r="A105" s="12">
        <v>102</v>
      </c>
      <c r="B105" s="69">
        <v>2714</v>
      </c>
      <c r="C105" s="16" t="s">
        <v>270</v>
      </c>
      <c r="D105" s="36">
        <v>276.39999999999998</v>
      </c>
      <c r="E105" s="34">
        <v>0.4</v>
      </c>
      <c r="F105" s="15">
        <f t="shared" si="6"/>
        <v>110.56</v>
      </c>
      <c r="G105" s="15"/>
      <c r="H105" s="15">
        <f t="shared" si="7"/>
        <v>110.56</v>
      </c>
      <c r="I105" s="32">
        <v>18813939</v>
      </c>
      <c r="J105" s="17" t="s">
        <v>271</v>
      </c>
      <c r="K105" s="16" t="s">
        <v>73</v>
      </c>
      <c r="L105" s="32" t="s">
        <v>74</v>
      </c>
      <c r="M105" s="16">
        <v>92903559</v>
      </c>
      <c r="N105" s="213"/>
      <c r="O105" s="127"/>
    </row>
    <row r="106" spans="1:15" s="6" customFormat="1" x14ac:dyDescent="0.25">
      <c r="A106" s="12">
        <v>103</v>
      </c>
      <c r="B106" s="69">
        <v>2715</v>
      </c>
      <c r="C106" s="16" t="s">
        <v>272</v>
      </c>
      <c r="D106" s="36">
        <v>254.8</v>
      </c>
      <c r="E106" s="34">
        <v>0.4</v>
      </c>
      <c r="F106" s="15">
        <f t="shared" si="6"/>
        <v>101.92000000000002</v>
      </c>
      <c r="G106" s="15"/>
      <c r="H106" s="15">
        <f t="shared" si="7"/>
        <v>101.92000000000002</v>
      </c>
      <c r="I106" s="32">
        <v>5571701</v>
      </c>
      <c r="J106" s="17" t="s">
        <v>273</v>
      </c>
      <c r="K106" s="16" t="s">
        <v>73</v>
      </c>
      <c r="L106" s="32" t="s">
        <v>74</v>
      </c>
      <c r="M106" s="16">
        <v>99773624</v>
      </c>
      <c r="N106" s="213"/>
      <c r="O106" s="127"/>
    </row>
    <row r="107" spans="1:15" s="6" customFormat="1" x14ac:dyDescent="0.25">
      <c r="A107" s="12">
        <v>104</v>
      </c>
      <c r="B107" s="69">
        <v>2716</v>
      </c>
      <c r="C107" s="16" t="s">
        <v>274</v>
      </c>
      <c r="D107" s="36">
        <v>302.2</v>
      </c>
      <c r="E107" s="34">
        <v>0.4</v>
      </c>
      <c r="F107" s="15">
        <f t="shared" si="6"/>
        <v>120.88</v>
      </c>
      <c r="G107" s="15"/>
      <c r="H107" s="15">
        <f t="shared" si="7"/>
        <v>120.88</v>
      </c>
      <c r="I107" s="32">
        <v>1398299</v>
      </c>
      <c r="J107" s="17" t="s">
        <v>275</v>
      </c>
      <c r="K107" s="16" t="s">
        <v>276</v>
      </c>
      <c r="L107" s="32" t="s">
        <v>81</v>
      </c>
      <c r="M107" s="16">
        <v>99294734</v>
      </c>
      <c r="N107" s="213"/>
      <c r="O107" s="127"/>
    </row>
    <row r="108" spans="1:15" s="6" customFormat="1" x14ac:dyDescent="0.25">
      <c r="A108" s="12">
        <v>105</v>
      </c>
      <c r="B108" s="69">
        <v>2717</v>
      </c>
      <c r="C108" s="16" t="s">
        <v>277</v>
      </c>
      <c r="D108" s="36">
        <v>304.39999999999998</v>
      </c>
      <c r="E108" s="34">
        <v>0.4</v>
      </c>
      <c r="F108" s="15">
        <f t="shared" si="6"/>
        <v>121.75999999999999</v>
      </c>
      <c r="G108" s="15"/>
      <c r="H108" s="15">
        <f t="shared" si="7"/>
        <v>121.75999999999999</v>
      </c>
      <c r="I108" s="32">
        <v>5968087</v>
      </c>
      <c r="J108" s="17" t="s">
        <v>278</v>
      </c>
      <c r="K108" s="16" t="s">
        <v>73</v>
      </c>
      <c r="L108" s="32" t="s">
        <v>74</v>
      </c>
      <c r="M108" s="16">
        <v>91116250</v>
      </c>
      <c r="N108" s="213"/>
      <c r="O108" s="127"/>
    </row>
    <row r="109" spans="1:15" s="6" customFormat="1" x14ac:dyDescent="0.25">
      <c r="A109" s="12">
        <v>106</v>
      </c>
      <c r="B109" s="69">
        <v>2718</v>
      </c>
      <c r="C109" s="16" t="s">
        <v>279</v>
      </c>
      <c r="D109" s="36">
        <v>273</v>
      </c>
      <c r="E109" s="34">
        <v>0.4</v>
      </c>
      <c r="F109" s="15">
        <f t="shared" si="6"/>
        <v>109.2</v>
      </c>
      <c r="G109" s="15"/>
      <c r="H109" s="15">
        <f t="shared" si="7"/>
        <v>109.2</v>
      </c>
      <c r="I109" s="32">
        <v>5571729</v>
      </c>
      <c r="J109" s="17" t="s">
        <v>280</v>
      </c>
      <c r="K109" s="16" t="s">
        <v>73</v>
      </c>
      <c r="L109" s="32" t="s">
        <v>74</v>
      </c>
      <c r="M109" s="16">
        <v>99643459</v>
      </c>
      <c r="N109" s="213"/>
      <c r="O109" s="127"/>
    </row>
    <row r="110" spans="1:15" s="6" customFormat="1" x14ac:dyDescent="0.25">
      <c r="A110" s="18">
        <v>107</v>
      </c>
      <c r="B110" s="80">
        <v>2719</v>
      </c>
      <c r="C110" s="25" t="s">
        <v>281</v>
      </c>
      <c r="D110" s="37">
        <v>524.5</v>
      </c>
      <c r="E110" s="38">
        <v>0.4</v>
      </c>
      <c r="F110" s="21">
        <f t="shared" si="6"/>
        <v>209.8</v>
      </c>
      <c r="G110" s="21">
        <f>F110</f>
        <v>209.8</v>
      </c>
      <c r="H110" s="21">
        <f t="shared" si="7"/>
        <v>0</v>
      </c>
      <c r="I110" s="30">
        <v>925058</v>
      </c>
      <c r="J110" s="27" t="s">
        <v>282</v>
      </c>
      <c r="K110" s="25" t="s">
        <v>283</v>
      </c>
      <c r="L110" s="30" t="s">
        <v>81</v>
      </c>
      <c r="M110" s="25">
        <v>92656157</v>
      </c>
      <c r="N110" s="115">
        <v>45684</v>
      </c>
      <c r="O110" s="127"/>
    </row>
    <row r="111" spans="1:15" s="6" customFormat="1" x14ac:dyDescent="0.25">
      <c r="A111" s="18">
        <v>108</v>
      </c>
      <c r="B111" s="80">
        <v>2721</v>
      </c>
      <c r="C111" s="25" t="s">
        <v>284</v>
      </c>
      <c r="D111" s="18">
        <v>477</v>
      </c>
      <c r="E111" s="38">
        <v>0.4</v>
      </c>
      <c r="F111" s="21">
        <f t="shared" si="6"/>
        <v>190.8</v>
      </c>
      <c r="G111" s="21">
        <f>187.64+3.16</f>
        <v>190.79999999999998</v>
      </c>
      <c r="H111" s="21">
        <f t="shared" si="7"/>
        <v>0</v>
      </c>
      <c r="I111" s="30">
        <v>7673741</v>
      </c>
      <c r="J111" s="27" t="s">
        <v>285</v>
      </c>
      <c r="K111" s="25" t="s">
        <v>18</v>
      </c>
      <c r="L111" s="30" t="s">
        <v>19</v>
      </c>
      <c r="M111" s="25"/>
      <c r="N111" s="115">
        <v>45663</v>
      </c>
      <c r="O111" s="127">
        <v>45691</v>
      </c>
    </row>
    <row r="112" spans="1:15" s="6" customFormat="1" x14ac:dyDescent="0.25">
      <c r="A112" s="18">
        <v>109</v>
      </c>
      <c r="B112" s="80">
        <v>2722</v>
      </c>
      <c r="C112" s="19" t="s">
        <v>66</v>
      </c>
      <c r="D112" s="18">
        <v>162.80000000000001</v>
      </c>
      <c r="E112" s="38">
        <v>0.4</v>
      </c>
      <c r="F112" s="21">
        <f t="shared" si="6"/>
        <v>65.12</v>
      </c>
      <c r="G112" s="21">
        <f>62.46+2.66</f>
        <v>65.12</v>
      </c>
      <c r="H112" s="21">
        <f t="shared" si="7"/>
        <v>0</v>
      </c>
      <c r="I112" s="30">
        <v>675043</v>
      </c>
      <c r="J112" s="27" t="s">
        <v>286</v>
      </c>
      <c r="K112" s="25" t="s">
        <v>80</v>
      </c>
      <c r="L112" s="30" t="s">
        <v>81</v>
      </c>
      <c r="M112" s="25"/>
      <c r="N112" s="115">
        <v>45670</v>
      </c>
      <c r="O112" s="127" t="s">
        <v>344</v>
      </c>
    </row>
    <row r="113" spans="1:15" s="6" customFormat="1" x14ac:dyDescent="0.25">
      <c r="A113" s="18">
        <v>110</v>
      </c>
      <c r="B113" s="80">
        <v>2724</v>
      </c>
      <c r="C113" s="84" t="s">
        <v>287</v>
      </c>
      <c r="D113" s="18">
        <v>463.1</v>
      </c>
      <c r="E113" s="38">
        <v>0.4</v>
      </c>
      <c r="F113" s="21">
        <f t="shared" si="6"/>
        <v>185.24</v>
      </c>
      <c r="G113" s="21">
        <f>184.46+0.78</f>
        <v>185.24</v>
      </c>
      <c r="H113" s="21">
        <f t="shared" si="7"/>
        <v>0</v>
      </c>
      <c r="I113" s="30">
        <v>272921</v>
      </c>
      <c r="J113" s="27" t="s">
        <v>288</v>
      </c>
      <c r="K113" s="25" t="s">
        <v>73</v>
      </c>
      <c r="L113" s="30" t="s">
        <v>74</v>
      </c>
      <c r="M113" s="25"/>
      <c r="N113" s="115">
        <v>45663</v>
      </c>
      <c r="O113" s="127">
        <v>45810</v>
      </c>
    </row>
    <row r="114" spans="1:15" s="6" customFormat="1" x14ac:dyDescent="0.25">
      <c r="A114" s="18">
        <v>111</v>
      </c>
      <c r="B114" s="80">
        <v>2725</v>
      </c>
      <c r="C114" s="84" t="s">
        <v>289</v>
      </c>
      <c r="D114" s="18">
        <v>648</v>
      </c>
      <c r="E114" s="38">
        <v>0.4</v>
      </c>
      <c r="F114" s="21">
        <f t="shared" si="6"/>
        <v>259.2</v>
      </c>
      <c r="G114" s="21">
        <f>254.3+4.9</f>
        <v>259.2</v>
      </c>
      <c r="H114" s="21">
        <f t="shared" si="7"/>
        <v>0</v>
      </c>
      <c r="I114" s="30">
        <v>21910195</v>
      </c>
      <c r="J114" s="27" t="s">
        <v>290</v>
      </c>
      <c r="K114" s="25" t="s">
        <v>73</v>
      </c>
      <c r="L114" s="30" t="s">
        <v>74</v>
      </c>
      <c r="M114" s="25"/>
      <c r="N114" s="115">
        <v>45658</v>
      </c>
      <c r="O114" s="127">
        <v>45685</v>
      </c>
    </row>
    <row r="115" spans="1:15" s="6" customFormat="1" x14ac:dyDescent="0.25">
      <c r="A115" s="12">
        <v>112</v>
      </c>
      <c r="B115" s="81">
        <v>2726</v>
      </c>
      <c r="C115" s="82" t="s">
        <v>293</v>
      </c>
      <c r="D115" s="12">
        <v>322</v>
      </c>
      <c r="E115" s="34">
        <v>0.4</v>
      </c>
      <c r="F115" s="15">
        <f t="shared" si="6"/>
        <v>128.80000000000001</v>
      </c>
      <c r="G115" s="15"/>
      <c r="H115" s="15">
        <f t="shared" si="7"/>
        <v>128.80000000000001</v>
      </c>
      <c r="I115" s="32">
        <v>5932095</v>
      </c>
      <c r="J115" s="17">
        <v>401003983190032</v>
      </c>
      <c r="K115" s="16" t="s">
        <v>73</v>
      </c>
      <c r="L115" s="32" t="s">
        <v>74</v>
      </c>
      <c r="M115" s="16"/>
      <c r="N115" s="213"/>
      <c r="O115" s="127"/>
    </row>
    <row r="116" spans="1:15" s="6" customFormat="1" x14ac:dyDescent="0.25">
      <c r="A116" s="18">
        <v>113</v>
      </c>
      <c r="B116" s="80">
        <v>2727</v>
      </c>
      <c r="C116" s="84" t="s">
        <v>294</v>
      </c>
      <c r="D116" s="18">
        <v>114.2</v>
      </c>
      <c r="E116" s="38">
        <v>0.4</v>
      </c>
      <c r="F116" s="21">
        <f t="shared" si="6"/>
        <v>45.680000000000007</v>
      </c>
      <c r="G116" s="21">
        <f>44.49+1.19</f>
        <v>45.68</v>
      </c>
      <c r="H116" s="21">
        <f t="shared" si="7"/>
        <v>0</v>
      </c>
      <c r="I116" s="30">
        <v>14874655</v>
      </c>
      <c r="J116" s="27">
        <v>250020006381</v>
      </c>
      <c r="K116" s="25" t="s">
        <v>94</v>
      </c>
      <c r="L116" s="30" t="s">
        <v>95</v>
      </c>
      <c r="M116" s="25">
        <v>99580134</v>
      </c>
      <c r="N116" s="115">
        <v>45670</v>
      </c>
      <c r="O116" s="127" t="s">
        <v>344</v>
      </c>
    </row>
    <row r="117" spans="1:15" s="6" customFormat="1" x14ac:dyDescent="0.25">
      <c r="A117" s="12">
        <v>114</v>
      </c>
      <c r="B117" s="81">
        <v>2728</v>
      </c>
      <c r="C117" s="83" t="s">
        <v>295</v>
      </c>
      <c r="D117" s="12">
        <v>181.1</v>
      </c>
      <c r="E117" s="34">
        <v>0.4</v>
      </c>
      <c r="F117" s="15">
        <f t="shared" si="6"/>
        <v>72.44</v>
      </c>
      <c r="G117" s="15"/>
      <c r="H117" s="15">
        <f t="shared" si="7"/>
        <v>72.44</v>
      </c>
      <c r="I117" s="32">
        <v>6300163</v>
      </c>
      <c r="J117" s="17" t="s">
        <v>296</v>
      </c>
      <c r="K117" s="16" t="s">
        <v>73</v>
      </c>
      <c r="L117" s="32" t="s">
        <v>74</v>
      </c>
      <c r="M117" s="16"/>
      <c r="N117" s="213"/>
      <c r="O117" s="127"/>
    </row>
    <row r="118" spans="1:15" s="6" customFormat="1" x14ac:dyDescent="0.25">
      <c r="A118" s="12">
        <v>115</v>
      </c>
      <c r="B118" s="81">
        <v>2729</v>
      </c>
      <c r="C118" s="83" t="s">
        <v>297</v>
      </c>
      <c r="D118" s="12">
        <v>321.7</v>
      </c>
      <c r="E118" s="34">
        <v>0.4</v>
      </c>
      <c r="F118" s="15">
        <f t="shared" si="6"/>
        <v>128.68</v>
      </c>
      <c r="G118" s="15"/>
      <c r="H118" s="15">
        <f t="shared" si="7"/>
        <v>128.68</v>
      </c>
      <c r="I118" s="32">
        <v>21145036</v>
      </c>
      <c r="J118" s="17" t="s">
        <v>298</v>
      </c>
      <c r="K118" s="16" t="s">
        <v>73</v>
      </c>
      <c r="L118" s="32" t="s">
        <v>74</v>
      </c>
      <c r="M118" s="16"/>
      <c r="N118" s="213"/>
      <c r="O118" s="127"/>
    </row>
    <row r="119" spans="1:15" s="6" customFormat="1" x14ac:dyDescent="0.25">
      <c r="A119" s="18">
        <v>116</v>
      </c>
      <c r="B119" s="80">
        <v>2730</v>
      </c>
      <c r="C119" s="84" t="s">
        <v>67</v>
      </c>
      <c r="D119" s="18">
        <v>428.3</v>
      </c>
      <c r="E119" s="38">
        <v>0.4</v>
      </c>
      <c r="F119" s="21">
        <f t="shared" si="6"/>
        <v>171.32000000000002</v>
      </c>
      <c r="G119" s="21">
        <f>167.26+4.06</f>
        <v>171.32</v>
      </c>
      <c r="H119" s="21">
        <f t="shared" si="7"/>
        <v>0</v>
      </c>
      <c r="I119" s="30">
        <v>5138892</v>
      </c>
      <c r="J119" s="27" t="s">
        <v>299</v>
      </c>
      <c r="K119" s="25" t="s">
        <v>73</v>
      </c>
      <c r="L119" s="30" t="s">
        <v>74</v>
      </c>
      <c r="M119" s="25"/>
      <c r="N119" s="115">
        <v>45663</v>
      </c>
      <c r="O119" s="127">
        <v>45810</v>
      </c>
    </row>
    <row r="120" spans="1:15" s="6" customFormat="1" x14ac:dyDescent="0.25">
      <c r="A120" s="18">
        <v>117</v>
      </c>
      <c r="B120" s="80">
        <v>2731</v>
      </c>
      <c r="C120" s="25" t="s">
        <v>300</v>
      </c>
      <c r="D120" s="18">
        <v>112.2</v>
      </c>
      <c r="E120" s="38">
        <v>0.4</v>
      </c>
      <c r="F120" s="21">
        <f t="shared" si="6"/>
        <v>44.88</v>
      </c>
      <c r="G120" s="21">
        <f>41.53+3.35</f>
        <v>44.88</v>
      </c>
      <c r="H120" s="21">
        <f t="shared" si="7"/>
        <v>0</v>
      </c>
      <c r="I120" s="30">
        <v>3912773</v>
      </c>
      <c r="J120" s="27" t="s">
        <v>301</v>
      </c>
      <c r="K120" s="25" t="s">
        <v>73</v>
      </c>
      <c r="L120" s="30" t="s">
        <v>74</v>
      </c>
      <c r="M120" s="25"/>
      <c r="N120" s="115">
        <v>45663</v>
      </c>
      <c r="O120" s="127">
        <v>45677</v>
      </c>
    </row>
    <row r="121" spans="1:15" s="6" customFormat="1" x14ac:dyDescent="0.25">
      <c r="A121" s="18">
        <v>118</v>
      </c>
      <c r="B121" s="80">
        <v>2732</v>
      </c>
      <c r="C121" s="19" t="s">
        <v>302</v>
      </c>
      <c r="D121" s="18">
        <v>644</v>
      </c>
      <c r="E121" s="38">
        <v>0.4</v>
      </c>
      <c r="F121" s="21">
        <f t="shared" si="6"/>
        <v>257.60000000000002</v>
      </c>
      <c r="G121" s="21">
        <f>257.08+0.52</f>
        <v>257.59999999999997</v>
      </c>
      <c r="H121" s="21">
        <f t="shared" si="7"/>
        <v>0</v>
      </c>
      <c r="I121" s="30">
        <v>846753</v>
      </c>
      <c r="J121" s="27" t="s">
        <v>303</v>
      </c>
      <c r="K121" s="25" t="s">
        <v>73</v>
      </c>
      <c r="L121" s="30" t="s">
        <v>74</v>
      </c>
      <c r="M121" s="25"/>
      <c r="N121" s="115">
        <v>45672</v>
      </c>
      <c r="O121" s="127">
        <v>45691</v>
      </c>
    </row>
    <row r="122" spans="1:15" s="6" customFormat="1" x14ac:dyDescent="0.25">
      <c r="A122" s="12">
        <v>119</v>
      </c>
      <c r="B122" s="69">
        <v>2733</v>
      </c>
      <c r="C122" s="16" t="s">
        <v>304</v>
      </c>
      <c r="D122" s="12">
        <v>701</v>
      </c>
      <c r="E122" s="34">
        <v>0.4</v>
      </c>
      <c r="F122" s="15">
        <f t="shared" si="6"/>
        <v>280.40000000000003</v>
      </c>
      <c r="G122" s="15"/>
      <c r="H122" s="15">
        <f t="shared" si="7"/>
        <v>280.40000000000003</v>
      </c>
      <c r="I122" s="32">
        <v>20444019</v>
      </c>
      <c r="J122" s="17" t="s">
        <v>305</v>
      </c>
      <c r="K122" s="16" t="s">
        <v>73</v>
      </c>
      <c r="L122" s="32" t="s">
        <v>74</v>
      </c>
      <c r="M122" s="16"/>
      <c r="N122" s="213"/>
      <c r="O122" s="127"/>
    </row>
    <row r="123" spans="1:15" s="6" customFormat="1" x14ac:dyDescent="0.25">
      <c r="A123" s="18">
        <v>120</v>
      </c>
      <c r="B123" s="18">
        <v>2734</v>
      </c>
      <c r="C123" s="25" t="s">
        <v>306</v>
      </c>
      <c r="D123" s="18">
        <v>218.2</v>
      </c>
      <c r="E123" s="38">
        <v>0.4</v>
      </c>
      <c r="F123" s="21">
        <f t="shared" si="6"/>
        <v>87.28</v>
      </c>
      <c r="G123" s="21">
        <f>84.19+3.09</f>
        <v>87.28</v>
      </c>
      <c r="H123" s="21">
        <f t="shared" si="7"/>
        <v>0</v>
      </c>
      <c r="I123" s="30">
        <v>24187516</v>
      </c>
      <c r="J123" s="27" t="s">
        <v>307</v>
      </c>
      <c r="K123" s="25" t="s">
        <v>90</v>
      </c>
      <c r="L123" s="30" t="s">
        <v>91</v>
      </c>
      <c r="M123" s="25"/>
      <c r="N123" s="115">
        <v>45658</v>
      </c>
      <c r="O123" s="115">
        <v>45691</v>
      </c>
    </row>
    <row r="124" spans="1:15" s="6" customFormat="1" x14ac:dyDescent="0.25">
      <c r="A124" s="12">
        <v>121</v>
      </c>
      <c r="B124" s="69">
        <v>2736</v>
      </c>
      <c r="C124" s="16" t="s">
        <v>308</v>
      </c>
      <c r="D124" s="12">
        <v>235.3</v>
      </c>
      <c r="E124" s="34">
        <v>0.4</v>
      </c>
      <c r="F124" s="15">
        <f t="shared" si="6"/>
        <v>94.12</v>
      </c>
      <c r="G124" s="15"/>
      <c r="H124" s="15">
        <f t="shared" si="7"/>
        <v>94.12</v>
      </c>
      <c r="I124" s="32">
        <v>4629429</v>
      </c>
      <c r="J124" s="17" t="s">
        <v>309</v>
      </c>
      <c r="K124" s="16" t="s">
        <v>73</v>
      </c>
      <c r="L124" s="32" t="s">
        <v>74</v>
      </c>
      <c r="M124" s="16"/>
      <c r="N124" s="213"/>
      <c r="O124" s="127"/>
    </row>
    <row r="125" spans="1:15" s="6" customFormat="1" x14ac:dyDescent="0.25">
      <c r="A125" s="18">
        <v>122</v>
      </c>
      <c r="B125" s="18">
        <v>2737</v>
      </c>
      <c r="C125" s="25" t="s">
        <v>310</v>
      </c>
      <c r="D125" s="18">
        <v>365.4</v>
      </c>
      <c r="E125" s="38">
        <v>0.4</v>
      </c>
      <c r="F125" s="21">
        <f t="shared" si="6"/>
        <v>146.16</v>
      </c>
      <c r="G125" s="21">
        <f>F125</f>
        <v>146.16</v>
      </c>
      <c r="H125" s="21">
        <f t="shared" si="7"/>
        <v>0</v>
      </c>
      <c r="I125" s="30">
        <v>734135</v>
      </c>
      <c r="J125" s="27" t="s">
        <v>311</v>
      </c>
      <c r="K125" s="25" t="s">
        <v>80</v>
      </c>
      <c r="L125" s="30" t="s">
        <v>81</v>
      </c>
      <c r="M125" s="25"/>
      <c r="N125" s="115">
        <v>45691</v>
      </c>
      <c r="O125" s="127"/>
    </row>
    <row r="126" spans="1:15" s="6" customFormat="1" x14ac:dyDescent="0.25">
      <c r="A126" s="12">
        <v>123</v>
      </c>
      <c r="B126" s="69">
        <v>2738</v>
      </c>
      <c r="C126" s="16" t="s">
        <v>312</v>
      </c>
      <c r="D126" s="12">
        <v>333</v>
      </c>
      <c r="E126" s="34">
        <v>0.4</v>
      </c>
      <c r="F126" s="15">
        <f t="shared" si="6"/>
        <v>133.20000000000002</v>
      </c>
      <c r="G126" s="15"/>
      <c r="H126" s="15">
        <f t="shared" si="7"/>
        <v>133.20000000000002</v>
      </c>
      <c r="I126" s="32">
        <v>1298606</v>
      </c>
      <c r="J126" s="17" t="s">
        <v>313</v>
      </c>
      <c r="K126" s="16" t="s">
        <v>73</v>
      </c>
      <c r="L126" s="32" t="s">
        <v>74</v>
      </c>
      <c r="M126" s="16"/>
      <c r="N126" s="213"/>
      <c r="O126" s="127"/>
    </row>
    <row r="127" spans="1:15" s="6" customFormat="1" ht="14.25" thickBot="1" x14ac:dyDescent="0.3">
      <c r="A127" s="96">
        <v>124</v>
      </c>
      <c r="B127" s="146">
        <v>2740</v>
      </c>
      <c r="C127" s="147" t="s">
        <v>314</v>
      </c>
      <c r="D127" s="146">
        <v>594.5</v>
      </c>
      <c r="E127" s="148">
        <v>0.4</v>
      </c>
      <c r="F127" s="149">
        <f t="shared" si="6"/>
        <v>237.8</v>
      </c>
      <c r="G127" s="149">
        <f>F127</f>
        <v>237.8</v>
      </c>
      <c r="H127" s="99">
        <f t="shared" si="7"/>
        <v>0</v>
      </c>
      <c r="I127" s="150">
        <v>18315397</v>
      </c>
      <c r="J127" s="181">
        <v>401002460790021</v>
      </c>
      <c r="K127" s="147" t="s">
        <v>73</v>
      </c>
      <c r="L127" s="150" t="s">
        <v>74</v>
      </c>
      <c r="M127" s="147">
        <v>94346448</v>
      </c>
      <c r="N127" s="219"/>
      <c r="O127" s="127"/>
    </row>
    <row r="128" spans="1:15" s="6" customFormat="1" ht="14.25" thickBot="1" x14ac:dyDescent="0.3">
      <c r="A128" s="41"/>
      <c r="B128" s="42"/>
      <c r="C128" s="43"/>
      <c r="D128" s="44">
        <f>SUM(D4:D127)</f>
        <v>43427.200000000012</v>
      </c>
      <c r="E128" s="45"/>
      <c r="F128" s="46">
        <f>SUM(F4:F127)</f>
        <v>17370.879999999994</v>
      </c>
      <c r="G128" s="46">
        <f>SUM(G4:G127)</f>
        <v>11867.029999999999</v>
      </c>
      <c r="H128" s="46">
        <f>SUM(H4:H127)</f>
        <v>5503.85</v>
      </c>
      <c r="I128" s="45"/>
      <c r="J128" s="48"/>
      <c r="K128" s="45"/>
      <c r="L128" s="45"/>
      <c r="M128" s="45"/>
      <c r="N128" s="220"/>
      <c r="O128" s="127"/>
    </row>
    <row r="129" spans="1:15" s="6" customFormat="1" x14ac:dyDescent="0.25">
      <c r="A129" s="50"/>
      <c r="B129" s="51"/>
      <c r="C129" s="50"/>
      <c r="D129" s="52"/>
      <c r="E129" s="53"/>
      <c r="F129" s="52"/>
      <c r="G129" s="52"/>
      <c r="H129" s="52"/>
      <c r="I129" s="54"/>
      <c r="J129" s="55"/>
      <c r="K129" s="54"/>
      <c r="L129" s="54"/>
      <c r="M129" s="54"/>
      <c r="N129" s="221"/>
      <c r="O129" s="127"/>
    </row>
    <row r="130" spans="1:15" s="6" customFormat="1" x14ac:dyDescent="0.25">
      <c r="A130" s="28"/>
      <c r="B130" s="57"/>
      <c r="D130" s="58"/>
      <c r="E130" s="58"/>
      <c r="F130" s="58"/>
      <c r="G130" s="58"/>
      <c r="H130" s="58"/>
      <c r="I130" s="59"/>
      <c r="J130" s="60"/>
      <c r="K130" s="59"/>
      <c r="N130" s="127"/>
      <c r="O130" s="127"/>
    </row>
    <row r="131" spans="1:15" x14ac:dyDescent="0.25">
      <c r="A131" s="28" t="s">
        <v>23</v>
      </c>
      <c r="E131" s="61" t="s">
        <v>43</v>
      </c>
      <c r="F131" s="306"/>
      <c r="G131" s="306"/>
      <c r="H131" s="306"/>
      <c r="I131" s="306"/>
      <c r="K131" s="307"/>
      <c r="L131" s="307"/>
      <c r="N131" s="127"/>
    </row>
    <row r="132" spans="1:15" s="64" customFormat="1" x14ac:dyDescent="0.25">
      <c r="A132" s="28" t="s">
        <v>26</v>
      </c>
      <c r="B132" s="61"/>
      <c r="D132" s="61"/>
      <c r="E132" s="61" t="s">
        <v>44</v>
      </c>
      <c r="F132" s="306"/>
      <c r="G132" s="306"/>
      <c r="H132" s="306"/>
      <c r="I132" s="306"/>
      <c r="J132" s="63"/>
      <c r="K132" s="307"/>
      <c r="L132" s="307"/>
      <c r="N132" s="128"/>
      <c r="O132" s="127"/>
    </row>
    <row r="133" spans="1:15" s="64" customFormat="1" x14ac:dyDescent="0.25">
      <c r="A133" s="28"/>
      <c r="B133" s="61"/>
      <c r="D133" s="61"/>
      <c r="E133" s="28"/>
      <c r="F133" s="62"/>
      <c r="G133" s="62"/>
      <c r="H133" s="62"/>
      <c r="J133" s="63"/>
      <c r="N133" s="128"/>
      <c r="O133" s="127"/>
    </row>
    <row r="134" spans="1:15" s="64" customFormat="1" x14ac:dyDescent="0.25">
      <c r="A134" s="28"/>
      <c r="B134" s="61"/>
      <c r="C134" s="28"/>
      <c r="D134" s="61"/>
      <c r="E134" s="61"/>
      <c r="F134" s="62"/>
      <c r="G134" s="62"/>
      <c r="H134" s="62"/>
      <c r="J134" s="63"/>
      <c r="N134" s="128"/>
      <c r="O134" s="127"/>
    </row>
    <row r="135" spans="1:15" s="64" customFormat="1" x14ac:dyDescent="0.25">
      <c r="A135" s="28"/>
      <c r="B135" s="61"/>
      <c r="C135" s="28"/>
      <c r="D135" s="61"/>
      <c r="E135" s="61"/>
      <c r="F135" s="62"/>
      <c r="G135" s="62"/>
      <c r="H135" s="62"/>
      <c r="J135" s="63"/>
      <c r="N135" s="128"/>
      <c r="O135" s="127"/>
    </row>
    <row r="136" spans="1:15" s="64" customFormat="1" x14ac:dyDescent="0.25">
      <c r="A136" s="28"/>
      <c r="B136" s="61"/>
      <c r="C136" s="28"/>
      <c r="D136" s="68"/>
      <c r="E136" s="61"/>
      <c r="F136" s="68"/>
      <c r="G136" s="68"/>
      <c r="H136" s="68"/>
      <c r="J136" s="63"/>
      <c r="N136" s="128"/>
      <c r="O136" s="127"/>
    </row>
    <row r="137" spans="1:15" s="64" customFormat="1" x14ac:dyDescent="0.25">
      <c r="A137" s="28"/>
      <c r="B137" s="61"/>
      <c r="C137" s="28"/>
      <c r="D137" s="61"/>
      <c r="E137" s="61"/>
      <c r="F137" s="62"/>
      <c r="G137" s="62"/>
      <c r="H137" s="62"/>
      <c r="J137" s="63"/>
      <c r="N137" s="128"/>
      <c r="O137" s="127"/>
    </row>
    <row r="138" spans="1:15" s="64" customFormat="1" x14ac:dyDescent="0.25">
      <c r="A138" s="28"/>
      <c r="B138" s="61"/>
      <c r="C138" s="28"/>
      <c r="D138" s="61"/>
      <c r="E138" s="61"/>
      <c r="F138" s="62"/>
      <c r="G138" s="62"/>
      <c r="H138" s="62"/>
      <c r="J138" s="63"/>
      <c r="N138" s="128"/>
      <c r="O138" s="127"/>
    </row>
    <row r="139" spans="1:15" s="64" customFormat="1" x14ac:dyDescent="0.25">
      <c r="A139" s="28"/>
      <c r="B139" s="61"/>
      <c r="C139" s="28"/>
      <c r="D139" s="61"/>
      <c r="E139" s="61"/>
      <c r="F139" s="62"/>
      <c r="G139" s="62"/>
      <c r="H139" s="62"/>
      <c r="J139" s="63"/>
      <c r="N139" s="128"/>
      <c r="O139" s="127"/>
    </row>
    <row r="140" spans="1:15" s="64" customFormat="1" x14ac:dyDescent="0.25">
      <c r="A140" s="28"/>
      <c r="B140" s="61"/>
      <c r="C140" s="28"/>
      <c r="D140" s="61"/>
      <c r="E140" s="61"/>
      <c r="F140" s="62"/>
      <c r="G140" s="62"/>
      <c r="H140" s="62"/>
      <c r="J140" s="63"/>
      <c r="N140" s="128"/>
      <c r="O140" s="127"/>
    </row>
    <row r="141" spans="1:15" s="64" customFormat="1" x14ac:dyDescent="0.25">
      <c r="A141" s="28"/>
      <c r="B141" s="61"/>
      <c r="C141" s="28"/>
      <c r="D141" s="61"/>
      <c r="E141" s="61"/>
      <c r="F141" s="62"/>
      <c r="G141" s="62"/>
      <c r="H141" s="62"/>
      <c r="J141" s="63"/>
      <c r="N141" s="128"/>
      <c r="O141" s="127"/>
    </row>
    <row r="142" spans="1:15" s="64" customFormat="1" x14ac:dyDescent="0.25">
      <c r="A142" s="28"/>
      <c r="B142" s="61"/>
      <c r="C142" s="28"/>
      <c r="D142" s="61"/>
      <c r="E142" s="61"/>
      <c r="F142" s="62"/>
      <c r="G142" s="62"/>
      <c r="H142" s="62"/>
      <c r="J142" s="63"/>
      <c r="N142" s="128"/>
      <c r="O142" s="127"/>
    </row>
    <row r="143" spans="1:15" s="64" customFormat="1" x14ac:dyDescent="0.25">
      <c r="A143" s="28"/>
      <c r="B143" s="61"/>
      <c r="C143" s="28"/>
      <c r="D143" s="61"/>
      <c r="E143" s="61"/>
      <c r="F143" s="62"/>
      <c r="G143" s="62"/>
      <c r="H143" s="62"/>
      <c r="J143" s="63"/>
      <c r="N143" s="128"/>
      <c r="O143" s="127"/>
    </row>
    <row r="144" spans="1:15" s="64" customFormat="1" x14ac:dyDescent="0.25">
      <c r="A144" s="28"/>
      <c r="B144" s="61"/>
      <c r="C144" s="28"/>
      <c r="D144" s="61"/>
      <c r="E144" s="61"/>
      <c r="F144" s="62"/>
      <c r="G144" s="62"/>
      <c r="H144" s="62"/>
      <c r="J144" s="63"/>
      <c r="N144" s="128"/>
      <c r="O144" s="127"/>
    </row>
    <row r="145" spans="1:15" s="64" customFormat="1" x14ac:dyDescent="0.25">
      <c r="A145" s="28"/>
      <c r="B145" s="61"/>
      <c r="C145" s="28"/>
      <c r="D145" s="61"/>
      <c r="E145" s="61"/>
      <c r="F145" s="62"/>
      <c r="G145" s="62"/>
      <c r="H145" s="62"/>
      <c r="J145" s="63"/>
      <c r="N145" s="128"/>
      <c r="O145" s="127"/>
    </row>
    <row r="146" spans="1:15" s="64" customFormat="1" x14ac:dyDescent="0.25">
      <c r="A146" s="28"/>
      <c r="B146" s="61"/>
      <c r="C146" s="28"/>
      <c r="D146" s="61"/>
      <c r="E146" s="61"/>
      <c r="F146" s="62"/>
      <c r="G146" s="62"/>
      <c r="H146" s="62"/>
      <c r="J146" s="63"/>
      <c r="N146" s="128"/>
      <c r="O146" s="127"/>
    </row>
    <row r="147" spans="1:15" s="64" customFormat="1" x14ac:dyDescent="0.25">
      <c r="A147" s="28"/>
      <c r="B147" s="61"/>
      <c r="C147" s="28"/>
      <c r="D147" s="61"/>
      <c r="E147" s="61"/>
      <c r="F147" s="62"/>
      <c r="G147" s="62"/>
      <c r="H147" s="62"/>
      <c r="J147" s="63"/>
      <c r="N147" s="128"/>
      <c r="O147" s="127"/>
    </row>
    <row r="148" spans="1:15" s="64" customFormat="1" x14ac:dyDescent="0.25">
      <c r="B148" s="61"/>
      <c r="C148" s="28"/>
      <c r="D148" s="61"/>
      <c r="E148" s="61"/>
      <c r="F148" s="62"/>
      <c r="G148" s="62"/>
      <c r="H148" s="62"/>
      <c r="J148" s="63"/>
      <c r="N148" s="128"/>
      <c r="O148" s="127"/>
    </row>
    <row r="149" spans="1:15" s="64" customFormat="1" x14ac:dyDescent="0.25">
      <c r="B149" s="61"/>
      <c r="C149" s="28"/>
      <c r="D149" s="61"/>
      <c r="E149" s="61"/>
      <c r="F149" s="62"/>
      <c r="G149" s="62"/>
      <c r="H149" s="62"/>
      <c r="J149" s="63"/>
      <c r="N149" s="128"/>
      <c r="O149" s="127"/>
    </row>
    <row r="150" spans="1:15" s="64" customFormat="1" x14ac:dyDescent="0.25">
      <c r="B150" s="61"/>
      <c r="C150" s="28"/>
      <c r="D150" s="61"/>
      <c r="E150" s="61"/>
      <c r="F150" s="62"/>
      <c r="G150" s="62"/>
      <c r="H150" s="62"/>
      <c r="J150" s="63"/>
      <c r="N150" s="128"/>
      <c r="O150" s="127"/>
    </row>
    <row r="151" spans="1:15" s="64" customFormat="1" x14ac:dyDescent="0.25">
      <c r="B151" s="61"/>
      <c r="C151" s="28"/>
      <c r="D151" s="61"/>
      <c r="E151" s="61"/>
      <c r="F151" s="62"/>
      <c r="G151" s="62"/>
      <c r="H151" s="62"/>
      <c r="J151" s="63"/>
      <c r="N151" s="128"/>
      <c r="O151" s="127"/>
    </row>
    <row r="152" spans="1:15" s="64" customFormat="1" x14ac:dyDescent="0.25">
      <c r="B152" s="61"/>
      <c r="C152" s="28"/>
      <c r="D152" s="61"/>
      <c r="E152" s="61"/>
      <c r="F152" s="62"/>
      <c r="G152" s="62"/>
      <c r="H152" s="62"/>
      <c r="J152" s="63"/>
      <c r="N152" s="128"/>
      <c r="O152" s="127"/>
    </row>
    <row r="153" spans="1:15" s="64" customFormat="1" x14ac:dyDescent="0.25">
      <c r="B153" s="61"/>
      <c r="C153" s="28"/>
      <c r="D153" s="61"/>
      <c r="E153" s="61"/>
      <c r="F153" s="62"/>
      <c r="G153" s="62"/>
      <c r="H153" s="62"/>
      <c r="J153" s="63"/>
      <c r="N153" s="128"/>
      <c r="O153" s="127"/>
    </row>
    <row r="154" spans="1:15" s="64" customFormat="1" x14ac:dyDescent="0.25">
      <c r="B154" s="61"/>
      <c r="C154" s="28"/>
      <c r="D154" s="61"/>
      <c r="E154" s="61"/>
      <c r="F154" s="62"/>
      <c r="G154" s="62"/>
      <c r="H154" s="62"/>
      <c r="J154" s="63"/>
      <c r="N154" s="128"/>
      <c r="O154" s="127"/>
    </row>
    <row r="155" spans="1:15" s="64" customFormat="1" x14ac:dyDescent="0.25">
      <c r="B155" s="61"/>
      <c r="C155" s="28"/>
      <c r="D155" s="61"/>
      <c r="E155" s="61"/>
      <c r="F155" s="62"/>
      <c r="G155" s="62"/>
      <c r="H155" s="62"/>
      <c r="J155" s="63"/>
      <c r="N155" s="128"/>
      <c r="O155" s="127"/>
    </row>
    <row r="156" spans="1:15" s="64" customFormat="1" x14ac:dyDescent="0.25">
      <c r="B156" s="61"/>
      <c r="C156" s="28"/>
      <c r="D156" s="61"/>
      <c r="E156" s="61"/>
      <c r="F156" s="62"/>
      <c r="G156" s="62"/>
      <c r="H156" s="62"/>
      <c r="J156" s="63"/>
      <c r="N156" s="128"/>
      <c r="O156" s="127"/>
    </row>
    <row r="157" spans="1:15" s="64" customFormat="1" x14ac:dyDescent="0.25">
      <c r="B157" s="61"/>
      <c r="C157" s="28"/>
      <c r="D157" s="61"/>
      <c r="E157" s="61"/>
      <c r="F157" s="62"/>
      <c r="G157" s="62"/>
      <c r="H157" s="62"/>
      <c r="J157" s="63"/>
      <c r="N157" s="128"/>
      <c r="O157" s="127"/>
    </row>
    <row r="158" spans="1:15" s="64" customFormat="1" x14ac:dyDescent="0.25">
      <c r="B158" s="61"/>
      <c r="C158" s="28"/>
      <c r="D158" s="61"/>
      <c r="E158" s="61"/>
      <c r="F158" s="62"/>
      <c r="G158" s="62"/>
      <c r="H158" s="62"/>
      <c r="J158" s="63"/>
      <c r="N158" s="128"/>
      <c r="O158" s="127"/>
    </row>
    <row r="159" spans="1:15" s="64" customFormat="1" x14ac:dyDescent="0.25">
      <c r="B159" s="61"/>
      <c r="C159" s="28"/>
      <c r="D159" s="61"/>
      <c r="E159" s="61"/>
      <c r="F159" s="62"/>
      <c r="G159" s="62"/>
      <c r="H159" s="62"/>
      <c r="J159" s="63"/>
      <c r="N159" s="128"/>
      <c r="O159" s="127"/>
    </row>
    <row r="160" spans="1:15" s="64" customFormat="1" x14ac:dyDescent="0.25">
      <c r="B160" s="61"/>
      <c r="C160" s="28"/>
      <c r="D160" s="61"/>
      <c r="E160" s="61"/>
      <c r="F160" s="62"/>
      <c r="G160" s="62"/>
      <c r="H160" s="62"/>
      <c r="J160" s="63"/>
      <c r="N160" s="128"/>
      <c r="O160" s="127"/>
    </row>
    <row r="161" spans="2:15" s="64" customFormat="1" x14ac:dyDescent="0.25">
      <c r="B161" s="61"/>
      <c r="C161" s="28"/>
      <c r="D161" s="61"/>
      <c r="E161" s="61"/>
      <c r="F161" s="62"/>
      <c r="G161" s="62"/>
      <c r="H161" s="62"/>
      <c r="J161" s="63"/>
      <c r="N161" s="128"/>
      <c r="O161" s="127"/>
    </row>
    <row r="162" spans="2:15" s="64" customFormat="1" x14ac:dyDescent="0.25">
      <c r="B162" s="61"/>
      <c r="C162" s="28"/>
      <c r="D162" s="61"/>
      <c r="E162" s="61"/>
      <c r="F162" s="62"/>
      <c r="G162" s="62"/>
      <c r="H162" s="62"/>
      <c r="J162" s="63"/>
      <c r="N162" s="128"/>
      <c r="O162" s="127"/>
    </row>
    <row r="163" spans="2:15" s="64" customFormat="1" x14ac:dyDescent="0.25">
      <c r="B163" s="61"/>
      <c r="C163" s="28"/>
      <c r="D163" s="61"/>
      <c r="E163" s="61"/>
      <c r="F163" s="62"/>
      <c r="G163" s="62"/>
      <c r="H163" s="62"/>
      <c r="J163" s="63"/>
      <c r="N163" s="128"/>
      <c r="O163" s="127"/>
    </row>
    <row r="164" spans="2:15" s="64" customFormat="1" x14ac:dyDescent="0.25">
      <c r="B164" s="61"/>
      <c r="C164" s="28"/>
      <c r="D164" s="61"/>
      <c r="E164" s="61"/>
      <c r="F164" s="62"/>
      <c r="G164" s="62"/>
      <c r="H164" s="62"/>
      <c r="J164" s="63"/>
      <c r="N164" s="128"/>
      <c r="O164" s="127"/>
    </row>
    <row r="165" spans="2:15" s="64" customFormat="1" x14ac:dyDescent="0.25">
      <c r="B165" s="61"/>
      <c r="C165" s="28"/>
      <c r="D165" s="61"/>
      <c r="E165" s="61"/>
      <c r="F165" s="62"/>
      <c r="G165" s="62"/>
      <c r="H165" s="62"/>
      <c r="J165" s="63"/>
      <c r="N165" s="128"/>
      <c r="O165" s="127"/>
    </row>
  </sheetData>
  <mergeCells count="19">
    <mergeCell ref="A1:N1"/>
    <mergeCell ref="A2:A3"/>
    <mergeCell ref="B2:B3"/>
    <mergeCell ref="C2:C3"/>
    <mergeCell ref="D2:D3"/>
    <mergeCell ref="M2:M3"/>
    <mergeCell ref="N2:N3"/>
    <mergeCell ref="G2:G3"/>
    <mergeCell ref="E2:E3"/>
    <mergeCell ref="F2:F3"/>
    <mergeCell ref="I2:I3"/>
    <mergeCell ref="J2:J3"/>
    <mergeCell ref="K2:K3"/>
    <mergeCell ref="L2:L3"/>
    <mergeCell ref="H2:H3"/>
    <mergeCell ref="F131:I131"/>
    <mergeCell ref="K131:L131"/>
    <mergeCell ref="F132:I132"/>
    <mergeCell ref="K132:L132"/>
  </mergeCells>
  <conditionalFormatting sqref="J16">
    <cfRule type="duplicateValues" dxfId="7" priority="1"/>
  </conditionalFormatting>
  <pageMargins left="0.7" right="0.7" top="0.75" bottom="0.75" header="0.3" footer="0.3"/>
  <pageSetup paperSize="8" scale="51" orientation="landscape" r:id="rId1"/>
  <rowBreaks count="1" manualBreakCount="1">
    <brk id="131" max="1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DD4BA-D5BD-479F-88B1-F526A8B94A3D}">
  <dimension ref="A1:O165"/>
  <sheetViews>
    <sheetView view="pageBreakPreview" zoomScaleNormal="100" zoomScaleSheetLayoutView="100" workbookViewId="0">
      <pane xSplit="3" ySplit="3" topLeftCell="D4" activePane="bottomRight" state="frozen"/>
      <selection activeCell="D110" sqref="D110"/>
      <selection pane="topRight" activeCell="D110" sqref="D110"/>
      <selection pane="bottomLeft" activeCell="D110" sqref="D110"/>
      <selection pane="bottomRight" activeCell="D110" sqref="D110"/>
    </sheetView>
  </sheetViews>
  <sheetFormatPr defaultColWidth="9.140625" defaultRowHeight="13.5" x14ac:dyDescent="0.25"/>
  <cols>
    <col min="1" max="1" width="4.7109375" style="28" customWidth="1"/>
    <col min="2" max="2" width="10.28515625" style="61" customWidth="1"/>
    <col min="3" max="3" width="38.28515625" style="28" customWidth="1"/>
    <col min="4" max="4" width="16" style="61" customWidth="1"/>
    <col min="5" max="5" width="17.7109375" style="61" bestFit="1" customWidth="1"/>
    <col min="6" max="6" width="16" style="61" bestFit="1" customWidth="1"/>
    <col min="7" max="8" width="16" style="61" customWidth="1"/>
    <col min="9" max="9" width="12.28515625" style="64" customWidth="1"/>
    <col min="10" max="10" width="21.42578125" style="63" hidden="1" customWidth="1"/>
    <col min="11" max="11" width="20" style="64" hidden="1" customWidth="1"/>
    <col min="12" max="12" width="17.5703125" style="64" hidden="1" customWidth="1"/>
    <col min="13" max="13" width="12" style="64" hidden="1" customWidth="1"/>
    <col min="14" max="14" width="25" style="251" customWidth="1"/>
    <col min="15" max="15" width="10.5703125" style="127" customWidth="1"/>
    <col min="16" max="16384" width="9.140625" style="28"/>
  </cols>
  <sheetData>
    <row r="1" spans="1:15" s="7" customFormat="1" ht="30" customHeight="1" x14ac:dyDescent="0.25">
      <c r="A1" s="310" t="s">
        <v>327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2"/>
      <c r="O1" s="127"/>
    </row>
    <row r="2" spans="1:15" s="11" customFormat="1" ht="19.5" customHeight="1" x14ac:dyDescent="0.25">
      <c r="A2" s="308" t="s">
        <v>1</v>
      </c>
      <c r="B2" s="313" t="s">
        <v>2</v>
      </c>
      <c r="C2" s="308" t="s">
        <v>3</v>
      </c>
      <c r="D2" s="314" t="s">
        <v>4</v>
      </c>
      <c r="E2" s="308" t="s">
        <v>5</v>
      </c>
      <c r="F2" s="308" t="s">
        <v>6</v>
      </c>
      <c r="G2" s="308" t="s">
        <v>30</v>
      </c>
      <c r="H2" s="308" t="s">
        <v>31</v>
      </c>
      <c r="I2" s="308" t="s">
        <v>9</v>
      </c>
      <c r="J2" s="308" t="s">
        <v>10</v>
      </c>
      <c r="K2" s="308" t="s">
        <v>11</v>
      </c>
      <c r="L2" s="308" t="s">
        <v>12</v>
      </c>
      <c r="M2" s="308" t="s">
        <v>13</v>
      </c>
      <c r="N2" s="320" t="s">
        <v>14</v>
      </c>
      <c r="O2" s="141"/>
    </row>
    <row r="3" spans="1:15" s="11" customFormat="1" ht="26.25" customHeight="1" x14ac:dyDescent="0.25">
      <c r="A3" s="308"/>
      <c r="B3" s="313"/>
      <c r="C3" s="308"/>
      <c r="D3" s="315"/>
      <c r="E3" s="308"/>
      <c r="F3" s="308"/>
      <c r="G3" s="308"/>
      <c r="H3" s="308"/>
      <c r="I3" s="308"/>
      <c r="J3" s="308"/>
      <c r="K3" s="308"/>
      <c r="L3" s="308"/>
      <c r="M3" s="308"/>
      <c r="N3" s="320"/>
      <c r="O3" s="141"/>
    </row>
    <row r="4" spans="1:15" s="72" customFormat="1" x14ac:dyDescent="0.25">
      <c r="A4" s="18">
        <v>1</v>
      </c>
      <c r="B4" s="18">
        <v>2603</v>
      </c>
      <c r="C4" s="19" t="s">
        <v>71</v>
      </c>
      <c r="D4" s="18">
        <v>503.6</v>
      </c>
      <c r="E4" s="20" t="s">
        <v>16</v>
      </c>
      <c r="F4" s="21">
        <f t="shared" ref="F4:F35" si="0">D4*E4</f>
        <v>201.44000000000003</v>
      </c>
      <c r="G4" s="21">
        <f>200.23</f>
        <v>200.23</v>
      </c>
      <c r="H4" s="21">
        <f t="shared" ref="H4:H35" si="1">F4-G4</f>
        <v>1.2100000000000364</v>
      </c>
      <c r="I4" s="25">
        <v>5744412</v>
      </c>
      <c r="J4" s="27" t="s">
        <v>72</v>
      </c>
      <c r="K4" s="25" t="s">
        <v>73</v>
      </c>
      <c r="L4" s="132" t="s">
        <v>74</v>
      </c>
      <c r="M4" s="25">
        <v>92566993</v>
      </c>
      <c r="N4" s="232">
        <v>45932</v>
      </c>
      <c r="O4" s="142"/>
    </row>
    <row r="5" spans="1:15" s="72" customFormat="1" x14ac:dyDescent="0.25">
      <c r="A5" s="18">
        <v>2</v>
      </c>
      <c r="B5" s="18">
        <v>2604</v>
      </c>
      <c r="C5" s="19" t="s">
        <v>46</v>
      </c>
      <c r="D5" s="18">
        <v>367.3</v>
      </c>
      <c r="E5" s="20" t="s">
        <v>16</v>
      </c>
      <c r="F5" s="21">
        <f t="shared" si="0"/>
        <v>146.92000000000002</v>
      </c>
      <c r="G5" s="21">
        <f>143.64</f>
        <v>143.63999999999999</v>
      </c>
      <c r="H5" s="21">
        <f t="shared" si="1"/>
        <v>3.2800000000000296</v>
      </c>
      <c r="I5" s="25">
        <v>3946807</v>
      </c>
      <c r="J5" s="27" t="s">
        <v>75</v>
      </c>
      <c r="K5" s="25" t="s">
        <v>76</v>
      </c>
      <c r="L5" s="25" t="s">
        <v>77</v>
      </c>
      <c r="M5" s="25">
        <v>99702767</v>
      </c>
      <c r="N5" s="233">
        <v>45810</v>
      </c>
      <c r="O5" s="142"/>
    </row>
    <row r="6" spans="1:15" s="6" customFormat="1" x14ac:dyDescent="0.25">
      <c r="A6" s="18">
        <v>3</v>
      </c>
      <c r="B6" s="18">
        <v>2606</v>
      </c>
      <c r="C6" s="19" t="s">
        <v>78</v>
      </c>
      <c r="D6" s="18">
        <v>186.9</v>
      </c>
      <c r="E6" s="20" t="s">
        <v>16</v>
      </c>
      <c r="F6" s="21">
        <f t="shared" si="0"/>
        <v>74.760000000000005</v>
      </c>
      <c r="G6" s="21">
        <f>73.82+0.94</f>
        <v>74.759999999999991</v>
      </c>
      <c r="H6" s="21">
        <f t="shared" si="1"/>
        <v>0</v>
      </c>
      <c r="I6" s="25">
        <v>13974337</v>
      </c>
      <c r="J6" s="27" t="s">
        <v>79</v>
      </c>
      <c r="K6" s="25" t="s">
        <v>80</v>
      </c>
      <c r="L6" s="30" t="s">
        <v>81</v>
      </c>
      <c r="M6" s="25">
        <v>99291110</v>
      </c>
      <c r="N6" s="232">
        <v>45684</v>
      </c>
      <c r="O6" s="127">
        <v>45810</v>
      </c>
    </row>
    <row r="7" spans="1:15" s="6" customFormat="1" x14ac:dyDescent="0.25">
      <c r="A7" s="18">
        <v>4</v>
      </c>
      <c r="B7" s="18">
        <v>2607</v>
      </c>
      <c r="C7" s="19" t="s">
        <v>82</v>
      </c>
      <c r="D7" s="18">
        <v>261.60000000000002</v>
      </c>
      <c r="E7" s="20" t="s">
        <v>16</v>
      </c>
      <c r="F7" s="21">
        <f t="shared" si="0"/>
        <v>104.64000000000001</v>
      </c>
      <c r="G7" s="21">
        <f>103.44</f>
        <v>103.44</v>
      </c>
      <c r="H7" s="21">
        <f t="shared" si="1"/>
        <v>1.2000000000000171</v>
      </c>
      <c r="I7" s="25">
        <v>6488366</v>
      </c>
      <c r="J7" s="27" t="s">
        <v>83</v>
      </c>
      <c r="K7" s="25" t="s">
        <v>73</v>
      </c>
      <c r="L7" s="30" t="s">
        <v>74</v>
      </c>
      <c r="M7" s="25">
        <v>95479797</v>
      </c>
      <c r="N7" s="232">
        <v>45685</v>
      </c>
      <c r="O7" s="127"/>
    </row>
    <row r="8" spans="1:15" s="6" customFormat="1" x14ac:dyDescent="0.25">
      <c r="A8" s="96">
        <v>5</v>
      </c>
      <c r="B8" s="96">
        <v>2608</v>
      </c>
      <c r="C8" s="97" t="s">
        <v>84</v>
      </c>
      <c r="D8" s="96">
        <v>213</v>
      </c>
      <c r="E8" s="98" t="s">
        <v>16</v>
      </c>
      <c r="F8" s="99">
        <f t="shared" si="0"/>
        <v>85.2</v>
      </c>
      <c r="G8" s="99">
        <f>F8</f>
        <v>85.2</v>
      </c>
      <c r="H8" s="99">
        <f t="shared" si="1"/>
        <v>0</v>
      </c>
      <c r="I8" s="100">
        <v>1233627</v>
      </c>
      <c r="J8" s="101" t="s">
        <v>85</v>
      </c>
      <c r="K8" s="100" t="s">
        <v>73</v>
      </c>
      <c r="L8" s="102" t="s">
        <v>74</v>
      </c>
      <c r="M8" s="100">
        <v>92788274</v>
      </c>
      <c r="N8" s="234" t="s">
        <v>86</v>
      </c>
      <c r="O8" s="127"/>
    </row>
    <row r="9" spans="1:15" s="6" customFormat="1" x14ac:dyDescent="0.25">
      <c r="A9" s="18">
        <v>6</v>
      </c>
      <c r="B9" s="18">
        <v>2609</v>
      </c>
      <c r="C9" s="19" t="s">
        <v>87</v>
      </c>
      <c r="D9" s="18">
        <v>172.1</v>
      </c>
      <c r="E9" s="20" t="s">
        <v>16</v>
      </c>
      <c r="F9" s="21">
        <f t="shared" si="0"/>
        <v>68.84</v>
      </c>
      <c r="G9" s="21">
        <f>67.44+1.4</f>
        <v>68.84</v>
      </c>
      <c r="H9" s="21">
        <f t="shared" si="1"/>
        <v>0</v>
      </c>
      <c r="I9" s="25">
        <v>1248701</v>
      </c>
      <c r="J9" s="27" t="s">
        <v>88</v>
      </c>
      <c r="K9" s="25" t="s">
        <v>73</v>
      </c>
      <c r="L9" s="30" t="s">
        <v>74</v>
      </c>
      <c r="M9" s="25">
        <v>90911500</v>
      </c>
      <c r="N9" s="232">
        <v>45685</v>
      </c>
      <c r="O9" s="127">
        <v>45691</v>
      </c>
    </row>
    <row r="10" spans="1:15" s="72" customFormat="1" x14ac:dyDescent="0.25">
      <c r="A10" s="18">
        <v>7</v>
      </c>
      <c r="B10" s="18">
        <v>2610</v>
      </c>
      <c r="C10" s="19" t="s">
        <v>47</v>
      </c>
      <c r="D10" s="18">
        <v>454.9</v>
      </c>
      <c r="E10" s="20" t="s">
        <v>16</v>
      </c>
      <c r="F10" s="21">
        <f t="shared" si="0"/>
        <v>181.96</v>
      </c>
      <c r="G10" s="21">
        <f>178.14</f>
        <v>178.14</v>
      </c>
      <c r="H10" s="21">
        <f t="shared" si="1"/>
        <v>3.8200000000000216</v>
      </c>
      <c r="I10" s="25">
        <v>1183461</v>
      </c>
      <c r="J10" s="27" t="s">
        <v>89</v>
      </c>
      <c r="K10" s="25" t="s">
        <v>90</v>
      </c>
      <c r="L10" s="26" t="s">
        <v>91</v>
      </c>
      <c r="M10" s="25">
        <v>95622123</v>
      </c>
      <c r="N10" s="142" t="s">
        <v>344</v>
      </c>
      <c r="O10" s="142"/>
    </row>
    <row r="11" spans="1:15" s="6" customFormat="1" x14ac:dyDescent="0.25">
      <c r="A11" s="12">
        <v>8</v>
      </c>
      <c r="B11" s="12">
        <v>2611</v>
      </c>
      <c r="C11" s="13" t="s">
        <v>92</v>
      </c>
      <c r="D11" s="12">
        <v>283.60000000000002</v>
      </c>
      <c r="E11" s="14" t="s">
        <v>16</v>
      </c>
      <c r="F11" s="15">
        <f t="shared" si="0"/>
        <v>113.44000000000001</v>
      </c>
      <c r="G11" s="15"/>
      <c r="H11" s="15">
        <f t="shared" si="1"/>
        <v>113.44000000000001</v>
      </c>
      <c r="I11" s="16">
        <v>1348989</v>
      </c>
      <c r="J11" s="17" t="s">
        <v>93</v>
      </c>
      <c r="K11" s="16" t="s">
        <v>94</v>
      </c>
      <c r="L11" s="182" t="s">
        <v>95</v>
      </c>
      <c r="M11" s="16">
        <v>99678203</v>
      </c>
      <c r="N11" s="236" t="s">
        <v>22</v>
      </c>
      <c r="O11" s="127"/>
    </row>
    <row r="12" spans="1:15" s="6" customFormat="1" x14ac:dyDescent="0.25">
      <c r="A12" s="12">
        <v>9</v>
      </c>
      <c r="B12" s="69">
        <v>2612</v>
      </c>
      <c r="C12" s="70" t="s">
        <v>96</v>
      </c>
      <c r="D12" s="69">
        <v>680.4</v>
      </c>
      <c r="E12" s="14" t="s">
        <v>16</v>
      </c>
      <c r="F12" s="15">
        <f t="shared" si="0"/>
        <v>272.16000000000003</v>
      </c>
      <c r="G12" s="15"/>
      <c r="H12" s="15">
        <f t="shared" si="1"/>
        <v>272.16000000000003</v>
      </c>
      <c r="I12" s="16">
        <v>896658</v>
      </c>
      <c r="J12" s="17" t="s">
        <v>97</v>
      </c>
      <c r="K12" s="16" t="s">
        <v>90</v>
      </c>
      <c r="L12" s="29" t="s">
        <v>91</v>
      </c>
      <c r="M12" s="16">
        <v>99831783</v>
      </c>
      <c r="N12" s="236"/>
      <c r="O12" s="127"/>
    </row>
    <row r="13" spans="1:15" s="72" customFormat="1" x14ac:dyDescent="0.25">
      <c r="A13" s="18">
        <v>10</v>
      </c>
      <c r="B13" s="18">
        <v>2613</v>
      </c>
      <c r="C13" s="19" t="s">
        <v>98</v>
      </c>
      <c r="D13" s="18">
        <v>191.8</v>
      </c>
      <c r="E13" s="20" t="s">
        <v>16</v>
      </c>
      <c r="F13" s="21">
        <f t="shared" si="0"/>
        <v>76.720000000000013</v>
      </c>
      <c r="G13" s="21">
        <f>73.33</f>
        <v>73.33</v>
      </c>
      <c r="H13" s="21">
        <f t="shared" si="1"/>
        <v>3.3900000000000148</v>
      </c>
      <c r="I13" s="25">
        <v>2884732</v>
      </c>
      <c r="J13" s="27" t="s">
        <v>99</v>
      </c>
      <c r="K13" s="25" t="s">
        <v>18</v>
      </c>
      <c r="L13" s="30" t="s">
        <v>19</v>
      </c>
      <c r="M13" s="25">
        <v>95878851</v>
      </c>
      <c r="N13" s="237">
        <v>45679</v>
      </c>
      <c r="O13" s="127"/>
    </row>
    <row r="14" spans="1:15" s="6" customFormat="1" x14ac:dyDescent="0.25">
      <c r="A14" s="12">
        <v>11</v>
      </c>
      <c r="B14" s="12">
        <v>2614</v>
      </c>
      <c r="C14" s="13" t="s">
        <v>100</v>
      </c>
      <c r="D14" s="12">
        <v>411.2</v>
      </c>
      <c r="E14" s="14" t="s">
        <v>16</v>
      </c>
      <c r="F14" s="15">
        <f t="shared" si="0"/>
        <v>164.48000000000002</v>
      </c>
      <c r="G14" s="15"/>
      <c r="H14" s="15">
        <f t="shared" si="1"/>
        <v>164.48000000000002</v>
      </c>
      <c r="I14" s="16">
        <v>1015515</v>
      </c>
      <c r="J14" s="17" t="s">
        <v>101</v>
      </c>
      <c r="K14" s="16" t="s">
        <v>90</v>
      </c>
      <c r="L14" s="29" t="s">
        <v>91</v>
      </c>
      <c r="M14" s="16">
        <v>92350077</v>
      </c>
      <c r="N14" s="235"/>
      <c r="O14" s="127"/>
    </row>
    <row r="15" spans="1:15" s="6" customFormat="1" x14ac:dyDescent="0.25">
      <c r="A15" s="18">
        <v>12</v>
      </c>
      <c r="B15" s="18">
        <v>2615</v>
      </c>
      <c r="C15" s="19" t="s">
        <v>102</v>
      </c>
      <c r="D15" s="18">
        <v>497.4</v>
      </c>
      <c r="E15" s="20" t="s">
        <v>16</v>
      </c>
      <c r="F15" s="21">
        <f t="shared" si="0"/>
        <v>198.96</v>
      </c>
      <c r="G15" s="21">
        <f>198.62+0.34</f>
        <v>198.96</v>
      </c>
      <c r="H15" s="21">
        <f t="shared" si="1"/>
        <v>0</v>
      </c>
      <c r="I15" s="25">
        <v>1248772</v>
      </c>
      <c r="J15" s="27" t="s">
        <v>103</v>
      </c>
      <c r="K15" s="25" t="s">
        <v>94</v>
      </c>
      <c r="L15" s="73" t="s">
        <v>95</v>
      </c>
      <c r="M15" s="25">
        <v>91102881</v>
      </c>
      <c r="N15" s="232">
        <v>45665</v>
      </c>
      <c r="O15" s="127">
        <v>45691</v>
      </c>
    </row>
    <row r="16" spans="1:15" x14ac:dyDescent="0.25">
      <c r="A16" s="18">
        <v>13</v>
      </c>
      <c r="B16" s="18">
        <v>2616</v>
      </c>
      <c r="C16" s="19" t="s">
        <v>15</v>
      </c>
      <c r="D16" s="18">
        <v>169.1</v>
      </c>
      <c r="E16" s="20" t="s">
        <v>16</v>
      </c>
      <c r="F16" s="21">
        <f t="shared" si="0"/>
        <v>67.64</v>
      </c>
      <c r="G16" s="22">
        <f>F16</f>
        <v>67.64</v>
      </c>
      <c r="H16" s="21">
        <f t="shared" si="1"/>
        <v>0</v>
      </c>
      <c r="I16" s="23">
        <v>6225617</v>
      </c>
      <c r="J16" s="24" t="s">
        <v>17</v>
      </c>
      <c r="K16" s="25" t="s">
        <v>18</v>
      </c>
      <c r="L16" s="26" t="s">
        <v>19</v>
      </c>
      <c r="M16" s="25">
        <v>98004554</v>
      </c>
      <c r="N16" s="237">
        <v>45670</v>
      </c>
    </row>
    <row r="17" spans="1:15" s="72" customFormat="1" x14ac:dyDescent="0.25">
      <c r="A17" s="18">
        <v>14</v>
      </c>
      <c r="B17" s="18">
        <v>2617</v>
      </c>
      <c r="C17" s="19" t="s">
        <v>105</v>
      </c>
      <c r="D17" s="18">
        <v>264.60000000000002</v>
      </c>
      <c r="E17" s="20" t="s">
        <v>16</v>
      </c>
      <c r="F17" s="21">
        <f t="shared" si="0"/>
        <v>105.84000000000002</v>
      </c>
      <c r="G17" s="21">
        <f>103.62</f>
        <v>103.62</v>
      </c>
      <c r="H17" s="21">
        <f t="shared" si="1"/>
        <v>2.2200000000000131</v>
      </c>
      <c r="I17" s="18">
        <v>17375838</v>
      </c>
      <c r="J17" s="27" t="s">
        <v>106</v>
      </c>
      <c r="K17" s="25" t="s">
        <v>73</v>
      </c>
      <c r="L17" s="30" t="s">
        <v>74</v>
      </c>
      <c r="M17" s="30">
        <v>95089970</v>
      </c>
      <c r="N17" s="238">
        <v>45691</v>
      </c>
      <c r="O17" s="142"/>
    </row>
    <row r="18" spans="1:15" s="6" customFormat="1" x14ac:dyDescent="0.25">
      <c r="A18" s="12">
        <v>15</v>
      </c>
      <c r="B18" s="69">
        <v>2618</v>
      </c>
      <c r="C18" s="70" t="s">
        <v>48</v>
      </c>
      <c r="D18" s="69">
        <v>456</v>
      </c>
      <c r="E18" s="14" t="s">
        <v>16</v>
      </c>
      <c r="F18" s="15">
        <f t="shared" si="0"/>
        <v>182.4</v>
      </c>
      <c r="G18" s="15"/>
      <c r="H18" s="15">
        <f t="shared" si="1"/>
        <v>182.4</v>
      </c>
      <c r="I18" s="16">
        <v>6552811</v>
      </c>
      <c r="J18" s="17" t="s">
        <v>107</v>
      </c>
      <c r="K18" s="16" t="s">
        <v>73</v>
      </c>
      <c r="L18" s="32" t="s">
        <v>74</v>
      </c>
      <c r="M18" s="16">
        <v>99085221</v>
      </c>
      <c r="N18" s="236"/>
      <c r="O18" s="127"/>
    </row>
    <row r="19" spans="1:15" s="6" customFormat="1" x14ac:dyDescent="0.25">
      <c r="A19" s="12">
        <v>16</v>
      </c>
      <c r="B19" s="69">
        <v>2619</v>
      </c>
      <c r="C19" s="70" t="s">
        <v>108</v>
      </c>
      <c r="D19" s="69">
        <v>532</v>
      </c>
      <c r="E19" s="14" t="s">
        <v>16</v>
      </c>
      <c r="F19" s="15">
        <f t="shared" si="0"/>
        <v>212.8</v>
      </c>
      <c r="G19" s="15"/>
      <c r="H19" s="15">
        <f t="shared" si="1"/>
        <v>212.8</v>
      </c>
      <c r="I19" s="16">
        <v>6552839</v>
      </c>
      <c r="J19" s="17" t="s">
        <v>109</v>
      </c>
      <c r="K19" s="16" t="s">
        <v>90</v>
      </c>
      <c r="L19" s="29" t="s">
        <v>91</v>
      </c>
      <c r="M19" s="16">
        <v>92017833</v>
      </c>
      <c r="N19" s="236"/>
      <c r="O19" s="127"/>
    </row>
    <row r="20" spans="1:15" s="72" customFormat="1" x14ac:dyDescent="0.25">
      <c r="A20" s="12">
        <v>17</v>
      </c>
      <c r="B20" s="12">
        <v>2620</v>
      </c>
      <c r="C20" s="13" t="s">
        <v>110</v>
      </c>
      <c r="D20" s="12">
        <v>311.5</v>
      </c>
      <c r="E20" s="14" t="s">
        <v>16</v>
      </c>
      <c r="F20" s="15">
        <f t="shared" si="0"/>
        <v>124.60000000000001</v>
      </c>
      <c r="G20" s="15"/>
      <c r="H20" s="15">
        <f t="shared" si="1"/>
        <v>124.60000000000001</v>
      </c>
      <c r="I20" s="16">
        <v>1183437</v>
      </c>
      <c r="J20" s="17" t="s">
        <v>111</v>
      </c>
      <c r="K20" s="16" t="s">
        <v>73</v>
      </c>
      <c r="L20" s="32" t="s">
        <v>74</v>
      </c>
      <c r="M20" s="16">
        <v>92585717</v>
      </c>
      <c r="N20" s="127"/>
      <c r="O20" s="142"/>
    </row>
    <row r="21" spans="1:15" s="72" customFormat="1" x14ac:dyDescent="0.25">
      <c r="A21" s="18">
        <v>18</v>
      </c>
      <c r="B21" s="18">
        <v>2621</v>
      </c>
      <c r="C21" s="19" t="s">
        <v>113</v>
      </c>
      <c r="D21" s="18">
        <v>281.39999999999998</v>
      </c>
      <c r="E21" s="20" t="s">
        <v>16</v>
      </c>
      <c r="F21" s="21">
        <f t="shared" si="0"/>
        <v>112.56</v>
      </c>
      <c r="G21" s="21">
        <f>112.56</f>
        <v>112.56</v>
      </c>
      <c r="H21" s="21">
        <f t="shared" si="1"/>
        <v>0</v>
      </c>
      <c r="I21" s="25">
        <v>19745547</v>
      </c>
      <c r="J21" s="27" t="s">
        <v>114</v>
      </c>
      <c r="K21" s="25" t="s">
        <v>73</v>
      </c>
      <c r="L21" s="30" t="s">
        <v>74</v>
      </c>
      <c r="M21" s="25">
        <v>98821811</v>
      </c>
      <c r="N21" s="232">
        <v>45963</v>
      </c>
      <c r="O21" s="142"/>
    </row>
    <row r="22" spans="1:15" s="6" customFormat="1" x14ac:dyDescent="0.25">
      <c r="A22" s="18">
        <v>19</v>
      </c>
      <c r="B22" s="18">
        <v>2622</v>
      </c>
      <c r="C22" s="19" t="s">
        <v>115</v>
      </c>
      <c r="D22" s="18">
        <v>420</v>
      </c>
      <c r="E22" s="20" t="s">
        <v>16</v>
      </c>
      <c r="F22" s="21">
        <f t="shared" si="0"/>
        <v>168</v>
      </c>
      <c r="G22" s="21">
        <f>164.54+3.46</f>
        <v>168</v>
      </c>
      <c r="H22" s="21">
        <f t="shared" si="1"/>
        <v>0</v>
      </c>
      <c r="I22" s="25">
        <v>6067343</v>
      </c>
      <c r="J22" s="27" t="s">
        <v>116</v>
      </c>
      <c r="K22" s="25" t="s">
        <v>94</v>
      </c>
      <c r="L22" s="73" t="s">
        <v>95</v>
      </c>
      <c r="M22" s="25">
        <v>91329902</v>
      </c>
      <c r="N22" s="232">
        <v>45677</v>
      </c>
      <c r="O22" s="127">
        <v>45810</v>
      </c>
    </row>
    <row r="23" spans="1:15" s="6" customFormat="1" x14ac:dyDescent="0.25">
      <c r="A23" s="12">
        <v>20</v>
      </c>
      <c r="B23" s="69">
        <v>2623</v>
      </c>
      <c r="C23" s="70" t="s">
        <v>49</v>
      </c>
      <c r="D23" s="69">
        <v>243.9</v>
      </c>
      <c r="E23" s="14" t="s">
        <v>16</v>
      </c>
      <c r="F23" s="15">
        <f t="shared" si="0"/>
        <v>97.56</v>
      </c>
      <c r="G23" s="15"/>
      <c r="H23" s="15">
        <f t="shared" si="1"/>
        <v>97.56</v>
      </c>
      <c r="I23" s="16">
        <v>1994004</v>
      </c>
      <c r="J23" s="17" t="s">
        <v>117</v>
      </c>
      <c r="K23" s="16" t="s">
        <v>73</v>
      </c>
      <c r="L23" s="32" t="s">
        <v>74</v>
      </c>
      <c r="M23" s="16">
        <v>99489917</v>
      </c>
      <c r="N23" s="236"/>
      <c r="O23" s="127"/>
    </row>
    <row r="24" spans="1:15" s="72" customFormat="1" x14ac:dyDescent="0.25">
      <c r="A24" s="18">
        <v>21</v>
      </c>
      <c r="B24" s="18">
        <v>2624</v>
      </c>
      <c r="C24" s="19" t="s">
        <v>118</v>
      </c>
      <c r="D24" s="18">
        <v>269.2</v>
      </c>
      <c r="E24" s="20" t="s">
        <v>16</v>
      </c>
      <c r="F24" s="21">
        <f t="shared" si="0"/>
        <v>107.68</v>
      </c>
      <c r="G24" s="21">
        <f>104.66</f>
        <v>104.66</v>
      </c>
      <c r="H24" s="21">
        <f t="shared" si="1"/>
        <v>3.0200000000000102</v>
      </c>
      <c r="I24" s="25">
        <v>3206725</v>
      </c>
      <c r="J24" s="27">
        <v>401002509090012</v>
      </c>
      <c r="K24" s="25" t="s">
        <v>73</v>
      </c>
      <c r="L24" s="30" t="s">
        <v>74</v>
      </c>
      <c r="M24" s="25">
        <v>93325253</v>
      </c>
      <c r="N24" s="232">
        <v>45810</v>
      </c>
      <c r="O24" s="142"/>
    </row>
    <row r="25" spans="1:15" x14ac:dyDescent="0.25">
      <c r="A25" s="12">
        <v>22</v>
      </c>
      <c r="B25" s="69">
        <v>2625</v>
      </c>
      <c r="C25" s="70" t="s">
        <v>119</v>
      </c>
      <c r="D25" s="69">
        <v>650.20000000000005</v>
      </c>
      <c r="E25" s="14" t="s">
        <v>16</v>
      </c>
      <c r="F25" s="15">
        <f t="shared" si="0"/>
        <v>260.08000000000004</v>
      </c>
      <c r="G25" s="15"/>
      <c r="H25" s="15">
        <f t="shared" si="1"/>
        <v>260.08000000000004</v>
      </c>
      <c r="I25" s="16">
        <v>5474204</v>
      </c>
      <c r="J25" s="17" t="s">
        <v>120</v>
      </c>
      <c r="K25" s="16" t="s">
        <v>73</v>
      </c>
      <c r="L25" s="32" t="s">
        <v>74</v>
      </c>
      <c r="M25" s="16">
        <v>92806972</v>
      </c>
      <c r="N25" s="236" t="s">
        <v>22</v>
      </c>
    </row>
    <row r="26" spans="1:15" s="6" customFormat="1" x14ac:dyDescent="0.25">
      <c r="A26" s="12">
        <v>23</v>
      </c>
      <c r="B26" s="69">
        <v>2626</v>
      </c>
      <c r="C26" s="70" t="s">
        <v>51</v>
      </c>
      <c r="D26" s="69">
        <v>277.5</v>
      </c>
      <c r="E26" s="14" t="s">
        <v>16</v>
      </c>
      <c r="F26" s="15">
        <f t="shared" si="0"/>
        <v>111</v>
      </c>
      <c r="G26" s="15"/>
      <c r="H26" s="15">
        <f t="shared" si="1"/>
        <v>111</v>
      </c>
      <c r="I26" s="78">
        <v>3083395</v>
      </c>
      <c r="J26" s="183" t="s">
        <v>121</v>
      </c>
      <c r="K26" s="78" t="s">
        <v>73</v>
      </c>
      <c r="L26" s="79" t="s">
        <v>74</v>
      </c>
      <c r="M26" s="78">
        <v>99287760</v>
      </c>
      <c r="N26" s="239"/>
      <c r="O26" s="127"/>
    </row>
    <row r="27" spans="1:15" s="6" customFormat="1" x14ac:dyDescent="0.25">
      <c r="A27" s="18">
        <v>24</v>
      </c>
      <c r="B27" s="18">
        <v>2627</v>
      </c>
      <c r="C27" s="19" t="s">
        <v>122</v>
      </c>
      <c r="D27" s="18">
        <v>176.8</v>
      </c>
      <c r="E27" s="20" t="s">
        <v>16</v>
      </c>
      <c r="F27" s="21">
        <f t="shared" si="0"/>
        <v>70.720000000000013</v>
      </c>
      <c r="G27" s="21">
        <f>68.58+2.14</f>
        <v>70.72</v>
      </c>
      <c r="H27" s="21">
        <f t="shared" si="1"/>
        <v>0</v>
      </c>
      <c r="I27" s="25">
        <v>2011348</v>
      </c>
      <c r="J27" s="27" t="s">
        <v>123</v>
      </c>
      <c r="K27" s="25" t="s">
        <v>94</v>
      </c>
      <c r="L27" s="73" t="s">
        <v>95</v>
      </c>
      <c r="M27" s="25">
        <v>98509729</v>
      </c>
      <c r="N27" s="232">
        <v>45677</v>
      </c>
      <c r="O27" s="127">
        <v>45932</v>
      </c>
    </row>
    <row r="28" spans="1:15" s="6" customFormat="1" x14ac:dyDescent="0.25">
      <c r="A28" s="12">
        <v>25</v>
      </c>
      <c r="B28" s="12">
        <v>2628</v>
      </c>
      <c r="C28" s="13" t="s">
        <v>124</v>
      </c>
      <c r="D28" s="12">
        <v>433.9</v>
      </c>
      <c r="E28" s="14" t="s">
        <v>16</v>
      </c>
      <c r="F28" s="15">
        <f t="shared" si="0"/>
        <v>173.56</v>
      </c>
      <c r="G28" s="15"/>
      <c r="H28" s="15">
        <f t="shared" si="1"/>
        <v>173.56</v>
      </c>
      <c r="I28" s="16">
        <v>2396272</v>
      </c>
      <c r="J28" s="17" t="s">
        <v>125</v>
      </c>
      <c r="K28" s="16" t="s">
        <v>73</v>
      </c>
      <c r="L28" s="32" t="s">
        <v>74</v>
      </c>
      <c r="M28" s="16">
        <v>990991999</v>
      </c>
      <c r="N28" s="236" t="s">
        <v>22</v>
      </c>
      <c r="O28" s="127"/>
    </row>
    <row r="29" spans="1:15" s="6" customFormat="1" x14ac:dyDescent="0.25">
      <c r="A29" s="18">
        <v>26</v>
      </c>
      <c r="B29" s="18">
        <v>2629</v>
      </c>
      <c r="C29" s="19" t="s">
        <v>32</v>
      </c>
      <c r="D29" s="18">
        <v>365.8</v>
      </c>
      <c r="E29" s="20" t="s">
        <v>16</v>
      </c>
      <c r="F29" s="21">
        <f t="shared" si="0"/>
        <v>146.32000000000002</v>
      </c>
      <c r="G29" s="21">
        <f>36.83+106.7</f>
        <v>143.53</v>
      </c>
      <c r="H29" s="21">
        <f t="shared" si="1"/>
        <v>2.7900000000000205</v>
      </c>
      <c r="I29" s="25">
        <v>6488371</v>
      </c>
      <c r="J29" s="27" t="s">
        <v>126</v>
      </c>
      <c r="K29" s="25" t="s">
        <v>18</v>
      </c>
      <c r="L29" s="74" t="s">
        <v>19</v>
      </c>
      <c r="M29" s="25">
        <v>99096166</v>
      </c>
      <c r="N29" s="232">
        <v>45658</v>
      </c>
      <c r="O29" s="206">
        <v>45685</v>
      </c>
    </row>
    <row r="30" spans="1:15" s="6" customFormat="1" x14ac:dyDescent="0.25">
      <c r="A30" s="12">
        <v>27</v>
      </c>
      <c r="B30" s="69">
        <v>2630</v>
      </c>
      <c r="C30" s="70" t="s">
        <v>127</v>
      </c>
      <c r="D30" s="69">
        <v>259.39999999999998</v>
      </c>
      <c r="E30" s="14" t="s">
        <v>16</v>
      </c>
      <c r="F30" s="15">
        <f t="shared" si="0"/>
        <v>103.75999999999999</v>
      </c>
      <c r="G30" s="15"/>
      <c r="H30" s="15">
        <f t="shared" si="1"/>
        <v>103.75999999999999</v>
      </c>
      <c r="I30" s="16">
        <v>8098813</v>
      </c>
      <c r="J30" s="17" t="s">
        <v>128</v>
      </c>
      <c r="K30" s="16" t="s">
        <v>80</v>
      </c>
      <c r="L30" s="185" t="s">
        <v>81</v>
      </c>
      <c r="M30" s="16">
        <v>98279944</v>
      </c>
      <c r="N30" s="236"/>
      <c r="O30" s="127"/>
    </row>
    <row r="31" spans="1:15" s="6" customFormat="1" x14ac:dyDescent="0.25">
      <c r="A31" s="18">
        <v>28</v>
      </c>
      <c r="B31" s="18">
        <v>2631</v>
      </c>
      <c r="C31" s="19" t="s">
        <v>129</v>
      </c>
      <c r="D31" s="18">
        <v>210.9</v>
      </c>
      <c r="E31" s="20" t="s">
        <v>16</v>
      </c>
      <c r="F31" s="21">
        <f t="shared" si="0"/>
        <v>84.360000000000014</v>
      </c>
      <c r="G31" s="21">
        <f>82.48</f>
        <v>82.48</v>
      </c>
      <c r="H31" s="21">
        <f t="shared" si="1"/>
        <v>1.8800000000000097</v>
      </c>
      <c r="I31" s="25">
        <v>931835</v>
      </c>
      <c r="J31" s="27" t="s">
        <v>130</v>
      </c>
      <c r="K31" s="25" t="s">
        <v>73</v>
      </c>
      <c r="L31" s="30" t="s">
        <v>74</v>
      </c>
      <c r="M31" s="25">
        <v>91766175</v>
      </c>
      <c r="N31" s="232">
        <v>45691</v>
      </c>
      <c r="O31" s="127"/>
    </row>
    <row r="32" spans="1:15" s="72" customFormat="1" x14ac:dyDescent="0.25">
      <c r="A32" s="18">
        <v>29</v>
      </c>
      <c r="B32" s="18">
        <v>2632</v>
      </c>
      <c r="C32" s="19" t="s">
        <v>53</v>
      </c>
      <c r="D32" s="18">
        <v>258.7</v>
      </c>
      <c r="E32" s="20" t="s">
        <v>16</v>
      </c>
      <c r="F32" s="21">
        <f t="shared" si="0"/>
        <v>103.48</v>
      </c>
      <c r="G32" s="21">
        <f>96.68</f>
        <v>96.68</v>
      </c>
      <c r="H32" s="21">
        <f t="shared" si="1"/>
        <v>6.7999999999999972</v>
      </c>
      <c r="I32" s="25">
        <v>18395066</v>
      </c>
      <c r="J32" s="27" t="s">
        <v>131</v>
      </c>
      <c r="K32" s="25" t="s">
        <v>132</v>
      </c>
      <c r="L32" s="30" t="s">
        <v>133</v>
      </c>
      <c r="M32" s="25">
        <v>9562212</v>
      </c>
      <c r="N32" s="232">
        <v>45810</v>
      </c>
      <c r="O32" s="142"/>
    </row>
    <row r="33" spans="1:15" s="6" customFormat="1" x14ac:dyDescent="0.25">
      <c r="A33" s="12">
        <v>30</v>
      </c>
      <c r="B33" s="69">
        <v>2633</v>
      </c>
      <c r="C33" s="70" t="s">
        <v>134</v>
      </c>
      <c r="D33" s="69">
        <v>0</v>
      </c>
      <c r="E33" s="14" t="s">
        <v>16</v>
      </c>
      <c r="F33" s="15">
        <f t="shared" si="0"/>
        <v>0</v>
      </c>
      <c r="G33" s="15"/>
      <c r="H33" s="15">
        <f t="shared" si="1"/>
        <v>0</v>
      </c>
      <c r="I33" s="16">
        <v>5585042</v>
      </c>
      <c r="J33" s="17" t="s">
        <v>135</v>
      </c>
      <c r="K33" s="16" t="s">
        <v>80</v>
      </c>
      <c r="L33" s="185" t="s">
        <v>81</v>
      </c>
      <c r="M33" s="16">
        <v>92768880</v>
      </c>
      <c r="N33" s="236"/>
      <c r="O33" s="127"/>
    </row>
    <row r="34" spans="1:15" s="72" customFormat="1" x14ac:dyDescent="0.25">
      <c r="A34" s="18">
        <v>31</v>
      </c>
      <c r="B34" s="18">
        <v>2634</v>
      </c>
      <c r="C34" s="19" t="s">
        <v>136</v>
      </c>
      <c r="D34" s="18">
        <v>386.9</v>
      </c>
      <c r="E34" s="20" t="s">
        <v>16</v>
      </c>
      <c r="F34" s="21">
        <f t="shared" si="0"/>
        <v>154.76</v>
      </c>
      <c r="G34" s="21">
        <f>154.26</f>
        <v>154.26</v>
      </c>
      <c r="H34" s="21">
        <f t="shared" si="1"/>
        <v>0.5</v>
      </c>
      <c r="I34" s="25">
        <v>24361971</v>
      </c>
      <c r="J34" s="27" t="s">
        <v>137</v>
      </c>
      <c r="K34" s="25" t="s">
        <v>80</v>
      </c>
      <c r="L34" s="76" t="s">
        <v>81</v>
      </c>
      <c r="M34" s="25">
        <v>93384540</v>
      </c>
      <c r="N34" s="240">
        <v>45932</v>
      </c>
      <c r="O34" s="142"/>
    </row>
    <row r="35" spans="1:15" s="6" customFormat="1" x14ac:dyDescent="0.25">
      <c r="A35" s="18">
        <v>32</v>
      </c>
      <c r="B35" s="18">
        <v>2635</v>
      </c>
      <c r="C35" s="19" t="s">
        <v>138</v>
      </c>
      <c r="D35" s="18">
        <v>285</v>
      </c>
      <c r="E35" s="20" t="s">
        <v>16</v>
      </c>
      <c r="F35" s="21">
        <f t="shared" si="0"/>
        <v>114</v>
      </c>
      <c r="G35" s="21">
        <f>109.77+4.23</f>
        <v>114</v>
      </c>
      <c r="H35" s="21">
        <f t="shared" si="1"/>
        <v>0</v>
      </c>
      <c r="I35" s="30">
        <v>19928115</v>
      </c>
      <c r="J35" s="27" t="s">
        <v>139</v>
      </c>
      <c r="K35" s="30" t="s">
        <v>73</v>
      </c>
      <c r="L35" s="30" t="s">
        <v>74</v>
      </c>
      <c r="M35" s="25">
        <v>94606075</v>
      </c>
      <c r="N35" s="241">
        <v>45679</v>
      </c>
      <c r="O35" s="127">
        <v>45932</v>
      </c>
    </row>
    <row r="36" spans="1:15" s="72" customFormat="1" x14ac:dyDescent="0.25">
      <c r="A36" s="18">
        <v>33</v>
      </c>
      <c r="B36" s="18">
        <v>2636</v>
      </c>
      <c r="C36" s="19" t="s">
        <v>140</v>
      </c>
      <c r="D36" s="18">
        <v>369.7</v>
      </c>
      <c r="E36" s="20" t="s">
        <v>16</v>
      </c>
      <c r="F36" s="21">
        <f t="shared" ref="F36:F67" si="2">D36*E36</f>
        <v>147.88</v>
      </c>
      <c r="G36" s="21">
        <f>144.96</f>
        <v>144.96</v>
      </c>
      <c r="H36" s="21">
        <f t="shared" ref="H36:H67" si="3">F36-G36</f>
        <v>2.9199999999999875</v>
      </c>
      <c r="I36" s="25">
        <v>2092081</v>
      </c>
      <c r="J36" s="27" t="s">
        <v>141</v>
      </c>
      <c r="K36" s="25" t="s">
        <v>73</v>
      </c>
      <c r="L36" s="30" t="s">
        <v>74</v>
      </c>
      <c r="M36" s="25">
        <v>92565542</v>
      </c>
      <c r="N36" s="232">
        <v>45810</v>
      </c>
      <c r="O36" s="142"/>
    </row>
    <row r="37" spans="1:15" s="6" customFormat="1" x14ac:dyDescent="0.25">
      <c r="A37" s="12">
        <v>34</v>
      </c>
      <c r="B37" s="69">
        <v>2637</v>
      </c>
      <c r="C37" s="70" t="s">
        <v>142</v>
      </c>
      <c r="D37" s="69">
        <v>257.60000000000002</v>
      </c>
      <c r="E37" s="14" t="s">
        <v>16</v>
      </c>
      <c r="F37" s="15">
        <f t="shared" si="2"/>
        <v>103.04000000000002</v>
      </c>
      <c r="G37" s="15"/>
      <c r="H37" s="15">
        <f t="shared" si="3"/>
        <v>103.04000000000002</v>
      </c>
      <c r="I37" s="16">
        <v>12073906</v>
      </c>
      <c r="J37" s="17" t="s">
        <v>143</v>
      </c>
      <c r="K37" s="16" t="s">
        <v>90</v>
      </c>
      <c r="L37" s="29" t="s">
        <v>91</v>
      </c>
      <c r="M37" s="16">
        <v>95851127</v>
      </c>
      <c r="N37" s="236"/>
      <c r="O37" s="127"/>
    </row>
    <row r="38" spans="1:15" s="6" customFormat="1" x14ac:dyDescent="0.25">
      <c r="A38" s="12">
        <v>35</v>
      </c>
      <c r="B38" s="69">
        <v>2638</v>
      </c>
      <c r="C38" s="70" t="s">
        <v>144</v>
      </c>
      <c r="D38" s="69">
        <v>0</v>
      </c>
      <c r="E38" s="14" t="s">
        <v>16</v>
      </c>
      <c r="F38" s="15">
        <f t="shared" si="2"/>
        <v>0</v>
      </c>
      <c r="G38" s="15"/>
      <c r="H38" s="15">
        <f t="shared" si="3"/>
        <v>0</v>
      </c>
      <c r="I38" s="16">
        <v>21944623</v>
      </c>
      <c r="J38" s="17" t="s">
        <v>145</v>
      </c>
      <c r="K38" s="16" t="s">
        <v>73</v>
      </c>
      <c r="L38" s="32" t="s">
        <v>74</v>
      </c>
      <c r="M38" s="16">
        <v>96622170</v>
      </c>
      <c r="N38" s="236"/>
      <c r="O38" s="127"/>
    </row>
    <row r="39" spans="1:15" s="6" customFormat="1" x14ac:dyDescent="0.25">
      <c r="A39" s="12">
        <v>36</v>
      </c>
      <c r="B39" s="69">
        <v>2639</v>
      </c>
      <c r="C39" s="70" t="s">
        <v>146</v>
      </c>
      <c r="D39" s="69">
        <v>175.4</v>
      </c>
      <c r="E39" s="14" t="s">
        <v>16</v>
      </c>
      <c r="F39" s="15">
        <f t="shared" si="2"/>
        <v>70.160000000000011</v>
      </c>
      <c r="G39" s="15"/>
      <c r="H39" s="15">
        <f t="shared" si="3"/>
        <v>70.160000000000011</v>
      </c>
      <c r="I39" s="16">
        <v>1389397</v>
      </c>
      <c r="J39" s="17" t="s">
        <v>147</v>
      </c>
      <c r="K39" s="16" t="s">
        <v>73</v>
      </c>
      <c r="L39" s="32" t="s">
        <v>74</v>
      </c>
      <c r="M39" s="16">
        <v>99282044</v>
      </c>
      <c r="N39" s="236"/>
      <c r="O39" s="127"/>
    </row>
    <row r="40" spans="1:15" s="72" customFormat="1" x14ac:dyDescent="0.25">
      <c r="A40" s="18">
        <v>37</v>
      </c>
      <c r="B40" s="18">
        <v>2640</v>
      </c>
      <c r="C40" s="19" t="s">
        <v>35</v>
      </c>
      <c r="D40" s="18">
        <v>106.9</v>
      </c>
      <c r="E40" s="20" t="s">
        <v>16</v>
      </c>
      <c r="F40" s="21">
        <f t="shared" si="2"/>
        <v>42.760000000000005</v>
      </c>
      <c r="G40" s="21">
        <f>39.27</f>
        <v>39.270000000000003</v>
      </c>
      <c r="H40" s="21">
        <f t="shared" si="3"/>
        <v>3.490000000000002</v>
      </c>
      <c r="I40" s="25">
        <v>25021829</v>
      </c>
      <c r="J40" s="27" t="s">
        <v>148</v>
      </c>
      <c r="K40" s="25" t="s">
        <v>73</v>
      </c>
      <c r="L40" s="30" t="s">
        <v>74</v>
      </c>
      <c r="M40" s="25">
        <v>93383987</v>
      </c>
      <c r="N40" s="232">
        <v>45810</v>
      </c>
      <c r="O40" s="142"/>
    </row>
    <row r="41" spans="1:15" s="6" customFormat="1" x14ac:dyDescent="0.25">
      <c r="A41" s="12">
        <v>38</v>
      </c>
      <c r="B41" s="69">
        <v>2641</v>
      </c>
      <c r="C41" s="70" t="s">
        <v>149</v>
      </c>
      <c r="D41" s="69">
        <v>61.7</v>
      </c>
      <c r="E41" s="14" t="s">
        <v>16</v>
      </c>
      <c r="F41" s="15">
        <f t="shared" si="2"/>
        <v>24.680000000000003</v>
      </c>
      <c r="G41" s="15"/>
      <c r="H41" s="15">
        <f t="shared" si="3"/>
        <v>24.680000000000003</v>
      </c>
      <c r="I41" s="16">
        <v>1499316</v>
      </c>
      <c r="J41" s="17" t="s">
        <v>150</v>
      </c>
      <c r="K41" s="16" t="s">
        <v>90</v>
      </c>
      <c r="L41" s="32" t="s">
        <v>91</v>
      </c>
      <c r="M41" s="16">
        <v>99677197</v>
      </c>
      <c r="N41" s="236"/>
      <c r="O41" s="127"/>
    </row>
    <row r="42" spans="1:15" s="72" customFormat="1" ht="15" customHeight="1" x14ac:dyDescent="0.25">
      <c r="A42" s="18">
        <v>39</v>
      </c>
      <c r="B42" s="18">
        <v>2642</v>
      </c>
      <c r="C42" s="19" t="s">
        <v>151</v>
      </c>
      <c r="D42" s="18">
        <v>316</v>
      </c>
      <c r="E42" s="20" t="s">
        <v>16</v>
      </c>
      <c r="F42" s="21">
        <f t="shared" si="2"/>
        <v>126.4</v>
      </c>
      <c r="G42" s="21">
        <f>124.43</f>
        <v>124.43</v>
      </c>
      <c r="H42" s="21">
        <f t="shared" si="3"/>
        <v>1.9699999999999989</v>
      </c>
      <c r="I42" s="25">
        <v>3018879</v>
      </c>
      <c r="J42" s="27" t="s">
        <v>152</v>
      </c>
      <c r="K42" s="25" t="s">
        <v>80</v>
      </c>
      <c r="L42" s="76" t="s">
        <v>81</v>
      </c>
      <c r="M42" s="25">
        <v>98818754</v>
      </c>
      <c r="N42" s="233">
        <v>45691</v>
      </c>
      <c r="O42" s="142"/>
    </row>
    <row r="43" spans="1:15" s="120" customFormat="1" x14ac:dyDescent="0.25">
      <c r="A43" s="96">
        <v>40</v>
      </c>
      <c r="B43" s="96">
        <v>2643</v>
      </c>
      <c r="C43" s="97" t="s">
        <v>153</v>
      </c>
      <c r="D43" s="96">
        <v>437</v>
      </c>
      <c r="E43" s="98" t="s">
        <v>16</v>
      </c>
      <c r="F43" s="99">
        <f t="shared" si="2"/>
        <v>174.8</v>
      </c>
      <c r="G43" s="99">
        <f>F43</f>
        <v>174.8</v>
      </c>
      <c r="H43" s="99">
        <f t="shared" si="3"/>
        <v>0</v>
      </c>
      <c r="I43" s="100">
        <v>1485446</v>
      </c>
      <c r="J43" s="101" t="s">
        <v>154</v>
      </c>
      <c r="K43" s="100" t="s">
        <v>18</v>
      </c>
      <c r="L43" s="102" t="s">
        <v>19</v>
      </c>
      <c r="M43" s="100">
        <v>99747558</v>
      </c>
      <c r="N43" s="242">
        <v>45932</v>
      </c>
      <c r="O43" s="231"/>
    </row>
    <row r="44" spans="1:15" x14ac:dyDescent="0.25">
      <c r="A44" s="12">
        <v>41</v>
      </c>
      <c r="B44" s="69">
        <v>2644</v>
      </c>
      <c r="C44" s="70" t="s">
        <v>155</v>
      </c>
      <c r="D44" s="69">
        <v>281.7</v>
      </c>
      <c r="E44" s="14" t="s">
        <v>16</v>
      </c>
      <c r="F44" s="15">
        <f t="shared" si="2"/>
        <v>112.68</v>
      </c>
      <c r="G44" s="15"/>
      <c r="H44" s="15">
        <f t="shared" si="3"/>
        <v>112.68</v>
      </c>
      <c r="I44" s="78">
        <v>23180515</v>
      </c>
      <c r="J44" s="183" t="s">
        <v>156</v>
      </c>
      <c r="K44" s="78" t="s">
        <v>73</v>
      </c>
      <c r="L44" s="79" t="s">
        <v>74</v>
      </c>
      <c r="M44" s="78">
        <v>95931303</v>
      </c>
      <c r="N44" s="236" t="s">
        <v>22</v>
      </c>
    </row>
    <row r="45" spans="1:15" s="6" customFormat="1" x14ac:dyDescent="0.25">
      <c r="A45" s="12">
        <v>42</v>
      </c>
      <c r="B45" s="69">
        <v>2645</v>
      </c>
      <c r="C45" s="70" t="s">
        <v>157</v>
      </c>
      <c r="D45" s="69">
        <v>274.39999999999998</v>
      </c>
      <c r="E45" s="14" t="s">
        <v>16</v>
      </c>
      <c r="F45" s="15">
        <f t="shared" si="2"/>
        <v>109.75999999999999</v>
      </c>
      <c r="G45" s="15"/>
      <c r="H45" s="15">
        <f t="shared" si="3"/>
        <v>109.75999999999999</v>
      </c>
      <c r="I45" s="16">
        <v>20133638</v>
      </c>
      <c r="J45" s="17" t="s">
        <v>158</v>
      </c>
      <c r="K45" s="16" t="s">
        <v>76</v>
      </c>
      <c r="L45" s="182" t="s">
        <v>77</v>
      </c>
      <c r="M45" s="16">
        <v>92802502</v>
      </c>
      <c r="N45" s="236" t="s">
        <v>22</v>
      </c>
      <c r="O45" s="127"/>
    </row>
    <row r="46" spans="1:15" s="6" customFormat="1" x14ac:dyDescent="0.25">
      <c r="A46" s="18">
        <v>43</v>
      </c>
      <c r="B46" s="18">
        <v>2646</v>
      </c>
      <c r="C46" s="19" t="s">
        <v>159</v>
      </c>
      <c r="D46" s="18">
        <v>429</v>
      </c>
      <c r="E46" s="20" t="s">
        <v>16</v>
      </c>
      <c r="F46" s="21">
        <f t="shared" si="2"/>
        <v>171.60000000000002</v>
      </c>
      <c r="G46" s="21">
        <f>167.07</f>
        <v>167.07</v>
      </c>
      <c r="H46" s="21">
        <f t="shared" si="3"/>
        <v>4.5300000000000296</v>
      </c>
      <c r="I46" s="25">
        <v>13271226</v>
      </c>
      <c r="J46" s="27" t="s">
        <v>160</v>
      </c>
      <c r="K46" s="25" t="s">
        <v>73</v>
      </c>
      <c r="L46" s="30" t="s">
        <v>74</v>
      </c>
      <c r="M46" s="25">
        <v>92231129</v>
      </c>
      <c r="N46" s="232">
        <v>45690</v>
      </c>
      <c r="O46" s="127"/>
    </row>
    <row r="47" spans="1:15" s="6" customFormat="1" x14ac:dyDescent="0.25">
      <c r="A47" s="12">
        <v>44</v>
      </c>
      <c r="B47" s="12">
        <v>2647</v>
      </c>
      <c r="C47" s="13" t="s">
        <v>161</v>
      </c>
      <c r="D47" s="12">
        <v>228</v>
      </c>
      <c r="E47" s="14" t="s">
        <v>16</v>
      </c>
      <c r="F47" s="15">
        <f t="shared" si="2"/>
        <v>91.2</v>
      </c>
      <c r="G47" s="15"/>
      <c r="H47" s="15">
        <f t="shared" si="3"/>
        <v>91.2</v>
      </c>
      <c r="I47" s="16">
        <v>828714</v>
      </c>
      <c r="J47" s="17" t="s">
        <v>162</v>
      </c>
      <c r="K47" s="16" t="s">
        <v>94</v>
      </c>
      <c r="L47" s="182" t="s">
        <v>95</v>
      </c>
      <c r="M47" s="16">
        <v>99007372</v>
      </c>
      <c r="N47" s="236" t="s">
        <v>22</v>
      </c>
      <c r="O47" s="127"/>
    </row>
    <row r="48" spans="1:15" s="72" customFormat="1" x14ac:dyDescent="0.25">
      <c r="A48" s="18">
        <v>45</v>
      </c>
      <c r="B48" s="18">
        <v>2648</v>
      </c>
      <c r="C48" s="19" t="s">
        <v>163</v>
      </c>
      <c r="D48" s="18">
        <v>242.7</v>
      </c>
      <c r="E48" s="20" t="s">
        <v>16</v>
      </c>
      <c r="F48" s="21">
        <f t="shared" si="2"/>
        <v>97.08</v>
      </c>
      <c r="G48" s="21">
        <f>94.75</f>
        <v>94.75</v>
      </c>
      <c r="H48" s="21">
        <f t="shared" si="3"/>
        <v>2.3299999999999983</v>
      </c>
      <c r="I48" s="25">
        <v>5086</v>
      </c>
      <c r="J48" s="27" t="s">
        <v>164</v>
      </c>
      <c r="K48" s="25" t="s">
        <v>94</v>
      </c>
      <c r="L48" s="73" t="s">
        <v>95</v>
      </c>
      <c r="M48" s="25">
        <v>99499787</v>
      </c>
      <c r="N48" s="232">
        <v>45932</v>
      </c>
      <c r="O48" s="142"/>
    </row>
    <row r="49" spans="1:15" s="72" customFormat="1" x14ac:dyDescent="0.25">
      <c r="A49" s="18">
        <v>46</v>
      </c>
      <c r="B49" s="18">
        <v>2649</v>
      </c>
      <c r="C49" s="19" t="s">
        <v>165</v>
      </c>
      <c r="D49" s="18">
        <v>249.1</v>
      </c>
      <c r="E49" s="20" t="s">
        <v>16</v>
      </c>
      <c r="F49" s="21">
        <f t="shared" si="2"/>
        <v>99.64</v>
      </c>
      <c r="G49" s="21">
        <f>F49</f>
        <v>99.64</v>
      </c>
      <c r="H49" s="21">
        <f t="shared" si="3"/>
        <v>0</v>
      </c>
      <c r="I49" s="25">
        <v>1282981</v>
      </c>
      <c r="J49" s="27" t="s">
        <v>166</v>
      </c>
      <c r="K49" s="25" t="s">
        <v>80</v>
      </c>
      <c r="L49" s="76" t="s">
        <v>81</v>
      </c>
      <c r="M49" s="25">
        <v>99499053</v>
      </c>
      <c r="N49" s="233">
        <v>45691</v>
      </c>
      <c r="O49" s="142"/>
    </row>
    <row r="50" spans="1:15" s="6" customFormat="1" x14ac:dyDescent="0.25">
      <c r="A50" s="12">
        <v>47</v>
      </c>
      <c r="B50" s="69">
        <v>2650</v>
      </c>
      <c r="C50" s="70" t="s">
        <v>167</v>
      </c>
      <c r="D50" s="69">
        <v>240.7</v>
      </c>
      <c r="E50" s="14" t="s">
        <v>16</v>
      </c>
      <c r="F50" s="15">
        <f t="shared" si="2"/>
        <v>96.28</v>
      </c>
      <c r="G50" s="15"/>
      <c r="H50" s="15">
        <f t="shared" si="3"/>
        <v>96.28</v>
      </c>
      <c r="I50" s="16">
        <v>5949449</v>
      </c>
      <c r="J50" s="17" t="s">
        <v>168</v>
      </c>
      <c r="K50" s="16" t="s">
        <v>80</v>
      </c>
      <c r="L50" s="185" t="s">
        <v>81</v>
      </c>
      <c r="M50" s="16">
        <v>92781944</v>
      </c>
      <c r="N50" s="236"/>
      <c r="O50" s="127"/>
    </row>
    <row r="51" spans="1:15" s="6" customFormat="1" x14ac:dyDescent="0.25">
      <c r="A51" s="12">
        <v>48</v>
      </c>
      <c r="B51" s="69">
        <v>2651</v>
      </c>
      <c r="C51" s="70" t="s">
        <v>169</v>
      </c>
      <c r="D51" s="69">
        <v>0</v>
      </c>
      <c r="E51" s="14" t="s">
        <v>16</v>
      </c>
      <c r="F51" s="15">
        <f t="shared" si="2"/>
        <v>0</v>
      </c>
      <c r="G51" s="15"/>
      <c r="H51" s="15">
        <f t="shared" si="3"/>
        <v>0</v>
      </c>
      <c r="I51" s="16">
        <v>18629431</v>
      </c>
      <c r="J51" s="17" t="s">
        <v>170</v>
      </c>
      <c r="K51" s="16" t="s">
        <v>73</v>
      </c>
      <c r="L51" s="32" t="s">
        <v>74</v>
      </c>
      <c r="M51" s="16">
        <v>92333700</v>
      </c>
      <c r="N51" s="236"/>
      <c r="O51" s="127"/>
    </row>
    <row r="52" spans="1:15" s="6" customFormat="1" x14ac:dyDescent="0.25">
      <c r="A52" s="18">
        <v>49</v>
      </c>
      <c r="B52" s="18">
        <v>2652</v>
      </c>
      <c r="C52" s="19" t="s">
        <v>171</v>
      </c>
      <c r="D52" s="18">
        <v>275</v>
      </c>
      <c r="E52" s="20" t="s">
        <v>16</v>
      </c>
      <c r="F52" s="21">
        <f t="shared" si="2"/>
        <v>110</v>
      </c>
      <c r="G52" s="21">
        <f>107.32+2.68</f>
        <v>110</v>
      </c>
      <c r="H52" s="21">
        <f t="shared" si="3"/>
        <v>0</v>
      </c>
      <c r="I52" s="25">
        <v>23212756</v>
      </c>
      <c r="J52" s="27" t="s">
        <v>172</v>
      </c>
      <c r="K52" s="25" t="s">
        <v>94</v>
      </c>
      <c r="L52" s="73" t="s">
        <v>95</v>
      </c>
      <c r="M52" s="25">
        <v>98509729</v>
      </c>
      <c r="N52" s="232">
        <v>45677</v>
      </c>
      <c r="O52" s="127">
        <v>45932</v>
      </c>
    </row>
    <row r="53" spans="1:15" s="6" customFormat="1" x14ac:dyDescent="0.25">
      <c r="A53" s="12">
        <v>50</v>
      </c>
      <c r="B53" s="69">
        <v>2653</v>
      </c>
      <c r="C53" s="70" t="s">
        <v>173</v>
      </c>
      <c r="D53" s="69">
        <v>548.4</v>
      </c>
      <c r="E53" s="14" t="s">
        <v>16</v>
      </c>
      <c r="F53" s="15">
        <f t="shared" si="2"/>
        <v>219.36</v>
      </c>
      <c r="G53" s="15"/>
      <c r="H53" s="15">
        <f t="shared" si="3"/>
        <v>219.36</v>
      </c>
      <c r="I53" s="16">
        <v>9097024</v>
      </c>
      <c r="J53" s="17" t="s">
        <v>174</v>
      </c>
      <c r="K53" s="16" t="s">
        <v>18</v>
      </c>
      <c r="L53" s="32" t="s">
        <v>19</v>
      </c>
      <c r="M53" s="16">
        <v>95401775</v>
      </c>
      <c r="N53" s="236"/>
      <c r="O53" s="127"/>
    </row>
    <row r="54" spans="1:15" s="6" customFormat="1" x14ac:dyDescent="0.25">
      <c r="A54" s="18">
        <v>51</v>
      </c>
      <c r="B54" s="18">
        <v>2654</v>
      </c>
      <c r="C54" s="19" t="s">
        <v>54</v>
      </c>
      <c r="D54" s="18">
        <v>442</v>
      </c>
      <c r="E54" s="20" t="s">
        <v>16</v>
      </c>
      <c r="F54" s="21">
        <f t="shared" si="2"/>
        <v>176.8</v>
      </c>
      <c r="G54" s="21">
        <f>176.71</f>
        <v>176.71</v>
      </c>
      <c r="H54" s="21">
        <f t="shared" si="3"/>
        <v>9.0000000000003411E-2</v>
      </c>
      <c r="I54" s="25">
        <v>6073815</v>
      </c>
      <c r="J54" s="27" t="s">
        <v>175</v>
      </c>
      <c r="K54" s="25" t="s">
        <v>18</v>
      </c>
      <c r="L54" s="30" t="s">
        <v>19</v>
      </c>
      <c r="M54" s="25">
        <v>98780007</v>
      </c>
      <c r="N54" s="232">
        <v>45691</v>
      </c>
      <c r="O54" s="127"/>
    </row>
    <row r="55" spans="1:15" s="72" customFormat="1" x14ac:dyDescent="0.25">
      <c r="A55" s="18">
        <v>52</v>
      </c>
      <c r="B55" s="18">
        <v>2655</v>
      </c>
      <c r="C55" s="19" t="s">
        <v>56</v>
      </c>
      <c r="D55" s="18">
        <v>249.3</v>
      </c>
      <c r="E55" s="20" t="s">
        <v>16</v>
      </c>
      <c r="F55" s="21">
        <f t="shared" si="2"/>
        <v>99.720000000000013</v>
      </c>
      <c r="G55" s="21">
        <f>97.94</f>
        <v>97.94</v>
      </c>
      <c r="H55" s="21">
        <f t="shared" si="3"/>
        <v>1.7800000000000153</v>
      </c>
      <c r="I55" s="25">
        <v>20987274</v>
      </c>
      <c r="J55" s="27" t="s">
        <v>176</v>
      </c>
      <c r="K55" s="25" t="s">
        <v>73</v>
      </c>
      <c r="L55" s="30" t="s">
        <v>74</v>
      </c>
      <c r="M55" s="25">
        <v>92526652</v>
      </c>
      <c r="N55" s="232">
        <v>45810</v>
      </c>
      <c r="O55" s="142"/>
    </row>
    <row r="56" spans="1:15" s="6" customFormat="1" x14ac:dyDescent="0.25">
      <c r="A56" s="18">
        <v>53</v>
      </c>
      <c r="B56" s="18">
        <v>2656</v>
      </c>
      <c r="C56" s="19" t="s">
        <v>177</v>
      </c>
      <c r="D56" s="18">
        <v>232</v>
      </c>
      <c r="E56" s="20" t="s">
        <v>16</v>
      </c>
      <c r="F56" s="21">
        <f t="shared" si="2"/>
        <v>92.800000000000011</v>
      </c>
      <c r="G56" s="21">
        <f>90.55+2.25</f>
        <v>92.8</v>
      </c>
      <c r="H56" s="21">
        <f t="shared" si="3"/>
        <v>0</v>
      </c>
      <c r="I56" s="25">
        <v>21910635</v>
      </c>
      <c r="J56" s="27" t="s">
        <v>178</v>
      </c>
      <c r="K56" s="25" t="s">
        <v>18</v>
      </c>
      <c r="L56" s="30" t="s">
        <v>19</v>
      </c>
      <c r="M56" s="25">
        <v>92934362</v>
      </c>
      <c r="N56" s="232">
        <v>45665</v>
      </c>
      <c r="O56" s="127">
        <v>45691</v>
      </c>
    </row>
    <row r="57" spans="1:15" s="6" customFormat="1" x14ac:dyDescent="0.25">
      <c r="A57" s="12">
        <v>54</v>
      </c>
      <c r="B57" s="12">
        <v>2657</v>
      </c>
      <c r="C57" s="13" t="s">
        <v>179</v>
      </c>
      <c r="D57" s="12">
        <v>240.3</v>
      </c>
      <c r="E57" s="14" t="s">
        <v>16</v>
      </c>
      <c r="F57" s="15">
        <f t="shared" si="2"/>
        <v>96.12</v>
      </c>
      <c r="G57" s="15"/>
      <c r="H57" s="15">
        <f t="shared" si="3"/>
        <v>96.12</v>
      </c>
      <c r="I57" s="16">
        <v>6502761</v>
      </c>
      <c r="J57" s="17" t="s">
        <v>180</v>
      </c>
      <c r="K57" s="16" t="s">
        <v>18</v>
      </c>
      <c r="L57" s="32" t="s">
        <v>19</v>
      </c>
      <c r="M57" s="16">
        <v>98033332</v>
      </c>
      <c r="N57" s="236" t="s">
        <v>22</v>
      </c>
      <c r="O57" s="127"/>
    </row>
    <row r="58" spans="1:15" s="6" customFormat="1" x14ac:dyDescent="0.25">
      <c r="A58" s="18">
        <v>55</v>
      </c>
      <c r="B58" s="18">
        <v>2658</v>
      </c>
      <c r="C58" s="19" t="s">
        <v>181</v>
      </c>
      <c r="D58" s="18">
        <v>51.9</v>
      </c>
      <c r="E58" s="38">
        <v>0.4</v>
      </c>
      <c r="F58" s="21">
        <f t="shared" si="2"/>
        <v>20.76</v>
      </c>
      <c r="G58" s="21">
        <f>18.02+2.74</f>
        <v>20.759999999999998</v>
      </c>
      <c r="H58" s="21">
        <f t="shared" si="3"/>
        <v>0</v>
      </c>
      <c r="I58" s="25" t="s">
        <v>328</v>
      </c>
      <c r="J58" s="27" t="s">
        <v>182</v>
      </c>
      <c r="K58" s="25" t="s">
        <v>73</v>
      </c>
      <c r="L58" s="30" t="s">
        <v>74</v>
      </c>
      <c r="M58" s="25"/>
      <c r="N58" s="243">
        <v>45685</v>
      </c>
      <c r="O58" s="127">
        <v>45691</v>
      </c>
    </row>
    <row r="59" spans="1:15" s="6" customFormat="1" x14ac:dyDescent="0.25">
      <c r="A59" s="18">
        <v>56</v>
      </c>
      <c r="B59" s="18">
        <v>2659</v>
      </c>
      <c r="C59" s="19" t="s">
        <v>183</v>
      </c>
      <c r="D59" s="18">
        <v>231.6</v>
      </c>
      <c r="E59" s="38">
        <v>0.4</v>
      </c>
      <c r="F59" s="21">
        <f t="shared" si="2"/>
        <v>92.64</v>
      </c>
      <c r="G59" s="21">
        <f>89.93+2.71</f>
        <v>92.64</v>
      </c>
      <c r="H59" s="21">
        <f t="shared" si="3"/>
        <v>0</v>
      </c>
      <c r="I59" s="25">
        <v>5796837</v>
      </c>
      <c r="J59" s="27" t="s">
        <v>184</v>
      </c>
      <c r="K59" s="25" t="s">
        <v>18</v>
      </c>
      <c r="L59" s="30" t="s">
        <v>19</v>
      </c>
      <c r="M59" s="25"/>
      <c r="N59" s="232">
        <v>45685</v>
      </c>
      <c r="O59" s="127">
        <v>45691</v>
      </c>
    </row>
    <row r="60" spans="1:15" s="6" customFormat="1" x14ac:dyDescent="0.25">
      <c r="A60" s="18">
        <v>57</v>
      </c>
      <c r="B60" s="18">
        <v>2660</v>
      </c>
      <c r="C60" s="19" t="s">
        <v>185</v>
      </c>
      <c r="D60" s="18">
        <v>132.1</v>
      </c>
      <c r="E60" s="38">
        <v>0.4</v>
      </c>
      <c r="F60" s="21">
        <f t="shared" si="2"/>
        <v>52.84</v>
      </c>
      <c r="G60" s="21">
        <f>43.88+8.96</f>
        <v>52.84</v>
      </c>
      <c r="H60" s="21">
        <f t="shared" si="3"/>
        <v>0</v>
      </c>
      <c r="I60" s="25">
        <v>7250691</v>
      </c>
      <c r="J60" s="27" t="s">
        <v>186</v>
      </c>
      <c r="K60" s="25" t="s">
        <v>73</v>
      </c>
      <c r="L60" s="30" t="s">
        <v>74</v>
      </c>
      <c r="M60" s="25"/>
      <c r="N60" s="232">
        <v>45685</v>
      </c>
      <c r="O60" s="127">
        <v>45939</v>
      </c>
    </row>
    <row r="61" spans="1:15" s="72" customFormat="1" x14ac:dyDescent="0.25">
      <c r="A61" s="18">
        <v>58</v>
      </c>
      <c r="B61" s="18">
        <v>2661</v>
      </c>
      <c r="C61" s="19" t="s">
        <v>187</v>
      </c>
      <c r="D61" s="18">
        <v>163.30000000000001</v>
      </c>
      <c r="E61" s="38">
        <v>0.4</v>
      </c>
      <c r="F61" s="21">
        <f t="shared" si="2"/>
        <v>65.320000000000007</v>
      </c>
      <c r="G61" s="21">
        <f>F61</f>
        <v>65.320000000000007</v>
      </c>
      <c r="H61" s="21">
        <f t="shared" si="3"/>
        <v>0</v>
      </c>
      <c r="I61" s="25">
        <v>24935198</v>
      </c>
      <c r="J61" s="27" t="s">
        <v>188</v>
      </c>
      <c r="K61" s="30" t="s">
        <v>73</v>
      </c>
      <c r="L61" s="30" t="s">
        <v>74</v>
      </c>
      <c r="M61" s="25">
        <v>99101900</v>
      </c>
      <c r="N61" s="232">
        <v>45810</v>
      </c>
      <c r="O61" s="142"/>
    </row>
    <row r="62" spans="1:15" s="6" customFormat="1" x14ac:dyDescent="0.25">
      <c r="A62" s="12">
        <v>59</v>
      </c>
      <c r="B62" s="12">
        <v>2662</v>
      </c>
      <c r="C62" s="13" t="s">
        <v>189</v>
      </c>
      <c r="D62" s="69">
        <v>525.79999999999995</v>
      </c>
      <c r="E62" s="34">
        <v>0.4</v>
      </c>
      <c r="F62" s="15">
        <f t="shared" si="2"/>
        <v>210.32</v>
      </c>
      <c r="G62" s="15"/>
      <c r="H62" s="15">
        <f t="shared" si="3"/>
        <v>210.32</v>
      </c>
      <c r="I62" s="16">
        <v>2931011</v>
      </c>
      <c r="J62" s="17" t="s">
        <v>190</v>
      </c>
      <c r="K62" s="16" t="s">
        <v>73</v>
      </c>
      <c r="L62" s="32" t="s">
        <v>74</v>
      </c>
      <c r="M62" s="16">
        <v>92997279</v>
      </c>
      <c r="N62" s="236" t="s">
        <v>22</v>
      </c>
      <c r="O62" s="127"/>
    </row>
    <row r="63" spans="1:15" s="6" customFormat="1" x14ac:dyDescent="0.25">
      <c r="A63" s="12">
        <v>60</v>
      </c>
      <c r="B63" s="69">
        <v>2663</v>
      </c>
      <c r="C63" s="70" t="s">
        <v>191</v>
      </c>
      <c r="D63" s="69">
        <v>430.7</v>
      </c>
      <c r="E63" s="34">
        <v>0.4</v>
      </c>
      <c r="F63" s="15">
        <f t="shared" si="2"/>
        <v>172.28</v>
      </c>
      <c r="G63" s="15"/>
      <c r="H63" s="15">
        <f t="shared" si="3"/>
        <v>172.28</v>
      </c>
      <c r="I63" s="16">
        <v>568448</v>
      </c>
      <c r="J63" s="17" t="s">
        <v>192</v>
      </c>
      <c r="K63" s="16" t="s">
        <v>73</v>
      </c>
      <c r="L63" s="32" t="s">
        <v>74</v>
      </c>
      <c r="M63" s="16">
        <v>99298847</v>
      </c>
      <c r="N63" s="236"/>
      <c r="O63" s="127"/>
    </row>
    <row r="64" spans="1:15" s="72" customFormat="1" x14ac:dyDescent="0.25">
      <c r="A64" s="18">
        <v>61</v>
      </c>
      <c r="B64" s="18">
        <v>2665</v>
      </c>
      <c r="C64" s="19" t="s">
        <v>194</v>
      </c>
      <c r="D64" s="18">
        <v>408.2</v>
      </c>
      <c r="E64" s="38">
        <v>0.4</v>
      </c>
      <c r="F64" s="21">
        <f t="shared" si="2"/>
        <v>163.28</v>
      </c>
      <c r="G64" s="21">
        <f>160.44+2.84</f>
        <v>163.28</v>
      </c>
      <c r="H64" s="21">
        <f t="shared" si="3"/>
        <v>0</v>
      </c>
      <c r="I64" s="25">
        <v>8467055</v>
      </c>
      <c r="J64" s="27" t="s">
        <v>195</v>
      </c>
      <c r="K64" s="25" t="s">
        <v>73</v>
      </c>
      <c r="L64" s="30" t="s">
        <v>74</v>
      </c>
      <c r="M64" s="25">
        <v>98919778</v>
      </c>
      <c r="N64" s="243">
        <v>45677</v>
      </c>
      <c r="O64" s="142">
        <v>45810</v>
      </c>
    </row>
    <row r="65" spans="1:15" s="35" customFormat="1" x14ac:dyDescent="0.25">
      <c r="A65" s="18">
        <v>62</v>
      </c>
      <c r="B65" s="18">
        <v>2666</v>
      </c>
      <c r="C65" s="19" t="s">
        <v>196</v>
      </c>
      <c r="D65" s="18">
        <v>136.1</v>
      </c>
      <c r="E65" s="38">
        <v>0.4</v>
      </c>
      <c r="F65" s="21">
        <f t="shared" si="2"/>
        <v>54.44</v>
      </c>
      <c r="G65" s="21">
        <f>51.41+3.03</f>
        <v>54.44</v>
      </c>
      <c r="H65" s="21">
        <f t="shared" si="3"/>
        <v>0</v>
      </c>
      <c r="I65" s="25">
        <v>23188968</v>
      </c>
      <c r="J65" s="27" t="s">
        <v>197</v>
      </c>
      <c r="K65" s="25" t="s">
        <v>73</v>
      </c>
      <c r="L65" s="30" t="s">
        <v>74</v>
      </c>
      <c r="M65" s="25">
        <v>95058843</v>
      </c>
      <c r="N65" s="232">
        <v>45677</v>
      </c>
      <c r="O65" s="127">
        <v>45810</v>
      </c>
    </row>
    <row r="66" spans="1:15" s="35" customFormat="1" x14ac:dyDescent="0.25">
      <c r="A66" s="12">
        <v>63</v>
      </c>
      <c r="B66" s="69">
        <v>2667</v>
      </c>
      <c r="C66" s="70" t="s">
        <v>198</v>
      </c>
      <c r="D66" s="69">
        <v>266.8</v>
      </c>
      <c r="E66" s="34">
        <v>0.4</v>
      </c>
      <c r="F66" s="15">
        <f t="shared" si="2"/>
        <v>106.72000000000001</v>
      </c>
      <c r="G66" s="15"/>
      <c r="H66" s="15">
        <f t="shared" si="3"/>
        <v>106.72000000000001</v>
      </c>
      <c r="I66" s="16">
        <v>210053</v>
      </c>
      <c r="J66" s="17" t="s">
        <v>199</v>
      </c>
      <c r="K66" s="16" t="s">
        <v>18</v>
      </c>
      <c r="L66" s="32" t="s">
        <v>19</v>
      </c>
      <c r="M66" s="16">
        <v>92786724</v>
      </c>
      <c r="N66" s="236"/>
      <c r="O66" s="127"/>
    </row>
    <row r="67" spans="1:15" s="35" customFormat="1" x14ac:dyDescent="0.25">
      <c r="A67" s="12">
        <v>64</v>
      </c>
      <c r="B67" s="69">
        <v>2668</v>
      </c>
      <c r="C67" s="70" t="s">
        <v>200</v>
      </c>
      <c r="D67" s="69">
        <v>188.2</v>
      </c>
      <c r="E67" s="34">
        <v>0.4</v>
      </c>
      <c r="F67" s="15">
        <f t="shared" si="2"/>
        <v>75.28</v>
      </c>
      <c r="G67" s="15"/>
      <c r="H67" s="15">
        <f t="shared" si="3"/>
        <v>75.28</v>
      </c>
      <c r="I67" s="16">
        <v>8542496</v>
      </c>
      <c r="J67" s="17" t="s">
        <v>201</v>
      </c>
      <c r="K67" s="16" t="s">
        <v>73</v>
      </c>
      <c r="L67" s="32" t="s">
        <v>74</v>
      </c>
      <c r="M67" s="16">
        <v>99295329</v>
      </c>
      <c r="N67" s="236"/>
      <c r="O67" s="127"/>
    </row>
    <row r="68" spans="1:15" s="120" customFormat="1" x14ac:dyDescent="0.25">
      <c r="A68" s="96">
        <v>65</v>
      </c>
      <c r="B68" s="96">
        <v>2669</v>
      </c>
      <c r="C68" s="97" t="s">
        <v>202</v>
      </c>
      <c r="D68" s="96">
        <v>255.2</v>
      </c>
      <c r="E68" s="125">
        <v>0.4</v>
      </c>
      <c r="F68" s="99">
        <f t="shared" ref="F68:F99" si="4">D68*E68</f>
        <v>102.08</v>
      </c>
      <c r="G68" s="99">
        <f>F68</f>
        <v>102.08</v>
      </c>
      <c r="H68" s="99">
        <f t="shared" ref="H68:H99" si="5">F68-G68</f>
        <v>0</v>
      </c>
      <c r="I68" s="100">
        <v>6460241</v>
      </c>
      <c r="J68" s="101" t="s">
        <v>203</v>
      </c>
      <c r="K68" s="100" t="s">
        <v>18</v>
      </c>
      <c r="L68" s="102" t="s">
        <v>19</v>
      </c>
      <c r="M68" s="100">
        <v>92550479</v>
      </c>
      <c r="N68" s="234">
        <v>45932</v>
      </c>
      <c r="O68" s="231"/>
    </row>
    <row r="69" spans="1:15" s="35" customFormat="1" x14ac:dyDescent="0.25">
      <c r="A69" s="12">
        <v>66</v>
      </c>
      <c r="B69" s="69">
        <v>2670</v>
      </c>
      <c r="C69" s="70" t="s">
        <v>205</v>
      </c>
      <c r="D69" s="69">
        <v>262.10000000000002</v>
      </c>
      <c r="E69" s="34">
        <v>0.4</v>
      </c>
      <c r="F69" s="15">
        <f t="shared" si="4"/>
        <v>104.84000000000002</v>
      </c>
      <c r="G69" s="15"/>
      <c r="H69" s="15">
        <f t="shared" si="5"/>
        <v>104.84000000000002</v>
      </c>
      <c r="I69" s="16">
        <v>1481996</v>
      </c>
      <c r="J69" s="17" t="s">
        <v>206</v>
      </c>
      <c r="K69" s="16" t="s">
        <v>94</v>
      </c>
      <c r="L69" s="182" t="s">
        <v>95</v>
      </c>
      <c r="M69" s="16">
        <v>99491404</v>
      </c>
      <c r="N69" s="236"/>
      <c r="O69" s="127"/>
    </row>
    <row r="70" spans="1:15" s="35" customFormat="1" x14ac:dyDescent="0.25">
      <c r="A70" s="12">
        <v>67</v>
      </c>
      <c r="B70" s="69">
        <v>2671</v>
      </c>
      <c r="C70" s="70" t="s">
        <v>207</v>
      </c>
      <c r="D70" s="69">
        <v>282.3</v>
      </c>
      <c r="E70" s="34">
        <v>0.4</v>
      </c>
      <c r="F70" s="15">
        <f t="shared" si="4"/>
        <v>112.92000000000002</v>
      </c>
      <c r="G70" s="15"/>
      <c r="H70" s="15">
        <f t="shared" si="5"/>
        <v>112.92000000000002</v>
      </c>
      <c r="I70" s="16">
        <v>19595084</v>
      </c>
      <c r="J70" s="17" t="s">
        <v>208</v>
      </c>
      <c r="K70" s="16" t="s">
        <v>73</v>
      </c>
      <c r="L70" s="32" t="s">
        <v>74</v>
      </c>
      <c r="M70" s="16">
        <v>92921404</v>
      </c>
      <c r="N70" s="236"/>
      <c r="O70" s="127"/>
    </row>
    <row r="71" spans="1:15" s="35" customFormat="1" x14ac:dyDescent="0.25">
      <c r="A71" s="12">
        <v>68</v>
      </c>
      <c r="B71" s="69">
        <v>2672</v>
      </c>
      <c r="C71" s="70" t="s">
        <v>209</v>
      </c>
      <c r="D71" s="69">
        <v>112.9</v>
      </c>
      <c r="E71" s="34">
        <v>0.4</v>
      </c>
      <c r="F71" s="15">
        <f t="shared" si="4"/>
        <v>45.160000000000004</v>
      </c>
      <c r="G71" s="15"/>
      <c r="H71" s="15">
        <f t="shared" si="5"/>
        <v>45.160000000000004</v>
      </c>
      <c r="I71" s="33">
        <v>21469064</v>
      </c>
      <c r="J71" s="17" t="s">
        <v>210</v>
      </c>
      <c r="K71" s="33" t="s">
        <v>73</v>
      </c>
      <c r="L71" s="184" t="s">
        <v>74</v>
      </c>
      <c r="M71" s="16">
        <v>93316559</v>
      </c>
      <c r="N71" s="236"/>
      <c r="O71" s="127"/>
    </row>
    <row r="72" spans="1:15" s="35" customFormat="1" x14ac:dyDescent="0.25">
      <c r="A72" s="12">
        <v>69</v>
      </c>
      <c r="B72" s="57">
        <v>2673</v>
      </c>
      <c r="C72" s="13" t="s">
        <v>58</v>
      </c>
      <c r="D72" s="12">
        <v>233.7</v>
      </c>
      <c r="E72" s="34">
        <v>0.4</v>
      </c>
      <c r="F72" s="15">
        <f t="shared" si="4"/>
        <v>93.48</v>
      </c>
      <c r="G72" s="15"/>
      <c r="H72" s="15">
        <f t="shared" si="5"/>
        <v>93.48</v>
      </c>
      <c r="I72" s="33">
        <v>8393437</v>
      </c>
      <c r="J72" s="17">
        <v>401002466590016</v>
      </c>
      <c r="K72" s="33" t="s">
        <v>73</v>
      </c>
      <c r="L72" s="184" t="s">
        <v>74</v>
      </c>
      <c r="M72" s="16"/>
      <c r="N72" s="236"/>
      <c r="O72" s="127"/>
    </row>
    <row r="73" spans="1:15" s="72" customFormat="1" x14ac:dyDescent="0.25">
      <c r="A73" s="18">
        <v>70</v>
      </c>
      <c r="B73" s="18">
        <v>2674</v>
      </c>
      <c r="C73" s="19" t="s">
        <v>37</v>
      </c>
      <c r="D73" s="18">
        <v>274.2</v>
      </c>
      <c r="E73" s="38">
        <v>0.4</v>
      </c>
      <c r="F73" s="21">
        <f t="shared" si="4"/>
        <v>109.68</v>
      </c>
      <c r="G73" s="21">
        <f>105.91+3.77</f>
        <v>109.67999999999999</v>
      </c>
      <c r="H73" s="21">
        <f t="shared" si="5"/>
        <v>0</v>
      </c>
      <c r="I73" s="25">
        <v>6332118</v>
      </c>
      <c r="J73" s="27" t="s">
        <v>211</v>
      </c>
      <c r="K73" s="25" t="s">
        <v>18</v>
      </c>
      <c r="L73" s="30" t="s">
        <v>19</v>
      </c>
      <c r="M73" s="25">
        <v>98930047</v>
      </c>
      <c r="N73" s="232">
        <v>45810</v>
      </c>
      <c r="O73" s="142">
        <v>45993</v>
      </c>
    </row>
    <row r="74" spans="1:15" s="72" customFormat="1" x14ac:dyDescent="0.25">
      <c r="A74" s="18">
        <v>71</v>
      </c>
      <c r="B74" s="18">
        <v>2675</v>
      </c>
      <c r="C74" s="19" t="s">
        <v>39</v>
      </c>
      <c r="D74" s="18">
        <v>250.9</v>
      </c>
      <c r="E74" s="38">
        <v>0.4</v>
      </c>
      <c r="F74" s="21">
        <f t="shared" si="4"/>
        <v>100.36000000000001</v>
      </c>
      <c r="G74" s="21">
        <f>96.48+3.88</f>
        <v>100.36</v>
      </c>
      <c r="H74" s="21">
        <f t="shared" si="5"/>
        <v>0</v>
      </c>
      <c r="I74" s="25">
        <v>6332123</v>
      </c>
      <c r="J74" s="27" t="s">
        <v>212</v>
      </c>
      <c r="K74" s="25" t="s">
        <v>73</v>
      </c>
      <c r="L74" s="30" t="s">
        <v>74</v>
      </c>
      <c r="M74" s="25">
        <v>98777808</v>
      </c>
      <c r="N74" s="232">
        <v>45810</v>
      </c>
      <c r="O74" s="142">
        <v>45993</v>
      </c>
    </row>
    <row r="75" spans="1:15" s="6" customFormat="1" x14ac:dyDescent="0.25">
      <c r="A75" s="18">
        <v>72</v>
      </c>
      <c r="B75" s="18">
        <v>2676</v>
      </c>
      <c r="C75" s="19" t="s">
        <v>59</v>
      </c>
      <c r="D75" s="18">
        <v>228</v>
      </c>
      <c r="E75" s="38">
        <v>0.4</v>
      </c>
      <c r="F75" s="21">
        <f t="shared" si="4"/>
        <v>91.2</v>
      </c>
      <c r="G75" s="21">
        <f>88.07</f>
        <v>88.07</v>
      </c>
      <c r="H75" s="21">
        <f t="shared" si="5"/>
        <v>3.1300000000000097</v>
      </c>
      <c r="I75" s="30">
        <v>568083</v>
      </c>
      <c r="J75" s="27" t="s">
        <v>213</v>
      </c>
      <c r="K75" s="30" t="s">
        <v>76</v>
      </c>
      <c r="L75" s="73" t="s">
        <v>77</v>
      </c>
      <c r="M75" s="25">
        <v>98146666</v>
      </c>
      <c r="N75" s="232">
        <v>45679</v>
      </c>
      <c r="O75" s="127"/>
    </row>
    <row r="76" spans="1:15" s="72" customFormat="1" x14ac:dyDescent="0.25">
      <c r="A76" s="18">
        <v>73</v>
      </c>
      <c r="B76" s="18">
        <v>2677</v>
      </c>
      <c r="C76" s="19" t="s">
        <v>214</v>
      </c>
      <c r="D76" s="18">
        <v>248.6</v>
      </c>
      <c r="E76" s="38">
        <v>0.4</v>
      </c>
      <c r="F76" s="21">
        <f t="shared" si="4"/>
        <v>99.44</v>
      </c>
      <c r="G76" s="21">
        <f>F76</f>
        <v>99.44</v>
      </c>
      <c r="H76" s="21">
        <f t="shared" si="5"/>
        <v>0</v>
      </c>
      <c r="I76" s="30">
        <v>7031534</v>
      </c>
      <c r="J76" s="27" t="s">
        <v>215</v>
      </c>
      <c r="K76" s="25" t="s">
        <v>73</v>
      </c>
      <c r="L76" s="30" t="s">
        <v>74</v>
      </c>
      <c r="M76" s="25">
        <v>92995115</v>
      </c>
      <c r="N76" s="232">
        <v>45810</v>
      </c>
      <c r="O76" s="142"/>
    </row>
    <row r="77" spans="1:15" s="6" customFormat="1" x14ac:dyDescent="0.25">
      <c r="A77" s="18">
        <v>74</v>
      </c>
      <c r="B77" s="18">
        <v>2678</v>
      </c>
      <c r="C77" s="19" t="s">
        <v>216</v>
      </c>
      <c r="D77" s="18">
        <v>467.3</v>
      </c>
      <c r="E77" s="38">
        <v>0.4</v>
      </c>
      <c r="F77" s="21">
        <f t="shared" si="4"/>
        <v>186.92000000000002</v>
      </c>
      <c r="G77" s="21">
        <f>183.86</f>
        <v>183.86</v>
      </c>
      <c r="H77" s="21">
        <f t="shared" si="5"/>
        <v>3.0600000000000023</v>
      </c>
      <c r="I77" s="30">
        <v>7211987</v>
      </c>
      <c r="J77" s="27" t="s">
        <v>217</v>
      </c>
      <c r="K77" s="25" t="s">
        <v>73</v>
      </c>
      <c r="L77" s="30" t="s">
        <v>74</v>
      </c>
      <c r="M77" s="25"/>
      <c r="N77" s="232">
        <v>45685</v>
      </c>
      <c r="O77" s="127"/>
    </row>
    <row r="78" spans="1:15" s="72" customFormat="1" x14ac:dyDescent="0.25">
      <c r="A78" s="18">
        <v>75</v>
      </c>
      <c r="B78" s="18">
        <v>2680</v>
      </c>
      <c r="C78" s="19" t="s">
        <v>218</v>
      </c>
      <c r="D78" s="18">
        <v>181.1</v>
      </c>
      <c r="E78" s="38">
        <v>0.4</v>
      </c>
      <c r="F78" s="21">
        <f t="shared" si="4"/>
        <v>72.44</v>
      </c>
      <c r="G78" s="21">
        <f>F78</f>
        <v>72.44</v>
      </c>
      <c r="H78" s="21">
        <f t="shared" si="5"/>
        <v>0</v>
      </c>
      <c r="I78" s="30">
        <v>553684</v>
      </c>
      <c r="J78" s="27">
        <v>1010125978001</v>
      </c>
      <c r="K78" s="25" t="s">
        <v>80</v>
      </c>
      <c r="L78" s="30" t="s">
        <v>219</v>
      </c>
      <c r="M78" s="25">
        <v>98279480</v>
      </c>
      <c r="N78" s="240">
        <v>45810</v>
      </c>
      <c r="O78" s="142"/>
    </row>
    <row r="79" spans="1:15" s="6" customFormat="1" x14ac:dyDescent="0.25">
      <c r="A79" s="12">
        <v>76</v>
      </c>
      <c r="B79" s="69">
        <v>2681</v>
      </c>
      <c r="C79" s="70" t="s">
        <v>61</v>
      </c>
      <c r="D79" s="69">
        <v>175.4</v>
      </c>
      <c r="E79" s="34">
        <v>0.4</v>
      </c>
      <c r="F79" s="15">
        <f t="shared" si="4"/>
        <v>70.160000000000011</v>
      </c>
      <c r="G79" s="15"/>
      <c r="H79" s="15">
        <f t="shared" si="5"/>
        <v>70.160000000000011</v>
      </c>
      <c r="I79" s="32">
        <v>23172723</v>
      </c>
      <c r="J79" s="17" t="s">
        <v>221</v>
      </c>
      <c r="K79" s="32" t="s">
        <v>73</v>
      </c>
      <c r="L79" s="32" t="s">
        <v>74</v>
      </c>
      <c r="M79" s="16">
        <v>93635099</v>
      </c>
      <c r="N79" s="244"/>
      <c r="O79" s="127"/>
    </row>
    <row r="80" spans="1:15" s="6" customFormat="1" x14ac:dyDescent="0.25">
      <c r="A80" s="12">
        <v>77</v>
      </c>
      <c r="B80" s="69">
        <v>2682</v>
      </c>
      <c r="C80" s="70" t="s">
        <v>222</v>
      </c>
      <c r="D80" s="69">
        <v>299.3</v>
      </c>
      <c r="E80" s="34">
        <v>0.4</v>
      </c>
      <c r="F80" s="15">
        <f t="shared" si="4"/>
        <v>119.72000000000001</v>
      </c>
      <c r="G80" s="15"/>
      <c r="H80" s="15">
        <f t="shared" si="5"/>
        <v>119.72000000000001</v>
      </c>
      <c r="I80" s="32">
        <v>1356383</v>
      </c>
      <c r="J80" s="17" t="s">
        <v>223</v>
      </c>
      <c r="K80" s="32" t="s">
        <v>80</v>
      </c>
      <c r="L80" s="32" t="s">
        <v>81</v>
      </c>
      <c r="M80" s="16"/>
      <c r="N80" s="244"/>
      <c r="O80" s="127"/>
    </row>
    <row r="81" spans="1:15" x14ac:dyDescent="0.25">
      <c r="A81" s="12">
        <v>78</v>
      </c>
      <c r="B81" s="69">
        <v>2683</v>
      </c>
      <c r="C81" s="70" t="s">
        <v>224</v>
      </c>
      <c r="D81" s="69">
        <v>386.4</v>
      </c>
      <c r="E81" s="34">
        <v>0.4</v>
      </c>
      <c r="F81" s="15">
        <f t="shared" si="4"/>
        <v>154.56</v>
      </c>
      <c r="G81" s="15"/>
      <c r="H81" s="15">
        <f t="shared" si="5"/>
        <v>154.56</v>
      </c>
      <c r="I81" s="32">
        <v>5912206</v>
      </c>
      <c r="J81" s="17" t="s">
        <v>225</v>
      </c>
      <c r="K81" s="16" t="s">
        <v>73</v>
      </c>
      <c r="L81" s="32" t="s">
        <v>74</v>
      </c>
      <c r="M81" s="16">
        <v>92704591</v>
      </c>
      <c r="N81" s="244"/>
    </row>
    <row r="82" spans="1:15" s="6" customFormat="1" x14ac:dyDescent="0.25">
      <c r="A82" s="12">
        <v>79</v>
      </c>
      <c r="B82" s="69">
        <v>2684</v>
      </c>
      <c r="C82" s="70" t="s">
        <v>226</v>
      </c>
      <c r="D82" s="69">
        <v>163.9</v>
      </c>
      <c r="E82" s="34">
        <v>0.4</v>
      </c>
      <c r="F82" s="15">
        <f t="shared" si="4"/>
        <v>65.56</v>
      </c>
      <c r="G82" s="15"/>
      <c r="H82" s="15">
        <f t="shared" si="5"/>
        <v>65.56</v>
      </c>
      <c r="I82" s="79">
        <v>4768041</v>
      </c>
      <c r="J82" s="183" t="s">
        <v>227</v>
      </c>
      <c r="K82" s="78" t="s">
        <v>73</v>
      </c>
      <c r="L82" s="79" t="s">
        <v>74</v>
      </c>
      <c r="M82" s="78">
        <v>99697032</v>
      </c>
      <c r="N82" s="245">
        <v>45231</v>
      </c>
      <c r="O82" s="127"/>
    </row>
    <row r="83" spans="1:15" s="6" customFormat="1" x14ac:dyDescent="0.25">
      <c r="A83" s="18">
        <v>80</v>
      </c>
      <c r="B83" s="18">
        <v>2685</v>
      </c>
      <c r="C83" s="19" t="s">
        <v>228</v>
      </c>
      <c r="D83" s="18">
        <v>170.2</v>
      </c>
      <c r="E83" s="38">
        <v>0.4</v>
      </c>
      <c r="F83" s="21">
        <f t="shared" si="4"/>
        <v>68.08</v>
      </c>
      <c r="G83" s="21">
        <f>F83</f>
        <v>68.08</v>
      </c>
      <c r="H83" s="21">
        <f t="shared" si="5"/>
        <v>0</v>
      </c>
      <c r="I83" s="30">
        <v>25026854</v>
      </c>
      <c r="J83" s="27" t="s">
        <v>229</v>
      </c>
      <c r="K83" s="25" t="s">
        <v>18</v>
      </c>
      <c r="L83" s="30" t="s">
        <v>19</v>
      </c>
      <c r="M83" s="25">
        <v>96124005</v>
      </c>
      <c r="N83" s="246">
        <v>45684</v>
      </c>
      <c r="O83" s="127"/>
    </row>
    <row r="84" spans="1:15" s="6" customFormat="1" x14ac:dyDescent="0.25">
      <c r="A84" s="12">
        <v>81</v>
      </c>
      <c r="B84" s="69">
        <v>2686</v>
      </c>
      <c r="C84" s="70" t="s">
        <v>230</v>
      </c>
      <c r="D84" s="36">
        <v>247.1</v>
      </c>
      <c r="E84" s="34">
        <v>0.4</v>
      </c>
      <c r="F84" s="15">
        <f t="shared" si="4"/>
        <v>98.84</v>
      </c>
      <c r="G84" s="15"/>
      <c r="H84" s="15">
        <f t="shared" si="5"/>
        <v>98.84</v>
      </c>
      <c r="I84" s="32">
        <v>6064295</v>
      </c>
      <c r="J84" s="17" t="s">
        <v>231</v>
      </c>
      <c r="K84" s="16" t="s">
        <v>73</v>
      </c>
      <c r="L84" s="32" t="s">
        <v>74</v>
      </c>
      <c r="M84" s="16"/>
      <c r="N84" s="244"/>
      <c r="O84" s="127"/>
    </row>
    <row r="85" spans="1:15" s="6" customFormat="1" x14ac:dyDescent="0.25">
      <c r="A85" s="18">
        <v>82</v>
      </c>
      <c r="B85" s="18">
        <v>2687</v>
      </c>
      <c r="C85" s="144" t="s">
        <v>62</v>
      </c>
      <c r="D85" s="37">
        <v>258.89999999999998</v>
      </c>
      <c r="E85" s="38">
        <v>0.4</v>
      </c>
      <c r="F85" s="21">
        <f t="shared" si="4"/>
        <v>103.56</v>
      </c>
      <c r="G85" s="21">
        <f>101.48</f>
        <v>101.48</v>
      </c>
      <c r="H85" s="21">
        <f t="shared" si="5"/>
        <v>2.0799999999999983</v>
      </c>
      <c r="I85" s="30">
        <v>14175595</v>
      </c>
      <c r="J85" s="27" t="s">
        <v>232</v>
      </c>
      <c r="K85" s="25" t="s">
        <v>76</v>
      </c>
      <c r="L85" s="73" t="s">
        <v>77</v>
      </c>
      <c r="M85" s="25">
        <v>99531669</v>
      </c>
      <c r="N85" s="241">
        <v>45691</v>
      </c>
      <c r="O85" s="127"/>
    </row>
    <row r="86" spans="1:15" s="6" customFormat="1" x14ac:dyDescent="0.25">
      <c r="A86" s="18">
        <v>83</v>
      </c>
      <c r="B86" s="18">
        <v>2688</v>
      </c>
      <c r="C86" s="25" t="s">
        <v>234</v>
      </c>
      <c r="D86" s="37">
        <v>366</v>
      </c>
      <c r="E86" s="38">
        <v>0.4</v>
      </c>
      <c r="F86" s="21">
        <f t="shared" si="4"/>
        <v>146.4</v>
      </c>
      <c r="G86" s="21">
        <f>144.45+1.95</f>
        <v>146.39999999999998</v>
      </c>
      <c r="H86" s="21">
        <f t="shared" si="5"/>
        <v>0</v>
      </c>
      <c r="I86" s="30">
        <v>18647005</v>
      </c>
      <c r="J86" s="27" t="s">
        <v>235</v>
      </c>
      <c r="K86" s="25" t="s">
        <v>73</v>
      </c>
      <c r="L86" s="30" t="s">
        <v>74</v>
      </c>
      <c r="M86" s="25"/>
      <c r="N86" s="241">
        <v>45679</v>
      </c>
      <c r="O86" s="127">
        <v>45932</v>
      </c>
    </row>
    <row r="87" spans="1:15" s="6" customFormat="1" x14ac:dyDescent="0.25">
      <c r="A87" s="18">
        <v>84</v>
      </c>
      <c r="B87" s="18">
        <v>2689</v>
      </c>
      <c r="C87" s="25" t="s">
        <v>236</v>
      </c>
      <c r="D87" s="37">
        <v>346.7</v>
      </c>
      <c r="E87" s="38">
        <v>0.4</v>
      </c>
      <c r="F87" s="21">
        <f t="shared" si="4"/>
        <v>138.68</v>
      </c>
      <c r="G87" s="21">
        <f>138.6</f>
        <v>138.6</v>
      </c>
      <c r="H87" s="21">
        <f t="shared" si="5"/>
        <v>8.0000000000012506E-2</v>
      </c>
      <c r="I87" s="30">
        <v>1527206</v>
      </c>
      <c r="J87" s="27" t="s">
        <v>237</v>
      </c>
      <c r="K87" s="25" t="s">
        <v>73</v>
      </c>
      <c r="L87" s="30" t="s">
        <v>74</v>
      </c>
      <c r="M87" s="25"/>
      <c r="N87" s="241">
        <v>45677</v>
      </c>
      <c r="O87" s="127"/>
    </row>
    <row r="88" spans="1:15" s="6" customFormat="1" x14ac:dyDescent="0.25">
      <c r="A88" s="18">
        <v>85</v>
      </c>
      <c r="B88" s="18">
        <v>2690</v>
      </c>
      <c r="C88" s="25" t="s">
        <v>238</v>
      </c>
      <c r="D88" s="37">
        <v>385.5</v>
      </c>
      <c r="E88" s="38">
        <v>0.4</v>
      </c>
      <c r="F88" s="21">
        <f t="shared" si="4"/>
        <v>154.20000000000002</v>
      </c>
      <c r="G88" s="21">
        <f>150.99+3.21</f>
        <v>154.20000000000002</v>
      </c>
      <c r="H88" s="21">
        <f t="shared" si="5"/>
        <v>0</v>
      </c>
      <c r="I88" s="30">
        <v>7376171</v>
      </c>
      <c r="J88" s="27" t="s">
        <v>239</v>
      </c>
      <c r="K88" s="25" t="s">
        <v>80</v>
      </c>
      <c r="L88" s="30" t="s">
        <v>81</v>
      </c>
      <c r="M88" s="25"/>
      <c r="N88" s="241">
        <v>45677</v>
      </c>
      <c r="O88" s="127">
        <v>45993</v>
      </c>
    </row>
    <row r="89" spans="1:15" s="6" customFormat="1" x14ac:dyDescent="0.25">
      <c r="A89" s="12">
        <v>86</v>
      </c>
      <c r="B89" s="96">
        <v>2691</v>
      </c>
      <c r="C89" s="100" t="s">
        <v>240</v>
      </c>
      <c r="D89" s="124">
        <v>346.7</v>
      </c>
      <c r="E89" s="125">
        <v>0.4</v>
      </c>
      <c r="F89" s="99">
        <f t="shared" si="4"/>
        <v>138.68</v>
      </c>
      <c r="G89" s="99">
        <f>F89</f>
        <v>138.68</v>
      </c>
      <c r="H89" s="99">
        <f t="shared" si="5"/>
        <v>0</v>
      </c>
      <c r="I89" s="102">
        <v>7376203</v>
      </c>
      <c r="J89" s="101" t="s">
        <v>241</v>
      </c>
      <c r="K89" s="100" t="s">
        <v>73</v>
      </c>
      <c r="L89" s="102" t="s">
        <v>74</v>
      </c>
      <c r="M89" s="100"/>
      <c r="N89" s="247" t="s">
        <v>329</v>
      </c>
      <c r="O89" s="127"/>
    </row>
    <row r="90" spans="1:15" s="6" customFormat="1" x14ac:dyDescent="0.25">
      <c r="A90" s="18">
        <v>87</v>
      </c>
      <c r="B90" s="18">
        <v>2692</v>
      </c>
      <c r="C90" s="25" t="s">
        <v>243</v>
      </c>
      <c r="D90" s="37">
        <v>418.2</v>
      </c>
      <c r="E90" s="38">
        <v>0.4</v>
      </c>
      <c r="F90" s="21">
        <f t="shared" si="4"/>
        <v>167.28</v>
      </c>
      <c r="G90" s="21">
        <f>163.97</f>
        <v>163.97</v>
      </c>
      <c r="H90" s="21">
        <f t="shared" si="5"/>
        <v>3.3100000000000023</v>
      </c>
      <c r="I90" s="30">
        <v>626838</v>
      </c>
      <c r="J90" s="27" t="s">
        <v>244</v>
      </c>
      <c r="K90" s="25" t="s">
        <v>73</v>
      </c>
      <c r="L90" s="30" t="s">
        <v>74</v>
      </c>
      <c r="M90" s="25"/>
      <c r="N90" s="241">
        <v>45677</v>
      </c>
      <c r="O90" s="127"/>
    </row>
    <row r="91" spans="1:15" s="6" customFormat="1" x14ac:dyDescent="0.25">
      <c r="A91" s="18">
        <v>88</v>
      </c>
      <c r="B91" s="18">
        <v>2693</v>
      </c>
      <c r="C91" s="25" t="s">
        <v>245</v>
      </c>
      <c r="D91" s="37">
        <v>246.9</v>
      </c>
      <c r="E91" s="38">
        <v>0.4</v>
      </c>
      <c r="F91" s="21">
        <f t="shared" si="4"/>
        <v>98.76</v>
      </c>
      <c r="G91" s="21">
        <f>96.99</f>
        <v>96.99</v>
      </c>
      <c r="H91" s="21">
        <f t="shared" si="5"/>
        <v>1.7700000000000102</v>
      </c>
      <c r="I91" s="30">
        <v>20233513</v>
      </c>
      <c r="J91" s="27" t="s">
        <v>246</v>
      </c>
      <c r="K91" s="25" t="s">
        <v>73</v>
      </c>
      <c r="L91" s="30" t="s">
        <v>74</v>
      </c>
      <c r="M91" s="25">
        <v>99669614</v>
      </c>
      <c r="N91" s="241">
        <v>45677</v>
      </c>
      <c r="O91" s="127"/>
    </row>
    <row r="92" spans="1:15" s="6" customFormat="1" x14ac:dyDescent="0.25">
      <c r="A92" s="12">
        <v>89</v>
      </c>
      <c r="B92" s="69">
        <v>2694</v>
      </c>
      <c r="C92" s="16" t="s">
        <v>248</v>
      </c>
      <c r="D92" s="36">
        <v>99.8</v>
      </c>
      <c r="E92" s="34">
        <v>0.4</v>
      </c>
      <c r="F92" s="15">
        <f t="shared" si="4"/>
        <v>39.92</v>
      </c>
      <c r="G92" s="15"/>
      <c r="H92" s="15">
        <f t="shared" si="5"/>
        <v>39.92</v>
      </c>
      <c r="I92" s="32">
        <v>18620904</v>
      </c>
      <c r="J92" s="17" t="s">
        <v>249</v>
      </c>
      <c r="K92" s="16" t="s">
        <v>80</v>
      </c>
      <c r="L92" s="32" t="s">
        <v>81</v>
      </c>
      <c r="M92" s="16">
        <v>98255331</v>
      </c>
      <c r="N92" s="248"/>
      <c r="O92" s="127"/>
    </row>
    <row r="93" spans="1:15" s="6" customFormat="1" x14ac:dyDescent="0.25">
      <c r="A93" s="18">
        <v>90</v>
      </c>
      <c r="B93" s="18">
        <v>2697</v>
      </c>
      <c r="C93" s="25" t="s">
        <v>250</v>
      </c>
      <c r="D93" s="37">
        <v>278.89999999999998</v>
      </c>
      <c r="E93" s="38">
        <v>0.4</v>
      </c>
      <c r="F93" s="21">
        <f t="shared" si="4"/>
        <v>111.56</v>
      </c>
      <c r="G93" s="21">
        <f>109.53</f>
        <v>109.53</v>
      </c>
      <c r="H93" s="21">
        <f t="shared" si="5"/>
        <v>2.0300000000000011</v>
      </c>
      <c r="I93" s="30">
        <v>24992357</v>
      </c>
      <c r="J93" s="27" t="s">
        <v>251</v>
      </c>
      <c r="K93" s="25" t="s">
        <v>73</v>
      </c>
      <c r="L93" s="30" t="s">
        <v>74</v>
      </c>
      <c r="M93" s="25">
        <v>96581299</v>
      </c>
      <c r="N93" s="241">
        <v>45677</v>
      </c>
      <c r="O93" s="127"/>
    </row>
    <row r="94" spans="1:15" s="6" customFormat="1" x14ac:dyDescent="0.25">
      <c r="A94" s="12">
        <v>91</v>
      </c>
      <c r="B94" s="69">
        <v>2698</v>
      </c>
      <c r="C94" s="16" t="s">
        <v>63</v>
      </c>
      <c r="D94" s="36">
        <v>462.1</v>
      </c>
      <c r="E94" s="34">
        <v>0.4</v>
      </c>
      <c r="F94" s="15">
        <f t="shared" si="4"/>
        <v>184.84000000000003</v>
      </c>
      <c r="G94" s="15"/>
      <c r="H94" s="15">
        <f t="shared" si="5"/>
        <v>184.84000000000003</v>
      </c>
      <c r="I94" s="32">
        <v>21332246</v>
      </c>
      <c r="J94" s="17" t="s">
        <v>252</v>
      </c>
      <c r="K94" s="16" t="s">
        <v>73</v>
      </c>
      <c r="L94" s="32" t="s">
        <v>74</v>
      </c>
      <c r="M94" s="16">
        <v>98260073</v>
      </c>
      <c r="N94" s="248"/>
      <c r="O94" s="127"/>
    </row>
    <row r="95" spans="1:15" s="72" customFormat="1" x14ac:dyDescent="0.25">
      <c r="A95" s="18">
        <v>92</v>
      </c>
      <c r="B95" s="18">
        <v>2699</v>
      </c>
      <c r="C95" s="25" t="s">
        <v>253</v>
      </c>
      <c r="D95" s="37">
        <v>262</v>
      </c>
      <c r="E95" s="38">
        <v>0.4</v>
      </c>
      <c r="F95" s="21">
        <f t="shared" si="4"/>
        <v>104.80000000000001</v>
      </c>
      <c r="G95" s="21">
        <f>101.12</f>
        <v>101.12</v>
      </c>
      <c r="H95" s="21">
        <f t="shared" si="5"/>
        <v>3.6800000000000068</v>
      </c>
      <c r="I95" s="30">
        <v>5031003</v>
      </c>
      <c r="J95" s="27">
        <v>1006555153017</v>
      </c>
      <c r="K95" s="25" t="s">
        <v>18</v>
      </c>
      <c r="L95" s="30" t="s">
        <v>19</v>
      </c>
      <c r="M95" s="25">
        <v>98129999</v>
      </c>
      <c r="N95" s="241">
        <v>45810</v>
      </c>
      <c r="O95" s="142"/>
    </row>
    <row r="96" spans="1:15" s="6" customFormat="1" x14ac:dyDescent="0.25">
      <c r="A96" s="18">
        <v>93</v>
      </c>
      <c r="B96" s="18">
        <v>2700</v>
      </c>
      <c r="C96" s="25" t="s">
        <v>254</v>
      </c>
      <c r="D96" s="37">
        <v>433.1</v>
      </c>
      <c r="E96" s="38">
        <v>0.4</v>
      </c>
      <c r="F96" s="21">
        <f t="shared" si="4"/>
        <v>173.24</v>
      </c>
      <c r="G96" s="21">
        <f>171.86</f>
        <v>171.86</v>
      </c>
      <c r="H96" s="21">
        <f t="shared" si="5"/>
        <v>1.3799999999999955</v>
      </c>
      <c r="I96" s="30">
        <v>2216024</v>
      </c>
      <c r="J96" s="27" t="s">
        <v>255</v>
      </c>
      <c r="K96" s="25" t="s">
        <v>73</v>
      </c>
      <c r="L96" s="30" t="s">
        <v>74</v>
      </c>
      <c r="M96" s="25">
        <v>99093696</v>
      </c>
      <c r="N96" s="241">
        <v>45691</v>
      </c>
      <c r="O96" s="127"/>
    </row>
    <row r="97" spans="1:15" s="6" customFormat="1" x14ac:dyDescent="0.25">
      <c r="A97" s="18">
        <v>94</v>
      </c>
      <c r="B97" s="18">
        <v>2702</v>
      </c>
      <c r="C97" s="25" t="s">
        <v>256</v>
      </c>
      <c r="D97" s="37">
        <v>503.4</v>
      </c>
      <c r="E97" s="38">
        <v>0.4</v>
      </c>
      <c r="F97" s="21">
        <f t="shared" si="4"/>
        <v>201.36</v>
      </c>
      <c r="G97" s="21">
        <f>199.23</f>
        <v>199.23</v>
      </c>
      <c r="H97" s="21">
        <f t="shared" si="5"/>
        <v>2.1300000000000239</v>
      </c>
      <c r="I97" s="30">
        <v>2045458</v>
      </c>
      <c r="J97" s="27" t="s">
        <v>257</v>
      </c>
      <c r="K97" s="25" t="s">
        <v>80</v>
      </c>
      <c r="L97" s="30" t="s">
        <v>81</v>
      </c>
      <c r="M97" s="25">
        <v>99282287</v>
      </c>
      <c r="N97" s="241">
        <v>45673</v>
      </c>
      <c r="O97" s="127"/>
    </row>
    <row r="98" spans="1:15" s="6" customFormat="1" x14ac:dyDescent="0.25">
      <c r="A98" s="18">
        <v>95</v>
      </c>
      <c r="B98" s="18">
        <v>2703</v>
      </c>
      <c r="C98" s="25" t="s">
        <v>258</v>
      </c>
      <c r="D98" s="37">
        <v>162.1</v>
      </c>
      <c r="E98" s="38">
        <v>0.4</v>
      </c>
      <c r="F98" s="21">
        <f t="shared" si="4"/>
        <v>64.84</v>
      </c>
      <c r="G98" s="21">
        <f>64.17</f>
        <v>64.17</v>
      </c>
      <c r="H98" s="21">
        <f t="shared" si="5"/>
        <v>0.67000000000000171</v>
      </c>
      <c r="I98" s="30">
        <v>652182</v>
      </c>
      <c r="J98" s="27" t="s">
        <v>259</v>
      </c>
      <c r="K98" s="25" t="s">
        <v>73</v>
      </c>
      <c r="L98" s="30" t="s">
        <v>74</v>
      </c>
      <c r="M98" s="25">
        <v>99982977</v>
      </c>
      <c r="N98" s="233">
        <v>45691</v>
      </c>
      <c r="O98" s="127"/>
    </row>
    <row r="99" spans="1:15" s="72" customFormat="1" x14ac:dyDescent="0.25">
      <c r="A99" s="18">
        <v>96</v>
      </c>
      <c r="B99" s="18">
        <v>2706</v>
      </c>
      <c r="C99" s="25" t="s">
        <v>260</v>
      </c>
      <c r="D99" s="37">
        <v>312.3</v>
      </c>
      <c r="E99" s="38">
        <v>0.4</v>
      </c>
      <c r="F99" s="21">
        <f t="shared" si="4"/>
        <v>124.92000000000002</v>
      </c>
      <c r="G99" s="21">
        <f>123.54</f>
        <v>123.54</v>
      </c>
      <c r="H99" s="21">
        <f t="shared" si="5"/>
        <v>1.3800000000000097</v>
      </c>
      <c r="I99" s="30">
        <v>23144392</v>
      </c>
      <c r="J99" s="27" t="s">
        <v>261</v>
      </c>
      <c r="K99" s="25" t="s">
        <v>18</v>
      </c>
      <c r="L99" s="30" t="s">
        <v>19</v>
      </c>
      <c r="M99" s="25">
        <v>97216689</v>
      </c>
      <c r="N99" s="233">
        <v>45691</v>
      </c>
      <c r="O99" s="142"/>
    </row>
    <row r="100" spans="1:15" s="72" customFormat="1" x14ac:dyDescent="0.25">
      <c r="A100" s="18">
        <v>97</v>
      </c>
      <c r="B100" s="18">
        <v>2707</v>
      </c>
      <c r="C100" s="25" t="s">
        <v>262</v>
      </c>
      <c r="D100" s="37">
        <v>401.8</v>
      </c>
      <c r="E100" s="38">
        <v>0.4</v>
      </c>
      <c r="F100" s="21">
        <f t="shared" ref="F100:F127" si="6">D100*E100</f>
        <v>160.72000000000003</v>
      </c>
      <c r="G100" s="21">
        <f>F100</f>
        <v>160.72000000000003</v>
      </c>
      <c r="H100" s="21">
        <f t="shared" ref="H100:H127" si="7">F100-G100</f>
        <v>0</v>
      </c>
      <c r="I100" s="30">
        <v>7026153</v>
      </c>
      <c r="J100" s="27" t="s">
        <v>263</v>
      </c>
      <c r="K100" s="25" t="s">
        <v>94</v>
      </c>
      <c r="L100" s="30" t="s">
        <v>95</v>
      </c>
      <c r="M100" s="25">
        <v>95333133</v>
      </c>
      <c r="N100" s="241">
        <v>45993</v>
      </c>
      <c r="O100" s="142"/>
    </row>
    <row r="101" spans="1:15" s="260" customFormat="1" x14ac:dyDescent="0.25">
      <c r="A101" s="252">
        <v>98</v>
      </c>
      <c r="B101" s="252">
        <v>2708</v>
      </c>
      <c r="C101" s="253" t="s">
        <v>41</v>
      </c>
      <c r="D101" s="254">
        <v>0</v>
      </c>
      <c r="E101" s="255">
        <v>0.4</v>
      </c>
      <c r="F101" s="256">
        <f t="shared" si="6"/>
        <v>0</v>
      </c>
      <c r="G101" s="256"/>
      <c r="H101" s="256">
        <f t="shared" si="7"/>
        <v>0</v>
      </c>
      <c r="I101" s="257">
        <v>426432</v>
      </c>
      <c r="J101" s="262" t="s">
        <v>264</v>
      </c>
      <c r="K101" s="253" t="s">
        <v>80</v>
      </c>
      <c r="L101" s="257" t="s">
        <v>81</v>
      </c>
      <c r="M101" s="253">
        <v>99092959</v>
      </c>
      <c r="N101" s="265"/>
      <c r="O101" s="264"/>
    </row>
    <row r="102" spans="1:15" s="6" customFormat="1" x14ac:dyDescent="0.25">
      <c r="A102" s="12">
        <v>99</v>
      </c>
      <c r="B102" s="69">
        <v>2710</v>
      </c>
      <c r="C102" s="16" t="s">
        <v>265</v>
      </c>
      <c r="D102" s="36">
        <v>262.89999999999998</v>
      </c>
      <c r="E102" s="34">
        <v>0.4</v>
      </c>
      <c r="F102" s="15">
        <f t="shared" si="6"/>
        <v>105.16</v>
      </c>
      <c r="G102" s="15"/>
      <c r="H102" s="15">
        <f t="shared" si="7"/>
        <v>105.16</v>
      </c>
      <c r="I102" s="32">
        <v>944469</v>
      </c>
      <c r="J102" s="17" t="s">
        <v>266</v>
      </c>
      <c r="K102" s="16" t="s">
        <v>73</v>
      </c>
      <c r="L102" s="32" t="s">
        <v>74</v>
      </c>
      <c r="M102" s="16"/>
      <c r="N102" s="248"/>
      <c r="O102" s="127"/>
    </row>
    <row r="103" spans="1:15" s="6" customFormat="1" x14ac:dyDescent="0.25">
      <c r="A103" s="12">
        <v>100</v>
      </c>
      <c r="B103" s="69">
        <v>2711</v>
      </c>
      <c r="C103" s="16" t="s">
        <v>267</v>
      </c>
      <c r="D103" s="36">
        <v>270.2</v>
      </c>
      <c r="E103" s="34">
        <v>0.4</v>
      </c>
      <c r="F103" s="15">
        <f t="shared" si="6"/>
        <v>108.08</v>
      </c>
      <c r="G103" s="15"/>
      <c r="H103" s="15">
        <f t="shared" si="7"/>
        <v>108.08</v>
      </c>
      <c r="I103" s="32">
        <v>5775933</v>
      </c>
      <c r="J103" s="17" t="s">
        <v>268</v>
      </c>
      <c r="K103" s="16" t="s">
        <v>80</v>
      </c>
      <c r="L103" s="32" t="s">
        <v>81</v>
      </c>
      <c r="M103" s="16"/>
      <c r="N103" s="248"/>
      <c r="O103" s="127"/>
    </row>
    <row r="104" spans="1:15" s="6" customFormat="1" x14ac:dyDescent="0.25">
      <c r="A104" s="18">
        <v>101</v>
      </c>
      <c r="B104" s="18">
        <v>2712</v>
      </c>
      <c r="C104" s="25" t="s">
        <v>64</v>
      </c>
      <c r="D104" s="37">
        <v>213.8</v>
      </c>
      <c r="E104" s="38">
        <v>0.4</v>
      </c>
      <c r="F104" s="21">
        <f t="shared" si="6"/>
        <v>85.52000000000001</v>
      </c>
      <c r="G104" s="21">
        <f>81.98</f>
        <v>81.98</v>
      </c>
      <c r="H104" s="21">
        <f t="shared" si="7"/>
        <v>3.5400000000000063</v>
      </c>
      <c r="I104" s="30">
        <v>2439264</v>
      </c>
      <c r="J104" s="27" t="s">
        <v>269</v>
      </c>
      <c r="K104" s="25" t="s">
        <v>18</v>
      </c>
      <c r="L104" s="30" t="s">
        <v>19</v>
      </c>
      <c r="M104" s="25">
        <v>91780732</v>
      </c>
      <c r="N104" s="241">
        <v>45691</v>
      </c>
      <c r="O104" s="127"/>
    </row>
    <row r="105" spans="1:15" s="6" customFormat="1" x14ac:dyDescent="0.25">
      <c r="A105" s="12">
        <v>102</v>
      </c>
      <c r="B105" s="69">
        <v>2714</v>
      </c>
      <c r="C105" s="16" t="s">
        <v>270</v>
      </c>
      <c r="D105" s="36">
        <v>238.7</v>
      </c>
      <c r="E105" s="34">
        <v>0.4</v>
      </c>
      <c r="F105" s="15">
        <f t="shared" si="6"/>
        <v>95.48</v>
      </c>
      <c r="G105" s="15"/>
      <c r="H105" s="15">
        <f t="shared" si="7"/>
        <v>95.48</v>
      </c>
      <c r="I105" s="32">
        <v>18813939</v>
      </c>
      <c r="J105" s="17" t="s">
        <v>271</v>
      </c>
      <c r="K105" s="16" t="s">
        <v>73</v>
      </c>
      <c r="L105" s="32" t="s">
        <v>74</v>
      </c>
      <c r="M105" s="16">
        <v>92903559</v>
      </c>
      <c r="N105" s="248"/>
      <c r="O105" s="127"/>
    </row>
    <row r="106" spans="1:15" s="6" customFormat="1" x14ac:dyDescent="0.25">
      <c r="A106" s="12">
        <v>103</v>
      </c>
      <c r="B106" s="69">
        <v>2715</v>
      </c>
      <c r="C106" s="16" t="s">
        <v>272</v>
      </c>
      <c r="D106" s="36">
        <v>216</v>
      </c>
      <c r="E106" s="34">
        <v>0.4</v>
      </c>
      <c r="F106" s="15">
        <f t="shared" si="6"/>
        <v>86.4</v>
      </c>
      <c r="G106" s="15"/>
      <c r="H106" s="15">
        <f t="shared" si="7"/>
        <v>86.4</v>
      </c>
      <c r="I106" s="32">
        <v>5571701</v>
      </c>
      <c r="J106" s="17" t="s">
        <v>273</v>
      </c>
      <c r="K106" s="16" t="s">
        <v>73</v>
      </c>
      <c r="L106" s="32" t="s">
        <v>74</v>
      </c>
      <c r="M106" s="16">
        <v>99773624</v>
      </c>
      <c r="N106" s="248"/>
      <c r="O106" s="127"/>
    </row>
    <row r="107" spans="1:15" s="6" customFormat="1" x14ac:dyDescent="0.25">
      <c r="A107" s="12">
        <v>104</v>
      </c>
      <c r="B107" s="69">
        <v>2716</v>
      </c>
      <c r="C107" s="16" t="s">
        <v>274</v>
      </c>
      <c r="D107" s="36">
        <v>264</v>
      </c>
      <c r="E107" s="34">
        <v>0.4</v>
      </c>
      <c r="F107" s="15">
        <f t="shared" si="6"/>
        <v>105.60000000000001</v>
      </c>
      <c r="G107" s="15"/>
      <c r="H107" s="15">
        <f t="shared" si="7"/>
        <v>105.60000000000001</v>
      </c>
      <c r="I107" s="32">
        <v>1398299</v>
      </c>
      <c r="J107" s="17" t="s">
        <v>275</v>
      </c>
      <c r="K107" s="16" t="s">
        <v>276</v>
      </c>
      <c r="L107" s="32" t="s">
        <v>81</v>
      </c>
      <c r="M107" s="16">
        <v>99294734</v>
      </c>
      <c r="N107" s="248"/>
      <c r="O107" s="127"/>
    </row>
    <row r="108" spans="1:15" s="6" customFormat="1" x14ac:dyDescent="0.25">
      <c r="A108" s="12">
        <v>105</v>
      </c>
      <c r="B108" s="69">
        <v>2717</v>
      </c>
      <c r="C108" s="16" t="s">
        <v>277</v>
      </c>
      <c r="D108" s="36">
        <v>258.5</v>
      </c>
      <c r="E108" s="34">
        <v>0.4</v>
      </c>
      <c r="F108" s="15">
        <f t="shared" si="6"/>
        <v>103.4</v>
      </c>
      <c r="G108" s="15"/>
      <c r="H108" s="15">
        <f t="shared" si="7"/>
        <v>103.4</v>
      </c>
      <c r="I108" s="32">
        <v>5968087</v>
      </c>
      <c r="J108" s="17" t="s">
        <v>278</v>
      </c>
      <c r="K108" s="16" t="s">
        <v>73</v>
      </c>
      <c r="L108" s="32" t="s">
        <v>74</v>
      </c>
      <c r="M108" s="16">
        <v>91116250</v>
      </c>
      <c r="N108" s="248"/>
      <c r="O108" s="127"/>
    </row>
    <row r="109" spans="1:15" s="6" customFormat="1" x14ac:dyDescent="0.25">
      <c r="A109" s="12">
        <v>106</v>
      </c>
      <c r="B109" s="69">
        <v>2718</v>
      </c>
      <c r="C109" s="16" t="s">
        <v>279</v>
      </c>
      <c r="D109" s="36">
        <v>245.6</v>
      </c>
      <c r="E109" s="34">
        <v>0.4</v>
      </c>
      <c r="F109" s="15">
        <f t="shared" si="6"/>
        <v>98.240000000000009</v>
      </c>
      <c r="G109" s="15"/>
      <c r="H109" s="15">
        <f t="shared" si="7"/>
        <v>98.240000000000009</v>
      </c>
      <c r="I109" s="32">
        <v>5571729</v>
      </c>
      <c r="J109" s="17" t="s">
        <v>280</v>
      </c>
      <c r="K109" s="16" t="s">
        <v>73</v>
      </c>
      <c r="L109" s="32" t="s">
        <v>74</v>
      </c>
      <c r="M109" s="16">
        <v>99643459</v>
      </c>
      <c r="N109" s="248"/>
      <c r="O109" s="127"/>
    </row>
    <row r="110" spans="1:15" s="6" customFormat="1" x14ac:dyDescent="0.25">
      <c r="A110" s="18">
        <v>107</v>
      </c>
      <c r="B110" s="80">
        <v>2719</v>
      </c>
      <c r="C110" s="25" t="s">
        <v>281</v>
      </c>
      <c r="D110" s="37">
        <v>427.6</v>
      </c>
      <c r="E110" s="38">
        <v>0.4</v>
      </c>
      <c r="F110" s="21">
        <f t="shared" si="6"/>
        <v>171.04000000000002</v>
      </c>
      <c r="G110" s="21">
        <f>166.38</f>
        <v>166.38</v>
      </c>
      <c r="H110" s="21">
        <f t="shared" si="7"/>
        <v>4.660000000000025</v>
      </c>
      <c r="I110" s="30">
        <v>925058</v>
      </c>
      <c r="J110" s="27" t="s">
        <v>282</v>
      </c>
      <c r="K110" s="25" t="s">
        <v>283</v>
      </c>
      <c r="L110" s="30" t="s">
        <v>81</v>
      </c>
      <c r="M110" s="25">
        <v>92656157</v>
      </c>
      <c r="N110" s="241">
        <v>45684</v>
      </c>
      <c r="O110" s="127"/>
    </row>
    <row r="111" spans="1:15" s="6" customFormat="1" x14ac:dyDescent="0.25">
      <c r="A111" s="18">
        <v>108</v>
      </c>
      <c r="B111" s="80">
        <v>2721</v>
      </c>
      <c r="C111" s="25" t="s">
        <v>284</v>
      </c>
      <c r="D111" s="18">
        <v>356.2</v>
      </c>
      <c r="E111" s="38">
        <v>0.4</v>
      </c>
      <c r="F111" s="21">
        <f t="shared" si="6"/>
        <v>142.47999999999999</v>
      </c>
      <c r="G111" s="21">
        <f>142.34</f>
        <v>142.34</v>
      </c>
      <c r="H111" s="21">
        <f t="shared" si="7"/>
        <v>0.13999999999998636</v>
      </c>
      <c r="I111" s="30">
        <v>7673741</v>
      </c>
      <c r="J111" s="27" t="s">
        <v>285</v>
      </c>
      <c r="K111" s="25" t="s">
        <v>18</v>
      </c>
      <c r="L111" s="30" t="s">
        <v>19</v>
      </c>
      <c r="M111" s="25"/>
      <c r="N111" s="241">
        <v>45691</v>
      </c>
      <c r="O111" s="127"/>
    </row>
    <row r="112" spans="1:15" s="72" customFormat="1" x14ac:dyDescent="0.25">
      <c r="A112" s="18">
        <v>109</v>
      </c>
      <c r="B112" s="80">
        <v>2722</v>
      </c>
      <c r="C112" s="19" t="s">
        <v>66</v>
      </c>
      <c r="D112" s="18">
        <v>185.4</v>
      </c>
      <c r="E112" s="38">
        <v>0.4</v>
      </c>
      <c r="F112" s="21">
        <f t="shared" si="6"/>
        <v>74.160000000000011</v>
      </c>
      <c r="G112" s="21">
        <f>F112</f>
        <v>74.160000000000011</v>
      </c>
      <c r="H112" s="21">
        <f t="shared" si="7"/>
        <v>0</v>
      </c>
      <c r="I112" s="30">
        <v>675043</v>
      </c>
      <c r="J112" s="27" t="s">
        <v>286</v>
      </c>
      <c r="K112" s="25" t="s">
        <v>80</v>
      </c>
      <c r="L112" s="30" t="s">
        <v>81</v>
      </c>
      <c r="M112" s="25"/>
      <c r="N112" s="233" t="s">
        <v>344</v>
      </c>
      <c r="O112" s="142"/>
    </row>
    <row r="113" spans="1:15" s="72" customFormat="1" x14ac:dyDescent="0.25">
      <c r="A113" s="18">
        <v>110</v>
      </c>
      <c r="B113" s="80">
        <v>2724</v>
      </c>
      <c r="C113" s="84" t="s">
        <v>287</v>
      </c>
      <c r="D113" s="18">
        <v>514.4</v>
      </c>
      <c r="E113" s="38">
        <v>0.4</v>
      </c>
      <c r="F113" s="21">
        <f t="shared" si="6"/>
        <v>205.76</v>
      </c>
      <c r="G113" s="21">
        <f>202.92</f>
        <v>202.92</v>
      </c>
      <c r="H113" s="21">
        <f t="shared" si="7"/>
        <v>2.8400000000000034</v>
      </c>
      <c r="I113" s="30">
        <v>272921</v>
      </c>
      <c r="J113" s="27" t="s">
        <v>288</v>
      </c>
      <c r="K113" s="25" t="s">
        <v>73</v>
      </c>
      <c r="L113" s="30" t="s">
        <v>74</v>
      </c>
      <c r="M113" s="25"/>
      <c r="N113" s="241">
        <v>45810</v>
      </c>
      <c r="O113" s="142"/>
    </row>
    <row r="114" spans="1:15" s="6" customFormat="1" x14ac:dyDescent="0.25">
      <c r="A114" s="18">
        <v>111</v>
      </c>
      <c r="B114" s="80">
        <v>2725</v>
      </c>
      <c r="C114" s="84" t="s">
        <v>289</v>
      </c>
      <c r="D114" s="18">
        <v>532</v>
      </c>
      <c r="E114" s="38">
        <v>0.4</v>
      </c>
      <c r="F114" s="21">
        <f t="shared" si="6"/>
        <v>212.8</v>
      </c>
      <c r="G114" s="21">
        <f>209.1+3.7</f>
        <v>212.79999999999998</v>
      </c>
      <c r="H114" s="21">
        <f t="shared" si="7"/>
        <v>0</v>
      </c>
      <c r="I114" s="30">
        <v>21910195</v>
      </c>
      <c r="J114" s="27" t="s">
        <v>290</v>
      </c>
      <c r="K114" s="25" t="s">
        <v>73</v>
      </c>
      <c r="L114" s="30" t="s">
        <v>74</v>
      </c>
      <c r="M114" s="25"/>
      <c r="N114" s="241">
        <v>45684</v>
      </c>
      <c r="O114" s="127">
        <v>45932</v>
      </c>
    </row>
    <row r="115" spans="1:15" s="6" customFormat="1" x14ac:dyDescent="0.25">
      <c r="A115" s="12">
        <v>112</v>
      </c>
      <c r="B115" s="81">
        <v>2726</v>
      </c>
      <c r="C115" s="82" t="s">
        <v>293</v>
      </c>
      <c r="D115" s="12">
        <v>266</v>
      </c>
      <c r="E115" s="34">
        <v>0.4</v>
      </c>
      <c r="F115" s="15">
        <f t="shared" si="6"/>
        <v>106.4</v>
      </c>
      <c r="G115" s="15"/>
      <c r="H115" s="15">
        <f t="shared" si="7"/>
        <v>106.4</v>
      </c>
      <c r="I115" s="32">
        <v>5932095</v>
      </c>
      <c r="J115" s="17">
        <v>401003983190032</v>
      </c>
      <c r="K115" s="16" t="s">
        <v>73</v>
      </c>
      <c r="L115" s="32" t="s">
        <v>74</v>
      </c>
      <c r="M115" s="16"/>
      <c r="N115" s="248"/>
      <c r="O115" s="127"/>
    </row>
    <row r="116" spans="1:15" s="72" customFormat="1" x14ac:dyDescent="0.25">
      <c r="A116" s="18">
        <v>113</v>
      </c>
      <c r="B116" s="80">
        <v>2727</v>
      </c>
      <c r="C116" s="84" t="s">
        <v>294</v>
      </c>
      <c r="D116" s="18">
        <v>127.7</v>
      </c>
      <c r="E116" s="38">
        <v>0.4</v>
      </c>
      <c r="F116" s="21">
        <f t="shared" si="6"/>
        <v>51.080000000000005</v>
      </c>
      <c r="G116" s="21">
        <f>F116</f>
        <v>51.080000000000005</v>
      </c>
      <c r="H116" s="21">
        <f t="shared" si="7"/>
        <v>0</v>
      </c>
      <c r="I116" s="30">
        <v>14874655</v>
      </c>
      <c r="J116" s="27">
        <v>250020006381</v>
      </c>
      <c r="K116" s="25" t="s">
        <v>94</v>
      </c>
      <c r="L116" s="30" t="s">
        <v>95</v>
      </c>
      <c r="M116" s="25">
        <v>99580134</v>
      </c>
      <c r="N116" s="241">
        <v>45701</v>
      </c>
      <c r="O116" s="142"/>
    </row>
    <row r="117" spans="1:15" s="6" customFormat="1" x14ac:dyDescent="0.25">
      <c r="A117" s="12">
        <v>114</v>
      </c>
      <c r="B117" s="81">
        <v>2728</v>
      </c>
      <c r="C117" s="83" t="s">
        <v>295</v>
      </c>
      <c r="D117" s="12">
        <v>295.3</v>
      </c>
      <c r="E117" s="34">
        <v>0.4</v>
      </c>
      <c r="F117" s="15">
        <f t="shared" si="6"/>
        <v>118.12</v>
      </c>
      <c r="G117" s="15"/>
      <c r="H117" s="15">
        <f t="shared" si="7"/>
        <v>118.12</v>
      </c>
      <c r="I117" s="32">
        <v>6300163</v>
      </c>
      <c r="J117" s="17" t="s">
        <v>296</v>
      </c>
      <c r="K117" s="16" t="s">
        <v>73</v>
      </c>
      <c r="L117" s="32" t="s">
        <v>74</v>
      </c>
      <c r="M117" s="16"/>
      <c r="N117" s="248"/>
      <c r="O117" s="127"/>
    </row>
    <row r="118" spans="1:15" s="6" customFormat="1" x14ac:dyDescent="0.25">
      <c r="A118" s="12">
        <v>115</v>
      </c>
      <c r="B118" s="81">
        <v>2729</v>
      </c>
      <c r="C118" s="83" t="s">
        <v>297</v>
      </c>
      <c r="D118" s="12">
        <v>249.2</v>
      </c>
      <c r="E118" s="34">
        <v>0.4</v>
      </c>
      <c r="F118" s="15">
        <f t="shared" si="6"/>
        <v>99.68</v>
      </c>
      <c r="G118" s="15"/>
      <c r="H118" s="15">
        <f t="shared" si="7"/>
        <v>99.68</v>
      </c>
      <c r="I118" s="32">
        <v>21145036</v>
      </c>
      <c r="J118" s="17" t="s">
        <v>298</v>
      </c>
      <c r="K118" s="16" t="s">
        <v>73</v>
      </c>
      <c r="L118" s="32" t="s">
        <v>74</v>
      </c>
      <c r="M118" s="16"/>
      <c r="N118" s="248"/>
      <c r="O118" s="127"/>
    </row>
    <row r="119" spans="1:15" s="72" customFormat="1" x14ac:dyDescent="0.25">
      <c r="A119" s="18">
        <v>116</v>
      </c>
      <c r="B119" s="80">
        <v>2730</v>
      </c>
      <c r="C119" s="84" t="s">
        <v>67</v>
      </c>
      <c r="D119" s="18">
        <v>344.2</v>
      </c>
      <c r="E119" s="38">
        <v>0.4</v>
      </c>
      <c r="F119" s="21">
        <f t="shared" si="6"/>
        <v>137.68</v>
      </c>
      <c r="G119" s="21">
        <f>F119</f>
        <v>137.68</v>
      </c>
      <c r="H119" s="21">
        <f t="shared" si="7"/>
        <v>0</v>
      </c>
      <c r="I119" s="30">
        <v>5138892</v>
      </c>
      <c r="J119" s="27" t="s">
        <v>299</v>
      </c>
      <c r="K119" s="25" t="s">
        <v>73</v>
      </c>
      <c r="L119" s="30" t="s">
        <v>74</v>
      </c>
      <c r="M119" s="25"/>
      <c r="N119" s="241">
        <v>45810</v>
      </c>
      <c r="O119" s="142"/>
    </row>
    <row r="120" spans="1:15" s="6" customFormat="1" x14ac:dyDescent="0.25">
      <c r="A120" s="18">
        <v>117</v>
      </c>
      <c r="B120" s="80">
        <v>2731</v>
      </c>
      <c r="C120" s="25" t="s">
        <v>300</v>
      </c>
      <c r="D120" s="18">
        <v>108.5</v>
      </c>
      <c r="E120" s="38">
        <v>0.4</v>
      </c>
      <c r="F120" s="21">
        <f t="shared" si="6"/>
        <v>43.400000000000006</v>
      </c>
      <c r="G120" s="21">
        <f>40.3+3.1</f>
        <v>43.4</v>
      </c>
      <c r="H120" s="21">
        <f t="shared" si="7"/>
        <v>0</v>
      </c>
      <c r="I120" s="30">
        <v>3912773</v>
      </c>
      <c r="J120" s="27" t="s">
        <v>301</v>
      </c>
      <c r="K120" s="25" t="s">
        <v>73</v>
      </c>
      <c r="L120" s="30" t="s">
        <v>74</v>
      </c>
      <c r="M120" s="25"/>
      <c r="N120" s="241">
        <v>45677</v>
      </c>
      <c r="O120" s="127">
        <v>45932</v>
      </c>
    </row>
    <row r="121" spans="1:15" s="6" customFormat="1" x14ac:dyDescent="0.25">
      <c r="A121" s="18">
        <v>118</v>
      </c>
      <c r="B121" s="80">
        <v>2732</v>
      </c>
      <c r="C121" s="19" t="s">
        <v>302</v>
      </c>
      <c r="D121" s="18">
        <v>532</v>
      </c>
      <c r="E121" s="38">
        <v>0.4</v>
      </c>
      <c r="F121" s="21">
        <f t="shared" si="6"/>
        <v>212.8</v>
      </c>
      <c r="G121" s="21">
        <f>208.03</f>
        <v>208.03</v>
      </c>
      <c r="H121" s="21">
        <f t="shared" si="7"/>
        <v>4.7700000000000102</v>
      </c>
      <c r="I121" s="30">
        <v>846753</v>
      </c>
      <c r="J121" s="27" t="s">
        <v>303</v>
      </c>
      <c r="K121" s="25" t="s">
        <v>73</v>
      </c>
      <c r="L121" s="30" t="s">
        <v>74</v>
      </c>
      <c r="M121" s="25"/>
      <c r="N121" s="241">
        <v>45691</v>
      </c>
      <c r="O121" s="127"/>
    </row>
    <row r="122" spans="1:15" s="6" customFormat="1" x14ac:dyDescent="0.25">
      <c r="A122" s="12">
        <v>119</v>
      </c>
      <c r="B122" s="69">
        <v>2733</v>
      </c>
      <c r="C122" s="16" t="s">
        <v>304</v>
      </c>
      <c r="D122" s="12">
        <v>603.5</v>
      </c>
      <c r="E122" s="34">
        <v>0.4</v>
      </c>
      <c r="F122" s="15">
        <f t="shared" si="6"/>
        <v>241.4</v>
      </c>
      <c r="G122" s="15"/>
      <c r="H122" s="15">
        <f t="shared" si="7"/>
        <v>241.4</v>
      </c>
      <c r="I122" s="32">
        <v>20444019</v>
      </c>
      <c r="J122" s="17" t="s">
        <v>305</v>
      </c>
      <c r="K122" s="16" t="s">
        <v>73</v>
      </c>
      <c r="L122" s="32" t="s">
        <v>74</v>
      </c>
      <c r="M122" s="16"/>
      <c r="N122" s="248"/>
      <c r="O122" s="127"/>
    </row>
    <row r="123" spans="1:15" s="6" customFormat="1" x14ac:dyDescent="0.25">
      <c r="A123" s="18">
        <v>120</v>
      </c>
      <c r="B123" s="18">
        <v>2734</v>
      </c>
      <c r="C123" s="25" t="s">
        <v>306</v>
      </c>
      <c r="D123" s="18">
        <v>210.5</v>
      </c>
      <c r="E123" s="38">
        <v>0.4</v>
      </c>
      <c r="F123" s="21">
        <f t="shared" si="6"/>
        <v>84.2</v>
      </c>
      <c r="G123" s="21">
        <f>79.36</f>
        <v>79.36</v>
      </c>
      <c r="H123" s="21">
        <f t="shared" si="7"/>
        <v>4.8400000000000034</v>
      </c>
      <c r="I123" s="30">
        <v>24187516</v>
      </c>
      <c r="J123" s="27" t="s">
        <v>307</v>
      </c>
      <c r="K123" s="25" t="s">
        <v>90</v>
      </c>
      <c r="L123" s="30" t="s">
        <v>91</v>
      </c>
      <c r="M123" s="25"/>
      <c r="N123" s="241">
        <v>45691</v>
      </c>
      <c r="O123" s="127"/>
    </row>
    <row r="124" spans="1:15" s="6" customFormat="1" x14ac:dyDescent="0.25">
      <c r="A124" s="12">
        <v>121</v>
      </c>
      <c r="B124" s="69">
        <v>2736</v>
      </c>
      <c r="C124" s="16" t="s">
        <v>308</v>
      </c>
      <c r="D124" s="12">
        <v>192.2</v>
      </c>
      <c r="E124" s="34">
        <v>0.4</v>
      </c>
      <c r="F124" s="15">
        <f t="shared" si="6"/>
        <v>76.88</v>
      </c>
      <c r="G124" s="15"/>
      <c r="H124" s="15">
        <f t="shared" si="7"/>
        <v>76.88</v>
      </c>
      <c r="I124" s="32">
        <v>4629429</v>
      </c>
      <c r="J124" s="17" t="s">
        <v>309</v>
      </c>
      <c r="K124" s="16" t="s">
        <v>73</v>
      </c>
      <c r="L124" s="32" t="s">
        <v>74</v>
      </c>
      <c r="M124" s="16"/>
      <c r="N124" s="248"/>
      <c r="O124" s="127"/>
    </row>
    <row r="125" spans="1:15" s="6" customFormat="1" x14ac:dyDescent="0.25">
      <c r="A125" s="18">
        <v>122</v>
      </c>
      <c r="B125" s="18">
        <v>2737</v>
      </c>
      <c r="C125" s="25" t="s">
        <v>310</v>
      </c>
      <c r="D125" s="18">
        <v>304.8</v>
      </c>
      <c r="E125" s="38">
        <v>0.4</v>
      </c>
      <c r="F125" s="21">
        <f t="shared" si="6"/>
        <v>121.92000000000002</v>
      </c>
      <c r="G125" s="21">
        <f>120.86</f>
        <v>120.86</v>
      </c>
      <c r="H125" s="21">
        <f t="shared" si="7"/>
        <v>1.0600000000000165</v>
      </c>
      <c r="I125" s="30">
        <v>734135</v>
      </c>
      <c r="J125" s="27" t="s">
        <v>311</v>
      </c>
      <c r="K125" s="25" t="s">
        <v>80</v>
      </c>
      <c r="L125" s="30" t="s">
        <v>81</v>
      </c>
      <c r="M125" s="25"/>
      <c r="N125" s="241">
        <v>45691</v>
      </c>
      <c r="O125" s="127"/>
    </row>
    <row r="126" spans="1:15" s="6" customFormat="1" x14ac:dyDescent="0.25">
      <c r="A126" s="12">
        <v>123</v>
      </c>
      <c r="B126" s="69">
        <v>2738</v>
      </c>
      <c r="C126" s="16" t="s">
        <v>312</v>
      </c>
      <c r="D126" s="12">
        <v>273.60000000000002</v>
      </c>
      <c r="E126" s="34">
        <v>0.4</v>
      </c>
      <c r="F126" s="15">
        <f t="shared" si="6"/>
        <v>109.44000000000001</v>
      </c>
      <c r="G126" s="15"/>
      <c r="H126" s="15">
        <f t="shared" si="7"/>
        <v>109.44000000000001</v>
      </c>
      <c r="I126" s="32">
        <v>1298606</v>
      </c>
      <c r="J126" s="17" t="s">
        <v>313</v>
      </c>
      <c r="K126" s="16" t="s">
        <v>73</v>
      </c>
      <c r="L126" s="32" t="s">
        <v>74</v>
      </c>
      <c r="M126" s="16"/>
      <c r="N126" s="248"/>
      <c r="O126" s="127"/>
    </row>
    <row r="127" spans="1:15" s="6" customFormat="1" ht="14.25" thickBot="1" x14ac:dyDescent="0.3">
      <c r="A127" s="96">
        <v>124</v>
      </c>
      <c r="B127" s="146">
        <v>2740</v>
      </c>
      <c r="C127" s="147" t="s">
        <v>314</v>
      </c>
      <c r="D127" s="146">
        <v>491.6</v>
      </c>
      <c r="E127" s="148">
        <v>0.4</v>
      </c>
      <c r="F127" s="149">
        <f t="shared" si="6"/>
        <v>196.64000000000001</v>
      </c>
      <c r="G127" s="149">
        <f>F127</f>
        <v>196.64000000000001</v>
      </c>
      <c r="H127" s="99">
        <f t="shared" si="7"/>
        <v>0</v>
      </c>
      <c r="I127" s="150">
        <v>18315397</v>
      </c>
      <c r="J127" s="181">
        <v>401002460790021</v>
      </c>
      <c r="K127" s="147" t="s">
        <v>73</v>
      </c>
      <c r="L127" s="150" t="s">
        <v>74</v>
      </c>
      <c r="M127" s="147">
        <v>94346448</v>
      </c>
      <c r="N127" s="249" t="s">
        <v>330</v>
      </c>
      <c r="O127" s="127"/>
    </row>
    <row r="128" spans="1:15" s="6" customFormat="1" ht="14.25" thickBot="1" x14ac:dyDescent="0.3">
      <c r="A128" s="41"/>
      <c r="B128" s="42"/>
      <c r="C128" s="43"/>
      <c r="D128" s="44">
        <f>SUM(D4:D127)</f>
        <v>36175.599999999999</v>
      </c>
      <c r="E128" s="45"/>
      <c r="F128" s="46">
        <f>SUM(F4:F127)</f>
        <v>14470.239999999998</v>
      </c>
      <c r="G128" s="46">
        <f>SUM(G4:G127)</f>
        <v>8528.4699999999975</v>
      </c>
      <c r="H128" s="46">
        <f>SUM(H4:H127)</f>
        <v>5941.7700000000013</v>
      </c>
      <c r="I128" s="45"/>
      <c r="J128" s="48"/>
      <c r="K128" s="45"/>
      <c r="L128" s="45"/>
      <c r="M128" s="45"/>
      <c r="N128" s="215"/>
      <c r="O128" s="127"/>
    </row>
    <row r="129" spans="1:15" s="6" customFormat="1" x14ac:dyDescent="0.25">
      <c r="A129" s="50"/>
      <c r="B129" s="51"/>
      <c r="C129" s="50"/>
      <c r="D129" s="52"/>
      <c r="E129" s="53"/>
      <c r="F129" s="52"/>
      <c r="G129" s="52"/>
      <c r="H129" s="52"/>
      <c r="I129" s="54"/>
      <c r="J129" s="55"/>
      <c r="K129" s="54"/>
      <c r="L129" s="54"/>
      <c r="M129" s="54"/>
      <c r="N129" s="216"/>
      <c r="O129" s="127"/>
    </row>
    <row r="130" spans="1:15" s="6" customFormat="1" x14ac:dyDescent="0.25">
      <c r="A130" s="28"/>
      <c r="B130" s="57"/>
      <c r="D130" s="58"/>
      <c r="E130" s="58"/>
      <c r="F130" s="58"/>
      <c r="G130" s="58"/>
      <c r="H130" s="58"/>
      <c r="I130" s="59"/>
      <c r="J130" s="60"/>
      <c r="K130" s="59"/>
      <c r="N130" s="250"/>
      <c r="O130" s="127"/>
    </row>
    <row r="131" spans="1:15" x14ac:dyDescent="0.25">
      <c r="A131" s="28" t="s">
        <v>23</v>
      </c>
      <c r="E131" s="61" t="s">
        <v>43</v>
      </c>
      <c r="F131" s="306"/>
      <c r="G131" s="306"/>
      <c r="H131" s="306"/>
      <c r="I131" s="306"/>
      <c r="K131" s="307"/>
      <c r="L131" s="307"/>
      <c r="N131" s="250"/>
    </row>
    <row r="132" spans="1:15" s="64" customFormat="1" x14ac:dyDescent="0.25">
      <c r="A132" s="28" t="s">
        <v>26</v>
      </c>
      <c r="B132" s="61"/>
      <c r="D132" s="61"/>
      <c r="E132" s="61" t="s">
        <v>44</v>
      </c>
      <c r="F132" s="306"/>
      <c r="G132" s="306"/>
      <c r="H132" s="306"/>
      <c r="I132" s="306"/>
      <c r="J132" s="63"/>
      <c r="K132" s="307"/>
      <c r="L132" s="307"/>
      <c r="N132" s="251"/>
      <c r="O132" s="127"/>
    </row>
    <row r="133" spans="1:15" s="64" customFormat="1" x14ac:dyDescent="0.25">
      <c r="A133" s="28"/>
      <c r="B133" s="61"/>
      <c r="D133" s="61"/>
      <c r="E133" s="28"/>
      <c r="F133" s="62"/>
      <c r="G133" s="62"/>
      <c r="H133" s="62"/>
      <c r="J133" s="63"/>
      <c r="N133" s="251"/>
      <c r="O133" s="127"/>
    </row>
    <row r="134" spans="1:15" s="64" customFormat="1" x14ac:dyDescent="0.25">
      <c r="A134" s="28"/>
      <c r="B134" s="61"/>
      <c r="C134" s="28"/>
      <c r="D134" s="61"/>
      <c r="E134" s="61"/>
      <c r="F134" s="62"/>
      <c r="G134" s="62"/>
      <c r="H134" s="62"/>
      <c r="J134" s="63"/>
      <c r="N134" s="251"/>
      <c r="O134" s="127"/>
    </row>
    <row r="135" spans="1:15" s="64" customFormat="1" x14ac:dyDescent="0.25">
      <c r="A135" s="28"/>
      <c r="B135" s="61">
        <v>2606</v>
      </c>
      <c r="C135" s="28"/>
      <c r="D135" s="61"/>
      <c r="E135" s="61"/>
      <c r="F135" s="62"/>
      <c r="G135" s="62"/>
      <c r="H135" s="62"/>
      <c r="J135" s="63"/>
      <c r="N135" s="251"/>
      <c r="O135" s="127"/>
    </row>
    <row r="136" spans="1:15" s="64" customFormat="1" x14ac:dyDescent="0.25">
      <c r="A136" s="28"/>
      <c r="B136" s="61"/>
      <c r="C136" s="28"/>
      <c r="D136" s="68"/>
      <c r="E136" s="61"/>
      <c r="F136" s="68"/>
      <c r="G136" s="68"/>
      <c r="H136" s="68"/>
      <c r="J136" s="63"/>
      <c r="N136" s="251"/>
      <c r="O136" s="127"/>
    </row>
    <row r="137" spans="1:15" s="64" customFormat="1" x14ac:dyDescent="0.25">
      <c r="A137" s="28"/>
      <c r="B137" s="61"/>
      <c r="C137" s="28"/>
      <c r="D137" s="61"/>
      <c r="E137" s="61"/>
      <c r="F137" s="62"/>
      <c r="G137" s="62"/>
      <c r="H137" s="62"/>
      <c r="J137" s="63"/>
      <c r="N137" s="251"/>
      <c r="O137" s="127"/>
    </row>
    <row r="138" spans="1:15" s="64" customFormat="1" x14ac:dyDescent="0.25">
      <c r="A138" s="28"/>
      <c r="B138" s="61"/>
      <c r="C138" s="28"/>
      <c r="D138" s="61"/>
      <c r="E138" s="61"/>
      <c r="F138" s="62"/>
      <c r="G138" s="62"/>
      <c r="H138" s="62"/>
      <c r="J138" s="63"/>
      <c r="N138" s="251"/>
      <c r="O138" s="127"/>
    </row>
    <row r="139" spans="1:15" s="64" customFormat="1" x14ac:dyDescent="0.25">
      <c r="A139" s="28"/>
      <c r="B139" s="61"/>
      <c r="C139" s="28"/>
      <c r="D139" s="61"/>
      <c r="E139" s="61"/>
      <c r="F139" s="62"/>
      <c r="G139" s="62"/>
      <c r="H139" s="62"/>
      <c r="J139" s="63"/>
      <c r="N139" s="251"/>
      <c r="O139" s="127"/>
    </row>
    <row r="140" spans="1:15" s="64" customFormat="1" x14ac:dyDescent="0.25">
      <c r="A140" s="28"/>
      <c r="B140" s="61"/>
      <c r="C140" s="28"/>
      <c r="D140" s="61"/>
      <c r="E140" s="61"/>
      <c r="F140" s="62"/>
      <c r="G140" s="62"/>
      <c r="H140" s="62"/>
      <c r="J140" s="63"/>
      <c r="N140" s="251"/>
      <c r="O140" s="127"/>
    </row>
    <row r="141" spans="1:15" s="64" customFormat="1" x14ac:dyDescent="0.25">
      <c r="A141" s="28"/>
      <c r="B141" s="61"/>
      <c r="C141" s="28"/>
      <c r="D141" s="61"/>
      <c r="E141" s="61"/>
      <c r="F141" s="62"/>
      <c r="G141" s="62"/>
      <c r="H141" s="62"/>
      <c r="J141" s="63"/>
      <c r="N141" s="251"/>
      <c r="O141" s="127"/>
    </row>
    <row r="142" spans="1:15" s="64" customFormat="1" x14ac:dyDescent="0.25">
      <c r="A142" s="28"/>
      <c r="B142" s="61"/>
      <c r="C142" s="28"/>
      <c r="D142" s="61"/>
      <c r="E142" s="61"/>
      <c r="F142" s="62"/>
      <c r="G142" s="62"/>
      <c r="H142" s="62"/>
      <c r="J142" s="63"/>
      <c r="N142" s="251"/>
      <c r="O142" s="127"/>
    </row>
    <row r="143" spans="1:15" s="64" customFormat="1" x14ac:dyDescent="0.25">
      <c r="A143" s="28"/>
      <c r="B143" s="61"/>
      <c r="C143" s="28"/>
      <c r="D143" s="61"/>
      <c r="E143" s="61"/>
      <c r="F143" s="62"/>
      <c r="G143" s="62"/>
      <c r="H143" s="62"/>
      <c r="J143" s="63"/>
      <c r="N143" s="251"/>
      <c r="O143" s="127"/>
    </row>
    <row r="144" spans="1:15" s="64" customFormat="1" x14ac:dyDescent="0.25">
      <c r="A144" s="28"/>
      <c r="B144" s="61"/>
      <c r="C144" s="28"/>
      <c r="D144" s="61"/>
      <c r="E144" s="61"/>
      <c r="F144" s="62"/>
      <c r="G144" s="62"/>
      <c r="H144" s="62"/>
      <c r="J144" s="63"/>
      <c r="N144" s="251"/>
      <c r="O144" s="127"/>
    </row>
    <row r="145" spans="1:15" s="64" customFormat="1" x14ac:dyDescent="0.25">
      <c r="A145" s="28"/>
      <c r="B145" s="61"/>
      <c r="C145" s="28"/>
      <c r="D145" s="61"/>
      <c r="E145" s="61"/>
      <c r="F145" s="62"/>
      <c r="G145" s="62"/>
      <c r="H145" s="62"/>
      <c r="J145" s="63"/>
      <c r="N145" s="251"/>
      <c r="O145" s="127"/>
    </row>
    <row r="146" spans="1:15" s="64" customFormat="1" x14ac:dyDescent="0.25">
      <c r="A146" s="28"/>
      <c r="B146" s="61"/>
      <c r="C146" s="28"/>
      <c r="D146" s="61"/>
      <c r="E146" s="61"/>
      <c r="F146" s="62"/>
      <c r="G146" s="62"/>
      <c r="H146" s="62"/>
      <c r="J146" s="63"/>
      <c r="N146" s="251"/>
      <c r="O146" s="127"/>
    </row>
    <row r="147" spans="1:15" s="64" customFormat="1" x14ac:dyDescent="0.25">
      <c r="A147" s="28"/>
      <c r="B147" s="61"/>
      <c r="C147" s="28"/>
      <c r="D147" s="61"/>
      <c r="E147" s="61"/>
      <c r="F147" s="62"/>
      <c r="G147" s="62"/>
      <c r="H147" s="62"/>
      <c r="J147" s="63"/>
      <c r="N147" s="251"/>
      <c r="O147" s="127"/>
    </row>
    <row r="148" spans="1:15" s="64" customFormat="1" x14ac:dyDescent="0.25">
      <c r="B148" s="61"/>
      <c r="C148" s="28"/>
      <c r="D148" s="61"/>
      <c r="E148" s="61"/>
      <c r="F148" s="62"/>
      <c r="G148" s="62"/>
      <c r="H148" s="62"/>
      <c r="J148" s="63"/>
      <c r="N148" s="251"/>
      <c r="O148" s="127"/>
    </row>
    <row r="149" spans="1:15" s="64" customFormat="1" x14ac:dyDescent="0.25">
      <c r="B149" s="61"/>
      <c r="C149" s="28"/>
      <c r="D149" s="61"/>
      <c r="E149" s="61"/>
      <c r="F149" s="62"/>
      <c r="G149" s="62"/>
      <c r="H149" s="62"/>
      <c r="J149" s="63"/>
      <c r="N149" s="251"/>
      <c r="O149" s="127"/>
    </row>
    <row r="150" spans="1:15" s="64" customFormat="1" x14ac:dyDescent="0.25">
      <c r="B150" s="61"/>
      <c r="C150" s="28"/>
      <c r="D150" s="61"/>
      <c r="E150" s="61"/>
      <c r="F150" s="62"/>
      <c r="G150" s="62"/>
      <c r="H150" s="62"/>
      <c r="J150" s="63"/>
      <c r="N150" s="251"/>
      <c r="O150" s="127"/>
    </row>
    <row r="151" spans="1:15" s="64" customFormat="1" x14ac:dyDescent="0.25">
      <c r="B151" s="61"/>
      <c r="C151" s="28"/>
      <c r="D151" s="61"/>
      <c r="E151" s="61"/>
      <c r="F151" s="62"/>
      <c r="G151" s="62"/>
      <c r="H151" s="62"/>
      <c r="J151" s="63"/>
      <c r="N151" s="251"/>
      <c r="O151" s="127"/>
    </row>
    <row r="152" spans="1:15" s="64" customFormat="1" x14ac:dyDescent="0.25">
      <c r="B152" s="61"/>
      <c r="C152" s="28"/>
      <c r="D152" s="61"/>
      <c r="E152" s="61"/>
      <c r="F152" s="62"/>
      <c r="G152" s="62"/>
      <c r="H152" s="62"/>
      <c r="J152" s="63"/>
      <c r="N152" s="251"/>
      <c r="O152" s="127"/>
    </row>
    <row r="153" spans="1:15" s="64" customFormat="1" x14ac:dyDescent="0.25">
      <c r="B153" s="61"/>
      <c r="C153" s="28"/>
      <c r="D153" s="61"/>
      <c r="E153" s="61"/>
      <c r="F153" s="62"/>
      <c r="G153" s="62"/>
      <c r="H153" s="62"/>
      <c r="J153" s="63"/>
      <c r="N153" s="251"/>
      <c r="O153" s="127"/>
    </row>
    <row r="154" spans="1:15" s="64" customFormat="1" x14ac:dyDescent="0.25">
      <c r="B154" s="61"/>
      <c r="C154" s="28"/>
      <c r="D154" s="61"/>
      <c r="E154" s="61"/>
      <c r="F154" s="62"/>
      <c r="G154" s="62"/>
      <c r="H154" s="62"/>
      <c r="J154" s="63"/>
      <c r="N154" s="251"/>
      <c r="O154" s="127"/>
    </row>
    <row r="155" spans="1:15" s="64" customFormat="1" x14ac:dyDescent="0.25">
      <c r="B155" s="61"/>
      <c r="C155" s="28"/>
      <c r="D155" s="61"/>
      <c r="E155" s="61"/>
      <c r="F155" s="62"/>
      <c r="G155" s="62"/>
      <c r="H155" s="62"/>
      <c r="J155" s="63"/>
      <c r="N155" s="251"/>
      <c r="O155" s="127"/>
    </row>
    <row r="156" spans="1:15" s="64" customFormat="1" x14ac:dyDescent="0.25">
      <c r="B156" s="61"/>
      <c r="C156" s="28"/>
      <c r="D156" s="61"/>
      <c r="E156" s="61"/>
      <c r="F156" s="62"/>
      <c r="G156" s="62"/>
      <c r="H156" s="62"/>
      <c r="J156" s="63"/>
      <c r="N156" s="251"/>
      <c r="O156" s="127"/>
    </row>
    <row r="157" spans="1:15" s="64" customFormat="1" x14ac:dyDescent="0.25">
      <c r="B157" s="61"/>
      <c r="C157" s="28"/>
      <c r="D157" s="61"/>
      <c r="E157" s="61"/>
      <c r="F157" s="62"/>
      <c r="G157" s="62"/>
      <c r="H157" s="62"/>
      <c r="J157" s="63"/>
      <c r="N157" s="251"/>
      <c r="O157" s="127"/>
    </row>
    <row r="158" spans="1:15" s="64" customFormat="1" x14ac:dyDescent="0.25">
      <c r="B158" s="61"/>
      <c r="C158" s="28"/>
      <c r="D158" s="61"/>
      <c r="E158" s="61"/>
      <c r="F158" s="62"/>
      <c r="G158" s="62"/>
      <c r="H158" s="62"/>
      <c r="J158" s="63"/>
      <c r="N158" s="251"/>
      <c r="O158" s="127"/>
    </row>
    <row r="159" spans="1:15" s="64" customFormat="1" x14ac:dyDescent="0.25">
      <c r="B159" s="61"/>
      <c r="C159" s="28"/>
      <c r="D159" s="61"/>
      <c r="E159" s="61"/>
      <c r="F159" s="62"/>
      <c r="G159" s="62"/>
      <c r="H159" s="62"/>
      <c r="J159" s="63"/>
      <c r="N159" s="251"/>
      <c r="O159" s="127"/>
    </row>
    <row r="160" spans="1:15" s="64" customFormat="1" x14ac:dyDescent="0.25">
      <c r="B160" s="61"/>
      <c r="C160" s="28"/>
      <c r="D160" s="61"/>
      <c r="E160" s="61"/>
      <c r="F160" s="62"/>
      <c r="G160" s="62"/>
      <c r="H160" s="62"/>
      <c r="J160" s="63"/>
      <c r="N160" s="251"/>
      <c r="O160" s="127"/>
    </row>
    <row r="161" spans="2:15" s="64" customFormat="1" x14ac:dyDescent="0.25">
      <c r="B161" s="61"/>
      <c r="C161" s="28"/>
      <c r="D161" s="61"/>
      <c r="E161" s="61"/>
      <c r="F161" s="62"/>
      <c r="G161" s="62"/>
      <c r="H161" s="62"/>
      <c r="J161" s="63"/>
      <c r="N161" s="251"/>
      <c r="O161" s="127"/>
    </row>
    <row r="162" spans="2:15" s="64" customFormat="1" x14ac:dyDescent="0.25">
      <c r="B162" s="61"/>
      <c r="C162" s="28"/>
      <c r="D162" s="61"/>
      <c r="E162" s="61"/>
      <c r="F162" s="62"/>
      <c r="G162" s="62"/>
      <c r="H162" s="62"/>
      <c r="J162" s="63"/>
      <c r="N162" s="251"/>
      <c r="O162" s="127"/>
    </row>
    <row r="163" spans="2:15" s="64" customFormat="1" x14ac:dyDescent="0.25">
      <c r="B163" s="61"/>
      <c r="C163" s="28"/>
      <c r="D163" s="61"/>
      <c r="E163" s="61"/>
      <c r="F163" s="62"/>
      <c r="G163" s="62"/>
      <c r="H163" s="62"/>
      <c r="J163" s="63"/>
      <c r="N163" s="251"/>
      <c r="O163" s="127"/>
    </row>
    <row r="164" spans="2:15" s="64" customFormat="1" x14ac:dyDescent="0.25">
      <c r="B164" s="61"/>
      <c r="C164" s="28"/>
      <c r="D164" s="61"/>
      <c r="E164" s="61"/>
      <c r="F164" s="62"/>
      <c r="G164" s="62"/>
      <c r="H164" s="62"/>
      <c r="J164" s="63"/>
      <c r="N164" s="251"/>
      <c r="O164" s="127"/>
    </row>
    <row r="165" spans="2:15" s="64" customFormat="1" x14ac:dyDescent="0.25">
      <c r="B165" s="61"/>
      <c r="C165" s="28"/>
      <c r="D165" s="61"/>
      <c r="E165" s="61"/>
      <c r="F165" s="62"/>
      <c r="G165" s="62"/>
      <c r="H165" s="62"/>
      <c r="J165" s="63"/>
      <c r="N165" s="251"/>
      <c r="O165" s="127"/>
    </row>
  </sheetData>
  <mergeCells count="19">
    <mergeCell ref="F132:I132"/>
    <mergeCell ref="K132:L132"/>
    <mergeCell ref="L2:L3"/>
    <mergeCell ref="M2:M3"/>
    <mergeCell ref="N2:N3"/>
    <mergeCell ref="G2:G3"/>
    <mergeCell ref="H2:H3"/>
    <mergeCell ref="F131:I131"/>
    <mergeCell ref="K131:L131"/>
    <mergeCell ref="A1:N1"/>
    <mergeCell ref="A2:A3"/>
    <mergeCell ref="B2:B3"/>
    <mergeCell ref="C2:C3"/>
    <mergeCell ref="D2:D3"/>
    <mergeCell ref="E2:E3"/>
    <mergeCell ref="F2:F3"/>
    <mergeCell ref="I2:I3"/>
    <mergeCell ref="J2:J3"/>
    <mergeCell ref="K2:K3"/>
  </mergeCells>
  <conditionalFormatting sqref="J16">
    <cfRule type="duplicateValues" dxfId="6" priority="1"/>
  </conditionalFormatting>
  <pageMargins left="0.7" right="0.7" top="0.75" bottom="0.75" header="0.3" footer="0.3"/>
  <pageSetup paperSize="8" scale="51" orientation="landscape" r:id="rId1"/>
  <rowBreaks count="1" manualBreakCount="1">
    <brk id="131" max="1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262E9-E742-4A82-A4AD-2727FEC4D719}">
  <dimension ref="A1:Q164"/>
  <sheetViews>
    <sheetView view="pageBreakPreview" zoomScaleNormal="96" zoomScaleSheetLayoutView="100" workbookViewId="0">
      <pane xSplit="3" ySplit="3" topLeftCell="D55" activePane="bottomRight" state="frozen"/>
      <selection activeCell="D110" sqref="D110"/>
      <selection pane="topRight" activeCell="D110" sqref="D110"/>
      <selection pane="bottomLeft" activeCell="D110" sqref="D110"/>
      <selection pane="bottomRight" activeCell="D110" sqref="D110"/>
    </sheetView>
  </sheetViews>
  <sheetFormatPr defaultColWidth="9.140625" defaultRowHeight="13.5" x14ac:dyDescent="0.25"/>
  <cols>
    <col min="1" max="1" width="4.5703125" style="28" customWidth="1"/>
    <col min="2" max="2" width="10.42578125" style="61" customWidth="1"/>
    <col min="3" max="3" width="38.42578125" style="28" customWidth="1"/>
    <col min="4" max="4" width="16" style="61" bestFit="1" customWidth="1"/>
    <col min="5" max="5" width="12.42578125" style="61" customWidth="1"/>
    <col min="6" max="6" width="16" style="61" bestFit="1" customWidth="1"/>
    <col min="7" max="8" width="16" style="61" customWidth="1"/>
    <col min="9" max="9" width="12.42578125" style="64" customWidth="1"/>
    <col min="10" max="10" width="21.42578125" style="63" hidden="1" customWidth="1"/>
    <col min="11" max="11" width="20" style="64" hidden="1" customWidth="1"/>
    <col min="12" max="12" width="17.5703125" style="64" hidden="1" customWidth="1"/>
    <col min="13" max="13" width="12" style="64" hidden="1" customWidth="1"/>
    <col min="14" max="14" width="9.7109375" style="28" bestFit="1" customWidth="1"/>
    <col min="15" max="15" width="10.5703125" style="4" customWidth="1"/>
    <col min="16" max="17" width="9.140625" style="6"/>
    <col min="18" max="16384" width="9.140625" style="28"/>
  </cols>
  <sheetData>
    <row r="1" spans="1:17" s="7" customFormat="1" ht="30" customHeight="1" x14ac:dyDescent="0.25">
      <c r="A1" s="310" t="s">
        <v>345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2"/>
      <c r="O1" s="4"/>
      <c r="P1" s="6"/>
      <c r="Q1" s="6"/>
    </row>
    <row r="2" spans="1:17" s="11" customFormat="1" ht="19.5" customHeight="1" x14ac:dyDescent="0.25">
      <c r="A2" s="308" t="s">
        <v>1</v>
      </c>
      <c r="B2" s="313" t="s">
        <v>2</v>
      </c>
      <c r="C2" s="308" t="s">
        <v>3</v>
      </c>
      <c r="D2" s="314" t="s">
        <v>4</v>
      </c>
      <c r="E2" s="308" t="s">
        <v>5</v>
      </c>
      <c r="F2" s="308" t="s">
        <v>6</v>
      </c>
      <c r="G2" s="308" t="s">
        <v>30</v>
      </c>
      <c r="H2" s="308" t="s">
        <v>31</v>
      </c>
      <c r="I2" s="308" t="s">
        <v>9</v>
      </c>
      <c r="J2" s="308" t="s">
        <v>10</v>
      </c>
      <c r="K2" s="308" t="s">
        <v>11</v>
      </c>
      <c r="L2" s="308" t="s">
        <v>12</v>
      </c>
      <c r="M2" s="308" t="s">
        <v>13</v>
      </c>
      <c r="N2" s="309" t="s">
        <v>14</v>
      </c>
      <c r="O2" s="8"/>
      <c r="P2" s="10"/>
      <c r="Q2" s="10"/>
    </row>
    <row r="3" spans="1:17" s="11" customFormat="1" ht="26.25" customHeight="1" x14ac:dyDescent="0.25">
      <c r="A3" s="308"/>
      <c r="B3" s="313"/>
      <c r="C3" s="308"/>
      <c r="D3" s="315"/>
      <c r="E3" s="308"/>
      <c r="F3" s="308"/>
      <c r="G3" s="308"/>
      <c r="H3" s="308"/>
      <c r="I3" s="308"/>
      <c r="J3" s="308"/>
      <c r="K3" s="308"/>
      <c r="L3" s="308"/>
      <c r="M3" s="308"/>
      <c r="N3" s="309"/>
      <c r="O3" s="8"/>
      <c r="P3" s="10"/>
      <c r="Q3" s="10"/>
    </row>
    <row r="4" spans="1:17" s="6" customFormat="1" x14ac:dyDescent="0.25">
      <c r="A4" s="12">
        <v>1</v>
      </c>
      <c r="B4" s="69">
        <v>2603</v>
      </c>
      <c r="C4" s="70" t="s">
        <v>71</v>
      </c>
      <c r="D4" s="69">
        <v>565.9</v>
      </c>
      <c r="E4" s="14" t="s">
        <v>16</v>
      </c>
      <c r="F4" s="15">
        <f t="shared" ref="F4:F67" si="0">D4*E4</f>
        <v>226.36</v>
      </c>
      <c r="G4" s="15"/>
      <c r="H4" s="15">
        <f>F4-G4</f>
        <v>226.36</v>
      </c>
      <c r="I4" s="16">
        <v>5744412</v>
      </c>
      <c r="J4" s="17" t="s">
        <v>72</v>
      </c>
      <c r="K4" s="16" t="s">
        <v>73</v>
      </c>
      <c r="L4" s="266" t="s">
        <v>74</v>
      </c>
      <c r="M4" s="16">
        <v>92566993</v>
      </c>
      <c r="N4" s="16"/>
      <c r="O4" s="4"/>
    </row>
    <row r="5" spans="1:17" s="6" customFormat="1" x14ac:dyDescent="0.25">
      <c r="A5" s="12">
        <v>2</v>
      </c>
      <c r="B5" s="69">
        <v>2604</v>
      </c>
      <c r="C5" s="70" t="s">
        <v>46</v>
      </c>
      <c r="D5" s="69">
        <v>449.6</v>
      </c>
      <c r="E5" s="14" t="s">
        <v>16</v>
      </c>
      <c r="F5" s="15">
        <f t="shared" si="0"/>
        <v>179.84000000000003</v>
      </c>
      <c r="G5" s="15"/>
      <c r="H5" s="15">
        <f t="shared" ref="H5:H68" si="1">F5-G5</f>
        <v>179.84000000000003</v>
      </c>
      <c r="I5" s="16">
        <v>3946807</v>
      </c>
      <c r="J5" s="17" t="s">
        <v>75</v>
      </c>
      <c r="K5" s="16" t="s">
        <v>76</v>
      </c>
      <c r="L5" s="16" t="s">
        <v>77</v>
      </c>
      <c r="M5" s="16">
        <v>99702767</v>
      </c>
      <c r="N5" s="16"/>
      <c r="O5" s="4"/>
    </row>
    <row r="6" spans="1:17" s="6" customFormat="1" x14ac:dyDescent="0.25">
      <c r="A6" s="12">
        <v>3</v>
      </c>
      <c r="B6" s="69">
        <v>2606</v>
      </c>
      <c r="C6" s="70" t="s">
        <v>78</v>
      </c>
      <c r="D6" s="69">
        <v>220.1</v>
      </c>
      <c r="E6" s="14" t="s">
        <v>16</v>
      </c>
      <c r="F6" s="15">
        <f t="shared" si="0"/>
        <v>88.04</v>
      </c>
      <c r="G6" s="15"/>
      <c r="H6" s="15">
        <f t="shared" si="1"/>
        <v>88.04</v>
      </c>
      <c r="I6" s="16">
        <v>13974337</v>
      </c>
      <c r="J6" s="17" t="s">
        <v>79</v>
      </c>
      <c r="K6" s="16" t="s">
        <v>80</v>
      </c>
      <c r="L6" s="32" t="s">
        <v>81</v>
      </c>
      <c r="M6" s="16">
        <v>99291110</v>
      </c>
      <c r="N6" s="16"/>
      <c r="O6" s="4"/>
    </row>
    <row r="7" spans="1:17" s="6" customFormat="1" x14ac:dyDescent="0.25">
      <c r="A7" s="12">
        <v>4</v>
      </c>
      <c r="B7" s="12">
        <v>2607</v>
      </c>
      <c r="C7" s="13" t="s">
        <v>82</v>
      </c>
      <c r="D7" s="12">
        <v>321.60000000000002</v>
      </c>
      <c r="E7" s="14" t="s">
        <v>16</v>
      </c>
      <c r="F7" s="15">
        <f t="shared" si="0"/>
        <v>128.64000000000001</v>
      </c>
      <c r="G7" s="15"/>
      <c r="H7" s="15">
        <f t="shared" si="1"/>
        <v>128.64000000000001</v>
      </c>
      <c r="I7" s="16">
        <v>6488366</v>
      </c>
      <c r="J7" s="17" t="s">
        <v>83</v>
      </c>
      <c r="K7" s="16" t="s">
        <v>73</v>
      </c>
      <c r="L7" s="32" t="s">
        <v>74</v>
      </c>
      <c r="M7" s="16">
        <v>95479797</v>
      </c>
      <c r="N7" s="16" t="s">
        <v>22</v>
      </c>
      <c r="O7" s="4"/>
    </row>
    <row r="8" spans="1:17" s="6" customFormat="1" x14ac:dyDescent="0.25">
      <c r="A8" s="12">
        <v>5</v>
      </c>
      <c r="B8" s="69">
        <v>2608</v>
      </c>
      <c r="C8" s="70" t="s">
        <v>84</v>
      </c>
      <c r="D8" s="69">
        <v>270.7</v>
      </c>
      <c r="E8" s="14" t="s">
        <v>16</v>
      </c>
      <c r="F8" s="15">
        <f t="shared" si="0"/>
        <v>108.28</v>
      </c>
      <c r="G8" s="15"/>
      <c r="H8" s="15">
        <f t="shared" si="1"/>
        <v>108.28</v>
      </c>
      <c r="I8" s="16">
        <v>1233627</v>
      </c>
      <c r="J8" s="17" t="s">
        <v>85</v>
      </c>
      <c r="K8" s="16" t="s">
        <v>73</v>
      </c>
      <c r="L8" s="32" t="s">
        <v>74</v>
      </c>
      <c r="M8" s="16">
        <v>92788274</v>
      </c>
      <c r="N8" s="12"/>
      <c r="O8" s="4"/>
    </row>
    <row r="9" spans="1:17" s="6" customFormat="1" x14ac:dyDescent="0.25">
      <c r="A9" s="18">
        <v>6</v>
      </c>
      <c r="B9" s="18">
        <v>2609</v>
      </c>
      <c r="C9" s="19" t="s">
        <v>87</v>
      </c>
      <c r="D9" s="18">
        <v>203.8</v>
      </c>
      <c r="E9" s="20" t="s">
        <v>16</v>
      </c>
      <c r="F9" s="21">
        <f t="shared" si="0"/>
        <v>81.52000000000001</v>
      </c>
      <c r="G9" s="21">
        <f>81.05</f>
        <v>81.05</v>
      </c>
      <c r="H9" s="21">
        <f t="shared" si="1"/>
        <v>0.47000000000001307</v>
      </c>
      <c r="I9" s="25">
        <v>1248701</v>
      </c>
      <c r="J9" s="27" t="s">
        <v>88</v>
      </c>
      <c r="K9" s="25" t="s">
        <v>73</v>
      </c>
      <c r="L9" s="30" t="s">
        <v>74</v>
      </c>
      <c r="M9" s="25">
        <v>90911500</v>
      </c>
      <c r="N9" s="31">
        <v>45691</v>
      </c>
      <c r="O9" s="4"/>
    </row>
    <row r="10" spans="1:17" s="6" customFormat="1" x14ac:dyDescent="0.25">
      <c r="A10" s="12">
        <v>7</v>
      </c>
      <c r="B10" s="69">
        <v>2610</v>
      </c>
      <c r="C10" s="70" t="s">
        <v>47</v>
      </c>
      <c r="D10" s="69">
        <v>539.5</v>
      </c>
      <c r="E10" s="14" t="s">
        <v>16</v>
      </c>
      <c r="F10" s="15">
        <f t="shared" si="0"/>
        <v>215.8</v>
      </c>
      <c r="G10" s="15"/>
      <c r="H10" s="15">
        <f t="shared" si="1"/>
        <v>215.8</v>
      </c>
      <c r="I10" s="16">
        <v>1183461</v>
      </c>
      <c r="J10" s="17" t="s">
        <v>89</v>
      </c>
      <c r="K10" s="16" t="s">
        <v>90</v>
      </c>
      <c r="L10" s="29" t="s">
        <v>91</v>
      </c>
      <c r="M10" s="16">
        <v>95622123</v>
      </c>
      <c r="N10" s="17"/>
      <c r="O10" s="4"/>
    </row>
    <row r="11" spans="1:17" s="6" customFormat="1" x14ac:dyDescent="0.25">
      <c r="A11" s="12">
        <v>8</v>
      </c>
      <c r="B11" s="12">
        <v>2611</v>
      </c>
      <c r="C11" s="13" t="s">
        <v>92</v>
      </c>
      <c r="D11" s="12">
        <v>276.8</v>
      </c>
      <c r="E11" s="14" t="s">
        <v>16</v>
      </c>
      <c r="F11" s="15">
        <f t="shared" si="0"/>
        <v>110.72000000000001</v>
      </c>
      <c r="G11" s="15"/>
      <c r="H11" s="15">
        <f t="shared" si="1"/>
        <v>110.72000000000001</v>
      </c>
      <c r="I11" s="16">
        <v>1348989</v>
      </c>
      <c r="J11" s="17" t="s">
        <v>93</v>
      </c>
      <c r="K11" s="16" t="s">
        <v>94</v>
      </c>
      <c r="L11" s="182" t="s">
        <v>95</v>
      </c>
      <c r="M11" s="16">
        <v>99678203</v>
      </c>
      <c r="N11" s="16" t="s">
        <v>22</v>
      </c>
      <c r="O11" s="4"/>
    </row>
    <row r="12" spans="1:17" s="6" customFormat="1" x14ac:dyDescent="0.25">
      <c r="A12" s="12">
        <v>9</v>
      </c>
      <c r="B12" s="69">
        <v>2612</v>
      </c>
      <c r="C12" s="70" t="s">
        <v>96</v>
      </c>
      <c r="D12" s="69">
        <v>867.6</v>
      </c>
      <c r="E12" s="14" t="s">
        <v>16</v>
      </c>
      <c r="F12" s="15">
        <f t="shared" si="0"/>
        <v>347.04</v>
      </c>
      <c r="G12" s="15"/>
      <c r="H12" s="15">
        <f t="shared" si="1"/>
        <v>347.04</v>
      </c>
      <c r="I12" s="16">
        <v>896658</v>
      </c>
      <c r="J12" s="17" t="s">
        <v>97</v>
      </c>
      <c r="K12" s="16" t="s">
        <v>90</v>
      </c>
      <c r="L12" s="29" t="s">
        <v>91</v>
      </c>
      <c r="M12" s="16">
        <v>99831783</v>
      </c>
      <c r="N12" s="12"/>
      <c r="O12" s="4"/>
    </row>
    <row r="13" spans="1:17" s="72" customFormat="1" x14ac:dyDescent="0.25">
      <c r="A13" s="12">
        <v>10</v>
      </c>
      <c r="B13" s="69">
        <v>2613</v>
      </c>
      <c r="C13" s="70" t="s">
        <v>98</v>
      </c>
      <c r="D13" s="69">
        <v>316.5</v>
      </c>
      <c r="E13" s="14" t="s">
        <v>16</v>
      </c>
      <c r="F13" s="15">
        <f t="shared" si="0"/>
        <v>126.60000000000001</v>
      </c>
      <c r="G13" s="15"/>
      <c r="H13" s="15">
        <f t="shared" si="1"/>
        <v>126.60000000000001</v>
      </c>
      <c r="I13" s="16">
        <v>2884732</v>
      </c>
      <c r="J13" s="17" t="s">
        <v>99</v>
      </c>
      <c r="K13" s="16" t="s">
        <v>18</v>
      </c>
      <c r="L13" s="32" t="s">
        <v>19</v>
      </c>
      <c r="M13" s="16">
        <v>95878851</v>
      </c>
      <c r="N13" s="17"/>
      <c r="O13" s="4"/>
      <c r="P13" s="6"/>
      <c r="Q13" s="6"/>
    </row>
    <row r="14" spans="1:17" s="6" customFormat="1" x14ac:dyDescent="0.25">
      <c r="A14" s="12">
        <v>11</v>
      </c>
      <c r="B14" s="12">
        <v>2614</v>
      </c>
      <c r="C14" s="13" t="s">
        <v>100</v>
      </c>
      <c r="D14" s="12">
        <v>454.8</v>
      </c>
      <c r="E14" s="14" t="s">
        <v>16</v>
      </c>
      <c r="F14" s="15">
        <f t="shared" si="0"/>
        <v>181.92000000000002</v>
      </c>
      <c r="G14" s="15"/>
      <c r="H14" s="15">
        <f t="shared" si="1"/>
        <v>181.92000000000002</v>
      </c>
      <c r="I14" s="16">
        <v>1015515</v>
      </c>
      <c r="J14" s="17" t="s">
        <v>101</v>
      </c>
      <c r="K14" s="16" t="s">
        <v>90</v>
      </c>
      <c r="L14" s="29" t="s">
        <v>91</v>
      </c>
      <c r="M14" s="16">
        <v>92350077</v>
      </c>
      <c r="N14" s="17"/>
      <c r="O14" s="4"/>
    </row>
    <row r="15" spans="1:17" s="72" customFormat="1" x14ac:dyDescent="0.25">
      <c r="A15" s="18">
        <v>12</v>
      </c>
      <c r="B15" s="18">
        <v>2615</v>
      </c>
      <c r="C15" s="19" t="s">
        <v>102</v>
      </c>
      <c r="D15" s="18">
        <v>635.4</v>
      </c>
      <c r="E15" s="20" t="s">
        <v>16</v>
      </c>
      <c r="F15" s="21">
        <f t="shared" si="0"/>
        <v>254.16</v>
      </c>
      <c r="G15" s="21">
        <f>251.86</f>
        <v>251.86</v>
      </c>
      <c r="H15" s="21">
        <f t="shared" si="1"/>
        <v>2.2999999999999829</v>
      </c>
      <c r="I15" s="25">
        <v>1248772</v>
      </c>
      <c r="J15" s="27" t="s">
        <v>103</v>
      </c>
      <c r="K15" s="25" t="s">
        <v>94</v>
      </c>
      <c r="L15" s="73" t="s">
        <v>95</v>
      </c>
      <c r="M15" s="25">
        <v>91102881</v>
      </c>
      <c r="N15" s="114">
        <v>45691</v>
      </c>
      <c r="O15" s="267"/>
    </row>
    <row r="16" spans="1:17" x14ac:dyDescent="0.25">
      <c r="A16" s="18">
        <v>13</v>
      </c>
      <c r="B16" s="18">
        <v>2616</v>
      </c>
      <c r="C16" s="19" t="s">
        <v>15</v>
      </c>
      <c r="D16" s="18">
        <v>201.7</v>
      </c>
      <c r="E16" s="20" t="s">
        <v>16</v>
      </c>
      <c r="F16" s="21">
        <f t="shared" si="0"/>
        <v>80.680000000000007</v>
      </c>
      <c r="G16" s="22">
        <f>0.32+77.6+2.76</f>
        <v>80.679999999999993</v>
      </c>
      <c r="H16" s="21">
        <f t="shared" si="1"/>
        <v>0</v>
      </c>
      <c r="I16" s="23">
        <v>6225617</v>
      </c>
      <c r="J16" s="24" t="s">
        <v>17</v>
      </c>
      <c r="K16" s="25" t="s">
        <v>18</v>
      </c>
      <c r="L16" s="26" t="s">
        <v>19</v>
      </c>
      <c r="M16" s="25">
        <v>98004554</v>
      </c>
      <c r="N16" s="17">
        <v>45671</v>
      </c>
      <c r="O16" s="4">
        <v>45691</v>
      </c>
      <c r="P16" s="6" t="s">
        <v>348</v>
      </c>
    </row>
    <row r="17" spans="1:15" s="6" customFormat="1" x14ac:dyDescent="0.25">
      <c r="A17" s="12">
        <v>14</v>
      </c>
      <c r="B17" s="69">
        <v>2617</v>
      </c>
      <c r="C17" s="70" t="s">
        <v>105</v>
      </c>
      <c r="D17" s="69">
        <v>310.10000000000002</v>
      </c>
      <c r="E17" s="14" t="s">
        <v>16</v>
      </c>
      <c r="F17" s="15">
        <f t="shared" si="0"/>
        <v>124.04000000000002</v>
      </c>
      <c r="G17" s="15"/>
      <c r="H17" s="15">
        <f t="shared" si="1"/>
        <v>124.04000000000002</v>
      </c>
      <c r="I17" s="69">
        <v>17375838</v>
      </c>
      <c r="J17" s="183" t="s">
        <v>106</v>
      </c>
      <c r="K17" s="78" t="s">
        <v>73</v>
      </c>
      <c r="L17" s="79" t="s">
        <v>74</v>
      </c>
      <c r="M17" s="79">
        <v>95089970</v>
      </c>
      <c r="N17" s="79"/>
      <c r="O17" s="4"/>
    </row>
    <row r="18" spans="1:15" s="6" customFormat="1" x14ac:dyDescent="0.25">
      <c r="A18" s="12">
        <v>15</v>
      </c>
      <c r="B18" s="69">
        <v>2618</v>
      </c>
      <c r="C18" s="70" t="s">
        <v>48</v>
      </c>
      <c r="D18" s="69">
        <v>532</v>
      </c>
      <c r="E18" s="14" t="s">
        <v>16</v>
      </c>
      <c r="F18" s="15">
        <f t="shared" si="0"/>
        <v>212.8</v>
      </c>
      <c r="G18" s="15"/>
      <c r="H18" s="15">
        <f t="shared" si="1"/>
        <v>212.8</v>
      </c>
      <c r="I18" s="16">
        <v>6552811</v>
      </c>
      <c r="J18" s="17" t="s">
        <v>107</v>
      </c>
      <c r="K18" s="16" t="s">
        <v>73</v>
      </c>
      <c r="L18" s="32" t="s">
        <v>74</v>
      </c>
      <c r="M18" s="16">
        <v>99085221</v>
      </c>
      <c r="N18" s="12"/>
      <c r="O18" s="4"/>
    </row>
    <row r="19" spans="1:15" s="6" customFormat="1" x14ac:dyDescent="0.25">
      <c r="A19" s="12">
        <v>16</v>
      </c>
      <c r="B19" s="69">
        <v>2619</v>
      </c>
      <c r="C19" s="70" t="s">
        <v>108</v>
      </c>
      <c r="D19" s="69">
        <v>644</v>
      </c>
      <c r="E19" s="14" t="s">
        <v>16</v>
      </c>
      <c r="F19" s="15">
        <f t="shared" si="0"/>
        <v>257.60000000000002</v>
      </c>
      <c r="G19" s="15"/>
      <c r="H19" s="15">
        <f t="shared" si="1"/>
        <v>257.60000000000002</v>
      </c>
      <c r="I19" s="16">
        <v>6552839</v>
      </c>
      <c r="J19" s="17" t="s">
        <v>109</v>
      </c>
      <c r="K19" s="16" t="s">
        <v>90</v>
      </c>
      <c r="L19" s="29" t="s">
        <v>91</v>
      </c>
      <c r="M19" s="16">
        <v>92017833</v>
      </c>
      <c r="N19" s="12"/>
      <c r="O19" s="4"/>
    </row>
    <row r="20" spans="1:15" s="72" customFormat="1" x14ac:dyDescent="0.25">
      <c r="A20" s="18">
        <v>17</v>
      </c>
      <c r="B20" s="18">
        <v>2620</v>
      </c>
      <c r="C20" s="19" t="s">
        <v>110</v>
      </c>
      <c r="D20" s="18">
        <v>385.4</v>
      </c>
      <c r="E20" s="20" t="s">
        <v>16</v>
      </c>
      <c r="F20" s="21">
        <f t="shared" si="0"/>
        <v>154.16</v>
      </c>
      <c r="G20" s="21">
        <f>150.35</f>
        <v>150.35</v>
      </c>
      <c r="H20" s="21">
        <f t="shared" si="1"/>
        <v>3.8100000000000023</v>
      </c>
      <c r="I20" s="25">
        <v>1183437</v>
      </c>
      <c r="J20" s="27" t="s">
        <v>111</v>
      </c>
      <c r="K20" s="25" t="s">
        <v>73</v>
      </c>
      <c r="L20" s="30" t="s">
        <v>74</v>
      </c>
      <c r="M20" s="25">
        <v>92585717</v>
      </c>
      <c r="N20" s="18" t="s">
        <v>344</v>
      </c>
      <c r="O20" s="267"/>
    </row>
    <row r="21" spans="1:15" s="72" customFormat="1" x14ac:dyDescent="0.25">
      <c r="A21" s="18">
        <v>18</v>
      </c>
      <c r="B21" s="18">
        <v>2621</v>
      </c>
      <c r="C21" s="19" t="s">
        <v>113</v>
      </c>
      <c r="D21" s="18">
        <v>343.4</v>
      </c>
      <c r="E21" s="20" t="s">
        <v>16</v>
      </c>
      <c r="F21" s="21">
        <f t="shared" si="0"/>
        <v>137.35999999999999</v>
      </c>
      <c r="G21" s="21">
        <f>133.85</f>
        <v>133.85</v>
      </c>
      <c r="H21" s="21">
        <f t="shared" si="1"/>
        <v>3.5099999999999909</v>
      </c>
      <c r="I21" s="25">
        <v>19745547</v>
      </c>
      <c r="J21" s="27" t="s">
        <v>114</v>
      </c>
      <c r="K21" s="25" t="s">
        <v>73</v>
      </c>
      <c r="L21" s="30" t="s">
        <v>74</v>
      </c>
      <c r="M21" s="25">
        <v>98821811</v>
      </c>
      <c r="N21" s="31">
        <v>45963</v>
      </c>
      <c r="O21" s="267"/>
    </row>
    <row r="22" spans="1:15" s="72" customFormat="1" x14ac:dyDescent="0.25">
      <c r="A22" s="18">
        <v>19</v>
      </c>
      <c r="B22" s="18">
        <v>2622</v>
      </c>
      <c r="C22" s="19" t="s">
        <v>115</v>
      </c>
      <c r="D22" s="18">
        <v>466.6</v>
      </c>
      <c r="E22" s="20" t="s">
        <v>16</v>
      </c>
      <c r="F22" s="21">
        <f t="shared" si="0"/>
        <v>186.64000000000001</v>
      </c>
      <c r="G22" s="21">
        <f>183.79</f>
        <v>183.79</v>
      </c>
      <c r="H22" s="21">
        <f t="shared" si="1"/>
        <v>2.8500000000000227</v>
      </c>
      <c r="I22" s="25">
        <v>6067343</v>
      </c>
      <c r="J22" s="27" t="s">
        <v>116</v>
      </c>
      <c r="K22" s="25" t="s">
        <v>94</v>
      </c>
      <c r="L22" s="73" t="s">
        <v>95</v>
      </c>
      <c r="M22" s="25">
        <v>91329902</v>
      </c>
      <c r="N22" s="31">
        <v>45810</v>
      </c>
      <c r="O22" s="267"/>
    </row>
    <row r="23" spans="1:15" s="6" customFormat="1" x14ac:dyDescent="0.25">
      <c r="A23" s="12">
        <v>20</v>
      </c>
      <c r="B23" s="69">
        <v>2623</v>
      </c>
      <c r="C23" s="70" t="s">
        <v>49</v>
      </c>
      <c r="D23" s="69">
        <v>254.5</v>
      </c>
      <c r="E23" s="14" t="s">
        <v>16</v>
      </c>
      <c r="F23" s="15">
        <f t="shared" si="0"/>
        <v>101.80000000000001</v>
      </c>
      <c r="G23" s="15"/>
      <c r="H23" s="15">
        <f t="shared" si="1"/>
        <v>101.80000000000001</v>
      </c>
      <c r="I23" s="16">
        <v>1994004</v>
      </c>
      <c r="J23" s="17" t="s">
        <v>117</v>
      </c>
      <c r="K23" s="16" t="s">
        <v>73</v>
      </c>
      <c r="L23" s="32" t="s">
        <v>74</v>
      </c>
      <c r="M23" s="16">
        <v>99489917</v>
      </c>
      <c r="N23" s="12"/>
      <c r="O23" s="4"/>
    </row>
    <row r="24" spans="1:15" s="6" customFormat="1" x14ac:dyDescent="0.25">
      <c r="A24" s="12">
        <v>21</v>
      </c>
      <c r="B24" s="69">
        <v>2624</v>
      </c>
      <c r="C24" s="70" t="s">
        <v>118</v>
      </c>
      <c r="D24" s="69">
        <v>318.39999999999998</v>
      </c>
      <c r="E24" s="14" t="s">
        <v>16</v>
      </c>
      <c r="F24" s="15">
        <f t="shared" si="0"/>
        <v>127.36</v>
      </c>
      <c r="G24" s="15"/>
      <c r="H24" s="15">
        <f t="shared" si="1"/>
        <v>127.36</v>
      </c>
      <c r="I24" s="16">
        <v>3206725</v>
      </c>
      <c r="J24" s="17">
        <v>401002509090012</v>
      </c>
      <c r="K24" s="16" t="s">
        <v>73</v>
      </c>
      <c r="L24" s="32" t="s">
        <v>74</v>
      </c>
      <c r="M24" s="16">
        <v>93325253</v>
      </c>
      <c r="N24" s="12"/>
      <c r="O24" s="4"/>
    </row>
    <row r="25" spans="1:15" x14ac:dyDescent="0.25">
      <c r="A25" s="12">
        <v>22</v>
      </c>
      <c r="B25" s="69">
        <v>2625</v>
      </c>
      <c r="C25" s="70" t="s">
        <v>119</v>
      </c>
      <c r="D25" s="69">
        <v>765.5</v>
      </c>
      <c r="E25" s="14" t="s">
        <v>16</v>
      </c>
      <c r="F25" s="15">
        <f t="shared" si="0"/>
        <v>306.2</v>
      </c>
      <c r="G25" s="15"/>
      <c r="H25" s="15">
        <f t="shared" si="1"/>
        <v>306.2</v>
      </c>
      <c r="I25" s="16">
        <v>5474204</v>
      </c>
      <c r="J25" s="17" t="s">
        <v>120</v>
      </c>
      <c r="K25" s="16" t="s">
        <v>73</v>
      </c>
      <c r="L25" s="32" t="s">
        <v>74</v>
      </c>
      <c r="M25" s="16">
        <v>92806972</v>
      </c>
      <c r="N25" s="12" t="s">
        <v>22</v>
      </c>
    </row>
    <row r="26" spans="1:15" s="6" customFormat="1" x14ac:dyDescent="0.25">
      <c r="A26" s="12">
        <v>23</v>
      </c>
      <c r="B26" s="69">
        <v>2626</v>
      </c>
      <c r="C26" s="70" t="s">
        <v>51</v>
      </c>
      <c r="D26" s="69">
        <v>328</v>
      </c>
      <c r="E26" s="14" t="s">
        <v>16</v>
      </c>
      <c r="F26" s="15">
        <f t="shared" si="0"/>
        <v>131.20000000000002</v>
      </c>
      <c r="G26" s="15"/>
      <c r="H26" s="15">
        <f t="shared" si="1"/>
        <v>131.20000000000002</v>
      </c>
      <c r="I26" s="78">
        <v>3083395</v>
      </c>
      <c r="J26" s="183" t="s">
        <v>121</v>
      </c>
      <c r="K26" s="78" t="s">
        <v>73</v>
      </c>
      <c r="L26" s="79" t="s">
        <v>74</v>
      </c>
      <c r="M26" s="78">
        <v>99287760</v>
      </c>
      <c r="N26" s="69"/>
      <c r="O26" s="4"/>
    </row>
    <row r="27" spans="1:15" s="72" customFormat="1" x14ac:dyDescent="0.25">
      <c r="A27" s="18">
        <v>24</v>
      </c>
      <c r="B27" s="18">
        <v>2627</v>
      </c>
      <c r="C27" s="19" t="s">
        <v>122</v>
      </c>
      <c r="D27" s="18">
        <v>270.89999999999998</v>
      </c>
      <c r="E27" s="20" t="s">
        <v>16</v>
      </c>
      <c r="F27" s="21">
        <f t="shared" si="0"/>
        <v>108.36</v>
      </c>
      <c r="G27" s="21">
        <f>104.56</f>
        <v>104.56</v>
      </c>
      <c r="H27" s="21">
        <f t="shared" si="1"/>
        <v>3.7999999999999972</v>
      </c>
      <c r="I27" s="25">
        <v>2011348</v>
      </c>
      <c r="J27" s="27" t="s">
        <v>123</v>
      </c>
      <c r="K27" s="25" t="s">
        <v>94</v>
      </c>
      <c r="L27" s="73" t="s">
        <v>95</v>
      </c>
      <c r="M27" s="25">
        <v>98509729</v>
      </c>
      <c r="N27" s="31">
        <v>45932</v>
      </c>
      <c r="O27" s="267"/>
    </row>
    <row r="28" spans="1:15" s="6" customFormat="1" x14ac:dyDescent="0.25">
      <c r="A28" s="12">
        <v>25</v>
      </c>
      <c r="B28" s="12">
        <v>2628</v>
      </c>
      <c r="C28" s="13" t="s">
        <v>124</v>
      </c>
      <c r="D28" s="12">
        <v>370.1</v>
      </c>
      <c r="E28" s="14" t="s">
        <v>16</v>
      </c>
      <c r="F28" s="15">
        <f t="shared" si="0"/>
        <v>148.04000000000002</v>
      </c>
      <c r="G28" s="15"/>
      <c r="H28" s="15">
        <f t="shared" si="1"/>
        <v>148.04000000000002</v>
      </c>
      <c r="I28" s="16">
        <v>2396272</v>
      </c>
      <c r="J28" s="17" t="s">
        <v>125</v>
      </c>
      <c r="K28" s="16" t="s">
        <v>73</v>
      </c>
      <c r="L28" s="32" t="s">
        <v>74</v>
      </c>
      <c r="M28" s="16">
        <v>990991999</v>
      </c>
      <c r="N28" s="16" t="s">
        <v>22</v>
      </c>
      <c r="O28" s="4"/>
    </row>
    <row r="29" spans="1:15" s="6" customFormat="1" x14ac:dyDescent="0.25">
      <c r="A29" s="12">
        <v>26</v>
      </c>
      <c r="B29" s="12">
        <v>2629</v>
      </c>
      <c r="C29" s="13" t="s">
        <v>32</v>
      </c>
      <c r="D29" s="12">
        <v>437</v>
      </c>
      <c r="E29" s="14" t="s">
        <v>16</v>
      </c>
      <c r="F29" s="15">
        <f t="shared" si="0"/>
        <v>174.8</v>
      </c>
      <c r="G29" s="15"/>
      <c r="H29" s="15">
        <f t="shared" si="1"/>
        <v>174.8</v>
      </c>
      <c r="I29" s="16">
        <v>6488371</v>
      </c>
      <c r="J29" s="17" t="s">
        <v>126</v>
      </c>
      <c r="K29" s="16" t="s">
        <v>18</v>
      </c>
      <c r="L29" s="268" t="s">
        <v>19</v>
      </c>
      <c r="M29" s="16">
        <v>99096166</v>
      </c>
      <c r="N29" s="16" t="s">
        <v>22</v>
      </c>
      <c r="O29" s="75"/>
    </row>
    <row r="30" spans="1:15" s="6" customFormat="1" x14ac:dyDescent="0.25">
      <c r="A30" s="12">
        <v>27</v>
      </c>
      <c r="B30" s="69">
        <v>2630</v>
      </c>
      <c r="C30" s="70" t="s">
        <v>127</v>
      </c>
      <c r="D30" s="69">
        <v>282</v>
      </c>
      <c r="E30" s="14" t="s">
        <v>16</v>
      </c>
      <c r="F30" s="15">
        <f t="shared" si="0"/>
        <v>112.80000000000001</v>
      </c>
      <c r="G30" s="15"/>
      <c r="H30" s="15">
        <f t="shared" si="1"/>
        <v>112.80000000000001</v>
      </c>
      <c r="I30" s="16">
        <v>8098813</v>
      </c>
      <c r="J30" s="17" t="s">
        <v>128</v>
      </c>
      <c r="K30" s="16" t="s">
        <v>80</v>
      </c>
      <c r="L30" s="185" t="s">
        <v>81</v>
      </c>
      <c r="M30" s="16">
        <v>98279944</v>
      </c>
      <c r="N30" s="12"/>
      <c r="O30" s="4"/>
    </row>
    <row r="31" spans="1:15" s="72" customFormat="1" x14ac:dyDescent="0.25">
      <c r="A31" s="18">
        <v>28</v>
      </c>
      <c r="B31" s="18">
        <v>2631</v>
      </c>
      <c r="C31" s="19" t="s">
        <v>129</v>
      </c>
      <c r="D31" s="18">
        <v>258</v>
      </c>
      <c r="E31" s="20" t="s">
        <v>16</v>
      </c>
      <c r="F31" s="21">
        <f t="shared" si="0"/>
        <v>103.2</v>
      </c>
      <c r="G31" s="21">
        <f>99.97</f>
        <v>99.97</v>
      </c>
      <c r="H31" s="21">
        <f t="shared" si="1"/>
        <v>3.230000000000004</v>
      </c>
      <c r="I31" s="25">
        <v>931835</v>
      </c>
      <c r="J31" s="27" t="s">
        <v>130</v>
      </c>
      <c r="K31" s="25" t="s">
        <v>73</v>
      </c>
      <c r="L31" s="30" t="s">
        <v>74</v>
      </c>
      <c r="M31" s="25">
        <v>91766175</v>
      </c>
      <c r="N31" s="18" t="s">
        <v>349</v>
      </c>
      <c r="O31" s="267"/>
    </row>
    <row r="32" spans="1:15" s="6" customFormat="1" x14ac:dyDescent="0.25">
      <c r="A32" s="12">
        <v>29</v>
      </c>
      <c r="B32" s="69">
        <v>2632</v>
      </c>
      <c r="C32" s="70" t="s">
        <v>53</v>
      </c>
      <c r="D32" s="69">
        <v>331.5</v>
      </c>
      <c r="E32" s="14" t="s">
        <v>16</v>
      </c>
      <c r="F32" s="15">
        <f t="shared" si="0"/>
        <v>132.6</v>
      </c>
      <c r="G32" s="15"/>
      <c r="H32" s="15">
        <f t="shared" si="1"/>
        <v>132.6</v>
      </c>
      <c r="I32" s="16">
        <v>18395066</v>
      </c>
      <c r="J32" s="17" t="s">
        <v>131</v>
      </c>
      <c r="K32" s="16" t="s">
        <v>132</v>
      </c>
      <c r="L32" s="32" t="s">
        <v>133</v>
      </c>
      <c r="M32" s="16">
        <v>9562212</v>
      </c>
      <c r="N32" s="12"/>
      <c r="O32" s="4"/>
    </row>
    <row r="33" spans="1:15" s="6" customFormat="1" x14ac:dyDescent="0.25">
      <c r="A33" s="12">
        <v>30</v>
      </c>
      <c r="B33" s="69">
        <v>2633</v>
      </c>
      <c r="C33" s="70" t="s">
        <v>134</v>
      </c>
      <c r="D33" s="69"/>
      <c r="E33" s="14" t="s">
        <v>16</v>
      </c>
      <c r="F33" s="15">
        <f t="shared" si="0"/>
        <v>0</v>
      </c>
      <c r="G33" s="15"/>
      <c r="H33" s="15">
        <f t="shared" si="1"/>
        <v>0</v>
      </c>
      <c r="I33" s="16">
        <v>5585042</v>
      </c>
      <c r="J33" s="17" t="s">
        <v>135</v>
      </c>
      <c r="K33" s="16" t="s">
        <v>80</v>
      </c>
      <c r="L33" s="185" t="s">
        <v>81</v>
      </c>
      <c r="M33" s="16">
        <v>92768880</v>
      </c>
      <c r="N33" s="12"/>
      <c r="O33" s="4"/>
    </row>
    <row r="34" spans="1:15" s="6" customFormat="1" x14ac:dyDescent="0.25">
      <c r="A34" s="12">
        <v>31</v>
      </c>
      <c r="B34" s="69">
        <v>2634</v>
      </c>
      <c r="C34" s="70" t="s">
        <v>136</v>
      </c>
      <c r="D34" s="69">
        <v>462.5</v>
      </c>
      <c r="E34" s="14" t="s">
        <v>16</v>
      </c>
      <c r="F34" s="15">
        <f t="shared" si="0"/>
        <v>185</v>
      </c>
      <c r="G34" s="15"/>
      <c r="H34" s="15">
        <f t="shared" si="1"/>
        <v>185</v>
      </c>
      <c r="I34" s="16">
        <v>24361971</v>
      </c>
      <c r="J34" s="17" t="s">
        <v>137</v>
      </c>
      <c r="K34" s="16" t="s">
        <v>80</v>
      </c>
      <c r="L34" s="185" t="s">
        <v>81</v>
      </c>
      <c r="M34" s="16">
        <v>93384540</v>
      </c>
      <c r="N34" s="269"/>
      <c r="O34" s="4"/>
    </row>
    <row r="35" spans="1:15" s="72" customFormat="1" x14ac:dyDescent="0.25">
      <c r="A35" s="18">
        <v>32</v>
      </c>
      <c r="B35" s="18">
        <v>2635</v>
      </c>
      <c r="C35" s="19" t="s">
        <v>138</v>
      </c>
      <c r="D35" s="18">
        <v>345</v>
      </c>
      <c r="E35" s="20" t="s">
        <v>16</v>
      </c>
      <c r="F35" s="21">
        <f t="shared" si="0"/>
        <v>138</v>
      </c>
      <c r="G35" s="21">
        <f>134.87</f>
        <v>134.87</v>
      </c>
      <c r="H35" s="21">
        <f t="shared" si="1"/>
        <v>3.1299999999999955</v>
      </c>
      <c r="I35" s="30">
        <v>19928115</v>
      </c>
      <c r="J35" s="27" t="s">
        <v>139</v>
      </c>
      <c r="K35" s="30" t="s">
        <v>73</v>
      </c>
      <c r="L35" s="30" t="s">
        <v>74</v>
      </c>
      <c r="M35" s="25">
        <v>94606075</v>
      </c>
      <c r="N35" s="115">
        <v>45932</v>
      </c>
      <c r="O35" s="267"/>
    </row>
    <row r="36" spans="1:15" s="72" customFormat="1" x14ac:dyDescent="0.25">
      <c r="A36" s="18">
        <v>33</v>
      </c>
      <c r="B36" s="18">
        <v>2636</v>
      </c>
      <c r="C36" s="19" t="s">
        <v>140</v>
      </c>
      <c r="D36" s="18">
        <v>441</v>
      </c>
      <c r="E36" s="20" t="s">
        <v>16</v>
      </c>
      <c r="F36" s="21">
        <f t="shared" si="0"/>
        <v>176.4</v>
      </c>
      <c r="G36" s="21">
        <f>171.68</f>
        <v>171.68</v>
      </c>
      <c r="H36" s="21">
        <f t="shared" si="1"/>
        <v>4.7199999999999989</v>
      </c>
      <c r="I36" s="25">
        <v>2092081</v>
      </c>
      <c r="J36" s="27" t="s">
        <v>141</v>
      </c>
      <c r="K36" s="25" t="s">
        <v>73</v>
      </c>
      <c r="L36" s="30" t="s">
        <v>74</v>
      </c>
      <c r="M36" s="25">
        <v>92565542</v>
      </c>
      <c r="N36" s="18" t="s">
        <v>349</v>
      </c>
      <c r="O36" s="267"/>
    </row>
    <row r="37" spans="1:15" s="6" customFormat="1" x14ac:dyDescent="0.25">
      <c r="A37" s="12">
        <v>34</v>
      </c>
      <c r="B37" s="69">
        <v>2637</v>
      </c>
      <c r="C37" s="70" t="s">
        <v>142</v>
      </c>
      <c r="D37" s="69">
        <v>279.5</v>
      </c>
      <c r="E37" s="14" t="s">
        <v>16</v>
      </c>
      <c r="F37" s="15">
        <f t="shared" si="0"/>
        <v>111.80000000000001</v>
      </c>
      <c r="G37" s="15"/>
      <c r="H37" s="15">
        <f t="shared" si="1"/>
        <v>111.80000000000001</v>
      </c>
      <c r="I37" s="16">
        <v>12073906</v>
      </c>
      <c r="J37" s="17" t="s">
        <v>143</v>
      </c>
      <c r="K37" s="16" t="s">
        <v>90</v>
      </c>
      <c r="L37" s="29" t="s">
        <v>91</v>
      </c>
      <c r="M37" s="16">
        <v>95851127</v>
      </c>
      <c r="N37" s="12"/>
      <c r="O37" s="4"/>
    </row>
    <row r="38" spans="1:15" s="6" customFormat="1" x14ac:dyDescent="0.25">
      <c r="A38" s="12">
        <v>35</v>
      </c>
      <c r="B38" s="69">
        <v>2638</v>
      </c>
      <c r="C38" s="70" t="s">
        <v>144</v>
      </c>
      <c r="D38" s="69"/>
      <c r="E38" s="14" t="s">
        <v>16</v>
      </c>
      <c r="F38" s="15">
        <f t="shared" si="0"/>
        <v>0</v>
      </c>
      <c r="G38" s="15"/>
      <c r="H38" s="15">
        <f t="shared" si="1"/>
        <v>0</v>
      </c>
      <c r="I38" s="16">
        <v>21944623</v>
      </c>
      <c r="J38" s="17" t="s">
        <v>145</v>
      </c>
      <c r="K38" s="16" t="s">
        <v>73</v>
      </c>
      <c r="L38" s="32" t="s">
        <v>74</v>
      </c>
      <c r="M38" s="16">
        <v>96622170</v>
      </c>
      <c r="N38" s="12"/>
      <c r="O38" s="4"/>
    </row>
    <row r="39" spans="1:15" s="6" customFormat="1" x14ac:dyDescent="0.25">
      <c r="A39" s="12">
        <v>36</v>
      </c>
      <c r="B39" s="69">
        <v>2639</v>
      </c>
      <c r="C39" s="70" t="s">
        <v>146</v>
      </c>
      <c r="D39" s="69">
        <v>275.5</v>
      </c>
      <c r="E39" s="14" t="s">
        <v>16</v>
      </c>
      <c r="F39" s="15">
        <f t="shared" si="0"/>
        <v>110.2</v>
      </c>
      <c r="G39" s="15"/>
      <c r="H39" s="15">
        <f t="shared" si="1"/>
        <v>110.2</v>
      </c>
      <c r="I39" s="16">
        <v>1389397</v>
      </c>
      <c r="J39" s="17" t="s">
        <v>147</v>
      </c>
      <c r="K39" s="16" t="s">
        <v>73</v>
      </c>
      <c r="L39" s="32" t="s">
        <v>74</v>
      </c>
      <c r="M39" s="16">
        <v>99282044</v>
      </c>
      <c r="N39" s="12"/>
      <c r="O39" s="4"/>
    </row>
    <row r="40" spans="1:15" s="6" customFormat="1" x14ac:dyDescent="0.25">
      <c r="A40" s="12">
        <v>37</v>
      </c>
      <c r="B40" s="69">
        <v>2640</v>
      </c>
      <c r="C40" s="70" t="s">
        <v>35</v>
      </c>
      <c r="D40" s="69">
        <v>229.8</v>
      </c>
      <c r="E40" s="14" t="s">
        <v>16</v>
      </c>
      <c r="F40" s="15">
        <f t="shared" si="0"/>
        <v>91.920000000000016</v>
      </c>
      <c r="G40" s="15"/>
      <c r="H40" s="15">
        <f t="shared" si="1"/>
        <v>91.920000000000016</v>
      </c>
      <c r="I40" s="16">
        <v>25021829</v>
      </c>
      <c r="J40" s="17" t="s">
        <v>148</v>
      </c>
      <c r="K40" s="16" t="s">
        <v>73</v>
      </c>
      <c r="L40" s="32" t="s">
        <v>74</v>
      </c>
      <c r="M40" s="16">
        <v>93383987</v>
      </c>
      <c r="N40" s="12"/>
      <c r="O40" s="4"/>
    </row>
    <row r="41" spans="1:15" s="6" customFormat="1" x14ac:dyDescent="0.25">
      <c r="A41" s="12">
        <v>38</v>
      </c>
      <c r="B41" s="69">
        <v>2641</v>
      </c>
      <c r="C41" s="70" t="s">
        <v>149</v>
      </c>
      <c r="D41" s="69">
        <v>206.4</v>
      </c>
      <c r="E41" s="14" t="s">
        <v>16</v>
      </c>
      <c r="F41" s="15">
        <f t="shared" si="0"/>
        <v>82.56</v>
      </c>
      <c r="G41" s="15"/>
      <c r="H41" s="15">
        <f t="shared" si="1"/>
        <v>82.56</v>
      </c>
      <c r="I41" s="16">
        <v>1499316</v>
      </c>
      <c r="J41" s="17" t="s">
        <v>150</v>
      </c>
      <c r="K41" s="16" t="s">
        <v>90</v>
      </c>
      <c r="L41" s="32" t="s">
        <v>91</v>
      </c>
      <c r="M41" s="16">
        <v>99677197</v>
      </c>
      <c r="N41" s="12"/>
      <c r="O41" s="4"/>
    </row>
    <row r="42" spans="1:15" s="6" customFormat="1" x14ac:dyDescent="0.25">
      <c r="A42" s="12">
        <v>39</v>
      </c>
      <c r="B42" s="69">
        <v>2642</v>
      </c>
      <c r="C42" s="70" t="s">
        <v>151</v>
      </c>
      <c r="D42" s="69">
        <v>357.7</v>
      </c>
      <c r="E42" s="14" t="s">
        <v>16</v>
      </c>
      <c r="F42" s="15">
        <f t="shared" si="0"/>
        <v>143.08000000000001</v>
      </c>
      <c r="G42" s="15"/>
      <c r="H42" s="15">
        <f t="shared" si="1"/>
        <v>143.08000000000001</v>
      </c>
      <c r="I42" s="16">
        <v>3018879</v>
      </c>
      <c r="J42" s="17" t="s">
        <v>152</v>
      </c>
      <c r="K42" s="16" t="s">
        <v>80</v>
      </c>
      <c r="L42" s="185" t="s">
        <v>81</v>
      </c>
      <c r="M42" s="16">
        <v>98818754</v>
      </c>
      <c r="N42" s="12"/>
      <c r="O42" s="4"/>
    </row>
    <row r="43" spans="1:15" s="120" customFormat="1" x14ac:dyDescent="0.25">
      <c r="A43" s="96">
        <v>40</v>
      </c>
      <c r="B43" s="96">
        <v>2643</v>
      </c>
      <c r="C43" s="97" t="s">
        <v>153</v>
      </c>
      <c r="D43" s="96">
        <v>676.2</v>
      </c>
      <c r="E43" s="98" t="s">
        <v>16</v>
      </c>
      <c r="F43" s="99">
        <f t="shared" si="0"/>
        <v>270.48</v>
      </c>
      <c r="G43" s="99">
        <f>F43</f>
        <v>270.48</v>
      </c>
      <c r="H43" s="99">
        <f t="shared" si="1"/>
        <v>0</v>
      </c>
      <c r="I43" s="100">
        <v>1485446</v>
      </c>
      <c r="J43" s="101" t="s">
        <v>154</v>
      </c>
      <c r="K43" s="100" t="s">
        <v>18</v>
      </c>
      <c r="L43" s="102" t="s">
        <v>19</v>
      </c>
      <c r="M43" s="100">
        <v>99747558</v>
      </c>
      <c r="N43" s="230">
        <v>45932</v>
      </c>
      <c r="O43" s="270"/>
    </row>
    <row r="44" spans="1:15" x14ac:dyDescent="0.25">
      <c r="A44" s="12">
        <v>41</v>
      </c>
      <c r="B44" s="69">
        <v>2644</v>
      </c>
      <c r="C44" s="70" t="s">
        <v>155</v>
      </c>
      <c r="D44" s="69">
        <v>338.2</v>
      </c>
      <c r="E44" s="14" t="s">
        <v>16</v>
      </c>
      <c r="F44" s="15">
        <f t="shared" si="0"/>
        <v>135.28</v>
      </c>
      <c r="G44" s="15"/>
      <c r="H44" s="15">
        <f t="shared" si="1"/>
        <v>135.28</v>
      </c>
      <c r="I44" s="78">
        <v>23180515</v>
      </c>
      <c r="J44" s="183" t="s">
        <v>156</v>
      </c>
      <c r="K44" s="78" t="s">
        <v>73</v>
      </c>
      <c r="L44" s="79" t="s">
        <v>74</v>
      </c>
      <c r="M44" s="78">
        <v>95931303</v>
      </c>
      <c r="N44" s="12" t="s">
        <v>22</v>
      </c>
    </row>
    <row r="45" spans="1:15" s="6" customFormat="1" x14ac:dyDescent="0.25">
      <c r="A45" s="12">
        <v>42</v>
      </c>
      <c r="B45" s="69">
        <v>2645</v>
      </c>
      <c r="C45" s="70" t="s">
        <v>157</v>
      </c>
      <c r="D45" s="69">
        <v>308.3</v>
      </c>
      <c r="E45" s="14" t="s">
        <v>16</v>
      </c>
      <c r="F45" s="15">
        <f t="shared" si="0"/>
        <v>123.32000000000001</v>
      </c>
      <c r="G45" s="15"/>
      <c r="H45" s="15">
        <f t="shared" si="1"/>
        <v>123.32000000000001</v>
      </c>
      <c r="I45" s="16">
        <v>20133638</v>
      </c>
      <c r="J45" s="17" t="s">
        <v>158</v>
      </c>
      <c r="K45" s="16" t="s">
        <v>76</v>
      </c>
      <c r="L45" s="182" t="s">
        <v>77</v>
      </c>
      <c r="M45" s="16">
        <v>92802502</v>
      </c>
      <c r="N45" s="12" t="s">
        <v>22</v>
      </c>
      <c r="O45" s="4"/>
    </row>
    <row r="46" spans="1:15" s="6" customFormat="1" x14ac:dyDescent="0.25">
      <c r="A46" s="12">
        <v>43</v>
      </c>
      <c r="B46" s="69">
        <v>2646</v>
      </c>
      <c r="C46" s="70" t="s">
        <v>159</v>
      </c>
      <c r="D46" s="69">
        <v>537</v>
      </c>
      <c r="E46" s="14" t="s">
        <v>16</v>
      </c>
      <c r="F46" s="15">
        <f t="shared" si="0"/>
        <v>214.8</v>
      </c>
      <c r="G46" s="15"/>
      <c r="H46" s="15">
        <f t="shared" si="1"/>
        <v>214.8</v>
      </c>
      <c r="I46" s="16">
        <v>13271226</v>
      </c>
      <c r="J46" s="17" t="s">
        <v>160</v>
      </c>
      <c r="K46" s="16" t="s">
        <v>73</v>
      </c>
      <c r="L46" s="32" t="s">
        <v>74</v>
      </c>
      <c r="M46" s="16">
        <v>92231129</v>
      </c>
      <c r="N46" s="12" t="s">
        <v>22</v>
      </c>
      <c r="O46" s="4"/>
    </row>
    <row r="47" spans="1:15" s="6" customFormat="1" x14ac:dyDescent="0.25">
      <c r="A47" s="12">
        <v>44</v>
      </c>
      <c r="B47" s="12">
        <v>2647</v>
      </c>
      <c r="C47" s="13" t="s">
        <v>161</v>
      </c>
      <c r="D47" s="12">
        <v>275.8</v>
      </c>
      <c r="E47" s="14" t="s">
        <v>16</v>
      </c>
      <c r="F47" s="15">
        <f t="shared" si="0"/>
        <v>110.32000000000001</v>
      </c>
      <c r="G47" s="15"/>
      <c r="H47" s="15">
        <f t="shared" si="1"/>
        <v>110.32000000000001</v>
      </c>
      <c r="I47" s="16">
        <v>828714</v>
      </c>
      <c r="J47" s="17" t="s">
        <v>162</v>
      </c>
      <c r="K47" s="16" t="s">
        <v>94</v>
      </c>
      <c r="L47" s="182" t="s">
        <v>95</v>
      </c>
      <c r="M47" s="16">
        <v>99007372</v>
      </c>
      <c r="N47" s="12" t="s">
        <v>22</v>
      </c>
      <c r="O47" s="4"/>
    </row>
    <row r="48" spans="1:15" s="6" customFormat="1" x14ac:dyDescent="0.25">
      <c r="A48" s="12">
        <v>45</v>
      </c>
      <c r="B48" s="69">
        <v>2648</v>
      </c>
      <c r="C48" s="70" t="s">
        <v>163</v>
      </c>
      <c r="D48" s="69">
        <v>327.2</v>
      </c>
      <c r="E48" s="14" t="s">
        <v>16</v>
      </c>
      <c r="F48" s="15">
        <f t="shared" si="0"/>
        <v>130.88</v>
      </c>
      <c r="G48" s="15"/>
      <c r="H48" s="15">
        <f t="shared" si="1"/>
        <v>130.88</v>
      </c>
      <c r="I48" s="16">
        <v>5086</v>
      </c>
      <c r="J48" s="17" t="s">
        <v>164</v>
      </c>
      <c r="K48" s="16" t="s">
        <v>94</v>
      </c>
      <c r="L48" s="182" t="s">
        <v>95</v>
      </c>
      <c r="M48" s="16">
        <v>99499787</v>
      </c>
      <c r="N48" s="12"/>
      <c r="O48" s="4"/>
    </row>
    <row r="49" spans="1:15" s="6" customFormat="1" x14ac:dyDescent="0.25">
      <c r="A49" s="18">
        <v>46</v>
      </c>
      <c r="B49" s="18">
        <v>2649</v>
      </c>
      <c r="C49" s="19" t="s">
        <v>165</v>
      </c>
      <c r="D49" s="18">
        <v>320.39999999999998</v>
      </c>
      <c r="E49" s="20" t="s">
        <v>16</v>
      </c>
      <c r="F49" s="21">
        <f t="shared" si="0"/>
        <v>128.16</v>
      </c>
      <c r="G49" s="21">
        <f>127.13</f>
        <v>127.13</v>
      </c>
      <c r="H49" s="21">
        <f t="shared" si="1"/>
        <v>1.0300000000000011</v>
      </c>
      <c r="I49" s="25">
        <v>1282981</v>
      </c>
      <c r="J49" s="27" t="s">
        <v>166</v>
      </c>
      <c r="K49" s="25" t="s">
        <v>80</v>
      </c>
      <c r="L49" s="76" t="s">
        <v>81</v>
      </c>
      <c r="M49" s="25">
        <v>99499053</v>
      </c>
      <c r="N49" s="31">
        <v>45691</v>
      </c>
      <c r="O49" s="4"/>
    </row>
    <row r="50" spans="1:15" s="6" customFormat="1" x14ac:dyDescent="0.25">
      <c r="A50" s="12">
        <v>47</v>
      </c>
      <c r="B50" s="69">
        <v>2650</v>
      </c>
      <c r="C50" s="70" t="s">
        <v>167</v>
      </c>
      <c r="D50" s="69">
        <v>282</v>
      </c>
      <c r="E50" s="14" t="s">
        <v>16</v>
      </c>
      <c r="F50" s="15">
        <f t="shared" si="0"/>
        <v>112.80000000000001</v>
      </c>
      <c r="G50" s="15"/>
      <c r="H50" s="15">
        <f t="shared" si="1"/>
        <v>112.80000000000001</v>
      </c>
      <c r="I50" s="16">
        <v>5949449</v>
      </c>
      <c r="J50" s="17" t="s">
        <v>168</v>
      </c>
      <c r="K50" s="16" t="s">
        <v>80</v>
      </c>
      <c r="L50" s="185" t="s">
        <v>81</v>
      </c>
      <c r="M50" s="16">
        <v>92781944</v>
      </c>
      <c r="N50" s="12"/>
      <c r="O50" s="4"/>
    </row>
    <row r="51" spans="1:15" s="6" customFormat="1" x14ac:dyDescent="0.25">
      <c r="A51" s="12">
        <v>48</v>
      </c>
      <c r="B51" s="69">
        <v>2651</v>
      </c>
      <c r="C51" s="70" t="s">
        <v>169</v>
      </c>
      <c r="D51" s="69">
        <v>51.7</v>
      </c>
      <c r="E51" s="14" t="s">
        <v>16</v>
      </c>
      <c r="F51" s="15">
        <f t="shared" si="0"/>
        <v>20.680000000000003</v>
      </c>
      <c r="G51" s="15"/>
      <c r="H51" s="15">
        <f t="shared" si="1"/>
        <v>20.680000000000003</v>
      </c>
      <c r="I51" s="16">
        <v>18629431</v>
      </c>
      <c r="J51" s="17" t="s">
        <v>170</v>
      </c>
      <c r="K51" s="16" t="s">
        <v>73</v>
      </c>
      <c r="L51" s="32" t="s">
        <v>74</v>
      </c>
      <c r="M51" s="16">
        <v>92333700</v>
      </c>
      <c r="N51" s="12"/>
      <c r="O51" s="4"/>
    </row>
    <row r="52" spans="1:15" s="72" customFormat="1" x14ac:dyDescent="0.25">
      <c r="A52" s="18">
        <v>49</v>
      </c>
      <c r="B52" s="18">
        <v>2652</v>
      </c>
      <c r="C52" s="19" t="s">
        <v>171</v>
      </c>
      <c r="D52" s="18">
        <v>405.5</v>
      </c>
      <c r="E52" s="20" t="s">
        <v>16</v>
      </c>
      <c r="F52" s="21">
        <f t="shared" si="0"/>
        <v>162.20000000000002</v>
      </c>
      <c r="G52" s="21">
        <f>157.37</f>
        <v>157.37</v>
      </c>
      <c r="H52" s="21">
        <f t="shared" si="1"/>
        <v>4.8300000000000125</v>
      </c>
      <c r="I52" s="25">
        <v>23212756</v>
      </c>
      <c r="J52" s="27" t="s">
        <v>172</v>
      </c>
      <c r="K52" s="25" t="s">
        <v>94</v>
      </c>
      <c r="L52" s="73" t="s">
        <v>95</v>
      </c>
      <c r="M52" s="25">
        <v>98509729</v>
      </c>
      <c r="N52" s="31">
        <v>45932</v>
      </c>
      <c r="O52" s="267"/>
    </row>
    <row r="53" spans="1:15" s="6" customFormat="1" x14ac:dyDescent="0.25">
      <c r="A53" s="12">
        <v>50</v>
      </c>
      <c r="B53" s="69">
        <v>2653</v>
      </c>
      <c r="C53" s="70" t="s">
        <v>173</v>
      </c>
      <c r="D53" s="69">
        <v>667</v>
      </c>
      <c r="E53" s="14" t="s">
        <v>16</v>
      </c>
      <c r="F53" s="15">
        <f t="shared" si="0"/>
        <v>266.8</v>
      </c>
      <c r="G53" s="15"/>
      <c r="H53" s="15">
        <f t="shared" si="1"/>
        <v>266.8</v>
      </c>
      <c r="I53" s="16">
        <v>9097024</v>
      </c>
      <c r="J53" s="17" t="s">
        <v>174</v>
      </c>
      <c r="K53" s="16" t="s">
        <v>18</v>
      </c>
      <c r="L53" s="32" t="s">
        <v>19</v>
      </c>
      <c r="M53" s="16">
        <v>95401775</v>
      </c>
      <c r="N53" s="12"/>
      <c r="O53" s="4"/>
    </row>
    <row r="54" spans="1:15" s="6" customFormat="1" x14ac:dyDescent="0.25">
      <c r="A54" s="12">
        <v>51</v>
      </c>
      <c r="B54" s="69">
        <v>2654</v>
      </c>
      <c r="C54" s="70" t="s">
        <v>54</v>
      </c>
      <c r="D54" s="69">
        <v>547.70000000000005</v>
      </c>
      <c r="E54" s="14" t="s">
        <v>16</v>
      </c>
      <c r="F54" s="15">
        <f t="shared" si="0"/>
        <v>219.08000000000004</v>
      </c>
      <c r="G54" s="15"/>
      <c r="H54" s="15">
        <f t="shared" si="1"/>
        <v>219.08000000000004</v>
      </c>
      <c r="I54" s="16">
        <v>6073815</v>
      </c>
      <c r="J54" s="17" t="s">
        <v>175</v>
      </c>
      <c r="K54" s="16" t="s">
        <v>18</v>
      </c>
      <c r="L54" s="32" t="s">
        <v>19</v>
      </c>
      <c r="M54" s="16">
        <v>98780007</v>
      </c>
      <c r="N54" s="12"/>
      <c r="O54" s="4"/>
    </row>
    <row r="55" spans="1:15" s="6" customFormat="1" x14ac:dyDescent="0.25">
      <c r="A55" s="12">
        <v>52</v>
      </c>
      <c r="B55" s="69">
        <v>2655</v>
      </c>
      <c r="C55" s="70" t="s">
        <v>56</v>
      </c>
      <c r="D55" s="69">
        <v>308.5</v>
      </c>
      <c r="E55" s="14" t="s">
        <v>16</v>
      </c>
      <c r="F55" s="15">
        <f t="shared" si="0"/>
        <v>123.4</v>
      </c>
      <c r="G55" s="15"/>
      <c r="H55" s="15">
        <f t="shared" si="1"/>
        <v>123.4</v>
      </c>
      <c r="I55" s="16">
        <v>20987274</v>
      </c>
      <c r="J55" s="17" t="s">
        <v>176</v>
      </c>
      <c r="K55" s="16" t="s">
        <v>73</v>
      </c>
      <c r="L55" s="32" t="s">
        <v>74</v>
      </c>
      <c r="M55" s="16">
        <v>92526652</v>
      </c>
      <c r="N55" s="110">
        <v>45170</v>
      </c>
      <c r="O55" s="4"/>
    </row>
    <row r="56" spans="1:15" s="6" customFormat="1" x14ac:dyDescent="0.25">
      <c r="A56" s="18">
        <v>53</v>
      </c>
      <c r="B56" s="18">
        <v>2656</v>
      </c>
      <c r="C56" s="19" t="s">
        <v>177</v>
      </c>
      <c r="D56" s="18">
        <v>318.3</v>
      </c>
      <c r="E56" s="20" t="s">
        <v>16</v>
      </c>
      <c r="F56" s="21">
        <f t="shared" si="0"/>
        <v>127.32000000000001</v>
      </c>
      <c r="G56" s="21">
        <f>124.8</f>
        <v>124.8</v>
      </c>
      <c r="H56" s="21">
        <f t="shared" si="1"/>
        <v>2.5200000000000102</v>
      </c>
      <c r="I56" s="25">
        <v>21910635</v>
      </c>
      <c r="J56" s="27" t="s">
        <v>178</v>
      </c>
      <c r="K56" s="25" t="s">
        <v>18</v>
      </c>
      <c r="L56" s="30" t="s">
        <v>19</v>
      </c>
      <c r="M56" s="25">
        <v>92934362</v>
      </c>
      <c r="N56" s="114">
        <v>45691</v>
      </c>
      <c r="O56" s="4"/>
    </row>
    <row r="57" spans="1:15" s="6" customFormat="1" x14ac:dyDescent="0.25">
      <c r="A57" s="12">
        <v>54</v>
      </c>
      <c r="B57" s="12">
        <v>2657</v>
      </c>
      <c r="C57" s="13" t="s">
        <v>179</v>
      </c>
      <c r="D57" s="12">
        <v>297.39999999999998</v>
      </c>
      <c r="E57" s="14" t="s">
        <v>16</v>
      </c>
      <c r="F57" s="15">
        <f t="shared" si="0"/>
        <v>118.96</v>
      </c>
      <c r="G57" s="15"/>
      <c r="H57" s="15">
        <f t="shared" si="1"/>
        <v>118.96</v>
      </c>
      <c r="I57" s="16">
        <v>6502761</v>
      </c>
      <c r="J57" s="17" t="s">
        <v>180</v>
      </c>
      <c r="K57" s="16" t="s">
        <v>18</v>
      </c>
      <c r="L57" s="32" t="s">
        <v>19</v>
      </c>
      <c r="M57" s="16">
        <v>98033332</v>
      </c>
      <c r="N57" s="16" t="s">
        <v>22</v>
      </c>
      <c r="O57" s="4"/>
    </row>
    <row r="58" spans="1:15" s="6" customFormat="1" x14ac:dyDescent="0.25">
      <c r="A58" s="18">
        <v>55</v>
      </c>
      <c r="B58" s="18">
        <v>2658</v>
      </c>
      <c r="C58" s="19" t="s">
        <v>181</v>
      </c>
      <c r="D58" s="18">
        <v>110.3</v>
      </c>
      <c r="E58" s="38">
        <v>0.4</v>
      </c>
      <c r="F58" s="21">
        <f t="shared" si="0"/>
        <v>44.120000000000005</v>
      </c>
      <c r="G58" s="21">
        <f>40.91</f>
        <v>40.909999999999997</v>
      </c>
      <c r="H58" s="21">
        <f t="shared" si="1"/>
        <v>3.210000000000008</v>
      </c>
      <c r="I58" s="25">
        <v>6726168</v>
      </c>
      <c r="J58" s="27" t="s">
        <v>182</v>
      </c>
      <c r="K58" s="25" t="s">
        <v>73</v>
      </c>
      <c r="L58" s="30" t="s">
        <v>74</v>
      </c>
      <c r="M58" s="25"/>
      <c r="N58" s="114">
        <v>45691</v>
      </c>
      <c r="O58" s="4"/>
    </row>
    <row r="59" spans="1:15" s="6" customFormat="1" x14ac:dyDescent="0.25">
      <c r="A59" s="18">
        <v>56</v>
      </c>
      <c r="B59" s="18">
        <v>2659</v>
      </c>
      <c r="C59" s="19" t="s">
        <v>183</v>
      </c>
      <c r="D59" s="18">
        <v>266.7</v>
      </c>
      <c r="E59" s="38">
        <v>0.4</v>
      </c>
      <c r="F59" s="21">
        <f t="shared" si="0"/>
        <v>106.68</v>
      </c>
      <c r="G59" s="21">
        <f>103.99+2.69</f>
        <v>106.67999999999999</v>
      </c>
      <c r="H59" s="21">
        <f t="shared" si="1"/>
        <v>0</v>
      </c>
      <c r="I59" s="25">
        <v>5796837</v>
      </c>
      <c r="J59" s="27" t="s">
        <v>184</v>
      </c>
      <c r="K59" s="25" t="s">
        <v>18</v>
      </c>
      <c r="L59" s="30" t="s">
        <v>19</v>
      </c>
      <c r="M59" s="25"/>
      <c r="N59" s="114">
        <v>45691</v>
      </c>
      <c r="O59" s="4" t="s">
        <v>348</v>
      </c>
    </row>
    <row r="60" spans="1:15" s="72" customFormat="1" x14ac:dyDescent="0.25">
      <c r="A60" s="18">
        <v>57</v>
      </c>
      <c r="B60" s="18">
        <v>2660</v>
      </c>
      <c r="C60" s="19" t="s">
        <v>185</v>
      </c>
      <c r="D60" s="18">
        <v>150.30000000000001</v>
      </c>
      <c r="E60" s="38">
        <v>0.4</v>
      </c>
      <c r="F60" s="21">
        <f t="shared" si="0"/>
        <v>60.120000000000005</v>
      </c>
      <c r="G60" s="21">
        <f>58.94</f>
        <v>58.94</v>
      </c>
      <c r="H60" s="21">
        <f t="shared" si="1"/>
        <v>1.1800000000000068</v>
      </c>
      <c r="I60" s="25">
        <v>7250691</v>
      </c>
      <c r="J60" s="27" t="s">
        <v>186</v>
      </c>
      <c r="K60" s="25" t="s">
        <v>73</v>
      </c>
      <c r="L60" s="30" t="s">
        <v>74</v>
      </c>
      <c r="M60" s="25"/>
      <c r="N60" s="114">
        <v>45932</v>
      </c>
      <c r="O60" s="267"/>
    </row>
    <row r="61" spans="1:15" s="72" customFormat="1" x14ac:dyDescent="0.25">
      <c r="A61" s="18">
        <v>58</v>
      </c>
      <c r="B61" s="18">
        <v>2661</v>
      </c>
      <c r="C61" s="19" t="s">
        <v>187</v>
      </c>
      <c r="D61" s="18">
        <v>262</v>
      </c>
      <c r="E61" s="38">
        <v>0.4</v>
      </c>
      <c r="F61" s="21">
        <f t="shared" si="0"/>
        <v>104.80000000000001</v>
      </c>
      <c r="G61" s="21">
        <f>39.638</f>
        <v>39.637999999999998</v>
      </c>
      <c r="H61" s="21">
        <f t="shared" si="1"/>
        <v>65.162000000000006</v>
      </c>
      <c r="I61" s="25">
        <v>24935198</v>
      </c>
      <c r="J61" s="27" t="s">
        <v>188</v>
      </c>
      <c r="K61" s="30" t="s">
        <v>73</v>
      </c>
      <c r="L61" s="30" t="s">
        <v>74</v>
      </c>
      <c r="M61" s="25">
        <v>99101900</v>
      </c>
      <c r="N61" s="18" t="s">
        <v>346</v>
      </c>
      <c r="O61" s="267"/>
    </row>
    <row r="62" spans="1:15" s="72" customFormat="1" x14ac:dyDescent="0.25">
      <c r="A62" s="18">
        <v>59</v>
      </c>
      <c r="B62" s="18">
        <v>2662</v>
      </c>
      <c r="C62" s="19" t="s">
        <v>189</v>
      </c>
      <c r="D62" s="18">
        <v>469.8</v>
      </c>
      <c r="E62" s="38">
        <v>0.4</v>
      </c>
      <c r="F62" s="21">
        <f t="shared" si="0"/>
        <v>187.92000000000002</v>
      </c>
      <c r="G62" s="21">
        <f>F62</f>
        <v>187.92000000000002</v>
      </c>
      <c r="H62" s="21">
        <f t="shared" si="1"/>
        <v>0</v>
      </c>
      <c r="I62" s="25">
        <v>2931011</v>
      </c>
      <c r="J62" s="27" t="s">
        <v>190</v>
      </c>
      <c r="K62" s="25" t="s">
        <v>73</v>
      </c>
      <c r="L62" s="30" t="s">
        <v>74</v>
      </c>
      <c r="M62" s="25">
        <v>92997279</v>
      </c>
      <c r="N62" s="25" t="s">
        <v>350</v>
      </c>
      <c r="O62" s="267"/>
    </row>
    <row r="63" spans="1:15" s="6" customFormat="1" x14ac:dyDescent="0.25">
      <c r="A63" s="12">
        <v>60</v>
      </c>
      <c r="B63" s="69">
        <v>2663</v>
      </c>
      <c r="C63" s="70" t="s">
        <v>191</v>
      </c>
      <c r="D63" s="69">
        <v>549.79999999999995</v>
      </c>
      <c r="E63" s="34">
        <v>0.4</v>
      </c>
      <c r="F63" s="15">
        <f t="shared" si="0"/>
        <v>219.92</v>
      </c>
      <c r="G63" s="15"/>
      <c r="H63" s="15">
        <f t="shared" si="1"/>
        <v>219.92</v>
      </c>
      <c r="I63" s="16">
        <v>568448</v>
      </c>
      <c r="J63" s="17" t="s">
        <v>192</v>
      </c>
      <c r="K63" s="16" t="s">
        <v>73</v>
      </c>
      <c r="L63" s="32" t="s">
        <v>74</v>
      </c>
      <c r="M63" s="16">
        <v>99298847</v>
      </c>
      <c r="N63" s="16"/>
      <c r="O63" s="4"/>
    </row>
    <row r="64" spans="1:15" s="72" customFormat="1" x14ac:dyDescent="0.25">
      <c r="A64" s="18">
        <v>61</v>
      </c>
      <c r="B64" s="18">
        <v>2665</v>
      </c>
      <c r="C64" s="19" t="s">
        <v>194</v>
      </c>
      <c r="D64" s="18">
        <v>561.20000000000005</v>
      </c>
      <c r="E64" s="38">
        <v>0.4</v>
      </c>
      <c r="F64" s="21">
        <f t="shared" si="0"/>
        <v>224.48000000000002</v>
      </c>
      <c r="G64" s="21">
        <f>220.26</f>
        <v>220.26</v>
      </c>
      <c r="H64" s="21">
        <f t="shared" si="1"/>
        <v>4.2200000000000273</v>
      </c>
      <c r="I64" s="25">
        <v>8467055</v>
      </c>
      <c r="J64" s="27" t="s">
        <v>195</v>
      </c>
      <c r="K64" s="25" t="s">
        <v>73</v>
      </c>
      <c r="L64" s="30" t="s">
        <v>74</v>
      </c>
      <c r="M64" s="25">
        <v>98919778</v>
      </c>
      <c r="N64" s="31">
        <v>45810</v>
      </c>
      <c r="O64" s="267"/>
    </row>
    <row r="65" spans="1:17" s="72" customFormat="1" x14ac:dyDescent="0.25">
      <c r="A65" s="18">
        <v>62</v>
      </c>
      <c r="B65" s="18">
        <v>2666</v>
      </c>
      <c r="C65" s="19" t="s">
        <v>196</v>
      </c>
      <c r="D65" s="18">
        <v>162</v>
      </c>
      <c r="E65" s="38">
        <v>0.4</v>
      </c>
      <c r="F65" s="21">
        <f t="shared" si="0"/>
        <v>64.8</v>
      </c>
      <c r="G65" s="21">
        <f>61.17</f>
        <v>61.17</v>
      </c>
      <c r="H65" s="21">
        <f t="shared" si="1"/>
        <v>3.6299999999999955</v>
      </c>
      <c r="I65" s="25">
        <v>23188968</v>
      </c>
      <c r="J65" s="27" t="s">
        <v>197</v>
      </c>
      <c r="K65" s="25" t="s">
        <v>73</v>
      </c>
      <c r="L65" s="30" t="s">
        <v>74</v>
      </c>
      <c r="M65" s="25">
        <v>95058843</v>
      </c>
      <c r="N65" s="31">
        <v>45810</v>
      </c>
      <c r="O65" s="267"/>
    </row>
    <row r="66" spans="1:17" s="35" customFormat="1" x14ac:dyDescent="0.25">
      <c r="A66" s="12">
        <v>63</v>
      </c>
      <c r="B66" s="69">
        <v>2667</v>
      </c>
      <c r="C66" s="70" t="s">
        <v>198</v>
      </c>
      <c r="D66" s="69">
        <v>342.3</v>
      </c>
      <c r="E66" s="34">
        <v>0.4</v>
      </c>
      <c r="F66" s="15">
        <f t="shared" si="0"/>
        <v>136.92000000000002</v>
      </c>
      <c r="G66" s="15"/>
      <c r="H66" s="15">
        <f t="shared" si="1"/>
        <v>136.92000000000002</v>
      </c>
      <c r="I66" s="16">
        <v>210053</v>
      </c>
      <c r="J66" s="17" t="s">
        <v>199</v>
      </c>
      <c r="K66" s="16" t="s">
        <v>18</v>
      </c>
      <c r="L66" s="32" t="s">
        <v>19</v>
      </c>
      <c r="M66" s="16">
        <v>92786724</v>
      </c>
      <c r="N66" s="12"/>
      <c r="O66" s="4"/>
      <c r="P66" s="6"/>
      <c r="Q66" s="6"/>
    </row>
    <row r="67" spans="1:17" s="35" customFormat="1" x14ac:dyDescent="0.25">
      <c r="A67" s="12">
        <v>64</v>
      </c>
      <c r="B67" s="69">
        <v>2668</v>
      </c>
      <c r="C67" s="70" t="s">
        <v>200</v>
      </c>
      <c r="D67" s="69">
        <v>187.7</v>
      </c>
      <c r="E67" s="34">
        <v>0.4</v>
      </c>
      <c r="F67" s="15">
        <f t="shared" si="0"/>
        <v>75.08</v>
      </c>
      <c r="G67" s="15"/>
      <c r="H67" s="15">
        <f t="shared" si="1"/>
        <v>75.08</v>
      </c>
      <c r="I67" s="16">
        <v>8542496</v>
      </c>
      <c r="J67" s="17" t="s">
        <v>201</v>
      </c>
      <c r="K67" s="16" t="s">
        <v>73</v>
      </c>
      <c r="L67" s="32" t="s">
        <v>74</v>
      </c>
      <c r="M67" s="16">
        <v>99295329</v>
      </c>
      <c r="N67" s="12"/>
      <c r="O67" s="4"/>
      <c r="P67" s="6"/>
      <c r="Q67" s="6"/>
    </row>
    <row r="68" spans="1:17" s="35" customFormat="1" x14ac:dyDescent="0.25">
      <c r="A68" s="12">
        <v>65</v>
      </c>
      <c r="B68" s="69">
        <v>2669</v>
      </c>
      <c r="C68" s="70" t="s">
        <v>202</v>
      </c>
      <c r="D68" s="69">
        <v>291.5</v>
      </c>
      <c r="E68" s="34">
        <v>0.4</v>
      </c>
      <c r="F68" s="15">
        <f t="shared" ref="F68:F126" si="2">D68*E68</f>
        <v>116.60000000000001</v>
      </c>
      <c r="G68" s="15"/>
      <c r="H68" s="15">
        <f t="shared" si="1"/>
        <v>116.60000000000001</v>
      </c>
      <c r="I68" s="16">
        <v>6460241</v>
      </c>
      <c r="J68" s="17" t="s">
        <v>203</v>
      </c>
      <c r="K68" s="16" t="s">
        <v>18</v>
      </c>
      <c r="L68" s="32" t="s">
        <v>19</v>
      </c>
      <c r="M68" s="16">
        <v>92550479</v>
      </c>
      <c r="N68" s="12"/>
      <c r="O68" s="4"/>
      <c r="P68" s="6"/>
      <c r="Q68" s="6"/>
    </row>
    <row r="69" spans="1:17" s="35" customFormat="1" x14ac:dyDescent="0.25">
      <c r="A69" s="12">
        <v>66</v>
      </c>
      <c r="B69" s="69">
        <v>2670</v>
      </c>
      <c r="C69" s="70" t="s">
        <v>205</v>
      </c>
      <c r="D69" s="69">
        <v>318.2</v>
      </c>
      <c r="E69" s="34">
        <v>0.4</v>
      </c>
      <c r="F69" s="15">
        <f t="shared" si="2"/>
        <v>127.28</v>
      </c>
      <c r="G69" s="15"/>
      <c r="H69" s="15">
        <f t="shared" ref="H69:H126" si="3">F69-G69</f>
        <v>127.28</v>
      </c>
      <c r="I69" s="16">
        <v>1481996</v>
      </c>
      <c r="J69" s="17" t="s">
        <v>206</v>
      </c>
      <c r="K69" s="16" t="s">
        <v>94</v>
      </c>
      <c r="L69" s="182" t="s">
        <v>95</v>
      </c>
      <c r="M69" s="16">
        <v>99491404</v>
      </c>
      <c r="N69" s="12"/>
      <c r="O69" s="4"/>
      <c r="P69" s="6"/>
      <c r="Q69" s="6"/>
    </row>
    <row r="70" spans="1:17" s="35" customFormat="1" x14ac:dyDescent="0.25">
      <c r="A70" s="12">
        <v>67</v>
      </c>
      <c r="B70" s="69">
        <v>2671</v>
      </c>
      <c r="C70" s="70" t="s">
        <v>207</v>
      </c>
      <c r="D70" s="69">
        <v>341.8</v>
      </c>
      <c r="E70" s="34">
        <v>0.4</v>
      </c>
      <c r="F70" s="15">
        <f t="shared" si="2"/>
        <v>136.72</v>
      </c>
      <c r="G70" s="15"/>
      <c r="H70" s="15">
        <f t="shared" si="3"/>
        <v>136.72</v>
      </c>
      <c r="I70" s="16">
        <v>19595084</v>
      </c>
      <c r="J70" s="17" t="s">
        <v>208</v>
      </c>
      <c r="K70" s="16" t="s">
        <v>73</v>
      </c>
      <c r="L70" s="32" t="s">
        <v>74</v>
      </c>
      <c r="M70" s="16">
        <v>92921404</v>
      </c>
      <c r="N70" s="12"/>
      <c r="O70" s="4"/>
      <c r="P70" s="6"/>
      <c r="Q70" s="6"/>
    </row>
    <row r="71" spans="1:17" s="35" customFormat="1" x14ac:dyDescent="0.25">
      <c r="A71" s="12">
        <v>68</v>
      </c>
      <c r="B71" s="69">
        <v>2672</v>
      </c>
      <c r="C71" s="70" t="s">
        <v>209</v>
      </c>
      <c r="D71" s="69">
        <v>238.5</v>
      </c>
      <c r="E71" s="34">
        <v>0.4</v>
      </c>
      <c r="F71" s="15">
        <f t="shared" si="2"/>
        <v>95.4</v>
      </c>
      <c r="G71" s="15"/>
      <c r="H71" s="15">
        <f t="shared" si="3"/>
        <v>95.4</v>
      </c>
      <c r="I71" s="33">
        <v>21469064</v>
      </c>
      <c r="J71" s="17" t="s">
        <v>210</v>
      </c>
      <c r="K71" s="33" t="s">
        <v>73</v>
      </c>
      <c r="L71" s="184" t="s">
        <v>74</v>
      </c>
      <c r="M71" s="16">
        <v>93316559</v>
      </c>
      <c r="N71" s="12"/>
      <c r="O71" s="4"/>
      <c r="P71" s="6"/>
      <c r="Q71" s="6"/>
    </row>
    <row r="72" spans="1:17" s="35" customFormat="1" x14ac:dyDescent="0.25">
      <c r="A72" s="12">
        <v>69</v>
      </c>
      <c r="B72" s="57">
        <v>2673</v>
      </c>
      <c r="C72" s="13" t="s">
        <v>58</v>
      </c>
      <c r="D72" s="12">
        <v>277.89999999999998</v>
      </c>
      <c r="E72" s="34">
        <v>0.4</v>
      </c>
      <c r="F72" s="15">
        <f t="shared" si="2"/>
        <v>111.16</v>
      </c>
      <c r="G72" s="15"/>
      <c r="H72" s="15">
        <f t="shared" si="3"/>
        <v>111.16</v>
      </c>
      <c r="I72" s="33">
        <v>8393437</v>
      </c>
      <c r="J72" s="17">
        <v>401002466590016</v>
      </c>
      <c r="K72" s="33" t="s">
        <v>73</v>
      </c>
      <c r="L72" s="184" t="s">
        <v>74</v>
      </c>
      <c r="M72" s="16"/>
      <c r="N72" s="12"/>
      <c r="O72" s="4"/>
      <c r="P72" s="6"/>
      <c r="Q72" s="6"/>
    </row>
    <row r="73" spans="1:17" s="72" customFormat="1" x14ac:dyDescent="0.25">
      <c r="A73" s="18">
        <v>70</v>
      </c>
      <c r="B73" s="18">
        <v>2674</v>
      </c>
      <c r="C73" s="19" t="s">
        <v>37</v>
      </c>
      <c r="D73" s="18">
        <v>345.8</v>
      </c>
      <c r="E73" s="38">
        <v>0.4</v>
      </c>
      <c r="F73" s="21">
        <f t="shared" si="2"/>
        <v>138.32000000000002</v>
      </c>
      <c r="G73" s="21">
        <f>134.83</f>
        <v>134.83000000000001</v>
      </c>
      <c r="H73" s="21">
        <f t="shared" si="3"/>
        <v>3.4900000000000091</v>
      </c>
      <c r="I73" s="25">
        <v>6332118</v>
      </c>
      <c r="J73" s="27" t="s">
        <v>211</v>
      </c>
      <c r="K73" s="25" t="s">
        <v>18</v>
      </c>
      <c r="L73" s="30" t="s">
        <v>19</v>
      </c>
      <c r="M73" s="25">
        <v>98930047</v>
      </c>
      <c r="N73" s="31">
        <v>45993</v>
      </c>
      <c r="O73" s="267"/>
    </row>
    <row r="74" spans="1:17" s="72" customFormat="1" x14ac:dyDescent="0.25">
      <c r="A74" s="18">
        <v>71</v>
      </c>
      <c r="B74" s="18">
        <v>2675</v>
      </c>
      <c r="C74" s="19" t="s">
        <v>39</v>
      </c>
      <c r="D74" s="18">
        <v>313.5</v>
      </c>
      <c r="E74" s="38">
        <v>0.4</v>
      </c>
      <c r="F74" s="21">
        <f t="shared" si="2"/>
        <v>125.4</v>
      </c>
      <c r="G74" s="21">
        <f>123.17</f>
        <v>123.17</v>
      </c>
      <c r="H74" s="21">
        <f t="shared" si="3"/>
        <v>2.230000000000004</v>
      </c>
      <c r="I74" s="25">
        <v>6332123</v>
      </c>
      <c r="J74" s="27" t="s">
        <v>212</v>
      </c>
      <c r="K74" s="25" t="s">
        <v>73</v>
      </c>
      <c r="L74" s="30" t="s">
        <v>74</v>
      </c>
      <c r="M74" s="25">
        <v>98777808</v>
      </c>
      <c r="N74" s="31">
        <v>45993</v>
      </c>
      <c r="O74" s="267"/>
    </row>
    <row r="75" spans="1:17" s="72" customFormat="1" x14ac:dyDescent="0.25">
      <c r="A75" s="18">
        <v>72</v>
      </c>
      <c r="B75" s="18">
        <v>2676</v>
      </c>
      <c r="C75" s="19" t="s">
        <v>59</v>
      </c>
      <c r="D75" s="18">
        <v>272.60000000000002</v>
      </c>
      <c r="E75" s="38">
        <v>0.4</v>
      </c>
      <c r="F75" s="21">
        <f t="shared" si="2"/>
        <v>109.04000000000002</v>
      </c>
      <c r="G75" s="21">
        <f>F75</f>
        <v>109.04000000000002</v>
      </c>
      <c r="H75" s="21">
        <f t="shared" si="3"/>
        <v>0</v>
      </c>
      <c r="I75" s="30">
        <v>568083</v>
      </c>
      <c r="J75" s="27" t="s">
        <v>213</v>
      </c>
      <c r="K75" s="30" t="s">
        <v>76</v>
      </c>
      <c r="L75" s="73" t="s">
        <v>77</v>
      </c>
      <c r="M75" s="25">
        <v>98146666</v>
      </c>
      <c r="N75" s="18" t="s">
        <v>348</v>
      </c>
      <c r="O75" s="267"/>
    </row>
    <row r="76" spans="1:17" s="72" customFormat="1" x14ac:dyDescent="0.25">
      <c r="A76" s="18">
        <v>73</v>
      </c>
      <c r="B76" s="18">
        <v>2677</v>
      </c>
      <c r="C76" s="19" t="s">
        <v>214</v>
      </c>
      <c r="D76" s="18">
        <v>302.7</v>
      </c>
      <c r="E76" s="38">
        <v>0.4</v>
      </c>
      <c r="F76" s="21">
        <f t="shared" si="2"/>
        <v>121.08</v>
      </c>
      <c r="G76" s="21">
        <f>118.29</f>
        <v>118.29</v>
      </c>
      <c r="H76" s="21">
        <f t="shared" si="3"/>
        <v>2.789999999999992</v>
      </c>
      <c r="I76" s="30">
        <v>7031534</v>
      </c>
      <c r="J76" s="27" t="s">
        <v>215</v>
      </c>
      <c r="K76" s="25" t="s">
        <v>73</v>
      </c>
      <c r="L76" s="30" t="s">
        <v>74</v>
      </c>
      <c r="M76" s="25">
        <v>92995115</v>
      </c>
      <c r="N76" s="31">
        <v>45810</v>
      </c>
      <c r="O76" s="267"/>
    </row>
    <row r="77" spans="1:17" s="6" customFormat="1" x14ac:dyDescent="0.25">
      <c r="A77" s="12">
        <v>74</v>
      </c>
      <c r="B77" s="69">
        <v>2678</v>
      </c>
      <c r="C77" s="70" t="s">
        <v>216</v>
      </c>
      <c r="D77" s="69">
        <v>549.1</v>
      </c>
      <c r="E77" s="34">
        <v>0.4</v>
      </c>
      <c r="F77" s="15">
        <f t="shared" si="2"/>
        <v>219.64000000000001</v>
      </c>
      <c r="G77" s="15"/>
      <c r="H77" s="15">
        <f t="shared" si="3"/>
        <v>219.64000000000001</v>
      </c>
      <c r="I77" s="32">
        <v>7211987</v>
      </c>
      <c r="J77" s="17" t="s">
        <v>217</v>
      </c>
      <c r="K77" s="16" t="s">
        <v>73</v>
      </c>
      <c r="L77" s="32" t="s">
        <v>74</v>
      </c>
      <c r="M77" s="16"/>
      <c r="N77" s="12"/>
      <c r="O77" s="4"/>
    </row>
    <row r="78" spans="1:17" s="72" customFormat="1" x14ac:dyDescent="0.25">
      <c r="A78" s="18">
        <v>75</v>
      </c>
      <c r="B78" s="18">
        <v>2680</v>
      </c>
      <c r="C78" s="19" t="s">
        <v>218</v>
      </c>
      <c r="D78" s="18">
        <v>203.1</v>
      </c>
      <c r="E78" s="38">
        <v>0.4</v>
      </c>
      <c r="F78" s="21">
        <f t="shared" si="2"/>
        <v>81.240000000000009</v>
      </c>
      <c r="G78" s="21">
        <f>80.46</f>
        <v>80.459999999999994</v>
      </c>
      <c r="H78" s="21">
        <f t="shared" si="3"/>
        <v>0.78000000000001535</v>
      </c>
      <c r="I78" s="30">
        <v>553684</v>
      </c>
      <c r="J78" s="27">
        <v>1010125978001</v>
      </c>
      <c r="K78" s="25" t="s">
        <v>80</v>
      </c>
      <c r="L78" s="30" t="s">
        <v>219</v>
      </c>
      <c r="M78" s="25">
        <v>98279480</v>
      </c>
      <c r="N78" s="119">
        <v>45810</v>
      </c>
      <c r="O78" s="267"/>
    </row>
    <row r="79" spans="1:17" s="6" customFormat="1" x14ac:dyDescent="0.25">
      <c r="A79" s="12">
        <v>76</v>
      </c>
      <c r="B79" s="69">
        <v>2681</v>
      </c>
      <c r="C79" s="70" t="s">
        <v>61</v>
      </c>
      <c r="D79" s="69">
        <v>182.8</v>
      </c>
      <c r="E79" s="34">
        <v>0.4</v>
      </c>
      <c r="F79" s="15">
        <f t="shared" si="2"/>
        <v>73.12</v>
      </c>
      <c r="G79" s="15"/>
      <c r="H79" s="15">
        <f t="shared" si="3"/>
        <v>73.12</v>
      </c>
      <c r="I79" s="32">
        <v>23172723</v>
      </c>
      <c r="J79" s="17" t="s">
        <v>221</v>
      </c>
      <c r="K79" s="32" t="s">
        <v>73</v>
      </c>
      <c r="L79" s="32" t="s">
        <v>74</v>
      </c>
      <c r="M79" s="16">
        <v>93635099</v>
      </c>
      <c r="N79" s="111"/>
      <c r="O79" s="4"/>
    </row>
    <row r="80" spans="1:17" s="6" customFormat="1" x14ac:dyDescent="0.25">
      <c r="A80" s="12">
        <v>77</v>
      </c>
      <c r="B80" s="69">
        <v>2682</v>
      </c>
      <c r="C80" s="70" t="s">
        <v>222</v>
      </c>
      <c r="D80" s="69">
        <v>356.1</v>
      </c>
      <c r="E80" s="34">
        <v>0.4</v>
      </c>
      <c r="F80" s="15">
        <f t="shared" si="2"/>
        <v>142.44000000000003</v>
      </c>
      <c r="G80" s="15"/>
      <c r="H80" s="15">
        <f t="shared" si="3"/>
        <v>142.44000000000003</v>
      </c>
      <c r="I80" s="32">
        <v>1356383</v>
      </c>
      <c r="J80" s="17" t="s">
        <v>223</v>
      </c>
      <c r="K80" s="32" t="s">
        <v>80</v>
      </c>
      <c r="L80" s="32" t="s">
        <v>81</v>
      </c>
      <c r="M80" s="16"/>
      <c r="N80" s="111"/>
      <c r="O80" s="4"/>
    </row>
    <row r="81" spans="1:15" x14ac:dyDescent="0.25">
      <c r="A81" s="12">
        <v>78</v>
      </c>
      <c r="B81" s="69">
        <v>2683</v>
      </c>
      <c r="C81" s="70" t="s">
        <v>224</v>
      </c>
      <c r="D81" s="69">
        <v>647.29999999999995</v>
      </c>
      <c r="E81" s="34">
        <v>0.4</v>
      </c>
      <c r="F81" s="15">
        <f t="shared" si="2"/>
        <v>258.92</v>
      </c>
      <c r="G81" s="15"/>
      <c r="H81" s="15">
        <f t="shared" si="3"/>
        <v>258.92</v>
      </c>
      <c r="I81" s="32">
        <v>5912206</v>
      </c>
      <c r="J81" s="17" t="s">
        <v>225</v>
      </c>
      <c r="K81" s="16" t="s">
        <v>73</v>
      </c>
      <c r="L81" s="32" t="s">
        <v>74</v>
      </c>
      <c r="M81" s="16">
        <v>92704591</v>
      </c>
      <c r="N81" s="111"/>
    </row>
    <row r="82" spans="1:15" s="6" customFormat="1" x14ac:dyDescent="0.25">
      <c r="A82" s="12">
        <v>79</v>
      </c>
      <c r="B82" s="69">
        <v>2684</v>
      </c>
      <c r="C82" s="70" t="s">
        <v>226</v>
      </c>
      <c r="D82" s="69">
        <v>18.899999999999999</v>
      </c>
      <c r="E82" s="34">
        <v>0.4</v>
      </c>
      <c r="F82" s="15">
        <f t="shared" si="2"/>
        <v>7.56</v>
      </c>
      <c r="G82" s="15"/>
      <c r="H82" s="15">
        <f t="shared" si="3"/>
        <v>7.56</v>
      </c>
      <c r="I82" s="79">
        <v>4768041</v>
      </c>
      <c r="J82" s="183" t="s">
        <v>227</v>
      </c>
      <c r="K82" s="78" t="s">
        <v>73</v>
      </c>
      <c r="L82" s="79" t="s">
        <v>74</v>
      </c>
      <c r="M82" s="78">
        <v>99697032</v>
      </c>
      <c r="N82" s="271">
        <v>45231</v>
      </c>
      <c r="O82" s="4"/>
    </row>
    <row r="83" spans="1:15" s="6" customFormat="1" x14ac:dyDescent="0.25">
      <c r="A83" s="12">
        <v>80</v>
      </c>
      <c r="B83" s="69">
        <v>2685</v>
      </c>
      <c r="C83" s="70" t="s">
        <v>228</v>
      </c>
      <c r="D83" s="69">
        <v>158.4</v>
      </c>
      <c r="E83" s="34">
        <v>0.4</v>
      </c>
      <c r="F83" s="15">
        <f t="shared" si="2"/>
        <v>63.360000000000007</v>
      </c>
      <c r="G83" s="15"/>
      <c r="H83" s="15">
        <f t="shared" si="3"/>
        <v>63.360000000000007</v>
      </c>
      <c r="I83" s="32">
        <v>25026854</v>
      </c>
      <c r="J83" s="17" t="s">
        <v>229</v>
      </c>
      <c r="K83" s="16" t="s">
        <v>18</v>
      </c>
      <c r="L83" s="32" t="s">
        <v>19</v>
      </c>
      <c r="M83" s="16">
        <v>96124005</v>
      </c>
      <c r="N83" s="111"/>
      <c r="O83" s="4"/>
    </row>
    <row r="84" spans="1:15" s="6" customFormat="1" x14ac:dyDescent="0.25">
      <c r="A84" s="12">
        <v>81</v>
      </c>
      <c r="B84" s="69">
        <v>2686</v>
      </c>
      <c r="C84" s="70" t="s">
        <v>230</v>
      </c>
      <c r="D84" s="36">
        <v>373.7</v>
      </c>
      <c r="E84" s="34">
        <v>0.4</v>
      </c>
      <c r="F84" s="15">
        <f t="shared" si="2"/>
        <v>149.47999999999999</v>
      </c>
      <c r="G84" s="15"/>
      <c r="H84" s="15">
        <f t="shared" si="3"/>
        <v>149.47999999999999</v>
      </c>
      <c r="I84" s="32">
        <v>6064295</v>
      </c>
      <c r="J84" s="17" t="s">
        <v>231</v>
      </c>
      <c r="K84" s="16" t="s">
        <v>73</v>
      </c>
      <c r="L84" s="32" t="s">
        <v>74</v>
      </c>
      <c r="M84" s="16"/>
      <c r="N84" s="111"/>
      <c r="O84" s="4"/>
    </row>
    <row r="85" spans="1:15" s="6" customFormat="1" x14ac:dyDescent="0.25">
      <c r="A85" s="12">
        <v>82</v>
      </c>
      <c r="B85" s="69">
        <v>2687</v>
      </c>
      <c r="C85" s="112" t="s">
        <v>62</v>
      </c>
      <c r="D85" s="36">
        <v>316</v>
      </c>
      <c r="E85" s="34">
        <v>0.4</v>
      </c>
      <c r="F85" s="15">
        <f t="shared" si="2"/>
        <v>126.4</v>
      </c>
      <c r="G85" s="15"/>
      <c r="H85" s="15">
        <f t="shared" si="3"/>
        <v>126.4</v>
      </c>
      <c r="I85" s="32">
        <v>14175595</v>
      </c>
      <c r="J85" s="17" t="s">
        <v>232</v>
      </c>
      <c r="K85" s="16" t="s">
        <v>76</v>
      </c>
      <c r="L85" s="182" t="s">
        <v>77</v>
      </c>
      <c r="M85" s="16">
        <v>99531669</v>
      </c>
      <c r="N85" s="33" t="s">
        <v>22</v>
      </c>
      <c r="O85" s="4"/>
    </row>
    <row r="86" spans="1:15" s="72" customFormat="1" x14ac:dyDescent="0.25">
      <c r="A86" s="18">
        <v>83</v>
      </c>
      <c r="B86" s="18">
        <v>2688</v>
      </c>
      <c r="C86" s="25" t="s">
        <v>234</v>
      </c>
      <c r="D86" s="37">
        <v>466.6</v>
      </c>
      <c r="E86" s="38">
        <v>0.4</v>
      </c>
      <c r="F86" s="21">
        <f t="shared" si="2"/>
        <v>186.64000000000001</v>
      </c>
      <c r="G86" s="21">
        <f>185.3</f>
        <v>185.3</v>
      </c>
      <c r="H86" s="21">
        <f t="shared" si="3"/>
        <v>1.3400000000000034</v>
      </c>
      <c r="I86" s="30">
        <v>18647005</v>
      </c>
      <c r="J86" s="27" t="s">
        <v>235</v>
      </c>
      <c r="K86" s="25" t="s">
        <v>73</v>
      </c>
      <c r="L86" s="30" t="s">
        <v>74</v>
      </c>
      <c r="M86" s="25"/>
      <c r="N86" s="115">
        <v>45932</v>
      </c>
      <c r="O86" s="267"/>
    </row>
    <row r="87" spans="1:15" s="6" customFormat="1" x14ac:dyDescent="0.25">
      <c r="A87" s="12">
        <v>84</v>
      </c>
      <c r="B87" s="69">
        <v>2689</v>
      </c>
      <c r="C87" s="16" t="s">
        <v>236</v>
      </c>
      <c r="D87" s="36">
        <v>375.8</v>
      </c>
      <c r="E87" s="34">
        <v>0.4</v>
      </c>
      <c r="F87" s="15">
        <f t="shared" si="2"/>
        <v>150.32000000000002</v>
      </c>
      <c r="G87" s="15"/>
      <c r="H87" s="15">
        <f t="shared" si="3"/>
        <v>150.32000000000002</v>
      </c>
      <c r="I87" s="32">
        <v>1527206</v>
      </c>
      <c r="J87" s="17" t="s">
        <v>237</v>
      </c>
      <c r="K87" s="16" t="s">
        <v>73</v>
      </c>
      <c r="L87" s="32" t="s">
        <v>74</v>
      </c>
      <c r="M87" s="16"/>
      <c r="N87" s="33"/>
      <c r="O87" s="4"/>
    </row>
    <row r="88" spans="1:15" s="72" customFormat="1" x14ac:dyDescent="0.25">
      <c r="A88" s="18">
        <v>85</v>
      </c>
      <c r="B88" s="18">
        <v>2690</v>
      </c>
      <c r="C88" s="25" t="s">
        <v>238</v>
      </c>
      <c r="D88" s="37">
        <v>508.4</v>
      </c>
      <c r="E88" s="38">
        <v>0.4</v>
      </c>
      <c r="F88" s="21">
        <f t="shared" si="2"/>
        <v>203.36</v>
      </c>
      <c r="G88" s="21">
        <f>200.84</f>
        <v>200.84</v>
      </c>
      <c r="H88" s="21">
        <f t="shared" si="3"/>
        <v>2.5200000000000102</v>
      </c>
      <c r="I88" s="30">
        <v>7376171</v>
      </c>
      <c r="J88" s="27" t="s">
        <v>239</v>
      </c>
      <c r="K88" s="25" t="s">
        <v>80</v>
      </c>
      <c r="L88" s="30" t="s">
        <v>81</v>
      </c>
      <c r="M88" s="25"/>
      <c r="N88" s="115">
        <v>45993</v>
      </c>
      <c r="O88" s="267"/>
    </row>
    <row r="89" spans="1:15" s="6" customFormat="1" x14ac:dyDescent="0.25">
      <c r="A89" s="12">
        <v>86</v>
      </c>
      <c r="B89" s="69">
        <v>2691</v>
      </c>
      <c r="C89" s="16" t="s">
        <v>240</v>
      </c>
      <c r="D89" s="36">
        <v>379.8</v>
      </c>
      <c r="E89" s="34">
        <v>0.4</v>
      </c>
      <c r="F89" s="15">
        <f t="shared" si="2"/>
        <v>151.92000000000002</v>
      </c>
      <c r="G89" s="15"/>
      <c r="H89" s="15">
        <f t="shared" si="3"/>
        <v>151.92000000000002</v>
      </c>
      <c r="I89" s="32">
        <v>7376203</v>
      </c>
      <c r="J89" s="17" t="s">
        <v>241</v>
      </c>
      <c r="K89" s="16" t="s">
        <v>73</v>
      </c>
      <c r="L89" s="32" t="s">
        <v>74</v>
      </c>
      <c r="M89" s="16"/>
      <c r="N89" s="33"/>
      <c r="O89" s="4"/>
    </row>
    <row r="90" spans="1:15" s="72" customFormat="1" x14ac:dyDescent="0.25">
      <c r="A90" s="18">
        <v>87</v>
      </c>
      <c r="B90" s="18">
        <v>2692</v>
      </c>
      <c r="C90" s="25" t="s">
        <v>243</v>
      </c>
      <c r="D90" s="37">
        <v>450.1</v>
      </c>
      <c r="E90" s="38">
        <v>0.4</v>
      </c>
      <c r="F90" s="21">
        <f t="shared" si="2"/>
        <v>180.04000000000002</v>
      </c>
      <c r="G90" s="21">
        <f>176.14</f>
        <v>176.14</v>
      </c>
      <c r="H90" s="21">
        <f t="shared" si="3"/>
        <v>3.9000000000000341</v>
      </c>
      <c r="I90" s="30">
        <v>626838</v>
      </c>
      <c r="J90" s="27" t="s">
        <v>244</v>
      </c>
      <c r="K90" s="25" t="s">
        <v>73</v>
      </c>
      <c r="L90" s="30" t="s">
        <v>74</v>
      </c>
      <c r="M90" s="25"/>
      <c r="N90" s="143" t="s">
        <v>348</v>
      </c>
      <c r="O90" s="267"/>
    </row>
    <row r="91" spans="1:15" s="72" customFormat="1" x14ac:dyDescent="0.25">
      <c r="A91" s="18">
        <v>88</v>
      </c>
      <c r="B91" s="18">
        <v>2693</v>
      </c>
      <c r="C91" s="25" t="s">
        <v>245</v>
      </c>
      <c r="D91" s="37">
        <v>324.10000000000002</v>
      </c>
      <c r="E91" s="38">
        <v>0.4</v>
      </c>
      <c r="F91" s="21">
        <f t="shared" si="2"/>
        <v>129.64000000000001</v>
      </c>
      <c r="G91" s="21">
        <f>124.33</f>
        <v>124.33</v>
      </c>
      <c r="H91" s="21">
        <f t="shared" si="3"/>
        <v>5.3100000000000165</v>
      </c>
      <c r="I91" s="30">
        <v>20233513</v>
      </c>
      <c r="J91" s="27" t="s">
        <v>246</v>
      </c>
      <c r="K91" s="25" t="s">
        <v>73</v>
      </c>
      <c r="L91" s="30" t="s">
        <v>74</v>
      </c>
      <c r="M91" s="25">
        <v>99669614</v>
      </c>
      <c r="N91" s="143" t="s">
        <v>348</v>
      </c>
      <c r="O91" s="267"/>
    </row>
    <row r="92" spans="1:15" s="6" customFormat="1" x14ac:dyDescent="0.25">
      <c r="A92" s="12">
        <v>89</v>
      </c>
      <c r="B92" s="69">
        <v>2694</v>
      </c>
      <c r="C92" s="16" t="s">
        <v>248</v>
      </c>
      <c r="D92" s="36">
        <v>101.2</v>
      </c>
      <c r="E92" s="34">
        <v>0.4</v>
      </c>
      <c r="F92" s="15">
        <f t="shared" si="2"/>
        <v>40.480000000000004</v>
      </c>
      <c r="G92" s="15"/>
      <c r="H92" s="15">
        <f t="shared" si="3"/>
        <v>40.480000000000004</v>
      </c>
      <c r="I92" s="32">
        <v>18620904</v>
      </c>
      <c r="J92" s="17" t="s">
        <v>249</v>
      </c>
      <c r="K92" s="16" t="s">
        <v>80</v>
      </c>
      <c r="L92" s="32" t="s">
        <v>81</v>
      </c>
      <c r="M92" s="16">
        <v>98255331</v>
      </c>
      <c r="N92" s="33"/>
      <c r="O92" s="4"/>
    </row>
    <row r="93" spans="1:15" s="72" customFormat="1" x14ac:dyDescent="0.25">
      <c r="A93" s="18">
        <v>90</v>
      </c>
      <c r="B93" s="18">
        <v>2697</v>
      </c>
      <c r="C93" s="25" t="s">
        <v>250</v>
      </c>
      <c r="D93" s="37">
        <v>316.3</v>
      </c>
      <c r="E93" s="38">
        <v>0.4</v>
      </c>
      <c r="F93" s="21">
        <f t="shared" si="2"/>
        <v>126.52000000000001</v>
      </c>
      <c r="G93" s="21">
        <f>124.07</f>
        <v>124.07</v>
      </c>
      <c r="H93" s="21">
        <f t="shared" si="3"/>
        <v>2.4500000000000171</v>
      </c>
      <c r="I93" s="30">
        <v>24992357</v>
      </c>
      <c r="J93" s="27" t="s">
        <v>251</v>
      </c>
      <c r="K93" s="25" t="s">
        <v>73</v>
      </c>
      <c r="L93" s="30" t="s">
        <v>74</v>
      </c>
      <c r="M93" s="25">
        <v>96581299</v>
      </c>
      <c r="N93" s="143" t="s">
        <v>348</v>
      </c>
      <c r="O93" s="267"/>
    </row>
    <row r="94" spans="1:15" s="72" customFormat="1" x14ac:dyDescent="0.25">
      <c r="A94" s="18">
        <v>91</v>
      </c>
      <c r="B94" s="18">
        <v>2698</v>
      </c>
      <c r="C94" s="25" t="s">
        <v>63</v>
      </c>
      <c r="D94" s="37">
        <v>564.29999999999995</v>
      </c>
      <c r="E94" s="38">
        <v>0.4</v>
      </c>
      <c r="F94" s="21">
        <f t="shared" si="2"/>
        <v>225.72</v>
      </c>
      <c r="G94" s="21">
        <f>223.23</f>
        <v>223.23</v>
      </c>
      <c r="H94" s="21">
        <f t="shared" si="3"/>
        <v>2.4900000000000091</v>
      </c>
      <c r="I94" s="30">
        <v>21332246</v>
      </c>
      <c r="J94" s="27" t="s">
        <v>252</v>
      </c>
      <c r="K94" s="25" t="s">
        <v>73</v>
      </c>
      <c r="L94" s="30" t="s">
        <v>74</v>
      </c>
      <c r="M94" s="25">
        <v>98260073</v>
      </c>
      <c r="N94" s="143" t="s">
        <v>349</v>
      </c>
      <c r="O94" s="267"/>
    </row>
    <row r="95" spans="1:15" s="6" customFormat="1" x14ac:dyDescent="0.25">
      <c r="A95" s="12">
        <v>92</v>
      </c>
      <c r="B95" s="69">
        <v>2699</v>
      </c>
      <c r="C95" s="16" t="s">
        <v>253</v>
      </c>
      <c r="D95" s="36">
        <v>305.7</v>
      </c>
      <c r="E95" s="34">
        <v>0.4</v>
      </c>
      <c r="F95" s="15">
        <f t="shared" si="2"/>
        <v>122.28</v>
      </c>
      <c r="G95" s="15"/>
      <c r="H95" s="15">
        <f t="shared" si="3"/>
        <v>122.28</v>
      </c>
      <c r="I95" s="32">
        <v>5031003</v>
      </c>
      <c r="J95" s="17">
        <v>1006555153017</v>
      </c>
      <c r="K95" s="16" t="s">
        <v>18</v>
      </c>
      <c r="L95" s="32" t="s">
        <v>19</v>
      </c>
      <c r="M95" s="16">
        <v>98129999</v>
      </c>
      <c r="N95" s="33"/>
      <c r="O95" s="4"/>
    </row>
    <row r="96" spans="1:15" s="6" customFormat="1" x14ac:dyDescent="0.25">
      <c r="A96" s="12">
        <v>93</v>
      </c>
      <c r="B96" s="69">
        <v>2700</v>
      </c>
      <c r="C96" s="16" t="s">
        <v>254</v>
      </c>
      <c r="D96" s="36">
        <v>463.7</v>
      </c>
      <c r="E96" s="34">
        <v>0.4</v>
      </c>
      <c r="F96" s="15">
        <f t="shared" si="2"/>
        <v>185.48000000000002</v>
      </c>
      <c r="G96" s="15"/>
      <c r="H96" s="15">
        <f t="shared" si="3"/>
        <v>185.48000000000002</v>
      </c>
      <c r="I96" s="32">
        <v>2216024</v>
      </c>
      <c r="J96" s="17" t="s">
        <v>255</v>
      </c>
      <c r="K96" s="16" t="s">
        <v>73</v>
      </c>
      <c r="L96" s="32" t="s">
        <v>74</v>
      </c>
      <c r="M96" s="16">
        <v>99093696</v>
      </c>
      <c r="N96" s="33"/>
      <c r="O96" s="4"/>
    </row>
    <row r="97" spans="1:15" s="6" customFormat="1" x14ac:dyDescent="0.25">
      <c r="A97" s="12">
        <v>94</v>
      </c>
      <c r="B97" s="69">
        <v>2702</v>
      </c>
      <c r="C97" s="16" t="s">
        <v>256</v>
      </c>
      <c r="D97" s="36">
        <v>644.29999999999995</v>
      </c>
      <c r="E97" s="34">
        <v>0.4</v>
      </c>
      <c r="F97" s="15">
        <f t="shared" si="2"/>
        <v>257.71999999999997</v>
      </c>
      <c r="G97" s="15"/>
      <c r="H97" s="15">
        <f t="shared" si="3"/>
        <v>257.71999999999997</v>
      </c>
      <c r="I97" s="32">
        <v>2045458</v>
      </c>
      <c r="J97" s="17" t="s">
        <v>257</v>
      </c>
      <c r="K97" s="16" t="s">
        <v>80</v>
      </c>
      <c r="L97" s="32" t="s">
        <v>81</v>
      </c>
      <c r="M97" s="16">
        <v>99282287</v>
      </c>
      <c r="N97" s="33"/>
      <c r="O97" s="4"/>
    </row>
    <row r="98" spans="1:15" s="6" customFormat="1" x14ac:dyDescent="0.25">
      <c r="A98" s="12">
        <v>95</v>
      </c>
      <c r="B98" s="69">
        <v>2703</v>
      </c>
      <c r="C98" s="16" t="s">
        <v>258</v>
      </c>
      <c r="D98" s="36">
        <v>161.30000000000001</v>
      </c>
      <c r="E98" s="34">
        <v>0.4</v>
      </c>
      <c r="F98" s="15">
        <f t="shared" si="2"/>
        <v>64.52000000000001</v>
      </c>
      <c r="G98" s="15"/>
      <c r="H98" s="15">
        <f t="shared" si="3"/>
        <v>64.52000000000001</v>
      </c>
      <c r="I98" s="32">
        <v>652182</v>
      </c>
      <c r="J98" s="17" t="s">
        <v>259</v>
      </c>
      <c r="K98" s="16" t="s">
        <v>73</v>
      </c>
      <c r="L98" s="32" t="s">
        <v>74</v>
      </c>
      <c r="M98" s="16">
        <v>99982977</v>
      </c>
      <c r="N98" s="33"/>
      <c r="O98" s="4"/>
    </row>
    <row r="99" spans="1:15" s="6" customFormat="1" x14ac:dyDescent="0.25">
      <c r="A99" s="12">
        <v>96</v>
      </c>
      <c r="B99" s="69">
        <v>2706</v>
      </c>
      <c r="C99" s="16" t="s">
        <v>260</v>
      </c>
      <c r="D99" s="36">
        <v>360.3</v>
      </c>
      <c r="E99" s="34">
        <v>0.4</v>
      </c>
      <c r="F99" s="15">
        <f t="shared" si="2"/>
        <v>144.12</v>
      </c>
      <c r="G99" s="15"/>
      <c r="H99" s="15">
        <f t="shared" si="3"/>
        <v>144.12</v>
      </c>
      <c r="I99" s="32">
        <v>23144392</v>
      </c>
      <c r="J99" s="17" t="s">
        <v>261</v>
      </c>
      <c r="K99" s="16" t="s">
        <v>18</v>
      </c>
      <c r="L99" s="32" t="s">
        <v>19</v>
      </c>
      <c r="M99" s="16">
        <v>97216689</v>
      </c>
      <c r="N99" s="33"/>
      <c r="O99" s="4"/>
    </row>
    <row r="100" spans="1:15" s="72" customFormat="1" x14ac:dyDescent="0.25">
      <c r="A100" s="18">
        <v>97</v>
      </c>
      <c r="B100" s="18">
        <v>2707</v>
      </c>
      <c r="C100" s="25" t="s">
        <v>262</v>
      </c>
      <c r="D100" s="37">
        <v>507.1</v>
      </c>
      <c r="E100" s="38">
        <v>0.4</v>
      </c>
      <c r="F100" s="21">
        <f t="shared" si="2"/>
        <v>202.84000000000003</v>
      </c>
      <c r="G100" s="21">
        <f>201.73</f>
        <v>201.73</v>
      </c>
      <c r="H100" s="21">
        <f t="shared" si="3"/>
        <v>1.1100000000000421</v>
      </c>
      <c r="I100" s="30">
        <v>7026153</v>
      </c>
      <c r="J100" s="27" t="s">
        <v>263</v>
      </c>
      <c r="K100" s="25" t="s">
        <v>94</v>
      </c>
      <c r="L100" s="30" t="s">
        <v>95</v>
      </c>
      <c r="M100" s="25">
        <v>95333133</v>
      </c>
      <c r="N100" s="115">
        <v>45993</v>
      </c>
      <c r="O100" s="267"/>
    </row>
    <row r="101" spans="1:15" s="6" customFormat="1" x14ac:dyDescent="0.25">
      <c r="A101" s="12">
        <v>99</v>
      </c>
      <c r="B101" s="69">
        <v>2710</v>
      </c>
      <c r="C101" s="16" t="s">
        <v>265</v>
      </c>
      <c r="D101" s="36">
        <v>241.3</v>
      </c>
      <c r="E101" s="34">
        <v>0.4</v>
      </c>
      <c r="F101" s="15">
        <f t="shared" si="2"/>
        <v>96.52000000000001</v>
      </c>
      <c r="G101" s="15"/>
      <c r="H101" s="15">
        <f t="shared" si="3"/>
        <v>96.52000000000001</v>
      </c>
      <c r="I101" s="32">
        <v>944469</v>
      </c>
      <c r="J101" s="17" t="s">
        <v>266</v>
      </c>
      <c r="K101" s="16" t="s">
        <v>73</v>
      </c>
      <c r="L101" s="32" t="s">
        <v>74</v>
      </c>
      <c r="M101" s="16"/>
      <c r="N101" s="33"/>
      <c r="O101" s="4"/>
    </row>
    <row r="102" spans="1:15" s="6" customFormat="1" x14ac:dyDescent="0.25">
      <c r="A102" s="12">
        <v>100</v>
      </c>
      <c r="B102" s="69">
        <v>2711</v>
      </c>
      <c r="C102" s="16" t="s">
        <v>267</v>
      </c>
      <c r="D102" s="36">
        <v>314.89999999999998</v>
      </c>
      <c r="E102" s="34">
        <v>0.4</v>
      </c>
      <c r="F102" s="15">
        <f t="shared" si="2"/>
        <v>125.96</v>
      </c>
      <c r="G102" s="15"/>
      <c r="H102" s="15">
        <f t="shared" si="3"/>
        <v>125.96</v>
      </c>
      <c r="I102" s="32">
        <v>5775933</v>
      </c>
      <c r="J102" s="17" t="s">
        <v>268</v>
      </c>
      <c r="K102" s="16" t="s">
        <v>80</v>
      </c>
      <c r="L102" s="32" t="s">
        <v>81</v>
      </c>
      <c r="M102" s="16"/>
      <c r="N102" s="33"/>
      <c r="O102" s="4"/>
    </row>
    <row r="103" spans="1:15" s="72" customFormat="1" x14ac:dyDescent="0.25">
      <c r="A103" s="18">
        <v>101</v>
      </c>
      <c r="B103" s="18">
        <v>2712</v>
      </c>
      <c r="C103" s="25" t="s">
        <v>64</v>
      </c>
      <c r="D103" s="37">
        <v>286.2</v>
      </c>
      <c r="E103" s="38">
        <v>0.4</v>
      </c>
      <c r="F103" s="21">
        <f t="shared" si="2"/>
        <v>114.48</v>
      </c>
      <c r="G103" s="21">
        <f>112.86</f>
        <v>112.86</v>
      </c>
      <c r="H103" s="21">
        <f t="shared" si="3"/>
        <v>1.6200000000000045</v>
      </c>
      <c r="I103" s="30">
        <v>2439264</v>
      </c>
      <c r="J103" s="27" t="s">
        <v>269</v>
      </c>
      <c r="K103" s="25" t="s">
        <v>18</v>
      </c>
      <c r="L103" s="30" t="s">
        <v>19</v>
      </c>
      <c r="M103" s="25">
        <v>91780732</v>
      </c>
      <c r="N103" s="143" t="s">
        <v>349</v>
      </c>
      <c r="O103" s="267"/>
    </row>
    <row r="104" spans="1:15" s="6" customFormat="1" x14ac:dyDescent="0.25">
      <c r="A104" s="12">
        <v>102</v>
      </c>
      <c r="B104" s="69">
        <v>2714</v>
      </c>
      <c r="C104" s="16" t="s">
        <v>270</v>
      </c>
      <c r="D104" s="36">
        <v>264.39999999999998</v>
      </c>
      <c r="E104" s="34">
        <v>0.4</v>
      </c>
      <c r="F104" s="15">
        <f t="shared" si="2"/>
        <v>105.75999999999999</v>
      </c>
      <c r="G104" s="15"/>
      <c r="H104" s="15">
        <f t="shared" si="3"/>
        <v>105.75999999999999</v>
      </c>
      <c r="I104" s="32">
        <v>18813939</v>
      </c>
      <c r="J104" s="17" t="s">
        <v>271</v>
      </c>
      <c r="K104" s="16" t="s">
        <v>73</v>
      </c>
      <c r="L104" s="32" t="s">
        <v>74</v>
      </c>
      <c r="M104" s="16">
        <v>92903559</v>
      </c>
      <c r="N104" s="33"/>
      <c r="O104" s="4"/>
    </row>
    <row r="105" spans="1:15" s="6" customFormat="1" x14ac:dyDescent="0.25">
      <c r="A105" s="12">
        <v>103</v>
      </c>
      <c r="B105" s="69">
        <v>2715</v>
      </c>
      <c r="C105" s="16" t="s">
        <v>272</v>
      </c>
      <c r="D105" s="36">
        <v>275.2</v>
      </c>
      <c r="E105" s="34">
        <v>0.4</v>
      </c>
      <c r="F105" s="15">
        <f t="shared" si="2"/>
        <v>110.08</v>
      </c>
      <c r="G105" s="15"/>
      <c r="H105" s="15">
        <f t="shared" si="3"/>
        <v>110.08</v>
      </c>
      <c r="I105" s="32">
        <v>5571701</v>
      </c>
      <c r="J105" s="17" t="s">
        <v>273</v>
      </c>
      <c r="K105" s="16" t="s">
        <v>73</v>
      </c>
      <c r="L105" s="32" t="s">
        <v>74</v>
      </c>
      <c r="M105" s="16">
        <v>99773624</v>
      </c>
      <c r="N105" s="33"/>
      <c r="O105" s="4"/>
    </row>
    <row r="106" spans="1:15" s="6" customFormat="1" x14ac:dyDescent="0.25">
      <c r="A106" s="12">
        <v>104</v>
      </c>
      <c r="B106" s="69">
        <v>2716</v>
      </c>
      <c r="C106" s="16" t="s">
        <v>274</v>
      </c>
      <c r="D106" s="36">
        <v>325.5</v>
      </c>
      <c r="E106" s="34">
        <v>0.4</v>
      </c>
      <c r="F106" s="15">
        <f t="shared" si="2"/>
        <v>130.20000000000002</v>
      </c>
      <c r="G106" s="15"/>
      <c r="H106" s="15">
        <f t="shared" si="3"/>
        <v>130.20000000000002</v>
      </c>
      <c r="I106" s="32">
        <v>1398299</v>
      </c>
      <c r="J106" s="17" t="s">
        <v>275</v>
      </c>
      <c r="K106" s="16" t="s">
        <v>276</v>
      </c>
      <c r="L106" s="32" t="s">
        <v>81</v>
      </c>
      <c r="M106" s="16">
        <v>99294734</v>
      </c>
      <c r="N106" s="33"/>
      <c r="O106" s="4"/>
    </row>
    <row r="107" spans="1:15" s="6" customFormat="1" x14ac:dyDescent="0.25">
      <c r="A107" s="12">
        <v>105</v>
      </c>
      <c r="B107" s="69">
        <v>2717</v>
      </c>
      <c r="C107" s="16" t="s">
        <v>277</v>
      </c>
      <c r="D107" s="36">
        <v>319</v>
      </c>
      <c r="E107" s="34">
        <v>0.4</v>
      </c>
      <c r="F107" s="15">
        <f t="shared" si="2"/>
        <v>127.60000000000001</v>
      </c>
      <c r="G107" s="15"/>
      <c r="H107" s="15">
        <f t="shared" si="3"/>
        <v>127.60000000000001</v>
      </c>
      <c r="I107" s="32">
        <v>5968087</v>
      </c>
      <c r="J107" s="17" t="s">
        <v>278</v>
      </c>
      <c r="K107" s="16" t="s">
        <v>73</v>
      </c>
      <c r="L107" s="32" t="s">
        <v>74</v>
      </c>
      <c r="M107" s="16">
        <v>91116250</v>
      </c>
      <c r="N107" s="33"/>
      <c r="O107" s="4"/>
    </row>
    <row r="108" spans="1:15" s="6" customFormat="1" x14ac:dyDescent="0.25">
      <c r="A108" s="12">
        <v>106</v>
      </c>
      <c r="B108" s="69">
        <v>2718</v>
      </c>
      <c r="C108" s="16" t="s">
        <v>279</v>
      </c>
      <c r="D108" s="36">
        <v>293.7</v>
      </c>
      <c r="E108" s="34">
        <v>0.4</v>
      </c>
      <c r="F108" s="15">
        <f t="shared" si="2"/>
        <v>117.48</v>
      </c>
      <c r="G108" s="15"/>
      <c r="H108" s="15">
        <f t="shared" si="3"/>
        <v>117.48</v>
      </c>
      <c r="I108" s="32">
        <v>5571729</v>
      </c>
      <c r="J108" s="17" t="s">
        <v>280</v>
      </c>
      <c r="K108" s="16" t="s">
        <v>73</v>
      </c>
      <c r="L108" s="32" t="s">
        <v>74</v>
      </c>
      <c r="M108" s="16">
        <v>99643459</v>
      </c>
      <c r="N108" s="33"/>
      <c r="O108" s="4"/>
    </row>
    <row r="109" spans="1:15" s="72" customFormat="1" x14ac:dyDescent="0.25">
      <c r="A109" s="18">
        <v>107</v>
      </c>
      <c r="B109" s="80">
        <v>2719</v>
      </c>
      <c r="C109" s="25" t="s">
        <v>281</v>
      </c>
      <c r="D109" s="37">
        <v>484.6</v>
      </c>
      <c r="E109" s="38">
        <v>0.4</v>
      </c>
      <c r="F109" s="21">
        <f t="shared" si="2"/>
        <v>193.84000000000003</v>
      </c>
      <c r="G109" s="21">
        <f>F109</f>
        <v>193.84000000000003</v>
      </c>
      <c r="H109" s="21">
        <f t="shared" si="3"/>
        <v>0</v>
      </c>
      <c r="I109" s="30">
        <v>925058</v>
      </c>
      <c r="J109" s="27" t="s">
        <v>282</v>
      </c>
      <c r="K109" s="25" t="s">
        <v>283</v>
      </c>
      <c r="L109" s="30" t="s">
        <v>81</v>
      </c>
      <c r="M109" s="25">
        <v>92656157</v>
      </c>
      <c r="N109" s="143" t="s">
        <v>348</v>
      </c>
      <c r="O109" s="267"/>
    </row>
    <row r="110" spans="1:15" s="6" customFormat="1" x14ac:dyDescent="0.25">
      <c r="A110" s="12">
        <v>108</v>
      </c>
      <c r="B110" s="81">
        <v>2721</v>
      </c>
      <c r="C110" s="16" t="s">
        <v>284</v>
      </c>
      <c r="D110" s="12">
        <v>524.6</v>
      </c>
      <c r="E110" s="34">
        <v>0.4</v>
      </c>
      <c r="F110" s="15">
        <f t="shared" si="2"/>
        <v>209.84000000000003</v>
      </c>
      <c r="G110" s="15"/>
      <c r="H110" s="15">
        <f t="shared" si="3"/>
        <v>209.84000000000003</v>
      </c>
      <c r="I110" s="32">
        <v>7673741</v>
      </c>
      <c r="J110" s="17" t="s">
        <v>285</v>
      </c>
      <c r="K110" s="16" t="s">
        <v>18</v>
      </c>
      <c r="L110" s="32" t="s">
        <v>19</v>
      </c>
      <c r="M110" s="16"/>
      <c r="N110" s="33"/>
      <c r="O110" s="4"/>
    </row>
    <row r="111" spans="1:15" s="72" customFormat="1" x14ac:dyDescent="0.25">
      <c r="A111" s="18">
        <v>109</v>
      </c>
      <c r="B111" s="80">
        <v>2722</v>
      </c>
      <c r="C111" s="19" t="s">
        <v>66</v>
      </c>
      <c r="D111" s="18">
        <v>174.1</v>
      </c>
      <c r="E111" s="38">
        <v>0.4</v>
      </c>
      <c r="F111" s="21">
        <f t="shared" si="2"/>
        <v>69.64</v>
      </c>
      <c r="G111" s="21">
        <f>68.68</f>
        <v>68.680000000000007</v>
      </c>
      <c r="H111" s="21">
        <f t="shared" si="3"/>
        <v>0.95999999999999375</v>
      </c>
      <c r="I111" s="30">
        <v>675043</v>
      </c>
      <c r="J111" s="27" t="s">
        <v>286</v>
      </c>
      <c r="K111" s="25" t="s">
        <v>80</v>
      </c>
      <c r="L111" s="30" t="s">
        <v>81</v>
      </c>
      <c r="M111" s="25"/>
      <c r="N111" s="143" t="s">
        <v>344</v>
      </c>
      <c r="O111" s="267"/>
    </row>
    <row r="112" spans="1:15" s="6" customFormat="1" x14ac:dyDescent="0.25">
      <c r="A112" s="12">
        <v>110</v>
      </c>
      <c r="B112" s="81">
        <v>2724</v>
      </c>
      <c r="C112" s="82" t="s">
        <v>287</v>
      </c>
      <c r="D112" s="12">
        <v>655.1</v>
      </c>
      <c r="E112" s="34">
        <v>0.4</v>
      </c>
      <c r="F112" s="15">
        <f t="shared" si="2"/>
        <v>262.04000000000002</v>
      </c>
      <c r="G112" s="15"/>
      <c r="H112" s="15">
        <f t="shared" si="3"/>
        <v>262.04000000000002</v>
      </c>
      <c r="I112" s="32">
        <v>272921</v>
      </c>
      <c r="J112" s="17" t="s">
        <v>288</v>
      </c>
      <c r="K112" s="16" t="s">
        <v>73</v>
      </c>
      <c r="L112" s="32" t="s">
        <v>74</v>
      </c>
      <c r="M112" s="16"/>
      <c r="N112" s="33"/>
      <c r="O112" s="4"/>
    </row>
    <row r="113" spans="1:15" s="72" customFormat="1" x14ac:dyDescent="0.25">
      <c r="A113" s="18">
        <v>111</v>
      </c>
      <c r="B113" s="80">
        <v>2725</v>
      </c>
      <c r="C113" s="84" t="s">
        <v>289</v>
      </c>
      <c r="D113" s="18">
        <v>644</v>
      </c>
      <c r="E113" s="38">
        <v>0.4</v>
      </c>
      <c r="F113" s="21">
        <f t="shared" si="2"/>
        <v>257.60000000000002</v>
      </c>
      <c r="G113" s="21">
        <f>253.1</f>
        <v>253.1</v>
      </c>
      <c r="H113" s="21">
        <f t="shared" si="3"/>
        <v>4.5000000000000284</v>
      </c>
      <c r="I113" s="30">
        <v>21910195</v>
      </c>
      <c r="J113" s="27" t="s">
        <v>290</v>
      </c>
      <c r="K113" s="25" t="s">
        <v>73</v>
      </c>
      <c r="L113" s="30" t="s">
        <v>74</v>
      </c>
      <c r="M113" s="25"/>
      <c r="N113" s="115">
        <v>45932</v>
      </c>
      <c r="O113" s="267"/>
    </row>
    <row r="114" spans="1:15" s="6" customFormat="1" x14ac:dyDescent="0.25">
      <c r="A114" s="12">
        <v>112</v>
      </c>
      <c r="B114" s="81">
        <v>2726</v>
      </c>
      <c r="C114" s="82" t="s">
        <v>293</v>
      </c>
      <c r="D114" s="12">
        <v>321.39999999999998</v>
      </c>
      <c r="E114" s="34">
        <v>0.4</v>
      </c>
      <c r="F114" s="15">
        <f t="shared" si="2"/>
        <v>128.56</v>
      </c>
      <c r="G114" s="15"/>
      <c r="H114" s="15">
        <f t="shared" si="3"/>
        <v>128.56</v>
      </c>
      <c r="I114" s="32">
        <v>5932095</v>
      </c>
      <c r="J114" s="17">
        <v>401003983190032</v>
      </c>
      <c r="K114" s="16" t="s">
        <v>73</v>
      </c>
      <c r="L114" s="32" t="s">
        <v>74</v>
      </c>
      <c r="M114" s="16"/>
      <c r="N114" s="33"/>
      <c r="O114" s="4"/>
    </row>
    <row r="115" spans="1:15" s="72" customFormat="1" x14ac:dyDescent="0.25">
      <c r="A115" s="18">
        <v>113</v>
      </c>
      <c r="B115" s="80">
        <v>2727</v>
      </c>
      <c r="C115" s="84" t="s">
        <v>294</v>
      </c>
      <c r="D115" s="18">
        <v>148.80000000000001</v>
      </c>
      <c r="E115" s="38">
        <v>0.4</v>
      </c>
      <c r="F115" s="21">
        <f t="shared" si="2"/>
        <v>59.52000000000001</v>
      </c>
      <c r="G115" s="21">
        <f>59.28</f>
        <v>59.28</v>
      </c>
      <c r="H115" s="21">
        <f t="shared" si="3"/>
        <v>0.24000000000000909</v>
      </c>
      <c r="I115" s="30">
        <v>14874655</v>
      </c>
      <c r="J115" s="27">
        <v>250020006381</v>
      </c>
      <c r="K115" s="25" t="s">
        <v>94</v>
      </c>
      <c r="L115" s="30" t="s">
        <v>95</v>
      </c>
      <c r="M115" s="25">
        <v>99580134</v>
      </c>
      <c r="N115" s="143" t="s">
        <v>344</v>
      </c>
      <c r="O115" s="267"/>
    </row>
    <row r="116" spans="1:15" s="6" customFormat="1" x14ac:dyDescent="0.25">
      <c r="A116" s="12">
        <v>114</v>
      </c>
      <c r="B116" s="81">
        <v>2728</v>
      </c>
      <c r="C116" s="83" t="s">
        <v>295</v>
      </c>
      <c r="D116" s="12">
        <v>295</v>
      </c>
      <c r="E116" s="34">
        <v>0.4</v>
      </c>
      <c r="F116" s="15">
        <f t="shared" si="2"/>
        <v>118</v>
      </c>
      <c r="G116" s="15"/>
      <c r="H116" s="15">
        <f t="shared" si="3"/>
        <v>118</v>
      </c>
      <c r="I116" s="32">
        <v>6300163</v>
      </c>
      <c r="J116" s="17" t="s">
        <v>296</v>
      </c>
      <c r="K116" s="16" t="s">
        <v>73</v>
      </c>
      <c r="L116" s="32" t="s">
        <v>74</v>
      </c>
      <c r="M116" s="16"/>
      <c r="N116" s="33"/>
      <c r="O116" s="4"/>
    </row>
    <row r="117" spans="1:15" s="6" customFormat="1" x14ac:dyDescent="0.25">
      <c r="A117" s="12">
        <v>115</v>
      </c>
      <c r="B117" s="81">
        <v>2729</v>
      </c>
      <c r="C117" s="83" t="s">
        <v>297</v>
      </c>
      <c r="D117" s="12">
        <v>313.89999999999998</v>
      </c>
      <c r="E117" s="34">
        <v>0.4</v>
      </c>
      <c r="F117" s="15">
        <f t="shared" si="2"/>
        <v>125.56</v>
      </c>
      <c r="G117" s="15"/>
      <c r="H117" s="15">
        <f t="shared" si="3"/>
        <v>125.56</v>
      </c>
      <c r="I117" s="32">
        <v>21145036</v>
      </c>
      <c r="J117" s="17" t="s">
        <v>298</v>
      </c>
      <c r="K117" s="16" t="s">
        <v>73</v>
      </c>
      <c r="L117" s="32" t="s">
        <v>74</v>
      </c>
      <c r="M117" s="16"/>
      <c r="N117" s="33"/>
      <c r="O117" s="4"/>
    </row>
    <row r="118" spans="1:15" s="72" customFormat="1" x14ac:dyDescent="0.25">
      <c r="A118" s="18">
        <v>116</v>
      </c>
      <c r="B118" s="80">
        <v>2730</v>
      </c>
      <c r="C118" s="84" t="s">
        <v>67</v>
      </c>
      <c r="D118" s="18">
        <v>432.1</v>
      </c>
      <c r="E118" s="38">
        <v>0.4</v>
      </c>
      <c r="F118" s="21">
        <f t="shared" si="2"/>
        <v>172.84000000000003</v>
      </c>
      <c r="G118" s="21">
        <f>168.66</f>
        <v>168.66</v>
      </c>
      <c r="H118" s="21">
        <f t="shared" si="3"/>
        <v>4.1800000000000352</v>
      </c>
      <c r="I118" s="30">
        <v>5138892</v>
      </c>
      <c r="J118" s="27" t="s">
        <v>299</v>
      </c>
      <c r="K118" s="25" t="s">
        <v>73</v>
      </c>
      <c r="L118" s="30" t="s">
        <v>74</v>
      </c>
      <c r="M118" s="25"/>
      <c r="N118" s="115">
        <v>45810</v>
      </c>
      <c r="O118" s="267"/>
    </row>
    <row r="119" spans="1:15" s="72" customFormat="1" x14ac:dyDescent="0.25">
      <c r="A119" s="18">
        <v>117</v>
      </c>
      <c r="B119" s="80">
        <v>2731</v>
      </c>
      <c r="C119" s="25" t="s">
        <v>300</v>
      </c>
      <c r="D119" s="18">
        <v>128.69999999999999</v>
      </c>
      <c r="E119" s="38">
        <v>0.4</v>
      </c>
      <c r="F119" s="21">
        <f t="shared" si="2"/>
        <v>51.48</v>
      </c>
      <c r="G119" s="21">
        <f>45.4</f>
        <v>45.4</v>
      </c>
      <c r="H119" s="21">
        <f t="shared" si="3"/>
        <v>6.0799999999999983</v>
      </c>
      <c r="I119" s="30">
        <v>3912773</v>
      </c>
      <c r="J119" s="27" t="s">
        <v>301</v>
      </c>
      <c r="K119" s="25" t="s">
        <v>73</v>
      </c>
      <c r="L119" s="30" t="s">
        <v>74</v>
      </c>
      <c r="M119" s="25"/>
      <c r="N119" s="115">
        <v>45932</v>
      </c>
      <c r="O119" s="267"/>
    </row>
    <row r="120" spans="1:15" s="6" customFormat="1" x14ac:dyDescent="0.25">
      <c r="A120" s="12">
        <v>118</v>
      </c>
      <c r="B120" s="81">
        <v>2732</v>
      </c>
      <c r="C120" s="13" t="s">
        <v>302</v>
      </c>
      <c r="D120" s="12">
        <v>632.4</v>
      </c>
      <c r="E120" s="34">
        <v>0.4</v>
      </c>
      <c r="F120" s="15">
        <f t="shared" si="2"/>
        <v>252.96</v>
      </c>
      <c r="G120" s="15"/>
      <c r="H120" s="15">
        <f t="shared" si="3"/>
        <v>252.96</v>
      </c>
      <c r="I120" s="32">
        <v>846753</v>
      </c>
      <c r="J120" s="17" t="s">
        <v>303</v>
      </c>
      <c r="K120" s="16" t="s">
        <v>73</v>
      </c>
      <c r="L120" s="32" t="s">
        <v>74</v>
      </c>
      <c r="M120" s="16"/>
      <c r="N120" s="33"/>
      <c r="O120" s="4"/>
    </row>
    <row r="121" spans="1:15" s="6" customFormat="1" x14ac:dyDescent="0.25">
      <c r="A121" s="12">
        <v>119</v>
      </c>
      <c r="B121" s="69">
        <v>2733</v>
      </c>
      <c r="C121" s="16" t="s">
        <v>304</v>
      </c>
      <c r="D121" s="12">
        <v>734.3</v>
      </c>
      <c r="E121" s="34">
        <v>0.4</v>
      </c>
      <c r="F121" s="15">
        <f t="shared" si="2"/>
        <v>293.71999999999997</v>
      </c>
      <c r="G121" s="15"/>
      <c r="H121" s="15">
        <f t="shared" si="3"/>
        <v>293.71999999999997</v>
      </c>
      <c r="I121" s="32">
        <v>20444019</v>
      </c>
      <c r="J121" s="17" t="s">
        <v>305</v>
      </c>
      <c r="K121" s="16" t="s">
        <v>73</v>
      </c>
      <c r="L121" s="32" t="s">
        <v>74</v>
      </c>
      <c r="M121" s="16"/>
      <c r="N121" s="33"/>
      <c r="O121" s="4"/>
    </row>
    <row r="122" spans="1:15" s="6" customFormat="1" x14ac:dyDescent="0.25">
      <c r="A122" s="12">
        <v>120</v>
      </c>
      <c r="B122" s="69">
        <v>2734</v>
      </c>
      <c r="C122" s="16" t="s">
        <v>306</v>
      </c>
      <c r="D122" s="12">
        <v>275.39999999999998</v>
      </c>
      <c r="E122" s="34">
        <v>0.4</v>
      </c>
      <c r="F122" s="15">
        <f t="shared" si="2"/>
        <v>110.16</v>
      </c>
      <c r="G122" s="15"/>
      <c r="H122" s="15">
        <f t="shared" si="3"/>
        <v>110.16</v>
      </c>
      <c r="I122" s="32">
        <v>24187516</v>
      </c>
      <c r="J122" s="17" t="s">
        <v>307</v>
      </c>
      <c r="K122" s="16" t="s">
        <v>90</v>
      </c>
      <c r="L122" s="32" t="s">
        <v>91</v>
      </c>
      <c r="M122" s="16"/>
      <c r="N122" s="33"/>
      <c r="O122" s="4"/>
    </row>
    <row r="123" spans="1:15" s="6" customFormat="1" x14ac:dyDescent="0.25">
      <c r="A123" s="12">
        <v>121</v>
      </c>
      <c r="B123" s="69">
        <v>2736</v>
      </c>
      <c r="C123" s="16" t="s">
        <v>308</v>
      </c>
      <c r="D123" s="12">
        <v>244.3</v>
      </c>
      <c r="E123" s="34">
        <v>0.4</v>
      </c>
      <c r="F123" s="15">
        <f t="shared" si="2"/>
        <v>97.720000000000013</v>
      </c>
      <c r="G123" s="15"/>
      <c r="H123" s="15">
        <f t="shared" si="3"/>
        <v>97.720000000000013</v>
      </c>
      <c r="I123" s="32">
        <v>4629429</v>
      </c>
      <c r="J123" s="17" t="s">
        <v>309</v>
      </c>
      <c r="K123" s="16" t="s">
        <v>73</v>
      </c>
      <c r="L123" s="32" t="s">
        <v>74</v>
      </c>
      <c r="M123" s="16"/>
      <c r="N123" s="33"/>
      <c r="O123" s="4"/>
    </row>
    <row r="124" spans="1:15" s="6" customFormat="1" x14ac:dyDescent="0.25">
      <c r="A124" s="12">
        <v>122</v>
      </c>
      <c r="B124" s="69">
        <v>2737</v>
      </c>
      <c r="C124" s="16" t="s">
        <v>310</v>
      </c>
      <c r="D124" s="12">
        <v>369.7</v>
      </c>
      <c r="E124" s="34">
        <v>0.4</v>
      </c>
      <c r="F124" s="15">
        <f t="shared" si="2"/>
        <v>147.88</v>
      </c>
      <c r="G124" s="15"/>
      <c r="H124" s="15">
        <f t="shared" si="3"/>
        <v>147.88</v>
      </c>
      <c r="I124" s="32">
        <v>734135</v>
      </c>
      <c r="J124" s="17" t="s">
        <v>311</v>
      </c>
      <c r="K124" s="16" t="s">
        <v>80</v>
      </c>
      <c r="L124" s="32" t="s">
        <v>81</v>
      </c>
      <c r="M124" s="16"/>
      <c r="N124" s="33"/>
      <c r="O124" s="4"/>
    </row>
    <row r="125" spans="1:15" s="6" customFormat="1" x14ac:dyDescent="0.25">
      <c r="A125" s="12">
        <v>123</v>
      </c>
      <c r="B125" s="69">
        <v>2738</v>
      </c>
      <c r="C125" s="16" t="s">
        <v>312</v>
      </c>
      <c r="D125" s="12">
        <v>343.6</v>
      </c>
      <c r="E125" s="34">
        <v>0.4</v>
      </c>
      <c r="F125" s="15">
        <f t="shared" si="2"/>
        <v>137.44000000000003</v>
      </c>
      <c r="G125" s="15"/>
      <c r="H125" s="15">
        <f t="shared" si="3"/>
        <v>137.44000000000003</v>
      </c>
      <c r="I125" s="32">
        <v>1298606</v>
      </c>
      <c r="J125" s="17" t="s">
        <v>313</v>
      </c>
      <c r="K125" s="16" t="s">
        <v>73</v>
      </c>
      <c r="L125" s="32" t="s">
        <v>74</v>
      </c>
      <c r="M125" s="16"/>
      <c r="N125" s="33"/>
      <c r="O125" s="4"/>
    </row>
    <row r="126" spans="1:15" s="120" customFormat="1" ht="14.25" thickBot="1" x14ac:dyDescent="0.3">
      <c r="A126" s="96">
        <v>124</v>
      </c>
      <c r="B126" s="146">
        <v>2740</v>
      </c>
      <c r="C126" s="147" t="s">
        <v>314</v>
      </c>
      <c r="D126" s="146">
        <v>556.29999999999995</v>
      </c>
      <c r="E126" s="148">
        <v>0.4</v>
      </c>
      <c r="F126" s="149">
        <f t="shared" si="2"/>
        <v>222.51999999999998</v>
      </c>
      <c r="G126" s="149">
        <f>F126</f>
        <v>222.51999999999998</v>
      </c>
      <c r="H126" s="99">
        <f t="shared" si="3"/>
        <v>0</v>
      </c>
      <c r="I126" s="150">
        <v>18315397</v>
      </c>
      <c r="J126" s="181">
        <v>401002460790021</v>
      </c>
      <c r="K126" s="147" t="s">
        <v>73</v>
      </c>
      <c r="L126" s="150" t="s">
        <v>74</v>
      </c>
      <c r="M126" s="147">
        <v>94346448</v>
      </c>
      <c r="N126" s="151" t="s">
        <v>347</v>
      </c>
      <c r="O126" s="270"/>
    </row>
    <row r="127" spans="1:15" s="6" customFormat="1" ht="14.25" thickBot="1" x14ac:dyDescent="0.3">
      <c r="A127" s="41"/>
      <c r="B127" s="42"/>
      <c r="C127" s="43"/>
      <c r="D127" s="44">
        <f>SUM(D4:D126)</f>
        <v>43977.5</v>
      </c>
      <c r="E127" s="45"/>
      <c r="F127" s="46">
        <f>SUM(F4:F126)</f>
        <v>17591</v>
      </c>
      <c r="G127" s="46">
        <f t="shared" ref="G127:H127" si="4">SUM(G4:G126)</f>
        <v>5713.7279999999992</v>
      </c>
      <c r="H127" s="46">
        <f t="shared" si="4"/>
        <v>11877.271999999997</v>
      </c>
      <c r="I127" s="45"/>
      <c r="J127" s="48"/>
      <c r="K127" s="45"/>
      <c r="L127" s="45"/>
      <c r="M127" s="45"/>
      <c r="N127" s="49"/>
      <c r="O127" s="4"/>
    </row>
    <row r="128" spans="1:15" s="6" customFormat="1" x14ac:dyDescent="0.25">
      <c r="A128" s="50"/>
      <c r="B128" s="51"/>
      <c r="C128" s="50"/>
      <c r="D128" s="52"/>
      <c r="E128" s="53"/>
      <c r="F128" s="52"/>
      <c r="G128" s="52"/>
      <c r="H128" s="52"/>
      <c r="I128" s="54"/>
      <c r="J128" s="55"/>
      <c r="K128" s="54"/>
      <c r="L128" s="54"/>
      <c r="M128" s="54"/>
      <c r="N128" s="56"/>
      <c r="O128" s="4"/>
    </row>
    <row r="129" spans="1:17" s="6" customFormat="1" x14ac:dyDescent="0.25">
      <c r="A129" s="28"/>
      <c r="B129" s="57"/>
      <c r="D129" s="58"/>
      <c r="E129" s="58"/>
      <c r="F129" s="58"/>
      <c r="G129" s="58"/>
      <c r="H129" s="58"/>
      <c r="I129" s="59"/>
      <c r="J129" s="60"/>
      <c r="K129" s="59"/>
      <c r="O129" s="4"/>
    </row>
    <row r="130" spans="1:17" x14ac:dyDescent="0.25">
      <c r="A130" s="28" t="s">
        <v>23</v>
      </c>
      <c r="E130" s="61" t="s">
        <v>43</v>
      </c>
      <c r="F130" s="306"/>
      <c r="G130" s="306"/>
      <c r="H130" s="306"/>
      <c r="I130" s="306"/>
      <c r="K130" s="307"/>
      <c r="L130" s="307"/>
      <c r="N130" s="65"/>
    </row>
    <row r="131" spans="1:17" s="64" customFormat="1" x14ac:dyDescent="0.25">
      <c r="A131" s="28" t="s">
        <v>26</v>
      </c>
      <c r="B131" s="61"/>
      <c r="D131" s="61"/>
      <c r="E131" s="61" t="s">
        <v>44</v>
      </c>
      <c r="F131" s="306"/>
      <c r="G131" s="306"/>
      <c r="H131" s="306"/>
      <c r="I131" s="306"/>
      <c r="J131" s="63"/>
      <c r="K131" s="307"/>
      <c r="L131" s="307"/>
      <c r="N131" s="28"/>
      <c r="O131" s="4"/>
      <c r="P131" s="66"/>
      <c r="Q131" s="66"/>
    </row>
    <row r="132" spans="1:17" s="64" customFormat="1" x14ac:dyDescent="0.25">
      <c r="A132" s="28"/>
      <c r="B132" s="61"/>
      <c r="D132" s="61"/>
      <c r="E132" s="28"/>
      <c r="F132" s="62"/>
      <c r="G132" s="62"/>
      <c r="H132" s="62"/>
      <c r="J132" s="63"/>
      <c r="N132" s="28"/>
      <c r="O132" s="4"/>
      <c r="P132" s="66"/>
      <c r="Q132" s="66"/>
    </row>
    <row r="133" spans="1:17" s="64" customFormat="1" x14ac:dyDescent="0.25">
      <c r="A133" s="28"/>
      <c r="B133" s="61"/>
      <c r="C133" s="28"/>
      <c r="D133" s="61"/>
      <c r="E133" s="61"/>
      <c r="F133" s="62"/>
      <c r="G133" s="62"/>
      <c r="H133" s="62"/>
      <c r="J133" s="63"/>
      <c r="N133" s="28"/>
      <c r="O133" s="4"/>
      <c r="P133" s="66"/>
      <c r="Q133" s="66"/>
    </row>
    <row r="134" spans="1:17" s="64" customFormat="1" x14ac:dyDescent="0.25">
      <c r="A134" s="28"/>
      <c r="B134" s="61"/>
      <c r="C134" s="28"/>
      <c r="D134" s="61"/>
      <c r="E134" s="61"/>
      <c r="F134" s="62"/>
      <c r="G134" s="62"/>
      <c r="H134" s="62"/>
      <c r="J134" s="63"/>
      <c r="N134" s="28"/>
      <c r="O134" s="4"/>
      <c r="P134" s="66"/>
      <c r="Q134" s="66"/>
    </row>
    <row r="135" spans="1:17" s="64" customFormat="1" x14ac:dyDescent="0.25">
      <c r="A135" s="28"/>
      <c r="B135" s="61"/>
      <c r="C135" s="28"/>
      <c r="D135" s="68"/>
      <c r="E135" s="61"/>
      <c r="F135" s="68"/>
      <c r="G135" s="68"/>
      <c r="H135" s="68"/>
      <c r="J135" s="63"/>
      <c r="N135" s="28"/>
      <c r="O135" s="4"/>
      <c r="P135" s="66"/>
      <c r="Q135" s="66"/>
    </row>
    <row r="136" spans="1:17" s="64" customFormat="1" x14ac:dyDescent="0.25">
      <c r="A136" s="28"/>
      <c r="B136" s="61"/>
      <c r="C136" s="28"/>
      <c r="D136" s="61"/>
      <c r="E136" s="61"/>
      <c r="F136" s="62"/>
      <c r="G136" s="62"/>
      <c r="H136" s="62"/>
      <c r="J136" s="63"/>
      <c r="N136" s="28"/>
      <c r="O136" s="4"/>
      <c r="P136" s="66"/>
      <c r="Q136" s="66"/>
    </row>
    <row r="137" spans="1:17" s="64" customFormat="1" x14ac:dyDescent="0.25">
      <c r="A137" s="28"/>
      <c r="B137" s="61"/>
      <c r="C137" s="28"/>
      <c r="D137" s="61"/>
      <c r="E137" s="61"/>
      <c r="F137" s="62"/>
      <c r="G137" s="62"/>
      <c r="H137" s="62"/>
      <c r="J137" s="63"/>
      <c r="N137" s="28"/>
      <c r="O137" s="4"/>
      <c r="P137" s="66"/>
      <c r="Q137" s="66"/>
    </row>
    <row r="138" spans="1:17" s="64" customFormat="1" x14ac:dyDescent="0.25">
      <c r="A138" s="28"/>
      <c r="B138" s="61"/>
      <c r="C138" s="28"/>
      <c r="D138" s="61"/>
      <c r="E138" s="61"/>
      <c r="F138" s="62"/>
      <c r="G138" s="62"/>
      <c r="H138" s="62"/>
      <c r="J138" s="63"/>
      <c r="N138" s="28"/>
      <c r="O138" s="4"/>
      <c r="P138" s="66"/>
      <c r="Q138" s="66"/>
    </row>
    <row r="139" spans="1:17" s="64" customFormat="1" x14ac:dyDescent="0.25">
      <c r="A139" s="28"/>
      <c r="B139" s="61"/>
      <c r="C139" s="28"/>
      <c r="D139" s="61"/>
      <c r="E139" s="61"/>
      <c r="F139" s="62"/>
      <c r="G139" s="62"/>
      <c r="H139" s="62"/>
      <c r="J139" s="63"/>
      <c r="N139" s="28"/>
      <c r="O139" s="4"/>
      <c r="P139" s="66"/>
      <c r="Q139" s="66"/>
    </row>
    <row r="140" spans="1:17" s="64" customFormat="1" x14ac:dyDescent="0.25">
      <c r="A140" s="28"/>
      <c r="B140" s="61"/>
      <c r="C140" s="28"/>
      <c r="D140" s="61"/>
      <c r="E140" s="61"/>
      <c r="F140" s="62"/>
      <c r="G140" s="62"/>
      <c r="H140" s="62"/>
      <c r="J140" s="63"/>
      <c r="N140" s="28"/>
      <c r="O140" s="4"/>
      <c r="P140" s="66"/>
      <c r="Q140" s="66"/>
    </row>
    <row r="141" spans="1:17" s="64" customFormat="1" x14ac:dyDescent="0.25">
      <c r="A141" s="28"/>
      <c r="B141" s="61"/>
      <c r="C141" s="28"/>
      <c r="D141" s="61"/>
      <c r="E141" s="61"/>
      <c r="F141" s="62"/>
      <c r="G141" s="62"/>
      <c r="H141" s="62"/>
      <c r="J141" s="63"/>
      <c r="N141" s="28"/>
      <c r="O141" s="4"/>
      <c r="P141" s="66"/>
      <c r="Q141" s="66"/>
    </row>
    <row r="142" spans="1:17" s="64" customFormat="1" x14ac:dyDescent="0.25">
      <c r="A142" s="28"/>
      <c r="B142" s="61"/>
      <c r="C142" s="28"/>
      <c r="D142" s="61"/>
      <c r="E142" s="61"/>
      <c r="F142" s="62"/>
      <c r="G142" s="62"/>
      <c r="H142" s="62"/>
      <c r="J142" s="63"/>
      <c r="N142" s="28"/>
      <c r="O142" s="4"/>
      <c r="P142" s="66"/>
      <c r="Q142" s="66"/>
    </row>
    <row r="143" spans="1:17" s="64" customFormat="1" x14ac:dyDescent="0.25">
      <c r="A143" s="28"/>
      <c r="B143" s="61"/>
      <c r="C143" s="28"/>
      <c r="D143" s="61"/>
      <c r="E143" s="61"/>
      <c r="F143" s="62"/>
      <c r="G143" s="62"/>
      <c r="H143" s="62"/>
      <c r="J143" s="63"/>
      <c r="N143" s="28"/>
      <c r="O143" s="4"/>
      <c r="P143" s="66"/>
      <c r="Q143" s="66"/>
    </row>
    <row r="144" spans="1:17" s="64" customFormat="1" x14ac:dyDescent="0.25">
      <c r="A144" s="28"/>
      <c r="B144" s="61"/>
      <c r="C144" s="28"/>
      <c r="D144" s="61"/>
      <c r="E144" s="61"/>
      <c r="F144" s="62"/>
      <c r="G144" s="62"/>
      <c r="H144" s="62"/>
      <c r="J144" s="63"/>
      <c r="N144" s="28"/>
      <c r="O144" s="4"/>
      <c r="P144" s="66"/>
      <c r="Q144" s="66"/>
    </row>
    <row r="145" spans="1:17" s="64" customFormat="1" x14ac:dyDescent="0.25">
      <c r="A145" s="28"/>
      <c r="B145" s="61"/>
      <c r="C145" s="28"/>
      <c r="D145" s="61"/>
      <c r="E145" s="61"/>
      <c r="F145" s="62"/>
      <c r="G145" s="62"/>
      <c r="H145" s="62"/>
      <c r="J145" s="63"/>
      <c r="N145" s="28"/>
      <c r="O145" s="4"/>
      <c r="P145" s="66"/>
      <c r="Q145" s="66"/>
    </row>
    <row r="146" spans="1:17" s="64" customFormat="1" x14ac:dyDescent="0.25">
      <c r="A146" s="28"/>
      <c r="B146" s="61"/>
      <c r="C146" s="28"/>
      <c r="D146" s="61"/>
      <c r="E146" s="61"/>
      <c r="F146" s="62"/>
      <c r="G146" s="62"/>
      <c r="H146" s="62"/>
      <c r="J146" s="63"/>
      <c r="N146" s="28"/>
      <c r="O146" s="4"/>
      <c r="P146" s="66"/>
      <c r="Q146" s="66"/>
    </row>
    <row r="147" spans="1:17" s="64" customFormat="1" x14ac:dyDescent="0.25">
      <c r="B147" s="61"/>
      <c r="C147" s="28"/>
      <c r="D147" s="61"/>
      <c r="E147" s="61"/>
      <c r="F147" s="62"/>
      <c r="G147" s="62"/>
      <c r="H147" s="62"/>
      <c r="J147" s="63"/>
      <c r="N147" s="28"/>
      <c r="O147" s="4"/>
      <c r="P147" s="66"/>
      <c r="Q147" s="66"/>
    </row>
    <row r="148" spans="1:17" s="64" customFormat="1" x14ac:dyDescent="0.25">
      <c r="B148" s="61"/>
      <c r="C148" s="28"/>
      <c r="D148" s="61"/>
      <c r="E148" s="61"/>
      <c r="F148" s="62"/>
      <c r="G148" s="62"/>
      <c r="H148" s="62"/>
      <c r="J148" s="63"/>
      <c r="N148" s="28"/>
      <c r="O148" s="4"/>
      <c r="P148" s="66"/>
      <c r="Q148" s="66"/>
    </row>
    <row r="149" spans="1:17" s="64" customFormat="1" x14ac:dyDescent="0.25">
      <c r="B149" s="61"/>
      <c r="C149" s="28"/>
      <c r="D149" s="61"/>
      <c r="E149" s="61"/>
      <c r="F149" s="62"/>
      <c r="G149" s="62"/>
      <c r="H149" s="62"/>
      <c r="J149" s="63"/>
      <c r="N149" s="28"/>
      <c r="O149" s="4"/>
      <c r="P149" s="66"/>
      <c r="Q149" s="66"/>
    </row>
    <row r="150" spans="1:17" s="64" customFormat="1" x14ac:dyDescent="0.25">
      <c r="B150" s="61"/>
      <c r="C150" s="28"/>
      <c r="D150" s="61"/>
      <c r="E150" s="61"/>
      <c r="F150" s="62"/>
      <c r="G150" s="62"/>
      <c r="H150" s="62"/>
      <c r="J150" s="63"/>
      <c r="N150" s="28"/>
      <c r="O150" s="4"/>
      <c r="P150" s="66"/>
      <c r="Q150" s="66"/>
    </row>
    <row r="151" spans="1:17" s="64" customFormat="1" x14ac:dyDescent="0.25">
      <c r="B151" s="61"/>
      <c r="C151" s="28"/>
      <c r="D151" s="61"/>
      <c r="E151" s="61"/>
      <c r="F151" s="62"/>
      <c r="G151" s="62"/>
      <c r="H151" s="62"/>
      <c r="J151" s="63"/>
      <c r="N151" s="28"/>
      <c r="O151" s="4"/>
      <c r="P151" s="66"/>
      <c r="Q151" s="66"/>
    </row>
    <row r="152" spans="1:17" s="64" customFormat="1" x14ac:dyDescent="0.25">
      <c r="B152" s="61"/>
      <c r="C152" s="28"/>
      <c r="D152" s="61"/>
      <c r="E152" s="61"/>
      <c r="F152" s="62"/>
      <c r="G152" s="62"/>
      <c r="H152" s="62"/>
      <c r="J152" s="63"/>
      <c r="N152" s="28"/>
      <c r="O152" s="4"/>
      <c r="P152" s="66"/>
      <c r="Q152" s="66"/>
    </row>
    <row r="153" spans="1:17" s="64" customFormat="1" x14ac:dyDescent="0.25">
      <c r="B153" s="61"/>
      <c r="C153" s="28"/>
      <c r="D153" s="61"/>
      <c r="E153" s="61"/>
      <c r="F153" s="62"/>
      <c r="G153" s="62"/>
      <c r="H153" s="62"/>
      <c r="J153" s="63"/>
      <c r="N153" s="28"/>
      <c r="O153" s="4"/>
      <c r="P153" s="66"/>
      <c r="Q153" s="66"/>
    </row>
    <row r="154" spans="1:17" s="64" customFormat="1" x14ac:dyDescent="0.25">
      <c r="B154" s="61"/>
      <c r="C154" s="28"/>
      <c r="D154" s="61"/>
      <c r="E154" s="61"/>
      <c r="F154" s="62"/>
      <c r="G154" s="62"/>
      <c r="H154" s="62"/>
      <c r="J154" s="63"/>
      <c r="N154" s="28"/>
      <c r="O154" s="4"/>
      <c r="P154" s="66"/>
      <c r="Q154" s="66"/>
    </row>
    <row r="155" spans="1:17" s="64" customFormat="1" x14ac:dyDescent="0.25">
      <c r="B155" s="61"/>
      <c r="C155" s="28"/>
      <c r="D155" s="61"/>
      <c r="E155" s="61"/>
      <c r="F155" s="62"/>
      <c r="G155" s="62"/>
      <c r="H155" s="62"/>
      <c r="J155" s="63"/>
      <c r="N155" s="28"/>
      <c r="O155" s="4"/>
      <c r="P155" s="66"/>
      <c r="Q155" s="66"/>
    </row>
    <row r="156" spans="1:17" s="64" customFormat="1" x14ac:dyDescent="0.25">
      <c r="B156" s="61"/>
      <c r="C156" s="28"/>
      <c r="D156" s="61"/>
      <c r="E156" s="61"/>
      <c r="F156" s="62"/>
      <c r="G156" s="62"/>
      <c r="H156" s="62"/>
      <c r="J156" s="63"/>
      <c r="N156" s="28"/>
      <c r="O156" s="4"/>
      <c r="P156" s="66"/>
      <c r="Q156" s="66"/>
    </row>
    <row r="157" spans="1:17" s="64" customFormat="1" x14ac:dyDescent="0.25">
      <c r="B157" s="61"/>
      <c r="C157" s="28"/>
      <c r="D157" s="61"/>
      <c r="E157" s="61"/>
      <c r="F157" s="62"/>
      <c r="G157" s="62"/>
      <c r="H157" s="62"/>
      <c r="J157" s="63"/>
      <c r="N157" s="28"/>
      <c r="O157" s="4"/>
      <c r="P157" s="66"/>
      <c r="Q157" s="66"/>
    </row>
    <row r="158" spans="1:17" s="64" customFormat="1" x14ac:dyDescent="0.25">
      <c r="B158" s="61"/>
      <c r="C158" s="28"/>
      <c r="D158" s="61"/>
      <c r="E158" s="61"/>
      <c r="F158" s="62"/>
      <c r="G158" s="62"/>
      <c r="H158" s="62"/>
      <c r="J158" s="63"/>
      <c r="N158" s="28"/>
      <c r="O158" s="4"/>
      <c r="P158" s="66"/>
      <c r="Q158" s="66"/>
    </row>
    <row r="159" spans="1:17" s="64" customFormat="1" x14ac:dyDescent="0.25">
      <c r="B159" s="61"/>
      <c r="C159" s="28"/>
      <c r="D159" s="61"/>
      <c r="E159" s="61"/>
      <c r="F159" s="62"/>
      <c r="G159" s="62"/>
      <c r="H159" s="62"/>
      <c r="J159" s="63"/>
      <c r="N159" s="28"/>
      <c r="O159" s="4"/>
      <c r="P159" s="66"/>
      <c r="Q159" s="66"/>
    </row>
    <row r="160" spans="1:17" s="64" customFormat="1" x14ac:dyDescent="0.25">
      <c r="B160" s="61"/>
      <c r="C160" s="28"/>
      <c r="D160" s="61"/>
      <c r="E160" s="61"/>
      <c r="F160" s="62"/>
      <c r="G160" s="62"/>
      <c r="H160" s="62"/>
      <c r="J160" s="63"/>
      <c r="N160" s="28"/>
      <c r="O160" s="4"/>
      <c r="P160" s="66"/>
      <c r="Q160" s="66"/>
    </row>
    <row r="161" spans="2:17" s="64" customFormat="1" x14ac:dyDescent="0.25">
      <c r="B161" s="61"/>
      <c r="C161" s="28"/>
      <c r="D161" s="61"/>
      <c r="E161" s="61"/>
      <c r="F161" s="62"/>
      <c r="G161" s="62"/>
      <c r="H161" s="62"/>
      <c r="J161" s="63"/>
      <c r="N161" s="28"/>
      <c r="O161" s="4"/>
      <c r="P161" s="66"/>
      <c r="Q161" s="66"/>
    </row>
    <row r="162" spans="2:17" s="64" customFormat="1" x14ac:dyDescent="0.25">
      <c r="B162" s="61"/>
      <c r="C162" s="28"/>
      <c r="D162" s="61"/>
      <c r="E162" s="61"/>
      <c r="F162" s="62"/>
      <c r="G162" s="62"/>
      <c r="H162" s="62"/>
      <c r="J162" s="63"/>
      <c r="N162" s="28"/>
      <c r="O162" s="4"/>
      <c r="P162" s="66"/>
      <c r="Q162" s="66"/>
    </row>
    <row r="163" spans="2:17" s="64" customFormat="1" x14ac:dyDescent="0.25">
      <c r="B163" s="61"/>
      <c r="C163" s="28"/>
      <c r="D163" s="61"/>
      <c r="E163" s="61"/>
      <c r="F163" s="62"/>
      <c r="G163" s="62"/>
      <c r="H163" s="62"/>
      <c r="J163" s="63"/>
      <c r="N163" s="28"/>
      <c r="O163" s="4"/>
      <c r="P163" s="66"/>
      <c r="Q163" s="66"/>
    </row>
    <row r="164" spans="2:17" s="64" customFormat="1" x14ac:dyDescent="0.25">
      <c r="B164" s="61"/>
      <c r="C164" s="28"/>
      <c r="D164" s="61"/>
      <c r="E164" s="61"/>
      <c r="F164" s="62"/>
      <c r="G164" s="62"/>
      <c r="H164" s="62"/>
      <c r="J164" s="63"/>
      <c r="N164" s="28"/>
      <c r="O164" s="4"/>
      <c r="P164" s="66"/>
      <c r="Q164" s="66"/>
    </row>
  </sheetData>
  <autoFilter ref="P2:P125" xr:uid="{161F0AA6-22F3-4928-A115-8554927A4CD4}"/>
  <mergeCells count="19">
    <mergeCell ref="M2:M3"/>
    <mergeCell ref="N2:N3"/>
    <mergeCell ref="F130:I130"/>
    <mergeCell ref="K130:L130"/>
    <mergeCell ref="A1:N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F131:I131"/>
    <mergeCell ref="K131:L131"/>
    <mergeCell ref="J2:J3"/>
    <mergeCell ref="K2:K3"/>
    <mergeCell ref="L2:L3"/>
  </mergeCells>
  <conditionalFormatting sqref="J16">
    <cfRule type="duplicateValues" dxfId="5" priority="1"/>
  </conditionalFormatting>
  <pageMargins left="0.7" right="0.7" top="0.75" bottom="0.75" header="0.3" footer="0.3"/>
  <pageSetup paperSize="8" scale="44" orientation="landscape" r:id="rId1"/>
  <rowBreaks count="1" manualBreakCount="1">
    <brk id="130" max="1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F113F-1DEF-4EA6-8377-B973A7DD9A87}">
  <dimension ref="A1:P165"/>
  <sheetViews>
    <sheetView view="pageBreakPreview" zoomScaleNormal="100" zoomScaleSheetLayoutView="100" workbookViewId="0">
      <pane xSplit="2" ySplit="3" topLeftCell="C70" activePane="bottomRight" state="frozen"/>
      <selection pane="topRight" activeCell="D1" sqref="D1"/>
      <selection pane="bottomLeft" activeCell="A6" sqref="A6"/>
      <selection pane="bottomRight" activeCell="G2" sqref="G2:G3"/>
    </sheetView>
  </sheetViews>
  <sheetFormatPr defaultColWidth="9.140625" defaultRowHeight="13.5" x14ac:dyDescent="0.25"/>
  <cols>
    <col min="1" max="1" width="38.42578125" style="61" bestFit="1" customWidth="1"/>
    <col min="2" max="2" width="38.28515625" style="28" customWidth="1"/>
    <col min="3" max="3" width="16" style="61" bestFit="1" customWidth="1"/>
    <col min="4" max="4" width="12.42578125" style="61" customWidth="1"/>
    <col min="5" max="5" width="16" style="61" bestFit="1" customWidth="1"/>
    <col min="6" max="7" width="16" style="61" customWidth="1"/>
    <col min="8" max="8" width="17" style="64" bestFit="1" customWidth="1"/>
    <col min="9" max="9" width="24.140625" style="63" hidden="1" customWidth="1"/>
    <col min="10" max="10" width="14.85546875" style="64" hidden="1" customWidth="1"/>
    <col min="11" max="11" width="13.5703125" style="64" hidden="1" customWidth="1"/>
    <col min="12" max="12" width="17" style="64" hidden="1" customWidth="1"/>
    <col min="13" max="13" width="13.42578125" style="28" customWidth="1"/>
    <col min="14" max="14" width="26" style="6" customWidth="1"/>
    <col min="15" max="16384" width="9.140625" style="28"/>
  </cols>
  <sheetData>
    <row r="1" spans="1:14" s="7" customFormat="1" ht="30" customHeight="1" x14ac:dyDescent="0.25">
      <c r="A1" s="303" t="s">
        <v>352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5"/>
      <c r="N1" s="6"/>
    </row>
    <row r="2" spans="1:14" s="11" customFormat="1" ht="19.5" customHeight="1" x14ac:dyDescent="0.25">
      <c r="A2" s="313" t="s">
        <v>2</v>
      </c>
      <c r="B2" s="308" t="s">
        <v>3</v>
      </c>
      <c r="C2" s="314" t="s">
        <v>4</v>
      </c>
      <c r="D2" s="308" t="s">
        <v>5</v>
      </c>
      <c r="E2" s="314" t="s">
        <v>6</v>
      </c>
      <c r="F2" s="314" t="s">
        <v>7</v>
      </c>
      <c r="G2" s="314" t="s">
        <v>8</v>
      </c>
      <c r="H2" s="308" t="s">
        <v>9</v>
      </c>
      <c r="I2" s="308" t="s">
        <v>10</v>
      </c>
      <c r="J2" s="308" t="s">
        <v>11</v>
      </c>
      <c r="K2" s="308" t="s">
        <v>12</v>
      </c>
      <c r="L2" s="308" t="s">
        <v>13</v>
      </c>
      <c r="M2" s="309" t="s">
        <v>14</v>
      </c>
      <c r="N2" s="10"/>
    </row>
    <row r="3" spans="1:14" s="11" customFormat="1" ht="26.25" customHeight="1" x14ac:dyDescent="0.25">
      <c r="A3" s="313"/>
      <c r="B3" s="308"/>
      <c r="C3" s="315"/>
      <c r="D3" s="308"/>
      <c r="E3" s="315"/>
      <c r="F3" s="315"/>
      <c r="G3" s="315"/>
      <c r="H3" s="308"/>
      <c r="I3" s="308"/>
      <c r="J3" s="308"/>
      <c r="K3" s="308"/>
      <c r="L3" s="308"/>
      <c r="M3" s="309"/>
      <c r="N3" s="10"/>
    </row>
    <row r="4" spans="1:14" s="6" customFormat="1" x14ac:dyDescent="0.25">
      <c r="A4" s="69">
        <v>2603</v>
      </c>
      <c r="B4" s="70" t="s">
        <v>71</v>
      </c>
      <c r="C4" s="69">
        <v>429</v>
      </c>
      <c r="D4" s="14">
        <v>0.4</v>
      </c>
      <c r="E4" s="15">
        <f t="shared" ref="E4:E67" si="0">C4*D4</f>
        <v>171.60000000000002</v>
      </c>
      <c r="F4" s="15"/>
      <c r="G4" s="15">
        <f>E4-F4</f>
        <v>171.60000000000002</v>
      </c>
      <c r="H4" s="16">
        <v>5744412</v>
      </c>
      <c r="I4" s="17" t="s">
        <v>72</v>
      </c>
      <c r="J4" s="16" t="s">
        <v>73</v>
      </c>
      <c r="K4" s="266" t="s">
        <v>74</v>
      </c>
      <c r="L4" s="16">
        <v>92566993</v>
      </c>
      <c r="M4" s="16"/>
    </row>
    <row r="5" spans="1:14" s="120" customFormat="1" x14ac:dyDescent="0.25">
      <c r="A5" s="96">
        <v>2604</v>
      </c>
      <c r="B5" s="97" t="s">
        <v>46</v>
      </c>
      <c r="C5" s="96">
        <v>312.8</v>
      </c>
      <c r="D5" s="98">
        <v>0.4</v>
      </c>
      <c r="E5" s="99">
        <f t="shared" si="0"/>
        <v>125.12</v>
      </c>
      <c r="F5" s="99">
        <f>123.46+1.66</f>
        <v>125.11999999999999</v>
      </c>
      <c r="G5" s="99">
        <f t="shared" ref="G5:G68" si="1">E5-F5</f>
        <v>0</v>
      </c>
      <c r="H5" s="100">
        <v>3946807</v>
      </c>
      <c r="I5" s="101" t="s">
        <v>75</v>
      </c>
      <c r="J5" s="100" t="s">
        <v>76</v>
      </c>
      <c r="K5" s="100" t="s">
        <v>77</v>
      </c>
      <c r="L5" s="100">
        <v>99702767</v>
      </c>
      <c r="M5" s="100" t="s">
        <v>360</v>
      </c>
      <c r="N5" s="225">
        <v>45788</v>
      </c>
    </row>
    <row r="6" spans="1:14" s="6" customFormat="1" x14ac:dyDescent="0.25">
      <c r="A6" s="69">
        <v>2606</v>
      </c>
      <c r="B6" s="70" t="s">
        <v>78</v>
      </c>
      <c r="C6" s="69">
        <v>21.1</v>
      </c>
      <c r="D6" s="14">
        <v>0.4</v>
      </c>
      <c r="E6" s="15">
        <f t="shared" si="0"/>
        <v>8.4400000000000013</v>
      </c>
      <c r="F6" s="15">
        <f>E6</f>
        <v>8.4400000000000013</v>
      </c>
      <c r="G6" s="15">
        <f t="shared" si="1"/>
        <v>0</v>
      </c>
      <c r="H6" s="16">
        <v>13974337</v>
      </c>
      <c r="I6" s="17" t="s">
        <v>79</v>
      </c>
      <c r="J6" s="16" t="s">
        <v>80</v>
      </c>
      <c r="K6" s="32" t="s">
        <v>81</v>
      </c>
      <c r="L6" s="16">
        <v>99291110</v>
      </c>
      <c r="M6" s="126" t="s">
        <v>370</v>
      </c>
    </row>
    <row r="7" spans="1:14" s="120" customFormat="1" x14ac:dyDescent="0.25">
      <c r="A7" s="96">
        <v>2607</v>
      </c>
      <c r="B7" s="97" t="s">
        <v>82</v>
      </c>
      <c r="C7" s="96">
        <v>291.89999999999998</v>
      </c>
      <c r="D7" s="98">
        <v>0.4</v>
      </c>
      <c r="E7" s="99">
        <f t="shared" si="0"/>
        <v>116.75999999999999</v>
      </c>
      <c r="F7" s="99">
        <f>115.62+1.14</f>
        <v>116.76</v>
      </c>
      <c r="G7" s="99">
        <f t="shared" si="1"/>
        <v>0</v>
      </c>
      <c r="H7" s="100">
        <v>6488366</v>
      </c>
      <c r="I7" s="101" t="s">
        <v>83</v>
      </c>
      <c r="J7" s="100" t="s">
        <v>73</v>
      </c>
      <c r="K7" s="102" t="s">
        <v>74</v>
      </c>
      <c r="L7" s="100">
        <v>95479797</v>
      </c>
      <c r="M7" s="100" t="s">
        <v>360</v>
      </c>
      <c r="N7" s="225">
        <v>45788</v>
      </c>
    </row>
    <row r="8" spans="1:14" s="120" customFormat="1" x14ac:dyDescent="0.25">
      <c r="A8" s="96">
        <v>2608</v>
      </c>
      <c r="B8" s="97" t="s">
        <v>84</v>
      </c>
      <c r="C8" s="96">
        <v>185.9</v>
      </c>
      <c r="D8" s="98">
        <v>0.4</v>
      </c>
      <c r="E8" s="99">
        <f t="shared" si="0"/>
        <v>74.36</v>
      </c>
      <c r="F8" s="99">
        <f>72.33+2.03</f>
        <v>74.36</v>
      </c>
      <c r="G8" s="99">
        <f t="shared" si="1"/>
        <v>0</v>
      </c>
      <c r="H8" s="100">
        <v>1233627</v>
      </c>
      <c r="I8" s="101" t="s">
        <v>85</v>
      </c>
      <c r="J8" s="100" t="s">
        <v>73</v>
      </c>
      <c r="K8" s="102" t="s">
        <v>74</v>
      </c>
      <c r="L8" s="100">
        <v>92788274</v>
      </c>
      <c r="M8" s="231">
        <v>45787</v>
      </c>
      <c r="N8" s="120" t="s">
        <v>365</v>
      </c>
    </row>
    <row r="9" spans="1:14" s="120" customFormat="1" x14ac:dyDescent="0.25">
      <c r="A9" s="96">
        <v>2609</v>
      </c>
      <c r="B9" s="97" t="s">
        <v>87</v>
      </c>
      <c r="C9" s="96">
        <v>240</v>
      </c>
      <c r="D9" s="98">
        <v>0.4</v>
      </c>
      <c r="E9" s="99">
        <f t="shared" si="0"/>
        <v>96</v>
      </c>
      <c r="F9" s="99">
        <f>92.27+3.73</f>
        <v>96</v>
      </c>
      <c r="G9" s="99">
        <f t="shared" si="1"/>
        <v>0</v>
      </c>
      <c r="H9" s="100">
        <v>1248701</v>
      </c>
      <c r="I9" s="101" t="s">
        <v>88</v>
      </c>
      <c r="J9" s="100" t="s">
        <v>73</v>
      </c>
      <c r="K9" s="102" t="s">
        <v>74</v>
      </c>
      <c r="L9" s="100">
        <v>90911500</v>
      </c>
      <c r="M9" s="100" t="s">
        <v>360</v>
      </c>
      <c r="N9" s="126" t="s">
        <v>371</v>
      </c>
    </row>
    <row r="10" spans="1:14" s="120" customFormat="1" x14ac:dyDescent="0.25">
      <c r="A10" s="96">
        <v>2610</v>
      </c>
      <c r="B10" s="97" t="s">
        <v>47</v>
      </c>
      <c r="C10" s="96">
        <v>369.3</v>
      </c>
      <c r="D10" s="98">
        <v>0.4</v>
      </c>
      <c r="E10" s="99">
        <f t="shared" si="0"/>
        <v>147.72</v>
      </c>
      <c r="F10" s="99">
        <f>143.73+3.99</f>
        <v>147.72</v>
      </c>
      <c r="G10" s="99">
        <f t="shared" si="1"/>
        <v>0</v>
      </c>
      <c r="H10" s="100">
        <v>1183461</v>
      </c>
      <c r="I10" s="101" t="s">
        <v>89</v>
      </c>
      <c r="J10" s="100" t="s">
        <v>90</v>
      </c>
      <c r="K10" s="277" t="s">
        <v>91</v>
      </c>
      <c r="L10" s="100">
        <v>95622123</v>
      </c>
      <c r="M10" s="225">
        <v>45848</v>
      </c>
      <c r="N10" s="231">
        <v>45699</v>
      </c>
    </row>
    <row r="11" spans="1:14" s="6" customFormat="1" x14ac:dyDescent="0.25">
      <c r="A11" s="12">
        <v>2611</v>
      </c>
      <c r="B11" s="13" t="s">
        <v>92</v>
      </c>
      <c r="C11" s="12">
        <v>241.3</v>
      </c>
      <c r="D11" s="14">
        <v>0.4</v>
      </c>
      <c r="E11" s="15">
        <f t="shared" si="0"/>
        <v>96.52000000000001</v>
      </c>
      <c r="F11" s="15"/>
      <c r="G11" s="15">
        <f t="shared" si="1"/>
        <v>96.52000000000001</v>
      </c>
      <c r="H11" s="16">
        <v>1348989</v>
      </c>
      <c r="I11" s="17" t="s">
        <v>93</v>
      </c>
      <c r="J11" s="16" t="s">
        <v>94</v>
      </c>
      <c r="K11" s="182" t="s">
        <v>95</v>
      </c>
      <c r="L11" s="16">
        <v>99678203</v>
      </c>
      <c r="M11" s="16" t="s">
        <v>22</v>
      </c>
    </row>
    <row r="12" spans="1:14" s="6" customFormat="1" x14ac:dyDescent="0.25">
      <c r="A12" s="69">
        <v>2612</v>
      </c>
      <c r="B12" s="70" t="s">
        <v>96</v>
      </c>
      <c r="C12" s="69">
        <v>605.1</v>
      </c>
      <c r="D12" s="14">
        <v>0.4</v>
      </c>
      <c r="E12" s="15">
        <f t="shared" si="0"/>
        <v>242.04000000000002</v>
      </c>
      <c r="F12" s="15"/>
      <c r="G12" s="15">
        <f t="shared" si="1"/>
        <v>242.04000000000002</v>
      </c>
      <c r="H12" s="16">
        <v>896658</v>
      </c>
      <c r="I12" s="17" t="s">
        <v>97</v>
      </c>
      <c r="J12" s="16" t="s">
        <v>90</v>
      </c>
      <c r="K12" s="29" t="s">
        <v>91</v>
      </c>
      <c r="L12" s="16">
        <v>99831783</v>
      </c>
      <c r="M12" s="12"/>
    </row>
    <row r="13" spans="1:14" s="72" customFormat="1" x14ac:dyDescent="0.25">
      <c r="A13" s="69">
        <v>2613</v>
      </c>
      <c r="B13" s="70" t="s">
        <v>98</v>
      </c>
      <c r="C13" s="69">
        <v>250.8</v>
      </c>
      <c r="D13" s="14">
        <v>0.4</v>
      </c>
      <c r="E13" s="15">
        <f t="shared" si="0"/>
        <v>100.32000000000001</v>
      </c>
      <c r="F13" s="15"/>
      <c r="G13" s="15">
        <f t="shared" si="1"/>
        <v>100.32000000000001</v>
      </c>
      <c r="H13" s="16">
        <v>2884732</v>
      </c>
      <c r="I13" s="17" t="s">
        <v>99</v>
      </c>
      <c r="J13" s="16" t="s">
        <v>18</v>
      </c>
      <c r="K13" s="32" t="s">
        <v>19</v>
      </c>
      <c r="L13" s="16">
        <v>95878851</v>
      </c>
      <c r="M13" s="17"/>
      <c r="N13" s="6"/>
    </row>
    <row r="14" spans="1:14" s="6" customFormat="1" x14ac:dyDescent="0.25">
      <c r="A14" s="12">
        <v>2614</v>
      </c>
      <c r="B14" s="13" t="s">
        <v>100</v>
      </c>
      <c r="C14" s="12">
        <v>341.3</v>
      </c>
      <c r="D14" s="14">
        <v>0.4</v>
      </c>
      <c r="E14" s="15">
        <f t="shared" si="0"/>
        <v>136.52000000000001</v>
      </c>
      <c r="F14" s="15"/>
      <c r="G14" s="15">
        <f t="shared" si="1"/>
        <v>136.52000000000001</v>
      </c>
      <c r="H14" s="16">
        <v>1015515</v>
      </c>
      <c r="I14" s="17" t="s">
        <v>101</v>
      </c>
      <c r="J14" s="16" t="s">
        <v>90</v>
      </c>
      <c r="K14" s="29" t="s">
        <v>91</v>
      </c>
      <c r="L14" s="16">
        <v>92350077</v>
      </c>
      <c r="M14" s="17"/>
    </row>
    <row r="15" spans="1:14" s="120" customFormat="1" x14ac:dyDescent="0.25">
      <c r="A15" s="96">
        <v>2615</v>
      </c>
      <c r="B15" s="97" t="s">
        <v>102</v>
      </c>
      <c r="C15" s="96">
        <v>456.5</v>
      </c>
      <c r="D15" s="98">
        <v>0.4</v>
      </c>
      <c r="E15" s="99">
        <f t="shared" si="0"/>
        <v>182.60000000000002</v>
      </c>
      <c r="F15" s="99">
        <f>178.64+3.96</f>
        <v>182.6</v>
      </c>
      <c r="G15" s="99">
        <f t="shared" si="1"/>
        <v>0</v>
      </c>
      <c r="H15" s="100">
        <v>1248772</v>
      </c>
      <c r="I15" s="101" t="s">
        <v>103</v>
      </c>
      <c r="J15" s="100" t="s">
        <v>94</v>
      </c>
      <c r="K15" s="281" t="s">
        <v>95</v>
      </c>
      <c r="L15" s="100">
        <v>91102881</v>
      </c>
      <c r="M15" s="225">
        <v>45848</v>
      </c>
      <c r="N15" s="231">
        <v>45699</v>
      </c>
    </row>
    <row r="16" spans="1:14" x14ac:dyDescent="0.25">
      <c r="A16" s="69">
        <v>2616</v>
      </c>
      <c r="B16" s="70" t="s">
        <v>15</v>
      </c>
      <c r="C16" s="69">
        <v>110</v>
      </c>
      <c r="D16" s="14">
        <v>0.4</v>
      </c>
      <c r="E16" s="15">
        <f t="shared" si="0"/>
        <v>44</v>
      </c>
      <c r="F16" s="278">
        <f>42.16+1.84</f>
        <v>44</v>
      </c>
      <c r="G16" s="15">
        <f t="shared" si="1"/>
        <v>0</v>
      </c>
      <c r="H16" s="117">
        <v>6225617</v>
      </c>
      <c r="I16" s="118" t="s">
        <v>17</v>
      </c>
      <c r="J16" s="16" t="s">
        <v>18</v>
      </c>
      <c r="K16" s="29" t="s">
        <v>19</v>
      </c>
      <c r="L16" s="16">
        <v>98004554</v>
      </c>
      <c r="M16" s="100" t="s">
        <v>362</v>
      </c>
      <c r="N16" s="96" t="s">
        <v>364</v>
      </c>
    </row>
    <row r="17" spans="1:16" s="6" customFormat="1" x14ac:dyDescent="0.25">
      <c r="A17" s="69">
        <v>2617</v>
      </c>
      <c r="B17" s="70" t="s">
        <v>105</v>
      </c>
      <c r="C17" s="69">
        <v>233.7</v>
      </c>
      <c r="D17" s="14">
        <v>0.4</v>
      </c>
      <c r="E17" s="15">
        <f t="shared" si="0"/>
        <v>93.48</v>
      </c>
      <c r="F17" s="15"/>
      <c r="G17" s="15">
        <f t="shared" si="1"/>
        <v>93.48</v>
      </c>
      <c r="H17" s="69">
        <v>17375838</v>
      </c>
      <c r="I17" s="183" t="s">
        <v>106</v>
      </c>
      <c r="J17" s="78" t="s">
        <v>73</v>
      </c>
      <c r="K17" s="79" t="s">
        <v>74</v>
      </c>
      <c r="L17" s="79">
        <v>95089970</v>
      </c>
      <c r="M17" s="79"/>
    </row>
    <row r="18" spans="1:16" s="120" customFormat="1" x14ac:dyDescent="0.25">
      <c r="A18" s="96">
        <v>2618</v>
      </c>
      <c r="B18" s="97" t="s">
        <v>48</v>
      </c>
      <c r="C18" s="96">
        <v>409</v>
      </c>
      <c r="D18" s="98">
        <v>0.4</v>
      </c>
      <c r="E18" s="99">
        <f t="shared" si="0"/>
        <v>163.60000000000002</v>
      </c>
      <c r="F18" s="99">
        <f>163.05+0.55</f>
        <v>163.60000000000002</v>
      </c>
      <c r="G18" s="99">
        <f t="shared" si="1"/>
        <v>0</v>
      </c>
      <c r="H18" s="100">
        <v>6552811</v>
      </c>
      <c r="I18" s="101" t="s">
        <v>107</v>
      </c>
      <c r="J18" s="100" t="s">
        <v>73</v>
      </c>
      <c r="K18" s="102" t="s">
        <v>74</v>
      </c>
      <c r="L18" s="100">
        <v>99085221</v>
      </c>
      <c r="M18" s="96" t="s">
        <v>371</v>
      </c>
      <c r="N18" s="120" t="s">
        <v>386</v>
      </c>
    </row>
    <row r="19" spans="1:16" s="120" customFormat="1" x14ac:dyDescent="0.25">
      <c r="A19" s="96">
        <v>2619</v>
      </c>
      <c r="B19" s="97" t="s">
        <v>108</v>
      </c>
      <c r="C19" s="96">
        <v>477.8</v>
      </c>
      <c r="D19" s="98">
        <v>0.4</v>
      </c>
      <c r="E19" s="99">
        <f t="shared" si="0"/>
        <v>191.12</v>
      </c>
      <c r="F19" s="99">
        <f>190.08+1.04</f>
        <v>191.12</v>
      </c>
      <c r="G19" s="99">
        <f t="shared" si="1"/>
        <v>0</v>
      </c>
      <c r="H19" s="100">
        <v>6552839</v>
      </c>
      <c r="I19" s="101" t="s">
        <v>109</v>
      </c>
      <c r="J19" s="100" t="s">
        <v>90</v>
      </c>
      <c r="K19" s="277" t="s">
        <v>91</v>
      </c>
      <c r="L19" s="100">
        <v>92017833</v>
      </c>
      <c r="M19" s="96" t="s">
        <v>371</v>
      </c>
      <c r="N19" s="120" t="s">
        <v>386</v>
      </c>
    </row>
    <row r="20" spans="1:16" s="6" customFormat="1" x14ac:dyDescent="0.25">
      <c r="A20" s="69">
        <v>2620</v>
      </c>
      <c r="B20" s="70" t="s">
        <v>110</v>
      </c>
      <c r="C20" s="69">
        <v>259</v>
      </c>
      <c r="D20" s="14">
        <v>0.4</v>
      </c>
      <c r="E20" s="15">
        <f t="shared" si="0"/>
        <v>103.60000000000001</v>
      </c>
      <c r="F20" s="15">
        <f>E20</f>
        <v>103.60000000000001</v>
      </c>
      <c r="G20" s="15">
        <f t="shared" si="1"/>
        <v>0</v>
      </c>
      <c r="H20" s="16">
        <v>1183437</v>
      </c>
      <c r="I20" s="17" t="s">
        <v>111</v>
      </c>
      <c r="J20" s="16" t="s">
        <v>73</v>
      </c>
      <c r="K20" s="32" t="s">
        <v>74</v>
      </c>
      <c r="L20" s="16">
        <v>92585717</v>
      </c>
      <c r="M20" s="217">
        <v>45941</v>
      </c>
    </row>
    <row r="21" spans="1:16" s="120" customFormat="1" x14ac:dyDescent="0.25">
      <c r="A21" s="96">
        <v>2621</v>
      </c>
      <c r="B21" s="97" t="s">
        <v>113</v>
      </c>
      <c r="C21" s="96">
        <v>216</v>
      </c>
      <c r="D21" s="98">
        <v>0.4</v>
      </c>
      <c r="E21" s="99">
        <f t="shared" si="0"/>
        <v>86.4</v>
      </c>
      <c r="F21" s="99">
        <f>83.04+3.36</f>
        <v>86.4</v>
      </c>
      <c r="G21" s="99">
        <f t="shared" si="1"/>
        <v>0</v>
      </c>
      <c r="H21" s="100">
        <v>19745547</v>
      </c>
      <c r="I21" s="101" t="s">
        <v>114</v>
      </c>
      <c r="J21" s="100" t="s">
        <v>73</v>
      </c>
      <c r="K21" s="102" t="s">
        <v>74</v>
      </c>
      <c r="L21" s="100">
        <v>98821811</v>
      </c>
      <c r="M21" s="225">
        <v>45848</v>
      </c>
      <c r="N21" s="96" t="s">
        <v>351</v>
      </c>
    </row>
    <row r="22" spans="1:16" s="120" customFormat="1" x14ac:dyDescent="0.25">
      <c r="A22" s="96">
        <v>2622</v>
      </c>
      <c r="B22" s="97" t="s">
        <v>115</v>
      </c>
      <c r="C22" s="96">
        <v>492.2</v>
      </c>
      <c r="D22" s="98">
        <v>0.4</v>
      </c>
      <c r="E22" s="99">
        <f t="shared" si="0"/>
        <v>196.88</v>
      </c>
      <c r="F22" s="99">
        <f>E22</f>
        <v>196.88</v>
      </c>
      <c r="G22" s="99">
        <f t="shared" si="1"/>
        <v>0</v>
      </c>
      <c r="H22" s="100">
        <v>6067343</v>
      </c>
      <c r="I22" s="101" t="s">
        <v>116</v>
      </c>
      <c r="J22" s="100" t="s">
        <v>94</v>
      </c>
      <c r="K22" s="281" t="s">
        <v>95</v>
      </c>
      <c r="L22" s="100">
        <v>91329902</v>
      </c>
      <c r="M22" s="120" t="s">
        <v>367</v>
      </c>
      <c r="P22" s="298"/>
    </row>
    <row r="23" spans="1:16" s="6" customFormat="1" x14ac:dyDescent="0.25">
      <c r="A23" s="69">
        <v>2623</v>
      </c>
      <c r="B23" s="70" t="s">
        <v>49</v>
      </c>
      <c r="C23" s="69">
        <v>185.8</v>
      </c>
      <c r="D23" s="14">
        <v>0.4</v>
      </c>
      <c r="E23" s="15">
        <f t="shared" si="0"/>
        <v>74.320000000000007</v>
      </c>
      <c r="F23" s="15"/>
      <c r="G23" s="15">
        <f t="shared" si="1"/>
        <v>74.320000000000007</v>
      </c>
      <c r="H23" s="16">
        <v>1994004</v>
      </c>
      <c r="I23" s="17" t="s">
        <v>117</v>
      </c>
      <c r="J23" s="16" t="s">
        <v>73</v>
      </c>
      <c r="K23" s="32" t="s">
        <v>74</v>
      </c>
      <c r="L23" s="16">
        <v>99489917</v>
      </c>
      <c r="M23" s="12"/>
    </row>
    <row r="24" spans="1:16" s="6" customFormat="1" x14ac:dyDescent="0.25">
      <c r="A24" s="69">
        <v>2624</v>
      </c>
      <c r="B24" s="70" t="s">
        <v>118</v>
      </c>
      <c r="C24" s="69">
        <v>237.7</v>
      </c>
      <c r="D24" s="14">
        <v>0.4</v>
      </c>
      <c r="E24" s="15">
        <f t="shared" si="0"/>
        <v>95.08</v>
      </c>
      <c r="F24" s="15">
        <f>E24</f>
        <v>95.08</v>
      </c>
      <c r="G24" s="15">
        <f t="shared" si="1"/>
        <v>0</v>
      </c>
      <c r="H24" s="16">
        <v>3206725</v>
      </c>
      <c r="I24" s="17">
        <v>401002509090012</v>
      </c>
      <c r="J24" s="16" t="s">
        <v>73</v>
      </c>
      <c r="K24" s="32" t="s">
        <v>74</v>
      </c>
      <c r="L24" s="16">
        <v>93325253</v>
      </c>
      <c r="M24" s="231">
        <v>45669</v>
      </c>
    </row>
    <row r="25" spans="1:16" x14ac:dyDescent="0.25">
      <c r="A25" s="69">
        <v>2625</v>
      </c>
      <c r="B25" s="70" t="s">
        <v>119</v>
      </c>
      <c r="C25" s="69">
        <v>552</v>
      </c>
      <c r="D25" s="14">
        <v>0.4</v>
      </c>
      <c r="E25" s="15">
        <f t="shared" si="0"/>
        <v>220.8</v>
      </c>
      <c r="F25" s="15">
        <f>E25</f>
        <v>220.8</v>
      </c>
      <c r="G25" s="15">
        <f t="shared" si="1"/>
        <v>0</v>
      </c>
      <c r="H25" s="16">
        <v>5474204</v>
      </c>
      <c r="I25" s="17" t="s">
        <v>120</v>
      </c>
      <c r="J25" s="16" t="s">
        <v>73</v>
      </c>
      <c r="K25" s="32" t="s">
        <v>74</v>
      </c>
      <c r="L25" s="16">
        <v>92806972</v>
      </c>
      <c r="M25" s="126" t="s">
        <v>370</v>
      </c>
    </row>
    <row r="26" spans="1:16" s="6" customFormat="1" x14ac:dyDescent="0.25">
      <c r="A26" s="69">
        <v>2626</v>
      </c>
      <c r="B26" s="70" t="s">
        <v>51</v>
      </c>
      <c r="C26" s="69">
        <v>204.6</v>
      </c>
      <c r="D26" s="14">
        <v>0.4</v>
      </c>
      <c r="E26" s="15">
        <f t="shared" si="0"/>
        <v>81.84</v>
      </c>
      <c r="F26" s="15"/>
      <c r="G26" s="15">
        <f t="shared" si="1"/>
        <v>81.84</v>
      </c>
      <c r="H26" s="78">
        <v>3083395</v>
      </c>
      <c r="I26" s="183" t="s">
        <v>121</v>
      </c>
      <c r="J26" s="78" t="s">
        <v>73</v>
      </c>
      <c r="K26" s="79" t="s">
        <v>74</v>
      </c>
      <c r="L26" s="78">
        <v>99287760</v>
      </c>
      <c r="M26" s="69"/>
    </row>
    <row r="27" spans="1:16" s="6" customFormat="1" x14ac:dyDescent="0.25">
      <c r="A27" s="69">
        <v>2627</v>
      </c>
      <c r="B27" s="70" t="s">
        <v>122</v>
      </c>
      <c r="C27" s="69">
        <v>73.400000000000006</v>
      </c>
      <c r="D27" s="14">
        <v>0.4</v>
      </c>
      <c r="E27" s="15">
        <f t="shared" si="0"/>
        <v>29.360000000000003</v>
      </c>
      <c r="F27" s="15">
        <f>E27</f>
        <v>29.360000000000003</v>
      </c>
      <c r="G27" s="15">
        <f t="shared" si="1"/>
        <v>0</v>
      </c>
      <c r="H27" s="16">
        <v>2011348</v>
      </c>
      <c r="I27" s="17" t="s">
        <v>123</v>
      </c>
      <c r="J27" s="16" t="s">
        <v>94</v>
      </c>
      <c r="K27" s="182" t="s">
        <v>95</v>
      </c>
      <c r="L27" s="16">
        <v>98509729</v>
      </c>
      <c r="M27" s="225">
        <v>45941</v>
      </c>
    </row>
    <row r="28" spans="1:16" s="6" customFormat="1" x14ac:dyDescent="0.25">
      <c r="A28" s="12">
        <v>2628</v>
      </c>
      <c r="B28" s="13" t="s">
        <v>124</v>
      </c>
      <c r="C28" s="12">
        <v>239.1</v>
      </c>
      <c r="D28" s="14">
        <v>0.4</v>
      </c>
      <c r="E28" s="15">
        <f t="shared" si="0"/>
        <v>95.64</v>
      </c>
      <c r="F28" s="15">
        <f>E28</f>
        <v>95.64</v>
      </c>
      <c r="G28" s="15">
        <f t="shared" si="1"/>
        <v>0</v>
      </c>
      <c r="H28" s="16">
        <v>2396272</v>
      </c>
      <c r="I28" s="17" t="s">
        <v>125</v>
      </c>
      <c r="J28" s="16" t="s">
        <v>73</v>
      </c>
      <c r="K28" s="32" t="s">
        <v>74</v>
      </c>
      <c r="L28" s="16">
        <v>990991999</v>
      </c>
      <c r="M28" s="100" t="s">
        <v>384</v>
      </c>
    </row>
    <row r="29" spans="1:16" s="120" customFormat="1" x14ac:dyDescent="0.25">
      <c r="A29" s="96">
        <v>2629</v>
      </c>
      <c r="B29" s="97" t="s">
        <v>32</v>
      </c>
      <c r="C29" s="96">
        <v>339</v>
      </c>
      <c r="D29" s="98">
        <v>0.4</v>
      </c>
      <c r="E29" s="99">
        <f t="shared" si="0"/>
        <v>135.6</v>
      </c>
      <c r="F29" s="99">
        <f>134.82+0.78</f>
        <v>135.6</v>
      </c>
      <c r="G29" s="99">
        <f t="shared" si="1"/>
        <v>0</v>
      </c>
      <c r="H29" s="100">
        <v>6488371</v>
      </c>
      <c r="I29" s="101" t="s">
        <v>126</v>
      </c>
      <c r="J29" s="100" t="s">
        <v>18</v>
      </c>
      <c r="K29" s="280" t="s">
        <v>19</v>
      </c>
      <c r="L29" s="100">
        <v>99096166</v>
      </c>
      <c r="M29" s="100" t="s">
        <v>360</v>
      </c>
      <c r="N29" s="225">
        <v>45788</v>
      </c>
    </row>
    <row r="30" spans="1:16" s="120" customFormat="1" x14ac:dyDescent="0.25">
      <c r="A30" s="96">
        <v>2630</v>
      </c>
      <c r="B30" s="97" t="s">
        <v>127</v>
      </c>
      <c r="C30" s="96">
        <v>208</v>
      </c>
      <c r="D30" s="98">
        <v>0.4</v>
      </c>
      <c r="E30" s="99">
        <f t="shared" si="0"/>
        <v>83.2</v>
      </c>
      <c r="F30" s="99">
        <f>36.55+46.65</f>
        <v>83.199999999999989</v>
      </c>
      <c r="G30" s="99">
        <f t="shared" si="1"/>
        <v>0</v>
      </c>
      <c r="H30" s="100">
        <v>8098813</v>
      </c>
      <c r="I30" s="101" t="s">
        <v>128</v>
      </c>
      <c r="J30" s="100" t="s">
        <v>80</v>
      </c>
      <c r="K30" s="275" t="s">
        <v>81</v>
      </c>
      <c r="L30" s="100">
        <v>98279944</v>
      </c>
      <c r="M30" s="231" t="s">
        <v>353</v>
      </c>
      <c r="N30" s="96" t="s">
        <v>364</v>
      </c>
    </row>
    <row r="31" spans="1:16" s="6" customFormat="1" x14ac:dyDescent="0.25">
      <c r="A31" s="69">
        <v>2631</v>
      </c>
      <c r="B31" s="70" t="s">
        <v>129</v>
      </c>
      <c r="C31" s="69">
        <v>195.9</v>
      </c>
      <c r="D31" s="14">
        <v>0.4</v>
      </c>
      <c r="E31" s="15">
        <f t="shared" si="0"/>
        <v>78.360000000000014</v>
      </c>
      <c r="F31" s="15"/>
      <c r="G31" s="15">
        <f t="shared" si="1"/>
        <v>78.360000000000014</v>
      </c>
      <c r="H31" s="16">
        <v>931835</v>
      </c>
      <c r="I31" s="17" t="s">
        <v>130</v>
      </c>
      <c r="J31" s="16" t="s">
        <v>73</v>
      </c>
      <c r="K31" s="32" t="s">
        <v>74</v>
      </c>
      <c r="L31" s="16">
        <v>91766175</v>
      </c>
      <c r="M31" s="12"/>
    </row>
    <row r="32" spans="1:16" s="120" customFormat="1" x14ac:dyDescent="0.25">
      <c r="A32" s="96">
        <v>2632</v>
      </c>
      <c r="B32" s="97" t="s">
        <v>53</v>
      </c>
      <c r="C32" s="96">
        <v>252.5</v>
      </c>
      <c r="D32" s="98">
        <v>0.4</v>
      </c>
      <c r="E32" s="99">
        <f t="shared" si="0"/>
        <v>101</v>
      </c>
      <c r="F32" s="99">
        <f>100.98+0.02</f>
        <v>101</v>
      </c>
      <c r="G32" s="99">
        <f t="shared" si="1"/>
        <v>0</v>
      </c>
      <c r="H32" s="100">
        <v>18395066</v>
      </c>
      <c r="I32" s="101" t="s">
        <v>131</v>
      </c>
      <c r="J32" s="100" t="s">
        <v>132</v>
      </c>
      <c r="K32" s="102" t="s">
        <v>133</v>
      </c>
      <c r="L32" s="100">
        <v>9562212</v>
      </c>
      <c r="M32" s="100" t="s">
        <v>360</v>
      </c>
      <c r="N32" s="225">
        <v>45788</v>
      </c>
    </row>
    <row r="33" spans="1:14" s="6" customFormat="1" x14ac:dyDescent="0.25">
      <c r="A33" s="69">
        <v>2633</v>
      </c>
      <c r="B33" s="70" t="s">
        <v>134</v>
      </c>
      <c r="C33" s="69"/>
      <c r="D33" s="14">
        <v>0.4</v>
      </c>
      <c r="E33" s="15">
        <f t="shared" si="0"/>
        <v>0</v>
      </c>
      <c r="F33" s="15"/>
      <c r="G33" s="15">
        <f t="shared" si="1"/>
        <v>0</v>
      </c>
      <c r="H33" s="16">
        <v>5585042</v>
      </c>
      <c r="I33" s="17" t="s">
        <v>135</v>
      </c>
      <c r="J33" s="16" t="s">
        <v>80</v>
      </c>
      <c r="K33" s="185" t="s">
        <v>81</v>
      </c>
      <c r="L33" s="16">
        <v>92768880</v>
      </c>
      <c r="M33" s="12"/>
    </row>
    <row r="34" spans="1:14" s="6" customFormat="1" x14ac:dyDescent="0.25">
      <c r="A34" s="69">
        <v>2634</v>
      </c>
      <c r="B34" s="70" t="s">
        <v>136</v>
      </c>
      <c r="C34" s="69">
        <v>351.2</v>
      </c>
      <c r="D34" s="14">
        <v>0.4</v>
      </c>
      <c r="E34" s="15">
        <f t="shared" si="0"/>
        <v>140.47999999999999</v>
      </c>
      <c r="F34" s="15">
        <f>E34</f>
        <v>140.47999999999999</v>
      </c>
      <c r="G34" s="15">
        <f t="shared" si="1"/>
        <v>0</v>
      </c>
      <c r="H34" s="16">
        <v>24361971</v>
      </c>
      <c r="I34" s="17" t="s">
        <v>137</v>
      </c>
      <c r="J34" s="16" t="s">
        <v>80</v>
      </c>
      <c r="K34" s="185" t="s">
        <v>81</v>
      </c>
      <c r="L34" s="16">
        <v>93384540</v>
      </c>
      <c r="M34" s="231">
        <v>45669</v>
      </c>
    </row>
    <row r="35" spans="1:14" s="120" customFormat="1" x14ac:dyDescent="0.25">
      <c r="A35" s="96">
        <v>2635</v>
      </c>
      <c r="B35" s="97" t="s">
        <v>138</v>
      </c>
      <c r="C35" s="96">
        <v>258.89999999999998</v>
      </c>
      <c r="D35" s="98">
        <v>0.4</v>
      </c>
      <c r="E35" s="99">
        <f t="shared" si="0"/>
        <v>103.56</v>
      </c>
      <c r="F35" s="99">
        <f>103.16+0.4</f>
        <v>103.56</v>
      </c>
      <c r="G35" s="99">
        <f t="shared" si="1"/>
        <v>0</v>
      </c>
      <c r="H35" s="102">
        <v>19928115</v>
      </c>
      <c r="I35" s="101" t="s">
        <v>139</v>
      </c>
      <c r="J35" s="102" t="s">
        <v>73</v>
      </c>
      <c r="K35" s="102" t="s">
        <v>74</v>
      </c>
      <c r="L35" s="100">
        <v>94606075</v>
      </c>
      <c r="M35" s="100" t="s">
        <v>360</v>
      </c>
      <c r="N35" s="225">
        <v>45788</v>
      </c>
    </row>
    <row r="36" spans="1:14" s="6" customFormat="1" x14ac:dyDescent="0.25">
      <c r="A36" s="69">
        <v>2636</v>
      </c>
      <c r="B36" s="70" t="s">
        <v>140</v>
      </c>
      <c r="C36" s="69">
        <v>327.9</v>
      </c>
      <c r="D36" s="14">
        <v>0.4</v>
      </c>
      <c r="E36" s="15">
        <f t="shared" si="0"/>
        <v>131.16</v>
      </c>
      <c r="F36" s="15"/>
      <c r="G36" s="15">
        <f t="shared" si="1"/>
        <v>131.16</v>
      </c>
      <c r="H36" s="16">
        <v>2092081</v>
      </c>
      <c r="I36" s="17" t="s">
        <v>141</v>
      </c>
      <c r="J36" s="16" t="s">
        <v>73</v>
      </c>
      <c r="K36" s="32" t="s">
        <v>74</v>
      </c>
      <c r="L36" s="16">
        <v>92565542</v>
      </c>
      <c r="M36" s="12"/>
    </row>
    <row r="37" spans="1:14" s="6" customFormat="1" x14ac:dyDescent="0.25">
      <c r="A37" s="69">
        <v>2637</v>
      </c>
      <c r="B37" s="70" t="s">
        <v>142</v>
      </c>
      <c r="C37" s="69">
        <v>225.5</v>
      </c>
      <c r="D37" s="14">
        <v>0.4</v>
      </c>
      <c r="E37" s="15">
        <f t="shared" si="0"/>
        <v>90.2</v>
      </c>
      <c r="F37" s="15"/>
      <c r="G37" s="15">
        <f t="shared" si="1"/>
        <v>90.2</v>
      </c>
      <c r="H37" s="16">
        <v>12073906</v>
      </c>
      <c r="I37" s="17" t="s">
        <v>143</v>
      </c>
      <c r="J37" s="16" t="s">
        <v>90</v>
      </c>
      <c r="K37" s="29" t="s">
        <v>91</v>
      </c>
      <c r="L37" s="16">
        <v>95851127</v>
      </c>
      <c r="M37" s="12"/>
    </row>
    <row r="38" spans="1:14" s="6" customFormat="1" x14ac:dyDescent="0.25">
      <c r="A38" s="252">
        <v>2638</v>
      </c>
      <c r="B38" s="293" t="s">
        <v>144</v>
      </c>
      <c r="C38" s="252"/>
      <c r="D38" s="292">
        <v>0.4</v>
      </c>
      <c r="E38" s="256">
        <f t="shared" si="0"/>
        <v>0</v>
      </c>
      <c r="F38" s="256"/>
      <c r="G38" s="15">
        <f t="shared" si="1"/>
        <v>0</v>
      </c>
      <c r="H38" s="253">
        <v>21944623</v>
      </c>
      <c r="I38" s="262" t="s">
        <v>145</v>
      </c>
      <c r="J38" s="253" t="s">
        <v>73</v>
      </c>
      <c r="K38" s="257" t="s">
        <v>74</v>
      </c>
      <c r="L38" s="253">
        <v>96622170</v>
      </c>
      <c r="M38" s="252"/>
    </row>
    <row r="39" spans="1:14" s="6" customFormat="1" x14ac:dyDescent="0.25">
      <c r="A39" s="69">
        <v>2639</v>
      </c>
      <c r="B39" s="70" t="s">
        <v>146</v>
      </c>
      <c r="C39" s="69">
        <v>225.8</v>
      </c>
      <c r="D39" s="14">
        <v>0.4</v>
      </c>
      <c r="E39" s="15">
        <f t="shared" si="0"/>
        <v>90.320000000000007</v>
      </c>
      <c r="F39" s="15"/>
      <c r="G39" s="15">
        <f t="shared" si="1"/>
        <v>90.320000000000007</v>
      </c>
      <c r="H39" s="16">
        <v>1389397</v>
      </c>
      <c r="I39" s="17" t="s">
        <v>147</v>
      </c>
      <c r="J39" s="16" t="s">
        <v>73</v>
      </c>
      <c r="K39" s="32" t="s">
        <v>74</v>
      </c>
      <c r="L39" s="16">
        <v>99282044</v>
      </c>
      <c r="M39" s="12"/>
    </row>
    <row r="40" spans="1:14" s="6" customFormat="1" x14ac:dyDescent="0.25">
      <c r="A40" s="69">
        <v>2640</v>
      </c>
      <c r="B40" s="70" t="s">
        <v>35</v>
      </c>
      <c r="C40" s="69">
        <v>163.69999999999999</v>
      </c>
      <c r="D40" s="14">
        <v>0.4</v>
      </c>
      <c r="E40" s="15">
        <f t="shared" si="0"/>
        <v>65.48</v>
      </c>
      <c r="F40" s="15"/>
      <c r="G40" s="15">
        <f t="shared" si="1"/>
        <v>65.48</v>
      </c>
      <c r="H40" s="16">
        <v>25021829</v>
      </c>
      <c r="I40" s="17" t="s">
        <v>148</v>
      </c>
      <c r="J40" s="16" t="s">
        <v>73</v>
      </c>
      <c r="K40" s="32" t="s">
        <v>74</v>
      </c>
      <c r="L40" s="16">
        <v>93383987</v>
      </c>
      <c r="M40" s="12"/>
    </row>
    <row r="41" spans="1:14" s="6" customFormat="1" x14ac:dyDescent="0.25">
      <c r="A41" s="69">
        <v>2641</v>
      </c>
      <c r="B41" s="70" t="s">
        <v>149</v>
      </c>
      <c r="C41" s="69">
        <v>113.8</v>
      </c>
      <c r="D41" s="14">
        <v>0.4</v>
      </c>
      <c r="E41" s="15">
        <f t="shared" si="0"/>
        <v>45.52</v>
      </c>
      <c r="F41" s="15"/>
      <c r="G41" s="15">
        <f t="shared" si="1"/>
        <v>45.52</v>
      </c>
      <c r="H41" s="16">
        <v>1499316</v>
      </c>
      <c r="I41" s="17" t="s">
        <v>150</v>
      </c>
      <c r="J41" s="16" t="s">
        <v>90</v>
      </c>
      <c r="K41" s="32" t="s">
        <v>91</v>
      </c>
      <c r="L41" s="16">
        <v>99677197</v>
      </c>
      <c r="M41" s="12"/>
    </row>
    <row r="42" spans="1:14" s="120" customFormat="1" x14ac:dyDescent="0.25">
      <c r="A42" s="96">
        <v>2642</v>
      </c>
      <c r="B42" s="97" t="s">
        <v>151</v>
      </c>
      <c r="C42" s="96">
        <v>114.3</v>
      </c>
      <c r="D42" s="98">
        <v>0.4</v>
      </c>
      <c r="E42" s="99">
        <f t="shared" si="0"/>
        <v>45.72</v>
      </c>
      <c r="F42" s="99">
        <f>44.29+1.43</f>
        <v>45.72</v>
      </c>
      <c r="G42" s="99">
        <f t="shared" si="1"/>
        <v>0</v>
      </c>
      <c r="H42" s="100">
        <v>3018879</v>
      </c>
      <c r="I42" s="101" t="s">
        <v>152</v>
      </c>
      <c r="J42" s="100" t="s">
        <v>80</v>
      </c>
      <c r="K42" s="275" t="s">
        <v>81</v>
      </c>
      <c r="L42" s="100">
        <v>98818754</v>
      </c>
      <c r="M42" s="100" t="s">
        <v>360</v>
      </c>
      <c r="N42" s="217">
        <v>45788</v>
      </c>
    </row>
    <row r="43" spans="1:14" s="6" customFormat="1" x14ac:dyDescent="0.25">
      <c r="A43" s="69">
        <v>2643</v>
      </c>
      <c r="B43" s="70" t="s">
        <v>153</v>
      </c>
      <c r="C43" s="69">
        <v>268</v>
      </c>
      <c r="D43" s="14">
        <v>0.4</v>
      </c>
      <c r="E43" s="15">
        <f t="shared" si="0"/>
        <v>107.2</v>
      </c>
      <c r="F43" s="15">
        <f>E43</f>
        <v>107.2</v>
      </c>
      <c r="G43" s="15">
        <f t="shared" si="1"/>
        <v>0</v>
      </c>
      <c r="H43" s="16">
        <v>1485446</v>
      </c>
      <c r="I43" s="17" t="s">
        <v>154</v>
      </c>
      <c r="J43" s="16" t="s">
        <v>18</v>
      </c>
      <c r="K43" s="32" t="s">
        <v>19</v>
      </c>
      <c r="L43" s="16">
        <v>99747558</v>
      </c>
      <c r="M43" s="230">
        <v>45728</v>
      </c>
    </row>
    <row r="44" spans="1:14" x14ac:dyDescent="0.25">
      <c r="A44" s="69">
        <v>2644</v>
      </c>
      <c r="B44" s="70" t="s">
        <v>155</v>
      </c>
      <c r="C44" s="69">
        <v>253.6</v>
      </c>
      <c r="D44" s="14">
        <v>0.4</v>
      </c>
      <c r="E44" s="15">
        <f t="shared" si="0"/>
        <v>101.44</v>
      </c>
      <c r="F44" s="15"/>
      <c r="G44" s="15">
        <f t="shared" si="1"/>
        <v>101.44</v>
      </c>
      <c r="H44" s="78">
        <v>23180515</v>
      </c>
      <c r="I44" s="183" t="s">
        <v>156</v>
      </c>
      <c r="J44" s="78" t="s">
        <v>73</v>
      </c>
      <c r="K44" s="79" t="s">
        <v>74</v>
      </c>
      <c r="L44" s="78">
        <v>95931303</v>
      </c>
      <c r="M44" s="12" t="s">
        <v>22</v>
      </c>
    </row>
    <row r="45" spans="1:14" s="6" customFormat="1" x14ac:dyDescent="0.25">
      <c r="A45" s="69">
        <v>2645</v>
      </c>
      <c r="B45" s="70" t="s">
        <v>157</v>
      </c>
      <c r="C45" s="69">
        <v>214.2</v>
      </c>
      <c r="D45" s="14">
        <v>0.4</v>
      </c>
      <c r="E45" s="15">
        <f t="shared" si="0"/>
        <v>85.68</v>
      </c>
      <c r="F45" s="15"/>
      <c r="G45" s="15">
        <f t="shared" si="1"/>
        <v>85.68</v>
      </c>
      <c r="H45" s="16">
        <v>20133638</v>
      </c>
      <c r="I45" s="17" t="s">
        <v>158</v>
      </c>
      <c r="J45" s="16" t="s">
        <v>76</v>
      </c>
      <c r="K45" s="182" t="s">
        <v>77</v>
      </c>
      <c r="L45" s="16">
        <v>92802502</v>
      </c>
      <c r="M45" s="12" t="s">
        <v>22</v>
      </c>
    </row>
    <row r="46" spans="1:14" s="6" customFormat="1" x14ac:dyDescent="0.25">
      <c r="A46" s="69">
        <v>2646</v>
      </c>
      <c r="B46" s="70" t="s">
        <v>159</v>
      </c>
      <c r="C46" s="69">
        <v>407.1</v>
      </c>
      <c r="D46" s="14">
        <v>0.4</v>
      </c>
      <c r="E46" s="15">
        <f t="shared" si="0"/>
        <v>162.84000000000003</v>
      </c>
      <c r="F46" s="15"/>
      <c r="G46" s="15">
        <f t="shared" si="1"/>
        <v>162.84000000000003</v>
      </c>
      <c r="H46" s="16">
        <v>13271226</v>
      </c>
      <c r="I46" s="17" t="s">
        <v>160</v>
      </c>
      <c r="J46" s="16" t="s">
        <v>73</v>
      </c>
      <c r="K46" s="32" t="s">
        <v>74</v>
      </c>
      <c r="L46" s="16">
        <v>92231129</v>
      </c>
      <c r="M46" s="12" t="s">
        <v>22</v>
      </c>
    </row>
    <row r="47" spans="1:14" s="6" customFormat="1" x14ac:dyDescent="0.25">
      <c r="A47" s="12">
        <v>2647</v>
      </c>
      <c r="B47" s="13" t="s">
        <v>161</v>
      </c>
      <c r="C47" s="12">
        <v>210.4</v>
      </c>
      <c r="D47" s="14">
        <v>0.4</v>
      </c>
      <c r="E47" s="15">
        <f t="shared" si="0"/>
        <v>84.160000000000011</v>
      </c>
      <c r="F47" s="15"/>
      <c r="G47" s="15">
        <f t="shared" si="1"/>
        <v>84.160000000000011</v>
      </c>
      <c r="H47" s="16">
        <v>828714</v>
      </c>
      <c r="I47" s="17" t="s">
        <v>162</v>
      </c>
      <c r="J47" s="16" t="s">
        <v>94</v>
      </c>
      <c r="K47" s="182" t="s">
        <v>95</v>
      </c>
      <c r="L47" s="16">
        <v>99007372</v>
      </c>
      <c r="M47" s="12" t="s">
        <v>22</v>
      </c>
    </row>
    <row r="48" spans="1:14" s="120" customFormat="1" x14ac:dyDescent="0.25">
      <c r="A48" s="96">
        <v>2648</v>
      </c>
      <c r="B48" s="97" t="s">
        <v>163</v>
      </c>
      <c r="C48" s="96">
        <v>147.30000000000001</v>
      </c>
      <c r="D48" s="98">
        <v>0.4</v>
      </c>
      <c r="E48" s="99">
        <f t="shared" si="0"/>
        <v>58.920000000000009</v>
      </c>
      <c r="F48" s="99">
        <v>58.600000000000009</v>
      </c>
      <c r="G48" s="99">
        <f t="shared" si="1"/>
        <v>0.32000000000000028</v>
      </c>
      <c r="H48" s="100">
        <v>5086</v>
      </c>
      <c r="I48" s="101" t="s">
        <v>164</v>
      </c>
      <c r="J48" s="100" t="s">
        <v>94</v>
      </c>
      <c r="K48" s="281" t="s">
        <v>95</v>
      </c>
      <c r="L48" s="100">
        <v>99499787</v>
      </c>
      <c r="M48" s="96" t="s">
        <v>364</v>
      </c>
    </row>
    <row r="49" spans="1:14" s="120" customFormat="1" x14ac:dyDescent="0.25">
      <c r="A49" s="96">
        <v>2649</v>
      </c>
      <c r="B49" s="97" t="s">
        <v>165</v>
      </c>
      <c r="C49" s="96">
        <v>238.5</v>
      </c>
      <c r="D49" s="98">
        <v>0.4</v>
      </c>
      <c r="E49" s="99">
        <f t="shared" si="0"/>
        <v>95.4</v>
      </c>
      <c r="F49" s="99">
        <f>94.4+1</f>
        <v>95.4</v>
      </c>
      <c r="G49" s="99">
        <f t="shared" si="1"/>
        <v>0</v>
      </c>
      <c r="H49" s="100">
        <v>1282981</v>
      </c>
      <c r="I49" s="101" t="s">
        <v>166</v>
      </c>
      <c r="J49" s="100" t="s">
        <v>80</v>
      </c>
      <c r="K49" s="275" t="s">
        <v>81</v>
      </c>
      <c r="L49" s="100">
        <v>99499053</v>
      </c>
      <c r="M49" s="225">
        <v>45848</v>
      </c>
      <c r="N49" s="96" t="s">
        <v>351</v>
      </c>
    </row>
    <row r="50" spans="1:14" s="6" customFormat="1" x14ac:dyDescent="0.25">
      <c r="A50" s="69">
        <v>2650</v>
      </c>
      <c r="B50" s="70" t="s">
        <v>167</v>
      </c>
      <c r="C50" s="69">
        <v>223.9</v>
      </c>
      <c r="D50" s="14">
        <v>0.4</v>
      </c>
      <c r="E50" s="15">
        <f t="shared" si="0"/>
        <v>89.56</v>
      </c>
      <c r="F50" s="15"/>
      <c r="G50" s="15">
        <f t="shared" si="1"/>
        <v>89.56</v>
      </c>
      <c r="H50" s="16">
        <v>5949449</v>
      </c>
      <c r="I50" s="17" t="s">
        <v>168</v>
      </c>
      <c r="J50" s="16" t="s">
        <v>80</v>
      </c>
      <c r="K50" s="185" t="s">
        <v>81</v>
      </c>
      <c r="L50" s="16">
        <v>92781944</v>
      </c>
      <c r="M50" s="12"/>
    </row>
    <row r="51" spans="1:14" s="6" customFormat="1" x14ac:dyDescent="0.25">
      <c r="A51" s="69">
        <v>2651</v>
      </c>
      <c r="B51" s="70" t="s">
        <v>169</v>
      </c>
      <c r="C51" s="69">
        <v>181.4</v>
      </c>
      <c r="D51" s="14">
        <v>0.4</v>
      </c>
      <c r="E51" s="15">
        <f t="shared" si="0"/>
        <v>72.56</v>
      </c>
      <c r="F51" s="15"/>
      <c r="G51" s="15">
        <f t="shared" si="1"/>
        <v>72.56</v>
      </c>
      <c r="H51" s="16">
        <v>18629431</v>
      </c>
      <c r="I51" s="17" t="s">
        <v>170</v>
      </c>
      <c r="J51" s="16" t="s">
        <v>73</v>
      </c>
      <c r="K51" s="32" t="s">
        <v>74</v>
      </c>
      <c r="L51" s="16">
        <v>92333700</v>
      </c>
      <c r="M51" s="12"/>
    </row>
    <row r="52" spans="1:14" s="6" customFormat="1" x14ac:dyDescent="0.25">
      <c r="A52" s="69">
        <v>2652</v>
      </c>
      <c r="B52" s="70" t="s">
        <v>171</v>
      </c>
      <c r="C52" s="69">
        <v>77.599999999999994</v>
      </c>
      <c r="D52" s="14">
        <v>0.4</v>
      </c>
      <c r="E52" s="15">
        <f t="shared" si="0"/>
        <v>31.04</v>
      </c>
      <c r="F52" s="15">
        <f>E52</f>
        <v>31.04</v>
      </c>
      <c r="G52" s="15">
        <f t="shared" si="1"/>
        <v>0</v>
      </c>
      <c r="H52" s="16">
        <v>23212756</v>
      </c>
      <c r="I52" s="17" t="s">
        <v>172</v>
      </c>
      <c r="J52" s="16" t="s">
        <v>94</v>
      </c>
      <c r="K52" s="182" t="s">
        <v>95</v>
      </c>
      <c r="L52" s="16">
        <v>98509729</v>
      </c>
      <c r="M52" s="225">
        <v>45941</v>
      </c>
    </row>
    <row r="53" spans="1:14" s="6" customFormat="1" x14ac:dyDescent="0.25">
      <c r="A53" s="69">
        <v>2653</v>
      </c>
      <c r="B53" s="70" t="s">
        <v>173</v>
      </c>
      <c r="C53" s="69">
        <v>495.4</v>
      </c>
      <c r="D53" s="14">
        <v>0.4</v>
      </c>
      <c r="E53" s="15">
        <f t="shared" si="0"/>
        <v>198.16</v>
      </c>
      <c r="F53" s="15"/>
      <c r="G53" s="15">
        <f t="shared" si="1"/>
        <v>198.16</v>
      </c>
      <c r="H53" s="16">
        <v>9097024</v>
      </c>
      <c r="I53" s="17" t="s">
        <v>174</v>
      </c>
      <c r="J53" s="16" t="s">
        <v>18</v>
      </c>
      <c r="K53" s="32" t="s">
        <v>19</v>
      </c>
      <c r="L53" s="16">
        <v>95401775</v>
      </c>
      <c r="M53" s="12"/>
    </row>
    <row r="54" spans="1:14" s="6" customFormat="1" x14ac:dyDescent="0.25">
      <c r="A54" s="69">
        <v>2654</v>
      </c>
      <c r="B54" s="70" t="s">
        <v>54</v>
      </c>
      <c r="C54" s="69">
        <v>331.9</v>
      </c>
      <c r="D54" s="14">
        <v>0.4</v>
      </c>
      <c r="E54" s="15">
        <f t="shared" si="0"/>
        <v>132.76</v>
      </c>
      <c r="F54" s="15">
        <f>E54</f>
        <v>132.76</v>
      </c>
      <c r="G54" s="15">
        <f t="shared" si="1"/>
        <v>0</v>
      </c>
      <c r="H54" s="16">
        <v>6073815</v>
      </c>
      <c r="I54" s="17" t="s">
        <v>175</v>
      </c>
      <c r="J54" s="16" t="s">
        <v>18</v>
      </c>
      <c r="K54" s="32" t="s">
        <v>19</v>
      </c>
      <c r="L54" s="16">
        <v>98780007</v>
      </c>
      <c r="M54" s="231">
        <v>45699</v>
      </c>
    </row>
    <row r="55" spans="1:14" s="6" customFormat="1" x14ac:dyDescent="0.25">
      <c r="A55" s="69">
        <v>2655</v>
      </c>
      <c r="B55" s="70" t="s">
        <v>56</v>
      </c>
      <c r="C55" s="69">
        <v>198.4</v>
      </c>
      <c r="D55" s="14">
        <v>0.4</v>
      </c>
      <c r="E55" s="15">
        <f t="shared" si="0"/>
        <v>79.360000000000014</v>
      </c>
      <c r="F55" s="15">
        <f>E55</f>
        <v>79.360000000000014</v>
      </c>
      <c r="G55" s="15">
        <f t="shared" si="1"/>
        <v>0</v>
      </c>
      <c r="H55" s="16">
        <v>20987274</v>
      </c>
      <c r="I55" s="17" t="s">
        <v>176</v>
      </c>
      <c r="J55" s="16" t="s">
        <v>73</v>
      </c>
      <c r="K55" s="32" t="s">
        <v>74</v>
      </c>
      <c r="L55" s="16">
        <v>92526652</v>
      </c>
      <c r="M55" s="225">
        <v>45941</v>
      </c>
    </row>
    <row r="56" spans="1:14" s="120" customFormat="1" x14ac:dyDescent="0.25">
      <c r="A56" s="96">
        <v>2656</v>
      </c>
      <c r="B56" s="97" t="s">
        <v>177</v>
      </c>
      <c r="C56" s="96">
        <v>241.5</v>
      </c>
      <c r="D56" s="98">
        <v>0.4</v>
      </c>
      <c r="E56" s="99">
        <f t="shared" si="0"/>
        <v>96.600000000000009</v>
      </c>
      <c r="F56" s="99">
        <f>96.36+0.24</f>
        <v>96.6</v>
      </c>
      <c r="G56" s="99">
        <f t="shared" si="1"/>
        <v>0</v>
      </c>
      <c r="H56" s="100">
        <v>21910635</v>
      </c>
      <c r="I56" s="101" t="s">
        <v>178</v>
      </c>
      <c r="J56" s="100" t="s">
        <v>18</v>
      </c>
      <c r="K56" s="102" t="s">
        <v>19</v>
      </c>
      <c r="L56" s="100">
        <v>92934362</v>
      </c>
      <c r="M56" s="225">
        <v>45848</v>
      </c>
      <c r="N56" s="231">
        <v>45699</v>
      </c>
    </row>
    <row r="57" spans="1:14" s="6" customFormat="1" x14ac:dyDescent="0.25">
      <c r="A57" s="12">
        <v>2657</v>
      </c>
      <c r="B57" s="13" t="s">
        <v>179</v>
      </c>
      <c r="C57" s="12">
        <v>182.9</v>
      </c>
      <c r="D57" s="14">
        <v>0.4</v>
      </c>
      <c r="E57" s="15">
        <f t="shared" si="0"/>
        <v>73.160000000000011</v>
      </c>
      <c r="F57" s="15">
        <f>E57</f>
        <v>73.160000000000011</v>
      </c>
      <c r="G57" s="15">
        <f t="shared" si="1"/>
        <v>0</v>
      </c>
      <c r="H57" s="16">
        <v>6502761</v>
      </c>
      <c r="I57" s="17" t="s">
        <v>180</v>
      </c>
      <c r="J57" s="16" t="s">
        <v>18</v>
      </c>
      <c r="K57" s="32" t="s">
        <v>19</v>
      </c>
      <c r="L57" s="16">
        <v>98033332</v>
      </c>
      <c r="M57" s="100" t="s">
        <v>372</v>
      </c>
    </row>
    <row r="58" spans="1:14" s="120" customFormat="1" x14ac:dyDescent="0.25">
      <c r="A58" s="96">
        <v>2658</v>
      </c>
      <c r="B58" s="97" t="s">
        <v>181</v>
      </c>
      <c r="C58" s="96">
        <v>172.9</v>
      </c>
      <c r="D58" s="98">
        <v>0.4</v>
      </c>
      <c r="E58" s="99">
        <f t="shared" si="0"/>
        <v>69.160000000000011</v>
      </c>
      <c r="F58" s="99">
        <f>65.66+3.5</f>
        <v>69.16</v>
      </c>
      <c r="G58" s="99">
        <f t="shared" si="1"/>
        <v>0</v>
      </c>
      <c r="H58" s="100">
        <v>6726168</v>
      </c>
      <c r="I58" s="101" t="s">
        <v>182</v>
      </c>
      <c r="J58" s="100" t="s">
        <v>73</v>
      </c>
      <c r="K58" s="102" t="s">
        <v>74</v>
      </c>
      <c r="L58" s="100"/>
      <c r="M58" s="120" t="s">
        <v>359</v>
      </c>
      <c r="N58" s="126" t="s">
        <v>371</v>
      </c>
    </row>
    <row r="59" spans="1:14" s="120" customFormat="1" x14ac:dyDescent="0.25">
      <c r="A59" s="96">
        <v>2659</v>
      </c>
      <c r="B59" s="97" t="s">
        <v>183</v>
      </c>
      <c r="C59" s="96">
        <v>236</v>
      </c>
      <c r="D59" s="98">
        <v>0.4</v>
      </c>
      <c r="E59" s="99">
        <f t="shared" si="0"/>
        <v>94.4</v>
      </c>
      <c r="F59" s="99">
        <f>89.79+4.61</f>
        <v>94.4</v>
      </c>
      <c r="G59" s="99">
        <f t="shared" si="1"/>
        <v>0</v>
      </c>
      <c r="H59" s="100">
        <v>5796837</v>
      </c>
      <c r="I59" s="101" t="s">
        <v>184</v>
      </c>
      <c r="J59" s="100" t="s">
        <v>18</v>
      </c>
      <c r="K59" s="102" t="s">
        <v>19</v>
      </c>
      <c r="L59" s="100"/>
      <c r="M59" s="225">
        <v>45848</v>
      </c>
      <c r="N59" s="126" t="s">
        <v>371</v>
      </c>
    </row>
    <row r="60" spans="1:14" s="120" customFormat="1" x14ac:dyDescent="0.25">
      <c r="A60" s="96">
        <v>2660</v>
      </c>
      <c r="B60" s="97" t="s">
        <v>185</v>
      </c>
      <c r="C60" s="96">
        <v>244</v>
      </c>
      <c r="D60" s="98">
        <v>0.4</v>
      </c>
      <c r="E60" s="99">
        <f t="shared" si="0"/>
        <v>97.600000000000009</v>
      </c>
      <c r="F60" s="99">
        <f>94.41+3.19</f>
        <v>97.6</v>
      </c>
      <c r="G60" s="99">
        <f t="shared" si="1"/>
        <v>0</v>
      </c>
      <c r="H60" s="100">
        <v>7250691</v>
      </c>
      <c r="I60" s="101" t="s">
        <v>186</v>
      </c>
      <c r="J60" s="100" t="s">
        <v>73</v>
      </c>
      <c r="K60" s="102" t="s">
        <v>74</v>
      </c>
      <c r="L60" s="100"/>
      <c r="M60" s="225">
        <v>45970</v>
      </c>
      <c r="N60" s="217">
        <v>45788</v>
      </c>
    </row>
    <row r="61" spans="1:14" s="6" customFormat="1" x14ac:dyDescent="0.25">
      <c r="A61" s="69">
        <v>2661</v>
      </c>
      <c r="B61" s="70" t="s">
        <v>187</v>
      </c>
      <c r="C61" s="69">
        <v>216.1</v>
      </c>
      <c r="D61" s="14">
        <v>0.4</v>
      </c>
      <c r="E61" s="15">
        <f t="shared" si="0"/>
        <v>86.44</v>
      </c>
      <c r="F61" s="15">
        <f>85.97+0.47</f>
        <v>86.44</v>
      </c>
      <c r="G61" s="15">
        <f t="shared" si="1"/>
        <v>0</v>
      </c>
      <c r="H61" s="16">
        <v>24935198</v>
      </c>
      <c r="I61" s="17" t="s">
        <v>188</v>
      </c>
      <c r="J61" s="32" t="s">
        <v>73</v>
      </c>
      <c r="K61" s="32" t="s">
        <v>74</v>
      </c>
      <c r="L61" s="16">
        <v>99101900</v>
      </c>
      <c r="M61" s="100" t="s">
        <v>360</v>
      </c>
      <c r="N61" s="100" t="s">
        <v>389</v>
      </c>
    </row>
    <row r="62" spans="1:14" s="6" customFormat="1" x14ac:dyDescent="0.25">
      <c r="A62" s="12">
        <v>2662</v>
      </c>
      <c r="B62" s="13" t="s">
        <v>189</v>
      </c>
      <c r="C62" s="69">
        <v>423.7</v>
      </c>
      <c r="D62" s="14">
        <v>0.4</v>
      </c>
      <c r="E62" s="15">
        <f t="shared" si="0"/>
        <v>169.48000000000002</v>
      </c>
      <c r="F62" s="15"/>
      <c r="G62" s="15">
        <f t="shared" si="1"/>
        <v>169.48000000000002</v>
      </c>
      <c r="H62" s="16">
        <v>2931011</v>
      </c>
      <c r="I62" s="17" t="s">
        <v>190</v>
      </c>
      <c r="J62" s="16" t="s">
        <v>73</v>
      </c>
      <c r="K62" s="32" t="s">
        <v>74</v>
      </c>
      <c r="L62" s="16">
        <v>92997279</v>
      </c>
      <c r="M62" s="16" t="s">
        <v>22</v>
      </c>
    </row>
    <row r="63" spans="1:14" s="6" customFormat="1" x14ac:dyDescent="0.25">
      <c r="A63" s="69">
        <v>2663</v>
      </c>
      <c r="B63" s="70" t="s">
        <v>191</v>
      </c>
      <c r="C63" s="69">
        <v>338.6</v>
      </c>
      <c r="D63" s="14">
        <v>0.4</v>
      </c>
      <c r="E63" s="15">
        <f t="shared" si="0"/>
        <v>135.44000000000003</v>
      </c>
      <c r="F63" s="15"/>
      <c r="G63" s="15">
        <f t="shared" si="1"/>
        <v>135.44000000000003</v>
      </c>
      <c r="H63" s="16">
        <v>568448</v>
      </c>
      <c r="I63" s="17" t="s">
        <v>192</v>
      </c>
      <c r="J63" s="16" t="s">
        <v>73</v>
      </c>
      <c r="K63" s="32" t="s">
        <v>74</v>
      </c>
      <c r="L63" s="16">
        <v>99298847</v>
      </c>
      <c r="M63" s="16"/>
    </row>
    <row r="64" spans="1:14" s="120" customFormat="1" x14ac:dyDescent="0.25">
      <c r="A64" s="96">
        <v>2665</v>
      </c>
      <c r="B64" s="97" t="s">
        <v>194</v>
      </c>
      <c r="C64" s="96">
        <v>276.89999999999998</v>
      </c>
      <c r="D64" s="98">
        <v>0.4</v>
      </c>
      <c r="E64" s="99">
        <f t="shared" si="0"/>
        <v>110.75999999999999</v>
      </c>
      <c r="F64" s="99">
        <f>110.67+0.09</f>
        <v>110.76</v>
      </c>
      <c r="G64" s="99">
        <f t="shared" si="1"/>
        <v>0</v>
      </c>
      <c r="H64" s="100">
        <v>8467055</v>
      </c>
      <c r="I64" s="101" t="s">
        <v>195</v>
      </c>
      <c r="J64" s="100" t="s">
        <v>73</v>
      </c>
      <c r="K64" s="102" t="s">
        <v>74</v>
      </c>
      <c r="L64" s="100">
        <v>98919778</v>
      </c>
      <c r="M64" s="100" t="s">
        <v>360</v>
      </c>
      <c r="N64" s="225">
        <v>45788</v>
      </c>
    </row>
    <row r="65" spans="1:14" s="35" customFormat="1" x14ac:dyDescent="0.25">
      <c r="A65" s="69">
        <v>2666</v>
      </c>
      <c r="B65" s="70" t="s">
        <v>196</v>
      </c>
      <c r="C65" s="69">
        <v>221.6</v>
      </c>
      <c r="D65" s="14">
        <v>0.4</v>
      </c>
      <c r="E65" s="15">
        <f t="shared" si="0"/>
        <v>88.64</v>
      </c>
      <c r="F65" s="15">
        <f>E65</f>
        <v>88.64</v>
      </c>
      <c r="G65" s="15">
        <f t="shared" si="1"/>
        <v>0</v>
      </c>
      <c r="H65" s="16">
        <v>23188968</v>
      </c>
      <c r="I65" s="17" t="s">
        <v>197</v>
      </c>
      <c r="J65" s="16" t="s">
        <v>73</v>
      </c>
      <c r="K65" s="32" t="s">
        <v>74</v>
      </c>
      <c r="L65" s="16">
        <v>95058843</v>
      </c>
      <c r="M65" s="96" t="s">
        <v>367</v>
      </c>
      <c r="N65" s="6"/>
    </row>
    <row r="66" spans="1:14" s="35" customFormat="1" x14ac:dyDescent="0.25">
      <c r="A66" s="69">
        <v>2667</v>
      </c>
      <c r="B66" s="70" t="s">
        <v>366</v>
      </c>
      <c r="C66" s="69">
        <v>153.69999999999999</v>
      </c>
      <c r="D66" s="14">
        <v>0.4</v>
      </c>
      <c r="E66" s="15">
        <f t="shared" si="0"/>
        <v>61.48</v>
      </c>
      <c r="F66" s="15">
        <f>E66</f>
        <v>61.48</v>
      </c>
      <c r="G66" s="15">
        <f t="shared" si="1"/>
        <v>0</v>
      </c>
      <c r="H66" s="16">
        <v>893206</v>
      </c>
      <c r="I66" s="17" t="s">
        <v>357</v>
      </c>
      <c r="J66" s="16" t="s">
        <v>73</v>
      </c>
      <c r="K66" s="32" t="s">
        <v>74</v>
      </c>
      <c r="L66" s="16">
        <v>92786724</v>
      </c>
      <c r="M66" s="96" t="s">
        <v>367</v>
      </c>
      <c r="N66" s="6"/>
    </row>
    <row r="67" spans="1:14" s="35" customFormat="1" x14ac:dyDescent="0.25">
      <c r="A67" s="69">
        <v>2668</v>
      </c>
      <c r="B67" s="70" t="s">
        <v>200</v>
      </c>
      <c r="C67" s="69">
        <v>193.3</v>
      </c>
      <c r="D67" s="14">
        <v>0.4</v>
      </c>
      <c r="E67" s="15">
        <f t="shared" si="0"/>
        <v>77.320000000000007</v>
      </c>
      <c r="F67" s="15"/>
      <c r="G67" s="15">
        <f t="shared" si="1"/>
        <v>77.320000000000007</v>
      </c>
      <c r="H67" s="16">
        <v>8542496</v>
      </c>
      <c r="I67" s="17" t="s">
        <v>201</v>
      </c>
      <c r="J67" s="16" t="s">
        <v>73</v>
      </c>
      <c r="K67" s="32" t="s">
        <v>74</v>
      </c>
      <c r="L67" s="16">
        <v>99295329</v>
      </c>
      <c r="M67" s="12"/>
      <c r="N67" s="6"/>
    </row>
    <row r="68" spans="1:14" s="35" customFormat="1" x14ac:dyDescent="0.25">
      <c r="A68" s="69">
        <v>2669</v>
      </c>
      <c r="B68" s="70" t="s">
        <v>202</v>
      </c>
      <c r="C68" s="69">
        <v>207.6</v>
      </c>
      <c r="D68" s="14">
        <v>0.4</v>
      </c>
      <c r="E68" s="15">
        <f t="shared" ref="E68:E127" si="2">C68*D68</f>
        <v>83.04</v>
      </c>
      <c r="F68" s="15">
        <f>E68</f>
        <v>83.04</v>
      </c>
      <c r="G68" s="15">
        <f t="shared" si="1"/>
        <v>0</v>
      </c>
      <c r="H68" s="16">
        <v>6460241</v>
      </c>
      <c r="I68" s="17" t="s">
        <v>203</v>
      </c>
      <c r="J68" s="16" t="s">
        <v>18</v>
      </c>
      <c r="K68" s="32" t="s">
        <v>19</v>
      </c>
      <c r="L68" s="16">
        <v>92550479</v>
      </c>
      <c r="M68" s="96" t="s">
        <v>382</v>
      </c>
      <c r="N68" s="6"/>
    </row>
    <row r="69" spans="1:14" s="35" customFormat="1" x14ac:dyDescent="0.25">
      <c r="A69" s="69">
        <v>2670</v>
      </c>
      <c r="B69" s="70" t="s">
        <v>205</v>
      </c>
      <c r="C69" s="69">
        <v>210</v>
      </c>
      <c r="D69" s="14">
        <v>0.4</v>
      </c>
      <c r="E69" s="15">
        <f t="shared" si="2"/>
        <v>84</v>
      </c>
      <c r="F69" s="15"/>
      <c r="G69" s="15">
        <f t="shared" ref="G69:G127" si="3">E69-F69</f>
        <v>84</v>
      </c>
      <c r="H69" s="16">
        <v>1481996</v>
      </c>
      <c r="I69" s="17" t="s">
        <v>206</v>
      </c>
      <c r="J69" s="16" t="s">
        <v>94</v>
      </c>
      <c r="K69" s="182" t="s">
        <v>95</v>
      </c>
      <c r="L69" s="16">
        <v>99491404</v>
      </c>
      <c r="M69" s="12"/>
      <c r="N69" s="6"/>
    </row>
    <row r="70" spans="1:14" s="35" customFormat="1" x14ac:dyDescent="0.25">
      <c r="A70" s="69">
        <v>2671</v>
      </c>
      <c r="B70" s="70" t="s">
        <v>207</v>
      </c>
      <c r="C70" s="69">
        <v>214.6</v>
      </c>
      <c r="D70" s="14">
        <v>0.4</v>
      </c>
      <c r="E70" s="15">
        <f t="shared" si="2"/>
        <v>85.84</v>
      </c>
      <c r="F70" s="15"/>
      <c r="G70" s="15">
        <f t="shared" si="3"/>
        <v>85.84</v>
      </c>
      <c r="H70" s="16">
        <v>19595084</v>
      </c>
      <c r="I70" s="17" t="s">
        <v>208</v>
      </c>
      <c r="J70" s="16" t="s">
        <v>73</v>
      </c>
      <c r="K70" s="32" t="s">
        <v>74</v>
      </c>
      <c r="L70" s="16">
        <v>92921404</v>
      </c>
      <c r="M70" s="12"/>
      <c r="N70" s="6"/>
    </row>
    <row r="71" spans="1:14" s="35" customFormat="1" x14ac:dyDescent="0.25">
      <c r="A71" s="69">
        <v>2672</v>
      </c>
      <c r="B71" s="70" t="s">
        <v>209</v>
      </c>
      <c r="C71" s="69">
        <v>118.7</v>
      </c>
      <c r="D71" s="14">
        <v>0.4</v>
      </c>
      <c r="E71" s="15">
        <f t="shared" si="2"/>
        <v>47.480000000000004</v>
      </c>
      <c r="F71" s="15"/>
      <c r="G71" s="15">
        <f t="shared" si="3"/>
        <v>47.480000000000004</v>
      </c>
      <c r="H71" s="33">
        <v>21469064</v>
      </c>
      <c r="I71" s="17" t="s">
        <v>210</v>
      </c>
      <c r="J71" s="33" t="s">
        <v>73</v>
      </c>
      <c r="K71" s="184" t="s">
        <v>74</v>
      </c>
      <c r="L71" s="16">
        <v>93316559</v>
      </c>
      <c r="M71" s="12"/>
      <c r="N71" s="6"/>
    </row>
    <row r="72" spans="1:14" s="35" customFormat="1" x14ac:dyDescent="0.25">
      <c r="A72" s="57">
        <v>2673</v>
      </c>
      <c r="B72" s="13" t="s">
        <v>58</v>
      </c>
      <c r="C72" s="12">
        <v>208.1</v>
      </c>
      <c r="D72" s="14">
        <v>0.4</v>
      </c>
      <c r="E72" s="15">
        <f t="shared" si="2"/>
        <v>83.240000000000009</v>
      </c>
      <c r="F72" s="15"/>
      <c r="G72" s="15">
        <f t="shared" si="3"/>
        <v>83.240000000000009</v>
      </c>
      <c r="H72" s="33">
        <v>8393437</v>
      </c>
      <c r="I72" s="17">
        <v>401002466590016</v>
      </c>
      <c r="J72" s="33" t="s">
        <v>73</v>
      </c>
      <c r="K72" s="184" t="s">
        <v>74</v>
      </c>
      <c r="L72" s="16"/>
      <c r="M72" s="12"/>
      <c r="N72" s="6"/>
    </row>
    <row r="73" spans="1:14" s="6" customFormat="1" x14ac:dyDescent="0.25">
      <c r="A73" s="69">
        <v>2674</v>
      </c>
      <c r="B73" s="70" t="s">
        <v>37</v>
      </c>
      <c r="C73" s="12">
        <v>246.4</v>
      </c>
      <c r="D73" s="14">
        <v>0.4</v>
      </c>
      <c r="E73" s="15">
        <f t="shared" si="2"/>
        <v>98.56</v>
      </c>
      <c r="F73" s="15">
        <f>E73</f>
        <v>98.56</v>
      </c>
      <c r="G73" s="15">
        <f t="shared" si="3"/>
        <v>0</v>
      </c>
      <c r="H73" s="16">
        <v>6332118</v>
      </c>
      <c r="I73" s="17" t="s">
        <v>211</v>
      </c>
      <c r="J73" s="16" t="s">
        <v>18</v>
      </c>
      <c r="K73" s="32" t="s">
        <v>19</v>
      </c>
      <c r="L73" s="16">
        <v>98930047</v>
      </c>
      <c r="M73" s="231">
        <v>45699</v>
      </c>
    </row>
    <row r="74" spans="1:14" s="6" customFormat="1" x14ac:dyDescent="0.25">
      <c r="A74" s="69">
        <v>2675</v>
      </c>
      <c r="B74" s="70" t="s">
        <v>39</v>
      </c>
      <c r="C74" s="69">
        <v>224</v>
      </c>
      <c r="D74" s="14">
        <v>0.4</v>
      </c>
      <c r="E74" s="15">
        <f t="shared" si="2"/>
        <v>89.600000000000009</v>
      </c>
      <c r="F74" s="15">
        <f>E74</f>
        <v>89.600000000000009</v>
      </c>
      <c r="G74" s="15">
        <f t="shared" si="3"/>
        <v>0</v>
      </c>
      <c r="H74" s="16">
        <v>6332123</v>
      </c>
      <c r="I74" s="17" t="s">
        <v>212</v>
      </c>
      <c r="J74" s="16" t="s">
        <v>73</v>
      </c>
      <c r="K74" s="32" t="s">
        <v>74</v>
      </c>
      <c r="L74" s="16">
        <v>98777808</v>
      </c>
      <c r="M74" s="231">
        <v>45699</v>
      </c>
    </row>
    <row r="75" spans="1:14" s="6" customFormat="1" x14ac:dyDescent="0.25">
      <c r="A75" s="12">
        <v>2676</v>
      </c>
      <c r="B75" s="13" t="s">
        <v>59</v>
      </c>
      <c r="C75" s="69">
        <v>164.1</v>
      </c>
      <c r="D75" s="14">
        <v>0.4</v>
      </c>
      <c r="E75" s="15">
        <f t="shared" si="2"/>
        <v>65.64</v>
      </c>
      <c r="F75" s="15"/>
      <c r="G75" s="15">
        <f t="shared" si="3"/>
        <v>65.64</v>
      </c>
      <c r="H75" s="32">
        <v>568083</v>
      </c>
      <c r="I75" s="17" t="s">
        <v>213</v>
      </c>
      <c r="J75" s="32" t="s">
        <v>76</v>
      </c>
      <c r="K75" s="182" t="s">
        <v>77</v>
      </c>
      <c r="L75" s="16">
        <v>98146666</v>
      </c>
      <c r="M75" s="12"/>
    </row>
    <row r="76" spans="1:14" s="120" customFormat="1" x14ac:dyDescent="0.25">
      <c r="A76" s="96">
        <v>2677</v>
      </c>
      <c r="B76" s="97" t="s">
        <v>214</v>
      </c>
      <c r="C76" s="96">
        <v>198.7</v>
      </c>
      <c r="D76" s="98">
        <v>0.4</v>
      </c>
      <c r="E76" s="99">
        <f t="shared" si="2"/>
        <v>79.48</v>
      </c>
      <c r="F76" s="99">
        <f>78.53+0.95</f>
        <v>79.48</v>
      </c>
      <c r="G76" s="99">
        <f t="shared" si="3"/>
        <v>0</v>
      </c>
      <c r="H76" s="102">
        <v>7031534</v>
      </c>
      <c r="I76" s="101" t="s">
        <v>215</v>
      </c>
      <c r="J76" s="100" t="s">
        <v>73</v>
      </c>
      <c r="K76" s="102" t="s">
        <v>74</v>
      </c>
      <c r="L76" s="100">
        <v>92995115</v>
      </c>
      <c r="M76" s="225">
        <v>45848</v>
      </c>
      <c r="N76" s="96" t="s">
        <v>351</v>
      </c>
    </row>
    <row r="77" spans="1:14" s="120" customFormat="1" x14ac:dyDescent="0.25">
      <c r="A77" s="96">
        <v>2678</v>
      </c>
      <c r="B77" s="97" t="s">
        <v>216</v>
      </c>
      <c r="C77" s="96">
        <v>414.4</v>
      </c>
      <c r="D77" s="98">
        <v>0.4</v>
      </c>
      <c r="E77" s="99">
        <f t="shared" si="2"/>
        <v>165.76</v>
      </c>
      <c r="F77" s="99">
        <f>164.29+1.47</f>
        <v>165.76</v>
      </c>
      <c r="G77" s="99">
        <f t="shared" si="3"/>
        <v>0</v>
      </c>
      <c r="H77" s="102">
        <v>7211987</v>
      </c>
      <c r="I77" s="101" t="s">
        <v>217</v>
      </c>
      <c r="J77" s="100" t="s">
        <v>73</v>
      </c>
      <c r="K77" s="102" t="s">
        <v>74</v>
      </c>
      <c r="L77" s="100"/>
      <c r="M77" s="100" t="s">
        <v>360</v>
      </c>
      <c r="N77" s="217">
        <v>45727</v>
      </c>
    </row>
    <row r="78" spans="1:14" s="6" customFormat="1" x14ac:dyDescent="0.25">
      <c r="A78" s="69">
        <v>2680</v>
      </c>
      <c r="B78" s="70" t="s">
        <v>218</v>
      </c>
      <c r="C78" s="69">
        <v>123.8</v>
      </c>
      <c r="D78" s="14">
        <v>0.4</v>
      </c>
      <c r="E78" s="15">
        <f t="shared" si="2"/>
        <v>49.52</v>
      </c>
      <c r="F78" s="15">
        <f>E78</f>
        <v>49.52</v>
      </c>
      <c r="G78" s="15">
        <f t="shared" si="3"/>
        <v>0</v>
      </c>
      <c r="H78" s="32">
        <v>553684</v>
      </c>
      <c r="I78" s="17">
        <v>1010125978001</v>
      </c>
      <c r="J78" s="16" t="s">
        <v>80</v>
      </c>
      <c r="K78" s="32" t="s">
        <v>219</v>
      </c>
      <c r="L78" s="16">
        <v>98279480</v>
      </c>
      <c r="M78" s="126" t="s">
        <v>370</v>
      </c>
    </row>
    <row r="79" spans="1:14" s="6" customFormat="1" x14ac:dyDescent="0.25">
      <c r="A79" s="69">
        <v>2681</v>
      </c>
      <c r="B79" s="70" t="s">
        <v>61</v>
      </c>
      <c r="C79" s="69">
        <v>231.4</v>
      </c>
      <c r="D79" s="14">
        <v>0.4</v>
      </c>
      <c r="E79" s="15">
        <f t="shared" si="2"/>
        <v>92.56</v>
      </c>
      <c r="F79" s="15">
        <f>E79</f>
        <v>92.56</v>
      </c>
      <c r="G79" s="15">
        <f t="shared" si="3"/>
        <v>0</v>
      </c>
      <c r="H79" s="32">
        <v>23172723</v>
      </c>
      <c r="I79" s="17" t="s">
        <v>221</v>
      </c>
      <c r="J79" s="32" t="s">
        <v>73</v>
      </c>
      <c r="K79" s="32" t="s">
        <v>74</v>
      </c>
      <c r="L79" s="16">
        <v>93635099</v>
      </c>
      <c r="M79" s="126" t="s">
        <v>371</v>
      </c>
    </row>
    <row r="80" spans="1:14" s="6" customFormat="1" x14ac:dyDescent="0.25">
      <c r="A80" s="69">
        <v>2682</v>
      </c>
      <c r="B80" s="70" t="s">
        <v>222</v>
      </c>
      <c r="C80" s="69">
        <v>206.5</v>
      </c>
      <c r="D80" s="14">
        <v>0.4</v>
      </c>
      <c r="E80" s="15">
        <f t="shared" si="2"/>
        <v>82.600000000000009</v>
      </c>
      <c r="F80" s="15"/>
      <c r="G80" s="15">
        <f t="shared" si="3"/>
        <v>82.600000000000009</v>
      </c>
      <c r="H80" s="32">
        <v>1356383</v>
      </c>
      <c r="I80" s="17" t="s">
        <v>223</v>
      </c>
      <c r="J80" s="32" t="s">
        <v>80</v>
      </c>
      <c r="K80" s="32" t="s">
        <v>81</v>
      </c>
      <c r="L80" s="16"/>
      <c r="M80" s="111"/>
    </row>
    <row r="81" spans="1:14" x14ac:dyDescent="0.25">
      <c r="A81" s="69">
        <v>2683</v>
      </c>
      <c r="B81" s="70" t="s">
        <v>224</v>
      </c>
      <c r="C81" s="69">
        <v>429.8</v>
      </c>
      <c r="D81" s="14">
        <v>0.4</v>
      </c>
      <c r="E81" s="15">
        <f t="shared" si="2"/>
        <v>171.92000000000002</v>
      </c>
      <c r="F81" s="15"/>
      <c r="G81" s="15">
        <f t="shared" si="3"/>
        <v>171.92000000000002</v>
      </c>
      <c r="H81" s="32">
        <v>5912206</v>
      </c>
      <c r="I81" s="17" t="s">
        <v>225</v>
      </c>
      <c r="J81" s="16" t="s">
        <v>73</v>
      </c>
      <c r="K81" s="32" t="s">
        <v>74</v>
      </c>
      <c r="L81" s="16">
        <v>92704591</v>
      </c>
      <c r="M81" s="111"/>
    </row>
    <row r="82" spans="1:14" s="6" customFormat="1" x14ac:dyDescent="0.25">
      <c r="A82" s="69">
        <v>2684</v>
      </c>
      <c r="B82" s="70" t="s">
        <v>226</v>
      </c>
      <c r="C82" s="69">
        <v>25.4</v>
      </c>
      <c r="D82" s="14">
        <v>0.4</v>
      </c>
      <c r="E82" s="15">
        <f t="shared" si="2"/>
        <v>10.16</v>
      </c>
      <c r="F82" s="15">
        <f>E82</f>
        <v>10.16</v>
      </c>
      <c r="G82" s="15">
        <f t="shared" si="3"/>
        <v>0</v>
      </c>
      <c r="H82" s="79">
        <v>4768041</v>
      </c>
      <c r="I82" s="183" t="s">
        <v>227</v>
      </c>
      <c r="J82" s="78" t="s">
        <v>73</v>
      </c>
      <c r="K82" s="79" t="s">
        <v>74</v>
      </c>
      <c r="L82" s="78">
        <v>99697032</v>
      </c>
      <c r="M82" s="294" t="s">
        <v>383</v>
      </c>
    </row>
    <row r="83" spans="1:14" s="120" customFormat="1" x14ac:dyDescent="0.25">
      <c r="A83" s="96">
        <v>2685</v>
      </c>
      <c r="B83" s="97" t="s">
        <v>228</v>
      </c>
      <c r="C83" s="96">
        <v>139.19999999999999</v>
      </c>
      <c r="D83" s="98">
        <v>0.4</v>
      </c>
      <c r="E83" s="99">
        <f t="shared" si="2"/>
        <v>55.68</v>
      </c>
      <c r="F83" s="99">
        <f>52.75+2.93</f>
        <v>55.68</v>
      </c>
      <c r="G83" s="99">
        <f t="shared" si="3"/>
        <v>0</v>
      </c>
      <c r="H83" s="102">
        <v>25026854</v>
      </c>
      <c r="I83" s="101" t="s">
        <v>229</v>
      </c>
      <c r="J83" s="100" t="s">
        <v>18</v>
      </c>
      <c r="K83" s="102" t="s">
        <v>19</v>
      </c>
      <c r="L83" s="100">
        <v>96124005</v>
      </c>
      <c r="M83" s="231">
        <v>45818</v>
      </c>
      <c r="N83" s="231">
        <v>45699</v>
      </c>
    </row>
    <row r="84" spans="1:14" s="6" customFormat="1" x14ac:dyDescent="0.25">
      <c r="A84" s="69">
        <v>2686</v>
      </c>
      <c r="B84" s="70" t="s">
        <v>230</v>
      </c>
      <c r="C84" s="36">
        <v>314</v>
      </c>
      <c r="D84" s="14">
        <v>0.4</v>
      </c>
      <c r="E84" s="15">
        <f t="shared" si="2"/>
        <v>125.60000000000001</v>
      </c>
      <c r="F84" s="15"/>
      <c r="G84" s="15">
        <f t="shared" si="3"/>
        <v>125.60000000000001</v>
      </c>
      <c r="H84" s="32">
        <v>6064295</v>
      </c>
      <c r="I84" s="17" t="s">
        <v>231</v>
      </c>
      <c r="J84" s="16" t="s">
        <v>73</v>
      </c>
      <c r="K84" s="32" t="s">
        <v>74</v>
      </c>
      <c r="L84" s="16"/>
      <c r="M84" s="111"/>
    </row>
    <row r="85" spans="1:14" s="6" customFormat="1" x14ac:dyDescent="0.25">
      <c r="A85" s="69">
        <v>2687</v>
      </c>
      <c r="B85" s="112" t="s">
        <v>62</v>
      </c>
      <c r="C85" s="36">
        <v>214.3</v>
      </c>
      <c r="D85" s="14">
        <v>0.4</v>
      </c>
      <c r="E85" s="15">
        <f t="shared" si="2"/>
        <v>85.720000000000013</v>
      </c>
      <c r="F85" s="15"/>
      <c r="G85" s="15">
        <f t="shared" si="3"/>
        <v>85.720000000000013</v>
      </c>
      <c r="H85" s="32">
        <v>14175595</v>
      </c>
      <c r="I85" s="17" t="s">
        <v>232</v>
      </c>
      <c r="J85" s="16" t="s">
        <v>76</v>
      </c>
      <c r="K85" s="182" t="s">
        <v>77</v>
      </c>
      <c r="L85" s="16">
        <v>99531669</v>
      </c>
      <c r="M85" s="33" t="s">
        <v>22</v>
      </c>
    </row>
    <row r="86" spans="1:14" s="120" customFormat="1" x14ac:dyDescent="0.25">
      <c r="A86" s="96">
        <v>2688</v>
      </c>
      <c r="B86" s="100" t="s">
        <v>234</v>
      </c>
      <c r="C86" s="124">
        <v>299.89999999999998</v>
      </c>
      <c r="D86" s="98">
        <v>0.4</v>
      </c>
      <c r="E86" s="99">
        <f t="shared" si="2"/>
        <v>119.96</v>
      </c>
      <c r="F86" s="99">
        <f>119.32+0.64</f>
        <v>119.96</v>
      </c>
      <c r="G86" s="99">
        <f t="shared" si="3"/>
        <v>0</v>
      </c>
      <c r="H86" s="102">
        <v>18647005</v>
      </c>
      <c r="I86" s="101" t="s">
        <v>235</v>
      </c>
      <c r="J86" s="100" t="s">
        <v>73</v>
      </c>
      <c r="K86" s="102" t="s">
        <v>74</v>
      </c>
      <c r="L86" s="100"/>
      <c r="M86" s="126" t="s">
        <v>359</v>
      </c>
      <c r="N86" s="126" t="s">
        <v>371</v>
      </c>
    </row>
    <row r="87" spans="1:14" s="120" customFormat="1" x14ac:dyDescent="0.25">
      <c r="A87" s="96">
        <v>2689</v>
      </c>
      <c r="B87" s="100" t="s">
        <v>236</v>
      </c>
      <c r="C87" s="124">
        <v>277.8</v>
      </c>
      <c r="D87" s="98">
        <v>0.4</v>
      </c>
      <c r="E87" s="99">
        <f t="shared" si="2"/>
        <v>111.12</v>
      </c>
      <c r="F87" s="99">
        <f>110.53+0.59</f>
        <v>111.12</v>
      </c>
      <c r="G87" s="99">
        <f t="shared" si="3"/>
        <v>0</v>
      </c>
      <c r="H87" s="102">
        <v>1527206</v>
      </c>
      <c r="I87" s="101" t="s">
        <v>237</v>
      </c>
      <c r="J87" s="100" t="s">
        <v>73</v>
      </c>
      <c r="K87" s="102" t="s">
        <v>74</v>
      </c>
      <c r="L87" s="100"/>
      <c r="M87" s="126" t="s">
        <v>358</v>
      </c>
      <c r="N87" s="270" t="s">
        <v>367</v>
      </c>
    </row>
    <row r="88" spans="1:14" s="120" customFormat="1" x14ac:dyDescent="0.25">
      <c r="A88" s="96">
        <v>2690</v>
      </c>
      <c r="B88" s="100" t="s">
        <v>238</v>
      </c>
      <c r="C88" s="124">
        <v>338.1</v>
      </c>
      <c r="D88" s="98">
        <v>0.4</v>
      </c>
      <c r="E88" s="99">
        <f t="shared" si="2"/>
        <v>135.24</v>
      </c>
      <c r="F88" s="99">
        <f>E88</f>
        <v>135.24</v>
      </c>
      <c r="G88" s="99">
        <f t="shared" si="3"/>
        <v>0</v>
      </c>
      <c r="H88" s="102">
        <v>7376171</v>
      </c>
      <c r="I88" s="101" t="s">
        <v>239</v>
      </c>
      <c r="J88" s="100" t="s">
        <v>80</v>
      </c>
      <c r="K88" s="102" t="s">
        <v>81</v>
      </c>
      <c r="L88" s="100"/>
      <c r="M88" s="126" t="s">
        <v>364</v>
      </c>
    </row>
    <row r="89" spans="1:14" s="120" customFormat="1" x14ac:dyDescent="0.25">
      <c r="A89" s="96">
        <v>2691</v>
      </c>
      <c r="B89" s="100" t="s">
        <v>240</v>
      </c>
      <c r="C89" s="124">
        <v>280.89999999999998</v>
      </c>
      <c r="D89" s="98">
        <v>0.4</v>
      </c>
      <c r="E89" s="99">
        <f t="shared" si="2"/>
        <v>112.36</v>
      </c>
      <c r="F89" s="99">
        <f>109.64+2.72</f>
        <v>112.36</v>
      </c>
      <c r="G89" s="99">
        <f t="shared" si="3"/>
        <v>0</v>
      </c>
      <c r="H89" s="102">
        <v>7376203</v>
      </c>
      <c r="I89" s="101" t="s">
        <v>241</v>
      </c>
      <c r="J89" s="100" t="s">
        <v>73</v>
      </c>
      <c r="K89" s="102" t="s">
        <v>74</v>
      </c>
      <c r="L89" s="100"/>
      <c r="M89" s="126" t="s">
        <v>358</v>
      </c>
      <c r="N89" s="270" t="s">
        <v>367</v>
      </c>
    </row>
    <row r="90" spans="1:14" s="120" customFormat="1" x14ac:dyDescent="0.25">
      <c r="A90" s="96">
        <v>2692</v>
      </c>
      <c r="B90" s="100" t="s">
        <v>243</v>
      </c>
      <c r="C90" s="124">
        <v>334.5</v>
      </c>
      <c r="D90" s="98">
        <v>0.4</v>
      </c>
      <c r="E90" s="99">
        <f t="shared" si="2"/>
        <v>133.80000000000001</v>
      </c>
      <c r="F90" s="99">
        <f>132.79+1.01</f>
        <v>133.79999999999998</v>
      </c>
      <c r="G90" s="99">
        <f t="shared" si="3"/>
        <v>0</v>
      </c>
      <c r="H90" s="102">
        <v>626838</v>
      </c>
      <c r="I90" s="101" t="s">
        <v>244</v>
      </c>
      <c r="J90" s="100" t="s">
        <v>73</v>
      </c>
      <c r="K90" s="102" t="s">
        <v>74</v>
      </c>
      <c r="L90" s="100"/>
      <c r="M90" s="100" t="s">
        <v>360</v>
      </c>
      <c r="N90" s="231">
        <v>46002</v>
      </c>
    </row>
    <row r="91" spans="1:14" s="120" customFormat="1" x14ac:dyDescent="0.25">
      <c r="A91" s="96">
        <v>2693</v>
      </c>
      <c r="B91" s="100" t="s">
        <v>245</v>
      </c>
      <c r="C91" s="124">
        <v>225.5</v>
      </c>
      <c r="D91" s="98">
        <v>0.4</v>
      </c>
      <c r="E91" s="99">
        <f t="shared" si="2"/>
        <v>90.2</v>
      </c>
      <c r="F91" s="99">
        <f>87.1+3.1</f>
        <v>90.199999999999989</v>
      </c>
      <c r="G91" s="99">
        <f t="shared" si="3"/>
        <v>0</v>
      </c>
      <c r="H91" s="102">
        <v>20233513</v>
      </c>
      <c r="I91" s="101" t="s">
        <v>246</v>
      </c>
      <c r="J91" s="100" t="s">
        <v>73</v>
      </c>
      <c r="K91" s="102" t="s">
        <v>74</v>
      </c>
      <c r="L91" s="100">
        <v>99669614</v>
      </c>
      <c r="M91" s="100" t="s">
        <v>360</v>
      </c>
      <c r="N91" s="231">
        <v>46002</v>
      </c>
    </row>
    <row r="92" spans="1:14" s="120" customFormat="1" x14ac:dyDescent="0.25">
      <c r="A92" s="96">
        <v>2694</v>
      </c>
      <c r="B92" s="100" t="s">
        <v>248</v>
      </c>
      <c r="C92" s="124">
        <v>41.7</v>
      </c>
      <c r="D92" s="98">
        <v>0.4</v>
      </c>
      <c r="E92" s="99">
        <f t="shared" si="2"/>
        <v>16.680000000000003</v>
      </c>
      <c r="F92" s="99">
        <f>E92</f>
        <v>16.680000000000003</v>
      </c>
      <c r="G92" s="99">
        <f t="shared" si="3"/>
        <v>0</v>
      </c>
      <c r="H92" s="102">
        <v>18620904</v>
      </c>
      <c r="I92" s="101" t="s">
        <v>249</v>
      </c>
      <c r="J92" s="100" t="s">
        <v>80</v>
      </c>
      <c r="K92" s="102" t="s">
        <v>81</v>
      </c>
      <c r="L92" s="100">
        <v>98255331</v>
      </c>
      <c r="M92" s="126" t="s">
        <v>368</v>
      </c>
    </row>
    <row r="93" spans="1:14" s="120" customFormat="1" x14ac:dyDescent="0.25">
      <c r="A93" s="96">
        <v>2697</v>
      </c>
      <c r="B93" s="100" t="s">
        <v>250</v>
      </c>
      <c r="C93" s="124">
        <v>189.8</v>
      </c>
      <c r="D93" s="98">
        <v>0.4</v>
      </c>
      <c r="E93" s="99">
        <f t="shared" si="2"/>
        <v>75.92</v>
      </c>
      <c r="F93" s="99">
        <f>73.41+2.51</f>
        <v>75.92</v>
      </c>
      <c r="G93" s="99">
        <f t="shared" si="3"/>
        <v>0</v>
      </c>
      <c r="H93" s="102">
        <v>24992357</v>
      </c>
      <c r="I93" s="101" t="s">
        <v>251</v>
      </c>
      <c r="J93" s="100" t="s">
        <v>73</v>
      </c>
      <c r="K93" s="102" t="s">
        <v>74</v>
      </c>
      <c r="L93" s="100">
        <v>96581299</v>
      </c>
      <c r="M93" s="100" t="s">
        <v>360</v>
      </c>
      <c r="N93" s="231">
        <v>46002</v>
      </c>
    </row>
    <row r="94" spans="1:14" s="120" customFormat="1" x14ac:dyDescent="0.25">
      <c r="A94" s="96">
        <v>2698</v>
      </c>
      <c r="B94" s="100" t="s">
        <v>63</v>
      </c>
      <c r="C94" s="124">
        <v>398.8</v>
      </c>
      <c r="D94" s="98">
        <v>0.4</v>
      </c>
      <c r="E94" s="99">
        <f t="shared" si="2"/>
        <v>159.52000000000001</v>
      </c>
      <c r="F94" s="99">
        <f>E94</f>
        <v>159.52000000000001</v>
      </c>
      <c r="G94" s="99">
        <f t="shared" si="3"/>
        <v>0</v>
      </c>
      <c r="H94" s="102">
        <v>21332246</v>
      </c>
      <c r="I94" s="101" t="s">
        <v>252</v>
      </c>
      <c r="J94" s="100" t="s">
        <v>73</v>
      </c>
      <c r="K94" s="102" t="s">
        <v>74</v>
      </c>
      <c r="L94" s="100">
        <v>98260073</v>
      </c>
      <c r="M94" s="126" t="s">
        <v>364</v>
      </c>
    </row>
    <row r="95" spans="1:14" s="120" customFormat="1" x14ac:dyDescent="0.25">
      <c r="A95" s="96">
        <v>2699</v>
      </c>
      <c r="B95" s="100" t="s">
        <v>253</v>
      </c>
      <c r="C95" s="124">
        <v>230.9</v>
      </c>
      <c r="D95" s="98">
        <v>0.4</v>
      </c>
      <c r="E95" s="99">
        <f t="shared" si="2"/>
        <v>92.360000000000014</v>
      </c>
      <c r="F95" s="99">
        <f>88.4+3.96</f>
        <v>92.36</v>
      </c>
      <c r="G95" s="99">
        <f t="shared" si="3"/>
        <v>0</v>
      </c>
      <c r="H95" s="102">
        <v>5031003</v>
      </c>
      <c r="I95" s="101">
        <v>1006555153017</v>
      </c>
      <c r="J95" s="100" t="s">
        <v>18</v>
      </c>
      <c r="K95" s="102" t="s">
        <v>19</v>
      </c>
      <c r="L95" s="100">
        <v>98129999</v>
      </c>
      <c r="M95" s="100" t="s">
        <v>360</v>
      </c>
      <c r="N95" s="100" t="s">
        <v>389</v>
      </c>
    </row>
    <row r="96" spans="1:14" s="6" customFormat="1" x14ac:dyDescent="0.25">
      <c r="A96" s="69">
        <v>2700</v>
      </c>
      <c r="B96" s="16" t="s">
        <v>254</v>
      </c>
      <c r="C96" s="36"/>
      <c r="D96" s="14">
        <v>0.4</v>
      </c>
      <c r="E96" s="15">
        <f t="shared" si="2"/>
        <v>0</v>
      </c>
      <c r="F96" s="15"/>
      <c r="G96" s="15">
        <f t="shared" si="3"/>
        <v>0</v>
      </c>
      <c r="H96" s="32">
        <v>2216024</v>
      </c>
      <c r="I96" s="17" t="s">
        <v>255</v>
      </c>
      <c r="J96" s="16" t="s">
        <v>73</v>
      </c>
      <c r="K96" s="32" t="s">
        <v>74</v>
      </c>
      <c r="L96" s="16">
        <v>99093696</v>
      </c>
      <c r="M96" s="33"/>
    </row>
    <row r="97" spans="1:14" s="120" customFormat="1" x14ac:dyDescent="0.25">
      <c r="A97" s="96">
        <v>2702</v>
      </c>
      <c r="B97" s="100" t="s">
        <v>256</v>
      </c>
      <c r="C97" s="124">
        <v>448</v>
      </c>
      <c r="D97" s="98">
        <v>0.4</v>
      </c>
      <c r="E97" s="99">
        <f t="shared" si="2"/>
        <v>179.20000000000002</v>
      </c>
      <c r="F97" s="99">
        <f>177.1+2.1</f>
        <v>179.2</v>
      </c>
      <c r="G97" s="99">
        <f t="shared" si="3"/>
        <v>0</v>
      </c>
      <c r="H97" s="102">
        <v>2045458</v>
      </c>
      <c r="I97" s="101" t="s">
        <v>257</v>
      </c>
      <c r="J97" s="100" t="s">
        <v>80</v>
      </c>
      <c r="K97" s="102" t="s">
        <v>81</v>
      </c>
      <c r="L97" s="100">
        <v>99282287</v>
      </c>
      <c r="M97" s="126" t="s">
        <v>358</v>
      </c>
      <c r="N97" s="219">
        <v>45788</v>
      </c>
    </row>
    <row r="98" spans="1:14" s="6" customFormat="1" x14ac:dyDescent="0.25">
      <c r="A98" s="69">
        <v>2703</v>
      </c>
      <c r="B98" s="16" t="s">
        <v>258</v>
      </c>
      <c r="C98" s="36">
        <v>131.69999999999999</v>
      </c>
      <c r="D98" s="14">
        <v>0.4</v>
      </c>
      <c r="E98" s="15">
        <f t="shared" si="2"/>
        <v>52.68</v>
      </c>
      <c r="F98" s="15"/>
      <c r="G98" s="15">
        <f t="shared" si="3"/>
        <v>52.68</v>
      </c>
      <c r="H98" s="32">
        <v>652182</v>
      </c>
      <c r="I98" s="17" t="s">
        <v>259</v>
      </c>
      <c r="J98" s="16" t="s">
        <v>73</v>
      </c>
      <c r="K98" s="32" t="s">
        <v>74</v>
      </c>
      <c r="L98" s="16">
        <v>99982977</v>
      </c>
      <c r="M98" s="33"/>
    </row>
    <row r="99" spans="1:14" s="6" customFormat="1" x14ac:dyDescent="0.25">
      <c r="A99" s="69">
        <v>2706</v>
      </c>
      <c r="B99" s="16" t="s">
        <v>260</v>
      </c>
      <c r="C99" s="36">
        <v>262.7</v>
      </c>
      <c r="D99" s="14">
        <v>0.4</v>
      </c>
      <c r="E99" s="15">
        <f t="shared" si="2"/>
        <v>105.08</v>
      </c>
      <c r="F99" s="15">
        <f>E99</f>
        <v>105.08</v>
      </c>
      <c r="G99" s="15">
        <f t="shared" si="3"/>
        <v>0</v>
      </c>
      <c r="H99" s="32">
        <v>23144392</v>
      </c>
      <c r="I99" s="17" t="s">
        <v>261</v>
      </c>
      <c r="J99" s="16" t="s">
        <v>18</v>
      </c>
      <c r="K99" s="32" t="s">
        <v>19</v>
      </c>
      <c r="L99" s="16">
        <v>97216689</v>
      </c>
      <c r="M99" s="100" t="s">
        <v>360</v>
      </c>
      <c r="N99" s="6" t="s">
        <v>361</v>
      </c>
    </row>
    <row r="100" spans="1:14" s="6" customFormat="1" x14ac:dyDescent="0.25">
      <c r="A100" s="69">
        <v>2707</v>
      </c>
      <c r="B100" s="16" t="s">
        <v>262</v>
      </c>
      <c r="C100" s="36">
        <v>323</v>
      </c>
      <c r="D100" s="14">
        <v>0.4</v>
      </c>
      <c r="E100" s="15">
        <f t="shared" si="2"/>
        <v>129.20000000000002</v>
      </c>
      <c r="F100" s="15">
        <f>E100</f>
        <v>129.20000000000002</v>
      </c>
      <c r="G100" s="15">
        <f t="shared" si="3"/>
        <v>0</v>
      </c>
      <c r="H100" s="32">
        <v>7026153</v>
      </c>
      <c r="I100" s="17" t="s">
        <v>263</v>
      </c>
      <c r="J100" s="16" t="s">
        <v>94</v>
      </c>
      <c r="K100" s="32" t="s">
        <v>95</v>
      </c>
      <c r="L100" s="16">
        <v>95333133</v>
      </c>
    </row>
    <row r="101" spans="1:14" s="6" customFormat="1" x14ac:dyDescent="0.25">
      <c r="A101" s="252">
        <v>2708</v>
      </c>
      <c r="B101" s="253" t="s">
        <v>41</v>
      </c>
      <c r="C101" s="254"/>
      <c r="D101" s="292">
        <v>0.4</v>
      </c>
      <c r="E101" s="256">
        <f t="shared" si="2"/>
        <v>0</v>
      </c>
      <c r="F101" s="256"/>
      <c r="G101" s="15">
        <f t="shared" si="3"/>
        <v>0</v>
      </c>
      <c r="H101" s="257">
        <v>426432</v>
      </c>
      <c r="I101" s="262" t="s">
        <v>264</v>
      </c>
      <c r="J101" s="253" t="s">
        <v>80</v>
      </c>
      <c r="K101" s="257" t="s">
        <v>81</v>
      </c>
      <c r="L101" s="253">
        <v>99092959</v>
      </c>
      <c r="M101" s="261"/>
    </row>
    <row r="102" spans="1:14" s="6" customFormat="1" x14ac:dyDescent="0.25">
      <c r="A102" s="69">
        <v>2710</v>
      </c>
      <c r="B102" s="16" t="s">
        <v>265</v>
      </c>
      <c r="C102" s="36">
        <v>202.9</v>
      </c>
      <c r="D102" s="14">
        <v>0.4</v>
      </c>
      <c r="E102" s="15">
        <f t="shared" si="2"/>
        <v>81.160000000000011</v>
      </c>
      <c r="F102" s="15"/>
      <c r="G102" s="15">
        <f t="shared" si="3"/>
        <v>81.160000000000011</v>
      </c>
      <c r="H102" s="32">
        <v>944469</v>
      </c>
      <c r="I102" s="17" t="s">
        <v>266</v>
      </c>
      <c r="J102" s="16" t="s">
        <v>73</v>
      </c>
      <c r="K102" s="32" t="s">
        <v>74</v>
      </c>
      <c r="L102" s="16"/>
      <c r="M102" s="33"/>
    </row>
    <row r="103" spans="1:14" s="6" customFormat="1" x14ac:dyDescent="0.25">
      <c r="A103" s="69">
        <v>2711</v>
      </c>
      <c r="B103" s="16" t="s">
        <v>267</v>
      </c>
      <c r="C103" s="36">
        <v>261.5</v>
      </c>
      <c r="D103" s="14">
        <v>0.4</v>
      </c>
      <c r="E103" s="15">
        <f t="shared" si="2"/>
        <v>104.60000000000001</v>
      </c>
      <c r="F103" s="15"/>
      <c r="G103" s="15">
        <f t="shared" si="3"/>
        <v>104.60000000000001</v>
      </c>
      <c r="H103" s="32">
        <v>5775933</v>
      </c>
      <c r="I103" s="17" t="s">
        <v>268</v>
      </c>
      <c r="J103" s="16" t="s">
        <v>80</v>
      </c>
      <c r="K103" s="32" t="s">
        <v>81</v>
      </c>
      <c r="L103" s="16"/>
      <c r="M103" s="33"/>
    </row>
    <row r="104" spans="1:14" s="6" customFormat="1" x14ac:dyDescent="0.25">
      <c r="A104" s="69">
        <v>2712</v>
      </c>
      <c r="B104" s="16" t="s">
        <v>64</v>
      </c>
      <c r="C104" s="36">
        <v>147.1</v>
      </c>
      <c r="D104" s="14">
        <v>0.4</v>
      </c>
      <c r="E104" s="15">
        <f t="shared" si="2"/>
        <v>58.84</v>
      </c>
      <c r="F104" s="15">
        <f>E104</f>
        <v>58.84</v>
      </c>
      <c r="G104" s="15">
        <f t="shared" si="3"/>
        <v>0</v>
      </c>
      <c r="H104" s="32">
        <v>2439264</v>
      </c>
      <c r="I104" s="17" t="s">
        <v>269</v>
      </c>
      <c r="J104" s="16" t="s">
        <v>18</v>
      </c>
      <c r="K104" s="32" t="s">
        <v>19</v>
      </c>
      <c r="L104" s="16">
        <v>91780732</v>
      </c>
      <c r="M104" s="270" t="s">
        <v>367</v>
      </c>
    </row>
    <row r="105" spans="1:14" s="6" customFormat="1" x14ac:dyDescent="0.25">
      <c r="A105" s="69">
        <v>2714</v>
      </c>
      <c r="B105" s="16" t="s">
        <v>270</v>
      </c>
      <c r="C105" s="36">
        <v>209.6</v>
      </c>
      <c r="D105" s="14">
        <v>0.4</v>
      </c>
      <c r="E105" s="15">
        <f t="shared" si="2"/>
        <v>83.84</v>
      </c>
      <c r="F105" s="15"/>
      <c r="G105" s="15">
        <f t="shared" si="3"/>
        <v>83.84</v>
      </c>
      <c r="H105" s="32">
        <v>18813939</v>
      </c>
      <c r="I105" s="17" t="s">
        <v>271</v>
      </c>
      <c r="J105" s="16" t="s">
        <v>73</v>
      </c>
      <c r="K105" s="32" t="s">
        <v>74</v>
      </c>
      <c r="L105" s="16">
        <v>92903559</v>
      </c>
      <c r="M105" s="33"/>
    </row>
    <row r="106" spans="1:14" s="6" customFormat="1" x14ac:dyDescent="0.25">
      <c r="A106" s="69">
        <v>2715</v>
      </c>
      <c r="B106" s="16" t="s">
        <v>272</v>
      </c>
      <c r="C106" s="36">
        <v>202.1</v>
      </c>
      <c r="D106" s="14">
        <v>0.4</v>
      </c>
      <c r="E106" s="15">
        <f t="shared" si="2"/>
        <v>80.84</v>
      </c>
      <c r="F106" s="15"/>
      <c r="G106" s="15">
        <f t="shared" si="3"/>
        <v>80.84</v>
      </c>
      <c r="H106" s="32">
        <v>5571701</v>
      </c>
      <c r="I106" s="17" t="s">
        <v>273</v>
      </c>
      <c r="J106" s="16" t="s">
        <v>73</v>
      </c>
      <c r="K106" s="32" t="s">
        <v>74</v>
      </c>
      <c r="L106" s="16">
        <v>99773624</v>
      </c>
      <c r="M106" s="33"/>
    </row>
    <row r="107" spans="1:14" s="6" customFormat="1" x14ac:dyDescent="0.25">
      <c r="A107" s="69">
        <v>2716</v>
      </c>
      <c r="B107" s="16" t="s">
        <v>274</v>
      </c>
      <c r="C107" s="36">
        <v>236.2</v>
      </c>
      <c r="D107" s="14">
        <v>0.4</v>
      </c>
      <c r="E107" s="15">
        <f t="shared" si="2"/>
        <v>94.48</v>
      </c>
      <c r="F107" s="15"/>
      <c r="G107" s="15">
        <f t="shared" si="3"/>
        <v>94.48</v>
      </c>
      <c r="H107" s="32">
        <v>1398299</v>
      </c>
      <c r="I107" s="17" t="s">
        <v>275</v>
      </c>
      <c r="J107" s="16" t="s">
        <v>276</v>
      </c>
      <c r="K107" s="32" t="s">
        <v>81</v>
      </c>
      <c r="L107" s="16">
        <v>99294734</v>
      </c>
      <c r="M107" s="33"/>
    </row>
    <row r="108" spans="1:14" s="6" customFormat="1" x14ac:dyDescent="0.25">
      <c r="A108" s="69">
        <v>2717</v>
      </c>
      <c r="B108" s="16" t="s">
        <v>277</v>
      </c>
      <c r="C108" s="36">
        <v>188.1</v>
      </c>
      <c r="D108" s="14">
        <v>0.4</v>
      </c>
      <c r="E108" s="15">
        <f t="shared" si="2"/>
        <v>75.239999999999995</v>
      </c>
      <c r="F108" s="15"/>
      <c r="G108" s="15">
        <f t="shared" si="3"/>
        <v>75.239999999999995</v>
      </c>
      <c r="H108" s="32">
        <v>5968087</v>
      </c>
      <c r="I108" s="17" t="s">
        <v>278</v>
      </c>
      <c r="J108" s="16" t="s">
        <v>73</v>
      </c>
      <c r="K108" s="32" t="s">
        <v>74</v>
      </c>
      <c r="L108" s="16">
        <v>91116250</v>
      </c>
      <c r="M108" s="33"/>
    </row>
    <row r="109" spans="1:14" s="6" customFormat="1" x14ac:dyDescent="0.25">
      <c r="A109" s="69">
        <v>2718</v>
      </c>
      <c r="B109" s="16" t="s">
        <v>279</v>
      </c>
      <c r="C109" s="36">
        <v>200.4</v>
      </c>
      <c r="D109" s="14">
        <v>0.4</v>
      </c>
      <c r="E109" s="15">
        <f t="shared" si="2"/>
        <v>80.160000000000011</v>
      </c>
      <c r="F109" s="15"/>
      <c r="G109" s="15">
        <f t="shared" si="3"/>
        <v>80.160000000000011</v>
      </c>
      <c r="H109" s="32">
        <v>5571729</v>
      </c>
      <c r="I109" s="17" t="s">
        <v>280</v>
      </c>
      <c r="J109" s="16" t="s">
        <v>73</v>
      </c>
      <c r="K109" s="32" t="s">
        <v>74</v>
      </c>
      <c r="L109" s="16">
        <v>99643459</v>
      </c>
      <c r="M109" s="33"/>
    </row>
    <row r="110" spans="1:14" s="6" customFormat="1" x14ac:dyDescent="0.25">
      <c r="A110" s="81">
        <v>2719</v>
      </c>
      <c r="B110" s="16" t="s">
        <v>281</v>
      </c>
      <c r="C110" s="36">
        <v>388.3</v>
      </c>
      <c r="D110" s="14">
        <v>0.4</v>
      </c>
      <c r="E110" s="15">
        <f t="shared" si="2"/>
        <v>155.32000000000002</v>
      </c>
      <c r="F110" s="15"/>
      <c r="G110" s="15">
        <f t="shared" si="3"/>
        <v>155.32000000000002</v>
      </c>
      <c r="H110" s="32">
        <v>925058</v>
      </c>
      <c r="I110" s="17" t="s">
        <v>282</v>
      </c>
      <c r="J110" s="16" t="s">
        <v>283</v>
      </c>
      <c r="K110" s="32" t="s">
        <v>81</v>
      </c>
      <c r="L110" s="16">
        <v>92656157</v>
      </c>
      <c r="M110" s="33"/>
    </row>
    <row r="111" spans="1:14" s="120" customFormat="1" x14ac:dyDescent="0.25">
      <c r="A111" s="276">
        <v>2721</v>
      </c>
      <c r="B111" s="100" t="s">
        <v>284</v>
      </c>
      <c r="C111" s="96">
        <v>250.1</v>
      </c>
      <c r="D111" s="98">
        <v>0.4</v>
      </c>
      <c r="E111" s="99">
        <f t="shared" si="2"/>
        <v>100.04</v>
      </c>
      <c r="F111" s="99">
        <f>98.62+1.42</f>
        <v>100.04</v>
      </c>
      <c r="G111" s="99">
        <f t="shared" si="3"/>
        <v>0</v>
      </c>
      <c r="H111" s="102">
        <v>7673741</v>
      </c>
      <c r="I111" s="101" t="s">
        <v>285</v>
      </c>
      <c r="J111" s="100" t="s">
        <v>18</v>
      </c>
      <c r="K111" s="102" t="s">
        <v>19</v>
      </c>
      <c r="L111" s="100"/>
      <c r="M111" s="225">
        <v>45848</v>
      </c>
      <c r="N111" s="231">
        <v>45699</v>
      </c>
    </row>
    <row r="112" spans="1:14" s="6" customFormat="1" x14ac:dyDescent="0.25">
      <c r="A112" s="81">
        <v>2722</v>
      </c>
      <c r="B112" s="70" t="s">
        <v>66</v>
      </c>
      <c r="C112" s="12">
        <v>76.7</v>
      </c>
      <c r="D112" s="14">
        <v>0.4</v>
      </c>
      <c r="E112" s="15">
        <f t="shared" si="2"/>
        <v>30.680000000000003</v>
      </c>
      <c r="F112" s="15">
        <f>E112</f>
        <v>30.680000000000003</v>
      </c>
      <c r="G112" s="15">
        <f t="shared" si="3"/>
        <v>0</v>
      </c>
      <c r="H112" s="32">
        <v>675043</v>
      </c>
      <c r="I112" s="17" t="s">
        <v>286</v>
      </c>
      <c r="J112" s="16" t="s">
        <v>80</v>
      </c>
      <c r="K112" s="32" t="s">
        <v>81</v>
      </c>
      <c r="L112" s="16"/>
      <c r="M112" s="270" t="s">
        <v>367</v>
      </c>
    </row>
    <row r="113" spans="1:14" s="6" customFormat="1" x14ac:dyDescent="0.25">
      <c r="A113" s="81">
        <v>2724</v>
      </c>
      <c r="B113" s="82" t="s">
        <v>287</v>
      </c>
      <c r="C113" s="12">
        <v>473.3</v>
      </c>
      <c r="D113" s="14">
        <v>0.4</v>
      </c>
      <c r="E113" s="15">
        <f t="shared" si="2"/>
        <v>189.32000000000002</v>
      </c>
      <c r="F113" s="15"/>
      <c r="G113" s="15">
        <f t="shared" si="3"/>
        <v>189.32000000000002</v>
      </c>
      <c r="H113" s="32">
        <v>272921</v>
      </c>
      <c r="I113" s="17" t="s">
        <v>288</v>
      </c>
      <c r="J113" s="16" t="s">
        <v>73</v>
      </c>
      <c r="K113" s="32" t="s">
        <v>74</v>
      </c>
      <c r="L113" s="16"/>
      <c r="M113" s="33"/>
    </row>
    <row r="114" spans="1:14" s="120" customFormat="1" x14ac:dyDescent="0.25">
      <c r="A114" s="276">
        <v>2725</v>
      </c>
      <c r="B114" s="279" t="s">
        <v>289</v>
      </c>
      <c r="C114" s="96">
        <v>474.2</v>
      </c>
      <c r="D114" s="98">
        <v>0.4</v>
      </c>
      <c r="E114" s="99">
        <f t="shared" si="2"/>
        <v>189.68</v>
      </c>
      <c r="F114" s="99">
        <f>188.45+1.23</f>
        <v>189.67999999999998</v>
      </c>
      <c r="G114" s="99">
        <f t="shared" si="3"/>
        <v>0</v>
      </c>
      <c r="H114" s="102">
        <v>21910195</v>
      </c>
      <c r="I114" s="101" t="s">
        <v>290</v>
      </c>
      <c r="J114" s="100" t="s">
        <v>73</v>
      </c>
      <c r="K114" s="102" t="s">
        <v>74</v>
      </c>
      <c r="L114" s="100"/>
      <c r="M114" s="126" t="s">
        <v>359</v>
      </c>
      <c r="N114" s="219">
        <v>45788</v>
      </c>
    </row>
    <row r="115" spans="1:14" s="6" customFormat="1" x14ac:dyDescent="0.25">
      <c r="A115" s="81">
        <v>2726</v>
      </c>
      <c r="B115" s="82" t="s">
        <v>293</v>
      </c>
      <c r="C115" s="12">
        <v>243.6</v>
      </c>
      <c r="D115" s="14">
        <v>0.4</v>
      </c>
      <c r="E115" s="15">
        <f t="shared" si="2"/>
        <v>97.44</v>
      </c>
      <c r="F115" s="15"/>
      <c r="G115" s="15">
        <f t="shared" si="3"/>
        <v>97.44</v>
      </c>
      <c r="H115" s="32">
        <v>5932095</v>
      </c>
      <c r="I115" s="17">
        <v>401003983190032</v>
      </c>
      <c r="J115" s="16" t="s">
        <v>73</v>
      </c>
      <c r="K115" s="32" t="s">
        <v>74</v>
      </c>
      <c r="L115" s="16"/>
      <c r="M115" s="33"/>
    </row>
    <row r="116" spans="1:14" s="6" customFormat="1" x14ac:dyDescent="0.25">
      <c r="A116" s="81">
        <v>2727</v>
      </c>
      <c r="B116" s="82" t="s">
        <v>294</v>
      </c>
      <c r="C116" s="12">
        <v>162.5</v>
      </c>
      <c r="D116" s="14">
        <v>0.4</v>
      </c>
      <c r="E116" s="15">
        <f t="shared" si="2"/>
        <v>65</v>
      </c>
      <c r="F116" s="15"/>
      <c r="G116" s="15">
        <f t="shared" si="3"/>
        <v>65</v>
      </c>
      <c r="H116" s="32">
        <v>14874655</v>
      </c>
      <c r="I116" s="17">
        <v>250020006381</v>
      </c>
      <c r="J116" s="16" t="s">
        <v>94</v>
      </c>
      <c r="K116" s="32" t="s">
        <v>95</v>
      </c>
      <c r="L116" s="16">
        <v>99580134</v>
      </c>
      <c r="M116" s="33"/>
    </row>
    <row r="117" spans="1:14" s="6" customFormat="1" x14ac:dyDescent="0.25">
      <c r="A117" s="81">
        <v>2728</v>
      </c>
      <c r="B117" s="83" t="s">
        <v>295</v>
      </c>
      <c r="C117" s="12">
        <v>239.7</v>
      </c>
      <c r="D117" s="14">
        <v>0.4</v>
      </c>
      <c r="E117" s="15">
        <f t="shared" si="2"/>
        <v>95.88</v>
      </c>
      <c r="F117" s="15"/>
      <c r="G117" s="15">
        <f t="shared" si="3"/>
        <v>95.88</v>
      </c>
      <c r="H117" s="32">
        <v>6300163</v>
      </c>
      <c r="I117" s="17" t="s">
        <v>296</v>
      </c>
      <c r="J117" s="16" t="s">
        <v>73</v>
      </c>
      <c r="K117" s="32" t="s">
        <v>74</v>
      </c>
      <c r="L117" s="16"/>
      <c r="M117" s="33"/>
    </row>
    <row r="118" spans="1:14" s="6" customFormat="1" x14ac:dyDescent="0.25">
      <c r="A118" s="81">
        <v>2729</v>
      </c>
      <c r="B118" s="83" t="s">
        <v>297</v>
      </c>
      <c r="C118" s="12"/>
      <c r="D118" s="14">
        <v>0.4</v>
      </c>
      <c r="E118" s="15">
        <f t="shared" si="2"/>
        <v>0</v>
      </c>
      <c r="F118" s="15"/>
      <c r="G118" s="15">
        <f t="shared" si="3"/>
        <v>0</v>
      </c>
      <c r="H118" s="32">
        <v>21145036</v>
      </c>
      <c r="I118" s="17" t="s">
        <v>298</v>
      </c>
      <c r="J118" s="16" t="s">
        <v>73</v>
      </c>
      <c r="K118" s="32" t="s">
        <v>74</v>
      </c>
      <c r="L118" s="16"/>
      <c r="M118" s="33"/>
    </row>
    <row r="119" spans="1:14" s="6" customFormat="1" x14ac:dyDescent="0.25">
      <c r="A119" s="81">
        <v>2730</v>
      </c>
      <c r="B119" s="40" t="s">
        <v>67</v>
      </c>
      <c r="C119" s="12">
        <v>265.39999999999998</v>
      </c>
      <c r="D119" s="14">
        <v>0.4</v>
      </c>
      <c r="E119" s="15">
        <f t="shared" si="2"/>
        <v>106.16</v>
      </c>
      <c r="F119" s="15">
        <f>E119</f>
        <v>106.16</v>
      </c>
      <c r="G119" s="15">
        <f t="shared" si="3"/>
        <v>0</v>
      </c>
      <c r="H119" s="32">
        <v>5138892</v>
      </c>
      <c r="I119" s="17" t="s">
        <v>299</v>
      </c>
      <c r="J119" s="16" t="s">
        <v>73</v>
      </c>
      <c r="K119" s="32" t="s">
        <v>74</v>
      </c>
      <c r="L119" s="16"/>
      <c r="M119" s="126" t="s">
        <v>370</v>
      </c>
    </row>
    <row r="120" spans="1:14" s="6" customFormat="1" x14ac:dyDescent="0.25">
      <c r="A120" s="81">
        <v>2731</v>
      </c>
      <c r="B120" s="16" t="s">
        <v>300</v>
      </c>
      <c r="C120" s="12">
        <v>177.4</v>
      </c>
      <c r="D120" s="14">
        <v>0.4</v>
      </c>
      <c r="E120" s="15">
        <f t="shared" si="2"/>
        <v>70.960000000000008</v>
      </c>
      <c r="F120" s="15"/>
      <c r="G120" s="15">
        <f t="shared" si="3"/>
        <v>70.960000000000008</v>
      </c>
      <c r="H120" s="32">
        <v>3912773</v>
      </c>
      <c r="I120" s="17" t="s">
        <v>301</v>
      </c>
      <c r="J120" s="16" t="s">
        <v>73</v>
      </c>
      <c r="K120" s="32" t="s">
        <v>74</v>
      </c>
      <c r="L120" s="16"/>
      <c r="M120" s="33"/>
    </row>
    <row r="121" spans="1:14" s="120" customFormat="1" ht="27" x14ac:dyDescent="0.25">
      <c r="A121" s="276">
        <v>2732</v>
      </c>
      <c r="B121" s="97" t="s">
        <v>354</v>
      </c>
      <c r="C121" s="96">
        <v>452.9</v>
      </c>
      <c r="D121" s="98">
        <v>0.4</v>
      </c>
      <c r="E121" s="99">
        <f t="shared" si="2"/>
        <v>181.16</v>
      </c>
      <c r="F121" s="99">
        <v>177.63</v>
      </c>
      <c r="G121" s="99">
        <f t="shared" si="3"/>
        <v>3.5300000000000011</v>
      </c>
      <c r="H121" s="102">
        <v>5403883</v>
      </c>
      <c r="I121" s="101" t="s">
        <v>355</v>
      </c>
      <c r="J121" s="100" t="s">
        <v>90</v>
      </c>
      <c r="K121" s="102" t="s">
        <v>91</v>
      </c>
      <c r="L121" s="100"/>
      <c r="M121" s="126" t="s">
        <v>385</v>
      </c>
      <c r="N121" s="295" t="s">
        <v>356</v>
      </c>
    </row>
    <row r="122" spans="1:14" s="6" customFormat="1" x14ac:dyDescent="0.25">
      <c r="A122" s="69">
        <v>2733</v>
      </c>
      <c r="B122" s="16" t="s">
        <v>304</v>
      </c>
      <c r="C122" s="12">
        <v>535.6</v>
      </c>
      <c r="D122" s="14">
        <v>0.4</v>
      </c>
      <c r="E122" s="15">
        <f t="shared" si="2"/>
        <v>214.24</v>
      </c>
      <c r="F122" s="15"/>
      <c r="G122" s="15">
        <f t="shared" si="3"/>
        <v>214.24</v>
      </c>
      <c r="H122" s="32">
        <v>20444019</v>
      </c>
      <c r="I122" s="17" t="s">
        <v>305</v>
      </c>
      <c r="J122" s="16" t="s">
        <v>73</v>
      </c>
      <c r="K122" s="32" t="s">
        <v>74</v>
      </c>
      <c r="L122" s="16"/>
      <c r="M122" s="33"/>
    </row>
    <row r="123" spans="1:14" s="120" customFormat="1" x14ac:dyDescent="0.25">
      <c r="A123" s="96">
        <v>2734</v>
      </c>
      <c r="B123" s="100" t="s">
        <v>306</v>
      </c>
      <c r="C123" s="96">
        <v>221.4</v>
      </c>
      <c r="D123" s="98">
        <v>0.4</v>
      </c>
      <c r="E123" s="99">
        <f t="shared" si="2"/>
        <v>88.56</v>
      </c>
      <c r="F123" s="99">
        <f>0.589999999999997+87.97</f>
        <v>88.56</v>
      </c>
      <c r="G123" s="99">
        <f t="shared" si="3"/>
        <v>0</v>
      </c>
      <c r="H123" s="102">
        <v>24187516</v>
      </c>
      <c r="I123" s="101" t="s">
        <v>307</v>
      </c>
      <c r="J123" s="100" t="s">
        <v>90</v>
      </c>
      <c r="K123" s="102" t="s">
        <v>91</v>
      </c>
      <c r="L123" s="100"/>
      <c r="M123" s="205">
        <v>45879</v>
      </c>
      <c r="N123" s="219">
        <v>45727</v>
      </c>
    </row>
    <row r="124" spans="1:14" s="6" customFormat="1" x14ac:dyDescent="0.25">
      <c r="A124" s="69">
        <v>2736</v>
      </c>
      <c r="B124" s="16" t="s">
        <v>308</v>
      </c>
      <c r="C124" s="12">
        <v>189.9</v>
      </c>
      <c r="D124" s="14">
        <v>0.4</v>
      </c>
      <c r="E124" s="15">
        <f t="shared" si="2"/>
        <v>75.960000000000008</v>
      </c>
      <c r="F124" s="15"/>
      <c r="G124" s="15">
        <f t="shared" si="3"/>
        <v>75.960000000000008</v>
      </c>
      <c r="H124" s="32">
        <v>4629429</v>
      </c>
      <c r="I124" s="17" t="s">
        <v>309</v>
      </c>
      <c r="J124" s="16" t="s">
        <v>73</v>
      </c>
      <c r="K124" s="32" t="s">
        <v>74</v>
      </c>
      <c r="L124" s="16"/>
      <c r="M124" s="33"/>
    </row>
    <row r="125" spans="1:14" s="6" customFormat="1" x14ac:dyDescent="0.25">
      <c r="A125" s="69">
        <v>2737</v>
      </c>
      <c r="B125" s="16" t="s">
        <v>310</v>
      </c>
      <c r="C125" s="12">
        <v>235.5</v>
      </c>
      <c r="D125" s="14">
        <v>0.4</v>
      </c>
      <c r="E125" s="15">
        <f t="shared" si="2"/>
        <v>94.2</v>
      </c>
      <c r="F125" s="15"/>
      <c r="G125" s="15">
        <f t="shared" si="3"/>
        <v>94.2</v>
      </c>
      <c r="H125" s="32">
        <v>734135</v>
      </c>
      <c r="I125" s="17" t="s">
        <v>311</v>
      </c>
      <c r="J125" s="16" t="s">
        <v>80</v>
      </c>
      <c r="K125" s="32" t="s">
        <v>81</v>
      </c>
      <c r="L125" s="16"/>
      <c r="M125" s="33"/>
    </row>
    <row r="126" spans="1:14" s="6" customFormat="1" x14ac:dyDescent="0.25">
      <c r="A126" s="69">
        <v>2738</v>
      </c>
      <c r="B126" s="16" t="s">
        <v>312</v>
      </c>
      <c r="C126" s="12">
        <v>266</v>
      </c>
      <c r="D126" s="14">
        <v>0.4</v>
      </c>
      <c r="E126" s="15">
        <f t="shared" si="2"/>
        <v>106.4</v>
      </c>
      <c r="F126" s="15"/>
      <c r="G126" s="15">
        <f t="shared" si="3"/>
        <v>106.4</v>
      </c>
      <c r="H126" s="32">
        <v>1298606</v>
      </c>
      <c r="I126" s="17" t="s">
        <v>313</v>
      </c>
      <c r="J126" s="16" t="s">
        <v>73</v>
      </c>
      <c r="K126" s="32" t="s">
        <v>74</v>
      </c>
      <c r="L126" s="16"/>
      <c r="M126" s="33"/>
    </row>
    <row r="127" spans="1:14" s="6" customFormat="1" ht="14.25" thickBot="1" x14ac:dyDescent="0.3">
      <c r="A127" s="287">
        <v>2740</v>
      </c>
      <c r="B127" s="288" t="s">
        <v>314</v>
      </c>
      <c r="C127" s="287">
        <v>135.80000000000001</v>
      </c>
      <c r="D127" s="14">
        <v>0.4</v>
      </c>
      <c r="E127" s="289">
        <f t="shared" si="2"/>
        <v>54.320000000000007</v>
      </c>
      <c r="F127" s="289">
        <f>E127</f>
        <v>54.320000000000007</v>
      </c>
      <c r="G127" s="15">
        <f t="shared" si="3"/>
        <v>0</v>
      </c>
      <c r="H127" s="290">
        <v>18315397</v>
      </c>
      <c r="I127" s="291">
        <v>401002460790021</v>
      </c>
      <c r="J127" s="288" t="s">
        <v>73</v>
      </c>
      <c r="K127" s="290" t="s">
        <v>74</v>
      </c>
      <c r="L127" s="288">
        <v>94346448</v>
      </c>
      <c r="M127" s="219">
        <v>45727</v>
      </c>
    </row>
    <row r="128" spans="1:14" s="6" customFormat="1" ht="14.25" thickBot="1" x14ac:dyDescent="0.3">
      <c r="A128" s="42"/>
      <c r="B128" s="43"/>
      <c r="C128" s="44">
        <f>SUM(C4:C127)</f>
        <v>30471.200000000004</v>
      </c>
      <c r="D128" s="45"/>
      <c r="E128" s="46">
        <f>SUM(E4:E127)</f>
        <v>12188.480000000003</v>
      </c>
      <c r="F128" s="46">
        <f t="shared" ref="F128:L128" si="4">SUM(F4:F127)</f>
        <v>6860.55</v>
      </c>
      <c r="G128" s="46">
        <f t="shared" si="4"/>
        <v>5327.9299999999985</v>
      </c>
      <c r="H128" s="46">
        <f t="shared" si="4"/>
        <v>1073200343</v>
      </c>
      <c r="I128" s="46">
        <f t="shared" si="4"/>
        <v>1606278120797480</v>
      </c>
      <c r="J128" s="46">
        <f t="shared" si="4"/>
        <v>0</v>
      </c>
      <c r="K128" s="46">
        <f t="shared" si="4"/>
        <v>0</v>
      </c>
      <c r="L128" s="46">
        <f t="shared" si="4"/>
        <v>9948789227</v>
      </c>
      <c r="M128" s="49"/>
    </row>
    <row r="129" spans="1:14" s="6" customFormat="1" x14ac:dyDescent="0.25">
      <c r="A129" s="51"/>
      <c r="B129" s="50"/>
      <c r="C129" s="52"/>
      <c r="D129" s="53"/>
      <c r="E129" s="52"/>
      <c r="F129" s="52"/>
      <c r="G129" s="52"/>
      <c r="H129" s="54"/>
      <c r="I129" s="55"/>
      <c r="J129" s="54"/>
      <c r="K129" s="54"/>
      <c r="L129" s="54"/>
      <c r="M129" s="56"/>
    </row>
    <row r="130" spans="1:14" s="6" customFormat="1" x14ac:dyDescent="0.25">
      <c r="A130" s="57"/>
      <c r="C130" s="58"/>
      <c r="D130" s="58"/>
      <c r="E130" s="58"/>
      <c r="F130" s="58"/>
      <c r="G130" s="58"/>
      <c r="H130" s="59"/>
      <c r="I130" s="60"/>
      <c r="J130" s="59"/>
    </row>
    <row r="131" spans="1:14" x14ac:dyDescent="0.25">
      <c r="D131" s="61" t="s">
        <v>43</v>
      </c>
      <c r="E131" s="306"/>
      <c r="F131" s="306"/>
      <c r="G131" s="306"/>
      <c r="H131" s="306"/>
      <c r="J131" s="307"/>
      <c r="K131" s="307"/>
      <c r="M131" s="65"/>
    </row>
    <row r="132" spans="1:14" s="64" customFormat="1" x14ac:dyDescent="0.25">
      <c r="A132" s="61"/>
      <c r="C132" s="61"/>
      <c r="D132" s="61" t="s">
        <v>44</v>
      </c>
      <c r="E132" s="306"/>
      <c r="F132" s="306"/>
      <c r="G132" s="306"/>
      <c r="H132" s="306"/>
      <c r="I132" s="63"/>
      <c r="J132" s="307"/>
      <c r="K132" s="307"/>
      <c r="M132" s="28"/>
      <c r="N132" s="66"/>
    </row>
    <row r="133" spans="1:14" s="64" customFormat="1" x14ac:dyDescent="0.25">
      <c r="A133" s="61"/>
      <c r="C133" s="61"/>
      <c r="D133" s="28"/>
      <c r="E133" s="62"/>
      <c r="F133" s="62"/>
      <c r="G133" s="62"/>
      <c r="I133" s="63"/>
      <c r="M133" s="28"/>
      <c r="N133" s="66"/>
    </row>
    <row r="134" spans="1:14" s="64" customFormat="1" x14ac:dyDescent="0.25">
      <c r="A134" s="61"/>
      <c r="B134" s="28"/>
      <c r="C134" s="61"/>
      <c r="D134" s="61"/>
      <c r="E134" s="62"/>
      <c r="F134" s="62"/>
      <c r="G134" s="62"/>
      <c r="I134" s="63"/>
      <c r="M134" s="28"/>
      <c r="N134" s="66"/>
    </row>
    <row r="135" spans="1:14" s="64" customFormat="1" x14ac:dyDescent="0.25">
      <c r="A135" s="61"/>
      <c r="B135" s="28"/>
      <c r="C135" s="61"/>
      <c r="D135" s="61"/>
      <c r="E135" s="62"/>
      <c r="F135" s="62"/>
      <c r="G135" s="62"/>
      <c r="I135" s="63"/>
      <c r="M135" s="28"/>
      <c r="N135" s="66"/>
    </row>
    <row r="136" spans="1:14" s="64" customFormat="1" x14ac:dyDescent="0.25">
      <c r="A136" s="61"/>
      <c r="B136" s="28"/>
      <c r="C136" s="68"/>
      <c r="D136" s="61"/>
      <c r="E136" s="68"/>
      <c r="F136" s="68"/>
      <c r="G136" s="68"/>
      <c r="I136" s="63"/>
      <c r="M136" s="28"/>
      <c r="N136" s="66"/>
    </row>
    <row r="137" spans="1:14" s="64" customFormat="1" x14ac:dyDescent="0.25">
      <c r="A137" s="61"/>
      <c r="B137" s="28"/>
      <c r="C137" s="61"/>
      <c r="D137" s="61"/>
      <c r="E137" s="62"/>
      <c r="F137" s="62"/>
      <c r="G137" s="62"/>
      <c r="I137" s="63"/>
      <c r="M137" s="28"/>
      <c r="N137" s="66"/>
    </row>
    <row r="138" spans="1:14" s="64" customFormat="1" x14ac:dyDescent="0.25">
      <c r="A138" s="61"/>
      <c r="B138" s="28"/>
      <c r="C138" s="61"/>
      <c r="D138" s="61"/>
      <c r="E138" s="62"/>
      <c r="F138" s="62"/>
      <c r="G138" s="62"/>
      <c r="I138" s="63"/>
      <c r="M138" s="28"/>
      <c r="N138" s="66"/>
    </row>
    <row r="139" spans="1:14" s="64" customFormat="1" x14ac:dyDescent="0.25">
      <c r="A139" s="61"/>
      <c r="B139" s="28"/>
      <c r="C139" s="61"/>
      <c r="D139" s="61"/>
      <c r="E139" s="62"/>
      <c r="F139" s="62"/>
      <c r="G139" s="62"/>
      <c r="I139" s="63"/>
      <c r="M139" s="28"/>
      <c r="N139" s="66"/>
    </row>
    <row r="140" spans="1:14" s="64" customFormat="1" x14ac:dyDescent="0.25">
      <c r="A140" s="61"/>
      <c r="B140" s="28"/>
      <c r="C140" s="61"/>
      <c r="D140" s="61"/>
      <c r="E140" s="62"/>
      <c r="F140" s="62"/>
      <c r="G140" s="62"/>
      <c r="I140" s="63"/>
      <c r="M140" s="28"/>
      <c r="N140" s="66"/>
    </row>
    <row r="141" spans="1:14" s="64" customFormat="1" x14ac:dyDescent="0.25">
      <c r="A141" s="61"/>
      <c r="B141" s="28"/>
      <c r="C141" s="61"/>
      <c r="D141" s="61"/>
      <c r="E141" s="62"/>
      <c r="F141" s="62"/>
      <c r="G141" s="62"/>
      <c r="I141" s="63"/>
      <c r="M141" s="28"/>
      <c r="N141" s="66"/>
    </row>
    <row r="142" spans="1:14" s="64" customFormat="1" x14ac:dyDescent="0.25">
      <c r="A142" s="61"/>
      <c r="B142" s="28"/>
      <c r="C142" s="61"/>
      <c r="D142" s="61"/>
      <c r="E142" s="62"/>
      <c r="F142" s="62"/>
      <c r="G142" s="62"/>
      <c r="I142" s="63"/>
      <c r="M142" s="28"/>
      <c r="N142" s="66"/>
    </row>
    <row r="143" spans="1:14" s="64" customFormat="1" x14ac:dyDescent="0.25">
      <c r="A143" s="61"/>
      <c r="B143" s="28"/>
      <c r="C143" s="61"/>
      <c r="D143" s="61"/>
      <c r="E143" s="62"/>
      <c r="F143" s="62"/>
      <c r="G143" s="62"/>
      <c r="I143" s="63"/>
      <c r="M143" s="28"/>
      <c r="N143" s="66"/>
    </row>
    <row r="144" spans="1:14" s="64" customFormat="1" x14ac:dyDescent="0.25">
      <c r="A144" s="61"/>
      <c r="B144" s="28"/>
      <c r="C144" s="61"/>
      <c r="D144" s="61"/>
      <c r="E144" s="62"/>
      <c r="F144" s="62"/>
      <c r="G144" s="62"/>
      <c r="I144" s="63"/>
      <c r="M144" s="28"/>
      <c r="N144" s="66"/>
    </row>
    <row r="145" spans="1:14" s="64" customFormat="1" x14ac:dyDescent="0.25">
      <c r="A145" s="61"/>
      <c r="B145" s="28"/>
      <c r="C145" s="61"/>
      <c r="D145" s="61"/>
      <c r="E145" s="62"/>
      <c r="F145" s="62"/>
      <c r="G145" s="62"/>
      <c r="I145" s="63"/>
      <c r="M145" s="28"/>
      <c r="N145" s="66"/>
    </row>
    <row r="146" spans="1:14" s="64" customFormat="1" x14ac:dyDescent="0.25">
      <c r="A146" s="61"/>
      <c r="B146" s="28"/>
      <c r="C146" s="61"/>
      <c r="D146" s="61"/>
      <c r="E146" s="62"/>
      <c r="F146" s="62"/>
      <c r="G146" s="62"/>
      <c r="I146" s="63"/>
      <c r="M146" s="28"/>
      <c r="N146" s="66"/>
    </row>
    <row r="147" spans="1:14" s="64" customFormat="1" x14ac:dyDescent="0.25">
      <c r="A147" s="61"/>
      <c r="B147" s="28"/>
      <c r="C147" s="61"/>
      <c r="D147" s="61"/>
      <c r="E147" s="62"/>
      <c r="F147" s="62"/>
      <c r="G147" s="62"/>
      <c r="I147" s="63"/>
      <c r="M147" s="28"/>
      <c r="N147" s="66"/>
    </row>
    <row r="148" spans="1:14" s="64" customFormat="1" x14ac:dyDescent="0.25">
      <c r="A148" s="61"/>
      <c r="B148" s="28"/>
      <c r="C148" s="61"/>
      <c r="D148" s="61"/>
      <c r="E148" s="62"/>
      <c r="F148" s="62"/>
      <c r="G148" s="62"/>
      <c r="I148" s="63"/>
      <c r="M148" s="28"/>
      <c r="N148" s="66"/>
    </row>
    <row r="149" spans="1:14" s="64" customFormat="1" x14ac:dyDescent="0.25">
      <c r="A149" s="61"/>
      <c r="B149" s="28"/>
      <c r="C149" s="61"/>
      <c r="D149" s="61"/>
      <c r="E149" s="62"/>
      <c r="F149" s="62"/>
      <c r="G149" s="62"/>
      <c r="I149" s="63"/>
      <c r="M149" s="28"/>
      <c r="N149" s="66"/>
    </row>
    <row r="150" spans="1:14" s="64" customFormat="1" x14ac:dyDescent="0.25">
      <c r="A150" s="61"/>
      <c r="B150" s="28"/>
      <c r="C150" s="61"/>
      <c r="D150" s="61"/>
      <c r="E150" s="62"/>
      <c r="F150" s="62"/>
      <c r="G150" s="62"/>
      <c r="I150" s="63"/>
      <c r="M150" s="28"/>
      <c r="N150" s="66"/>
    </row>
    <row r="151" spans="1:14" s="64" customFormat="1" x14ac:dyDescent="0.25">
      <c r="A151" s="61"/>
      <c r="B151" s="28"/>
      <c r="C151" s="61"/>
      <c r="D151" s="61"/>
      <c r="E151" s="62"/>
      <c r="F151" s="62"/>
      <c r="G151" s="62"/>
      <c r="I151" s="63"/>
      <c r="M151" s="28"/>
      <c r="N151" s="66"/>
    </row>
    <row r="152" spans="1:14" s="64" customFormat="1" x14ac:dyDescent="0.25">
      <c r="A152" s="61"/>
      <c r="B152" s="28"/>
      <c r="C152" s="61"/>
      <c r="D152" s="61"/>
      <c r="E152" s="62"/>
      <c r="F152" s="62"/>
      <c r="G152" s="62"/>
      <c r="I152" s="63"/>
      <c r="M152" s="28"/>
      <c r="N152" s="66"/>
    </row>
    <row r="153" spans="1:14" s="64" customFormat="1" x14ac:dyDescent="0.25">
      <c r="A153" s="61"/>
      <c r="B153" s="28"/>
      <c r="C153" s="61"/>
      <c r="D153" s="61"/>
      <c r="E153" s="62"/>
      <c r="F153" s="62"/>
      <c r="G153" s="62"/>
      <c r="I153" s="63"/>
      <c r="M153" s="28"/>
      <c r="N153" s="66"/>
    </row>
    <row r="154" spans="1:14" s="64" customFormat="1" x14ac:dyDescent="0.25">
      <c r="A154" s="61"/>
      <c r="B154" s="28"/>
      <c r="C154" s="61"/>
      <c r="D154" s="61"/>
      <c r="E154" s="62"/>
      <c r="F154" s="62"/>
      <c r="G154" s="62"/>
      <c r="I154" s="63"/>
      <c r="M154" s="28"/>
      <c r="N154" s="66"/>
    </row>
    <row r="155" spans="1:14" s="64" customFormat="1" x14ac:dyDescent="0.25">
      <c r="A155" s="61"/>
      <c r="B155" s="28"/>
      <c r="C155" s="61"/>
      <c r="D155" s="61"/>
      <c r="E155" s="62"/>
      <c r="F155" s="62"/>
      <c r="G155" s="62"/>
      <c r="I155" s="63"/>
      <c r="M155" s="28"/>
      <c r="N155" s="66"/>
    </row>
    <row r="156" spans="1:14" s="64" customFormat="1" x14ac:dyDescent="0.25">
      <c r="A156" s="61"/>
      <c r="B156" s="28"/>
      <c r="C156" s="61"/>
      <c r="D156" s="61"/>
      <c r="E156" s="62"/>
      <c r="F156" s="62"/>
      <c r="G156" s="62"/>
      <c r="I156" s="63"/>
      <c r="M156" s="28"/>
      <c r="N156" s="66"/>
    </row>
    <row r="157" spans="1:14" s="64" customFormat="1" x14ac:dyDescent="0.25">
      <c r="A157" s="61"/>
      <c r="B157" s="28"/>
      <c r="C157" s="61"/>
      <c r="D157" s="61"/>
      <c r="E157" s="62"/>
      <c r="F157" s="62"/>
      <c r="G157" s="62"/>
      <c r="I157" s="63"/>
      <c r="M157" s="28"/>
      <c r="N157" s="66"/>
    </row>
    <row r="158" spans="1:14" s="64" customFormat="1" x14ac:dyDescent="0.25">
      <c r="A158" s="61"/>
      <c r="B158" s="28"/>
      <c r="C158" s="61"/>
      <c r="D158" s="61"/>
      <c r="E158" s="62"/>
      <c r="F158" s="62"/>
      <c r="G158" s="62"/>
      <c r="I158" s="63"/>
      <c r="M158" s="28"/>
      <c r="N158" s="66"/>
    </row>
    <row r="159" spans="1:14" s="64" customFormat="1" x14ac:dyDescent="0.25">
      <c r="A159" s="61"/>
      <c r="B159" s="28"/>
      <c r="C159" s="61"/>
      <c r="D159" s="61"/>
      <c r="E159" s="62"/>
      <c r="F159" s="62"/>
      <c r="G159" s="62"/>
      <c r="I159" s="63"/>
      <c r="M159" s="28"/>
      <c r="N159" s="66"/>
    </row>
    <row r="160" spans="1:14" s="64" customFormat="1" x14ac:dyDescent="0.25">
      <c r="A160" s="61"/>
      <c r="B160" s="28"/>
      <c r="C160" s="61"/>
      <c r="D160" s="61"/>
      <c r="E160" s="62"/>
      <c r="F160" s="62"/>
      <c r="G160" s="62"/>
      <c r="I160" s="63"/>
      <c r="M160" s="28"/>
      <c r="N160" s="66"/>
    </row>
    <row r="161" spans="1:14" s="64" customFormat="1" x14ac:dyDescent="0.25">
      <c r="A161" s="61"/>
      <c r="B161" s="28"/>
      <c r="C161" s="61"/>
      <c r="D161" s="61"/>
      <c r="E161" s="62"/>
      <c r="F161" s="62"/>
      <c r="G161" s="62"/>
      <c r="I161" s="63"/>
      <c r="M161" s="28"/>
      <c r="N161" s="66"/>
    </row>
    <row r="162" spans="1:14" s="64" customFormat="1" x14ac:dyDescent="0.25">
      <c r="A162" s="61"/>
      <c r="B162" s="28"/>
      <c r="C162" s="61"/>
      <c r="D162" s="61"/>
      <c r="E162" s="62"/>
      <c r="F162" s="62"/>
      <c r="G162" s="62"/>
      <c r="I162" s="63"/>
      <c r="M162" s="28"/>
      <c r="N162" s="66"/>
    </row>
    <row r="163" spans="1:14" s="64" customFormat="1" x14ac:dyDescent="0.25">
      <c r="A163" s="61"/>
      <c r="B163" s="28"/>
      <c r="C163" s="61"/>
      <c r="D163" s="61"/>
      <c r="E163" s="62"/>
      <c r="F163" s="62"/>
      <c r="G163" s="62"/>
      <c r="I163" s="63"/>
      <c r="M163" s="28"/>
      <c r="N163" s="66"/>
    </row>
    <row r="164" spans="1:14" s="64" customFormat="1" x14ac:dyDescent="0.25">
      <c r="A164" s="61"/>
      <c r="B164" s="28"/>
      <c r="C164" s="61"/>
      <c r="D164" s="61"/>
      <c r="E164" s="62"/>
      <c r="F164" s="62"/>
      <c r="G164" s="62"/>
      <c r="I164" s="63"/>
      <c r="M164" s="28"/>
      <c r="N164" s="66"/>
    </row>
    <row r="165" spans="1:14" s="64" customFormat="1" x14ac:dyDescent="0.25">
      <c r="A165" s="61"/>
      <c r="B165" s="28"/>
      <c r="C165" s="61"/>
      <c r="D165" s="61"/>
      <c r="E165" s="62"/>
      <c r="F165" s="62"/>
      <c r="G165" s="62"/>
      <c r="I165" s="63"/>
      <c r="M165" s="28"/>
      <c r="N165" s="66"/>
    </row>
  </sheetData>
  <autoFilter ref="A2:M128" xr:uid="{DF6F113F-1DEF-4EA6-8377-B973A7DD9A87}"/>
  <mergeCells count="17">
    <mergeCell ref="E132:H132"/>
    <mergeCell ref="J132:K132"/>
    <mergeCell ref="K2:K3"/>
    <mergeCell ref="L2:L3"/>
    <mergeCell ref="M2:M3"/>
    <mergeCell ref="E131:H131"/>
    <mergeCell ref="J131:K131"/>
    <mergeCell ref="H2:H3"/>
    <mergeCell ref="I2:I3"/>
    <mergeCell ref="J2:J3"/>
    <mergeCell ref="F2:F3"/>
    <mergeCell ref="G2:G3"/>
    <mergeCell ref="A2:A3"/>
    <mergeCell ref="B2:B3"/>
    <mergeCell ref="C2:C3"/>
    <mergeCell ref="D2:D3"/>
    <mergeCell ref="E2:E3"/>
  </mergeCells>
  <conditionalFormatting sqref="I16">
    <cfRule type="duplicateValues" dxfId="4" priority="1"/>
  </conditionalFormatting>
  <pageMargins left="0.7" right="0.7" top="0.75" bottom="0.75" header="0.3" footer="0.3"/>
  <pageSetup paperSize="8" scale="5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FA543-D0DC-4C36-B405-A0D1C9F60FC4}">
  <dimension ref="A1:Q165"/>
  <sheetViews>
    <sheetView view="pageBreakPreview" zoomScaleNormal="100" zoomScaleSheetLayoutView="100" workbookViewId="0">
      <pane xSplit="2" ySplit="3" topLeftCell="C102" activePane="bottomRight" state="frozen"/>
      <selection pane="topRight" activeCell="D1" sqref="D1"/>
      <selection pane="bottomLeft" activeCell="A6" sqref="A6"/>
      <selection pane="bottomRight" sqref="A1:A1048576"/>
    </sheetView>
  </sheetViews>
  <sheetFormatPr defaultColWidth="9.140625" defaultRowHeight="13.5" x14ac:dyDescent="0.25"/>
  <cols>
    <col min="1" max="1" width="41.85546875" style="61" bestFit="1" customWidth="1"/>
    <col min="2" max="2" width="38.28515625" style="28" customWidth="1"/>
    <col min="3" max="3" width="16" style="61" bestFit="1" customWidth="1"/>
    <col min="4" max="4" width="12.42578125" style="61" customWidth="1"/>
    <col min="5" max="5" width="16" style="61" bestFit="1" customWidth="1"/>
    <col min="6" max="7" width="16" style="61" customWidth="1"/>
    <col min="8" max="8" width="12.28515625" style="64" customWidth="1"/>
    <col min="9" max="9" width="21.42578125" style="63" hidden="1" customWidth="1"/>
    <col min="10" max="10" width="20" style="64" hidden="1" customWidth="1"/>
    <col min="11" max="11" width="17.42578125" style="64" hidden="1" customWidth="1"/>
    <col min="12" max="12" width="12" style="64" hidden="1" customWidth="1"/>
    <col min="13" max="13" width="19.7109375" style="28" customWidth="1"/>
    <col min="14" max="14" width="10.42578125" style="4" customWidth="1"/>
    <col min="15" max="15" width="9.140625" style="28"/>
    <col min="16" max="16" width="10.140625" style="28" bestFit="1" customWidth="1"/>
    <col min="17" max="16384" width="9.140625" style="28"/>
  </cols>
  <sheetData>
    <row r="1" spans="1:15" s="7" customFormat="1" ht="30" customHeight="1" x14ac:dyDescent="0.25">
      <c r="A1" s="303" t="s">
        <v>363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5"/>
      <c r="N1" s="4"/>
    </row>
    <row r="2" spans="1:15" s="11" customFormat="1" ht="19.5" customHeight="1" x14ac:dyDescent="0.25">
      <c r="A2" s="313" t="s">
        <v>2</v>
      </c>
      <c r="B2" s="308" t="s">
        <v>3</v>
      </c>
      <c r="C2" s="314" t="s">
        <v>4</v>
      </c>
      <c r="D2" s="308" t="s">
        <v>5</v>
      </c>
      <c r="E2" s="308" t="s">
        <v>6</v>
      </c>
      <c r="F2" s="314" t="s">
        <v>30</v>
      </c>
      <c r="G2" s="314" t="s">
        <v>31</v>
      </c>
      <c r="H2" s="308" t="s">
        <v>9</v>
      </c>
      <c r="I2" s="308" t="s">
        <v>10</v>
      </c>
      <c r="J2" s="308" t="s">
        <v>11</v>
      </c>
      <c r="K2" s="308" t="s">
        <v>12</v>
      </c>
      <c r="L2" s="308" t="s">
        <v>13</v>
      </c>
      <c r="M2" s="309" t="s">
        <v>14</v>
      </c>
      <c r="N2" s="8"/>
    </row>
    <row r="3" spans="1:15" s="11" customFormat="1" ht="26.25" customHeight="1" x14ac:dyDescent="0.25">
      <c r="A3" s="313"/>
      <c r="B3" s="308"/>
      <c r="C3" s="315"/>
      <c r="D3" s="308"/>
      <c r="E3" s="308"/>
      <c r="F3" s="315"/>
      <c r="G3" s="315"/>
      <c r="H3" s="308"/>
      <c r="I3" s="308"/>
      <c r="J3" s="308"/>
      <c r="K3" s="308"/>
      <c r="L3" s="308"/>
      <c r="M3" s="309"/>
      <c r="N3" s="8"/>
    </row>
    <row r="4" spans="1:15" s="6" customFormat="1" x14ac:dyDescent="0.25">
      <c r="A4" s="69">
        <v>2603</v>
      </c>
      <c r="B4" s="70" t="s">
        <v>71</v>
      </c>
      <c r="C4" s="69">
        <v>448.2</v>
      </c>
      <c r="D4" s="14">
        <v>0.3</v>
      </c>
      <c r="E4" s="15">
        <f t="shared" ref="E4:E35" si="0">C4*D4</f>
        <v>134.45999999999998</v>
      </c>
      <c r="F4" s="15"/>
      <c r="G4" s="15">
        <f t="shared" ref="G4:G35" si="1">E4-F4</f>
        <v>134.45999999999998</v>
      </c>
      <c r="H4" s="16">
        <v>5744412</v>
      </c>
      <c r="I4" s="17" t="s">
        <v>72</v>
      </c>
      <c r="J4" s="16" t="s">
        <v>73</v>
      </c>
      <c r="K4" s="266" t="s">
        <v>74</v>
      </c>
      <c r="L4" s="16">
        <v>92566993</v>
      </c>
      <c r="M4" s="16"/>
      <c r="N4" s="4"/>
    </row>
    <row r="5" spans="1:15" s="120" customFormat="1" x14ac:dyDescent="0.25">
      <c r="A5" s="96">
        <v>2604</v>
      </c>
      <c r="B5" s="97" t="s">
        <v>46</v>
      </c>
      <c r="C5" s="96">
        <v>341.5</v>
      </c>
      <c r="D5" s="98">
        <v>0.3</v>
      </c>
      <c r="E5" s="99">
        <f t="shared" si="0"/>
        <v>102.45</v>
      </c>
      <c r="F5" s="99">
        <f>102.29+0.16</f>
        <v>102.45</v>
      </c>
      <c r="G5" s="99">
        <f t="shared" si="1"/>
        <v>0</v>
      </c>
      <c r="H5" s="100">
        <v>3946807</v>
      </c>
      <c r="I5" s="101" t="s">
        <v>75</v>
      </c>
      <c r="J5" s="100" t="s">
        <v>76</v>
      </c>
      <c r="K5" s="100" t="s">
        <v>77</v>
      </c>
      <c r="L5" s="100">
        <v>99702767</v>
      </c>
      <c r="M5" s="225">
        <v>45788</v>
      </c>
      <c r="N5" s="100" t="s">
        <v>388</v>
      </c>
    </row>
    <row r="6" spans="1:15" s="120" customFormat="1" x14ac:dyDescent="0.25">
      <c r="A6" s="96">
        <v>2606</v>
      </c>
      <c r="B6" s="97" t="s">
        <v>78</v>
      </c>
      <c r="C6" s="96">
        <v>137.69999999999999</v>
      </c>
      <c r="D6" s="98">
        <v>0.3</v>
      </c>
      <c r="E6" s="99">
        <f t="shared" si="0"/>
        <v>41.309999999999995</v>
      </c>
      <c r="F6" s="99">
        <f>40.83+0.48</f>
        <v>41.309999999999995</v>
      </c>
      <c r="G6" s="99">
        <f t="shared" si="1"/>
        <v>0</v>
      </c>
      <c r="H6" s="100">
        <v>13974337</v>
      </c>
      <c r="I6" s="101" t="s">
        <v>79</v>
      </c>
      <c r="J6" s="100" t="s">
        <v>80</v>
      </c>
      <c r="K6" s="102" t="s">
        <v>81</v>
      </c>
      <c r="L6" s="100">
        <v>99291110</v>
      </c>
      <c r="M6" s="126" t="s">
        <v>370</v>
      </c>
      <c r="N6" s="100" t="s">
        <v>388</v>
      </c>
    </row>
    <row r="7" spans="1:15" s="120" customFormat="1" x14ac:dyDescent="0.25">
      <c r="A7" s="96">
        <v>2607</v>
      </c>
      <c r="B7" s="97" t="s">
        <v>82</v>
      </c>
      <c r="C7" s="96">
        <v>256</v>
      </c>
      <c r="D7" s="98">
        <v>0.3</v>
      </c>
      <c r="E7" s="99">
        <f t="shared" si="0"/>
        <v>76.8</v>
      </c>
      <c r="F7" s="99">
        <f>73.11+3.69</f>
        <v>76.8</v>
      </c>
      <c r="G7" s="99">
        <f t="shared" si="1"/>
        <v>0</v>
      </c>
      <c r="H7" s="100">
        <v>6488366</v>
      </c>
      <c r="I7" s="101" t="s">
        <v>83</v>
      </c>
      <c r="J7" s="100" t="s">
        <v>73</v>
      </c>
      <c r="K7" s="102" t="s">
        <v>74</v>
      </c>
      <c r="L7" s="100">
        <v>95479797</v>
      </c>
      <c r="M7" s="225">
        <v>45788</v>
      </c>
      <c r="N7" s="100" t="s">
        <v>388</v>
      </c>
    </row>
    <row r="8" spans="1:15" s="120" customFormat="1" x14ac:dyDescent="0.25">
      <c r="A8" s="96">
        <v>2608</v>
      </c>
      <c r="B8" s="97" t="s">
        <v>84</v>
      </c>
      <c r="C8" s="96">
        <v>214.1</v>
      </c>
      <c r="D8" s="98">
        <v>0.3</v>
      </c>
      <c r="E8" s="99">
        <f t="shared" si="0"/>
        <v>64.22999999999999</v>
      </c>
      <c r="F8" s="99">
        <f>59.72+4.51</f>
        <v>64.23</v>
      </c>
      <c r="G8" s="99">
        <f t="shared" si="1"/>
        <v>0</v>
      </c>
      <c r="H8" s="100">
        <v>1233627</v>
      </c>
      <c r="I8" s="101" t="s">
        <v>85</v>
      </c>
      <c r="J8" s="100" t="s">
        <v>73</v>
      </c>
      <c r="K8" s="102" t="s">
        <v>74</v>
      </c>
      <c r="L8" s="100">
        <v>92788274</v>
      </c>
      <c r="M8" s="120" t="s">
        <v>365</v>
      </c>
      <c r="N8" s="100" t="s">
        <v>389</v>
      </c>
    </row>
    <row r="9" spans="1:15" s="120" customFormat="1" x14ac:dyDescent="0.25">
      <c r="A9" s="96">
        <v>2609</v>
      </c>
      <c r="B9" s="97" t="s">
        <v>87</v>
      </c>
      <c r="C9" s="96">
        <v>237.7</v>
      </c>
      <c r="D9" s="98">
        <v>0.3</v>
      </c>
      <c r="E9" s="99">
        <f t="shared" si="0"/>
        <v>71.309999999999988</v>
      </c>
      <c r="F9" s="99">
        <v>70.52000000000001</v>
      </c>
      <c r="G9" s="99">
        <f t="shared" si="1"/>
        <v>0.78999999999997783</v>
      </c>
      <c r="H9" s="100">
        <v>1248701</v>
      </c>
      <c r="I9" s="101" t="s">
        <v>88</v>
      </c>
      <c r="J9" s="100" t="s">
        <v>73</v>
      </c>
      <c r="K9" s="102" t="s">
        <v>74</v>
      </c>
      <c r="L9" s="100">
        <v>90911500</v>
      </c>
      <c r="M9" s="126" t="s">
        <v>371</v>
      </c>
      <c r="N9" s="270"/>
    </row>
    <row r="10" spans="1:15" s="120" customFormat="1" x14ac:dyDescent="0.25">
      <c r="A10" s="96">
        <v>2610</v>
      </c>
      <c r="B10" s="97" t="s">
        <v>47</v>
      </c>
      <c r="C10" s="96">
        <v>376.1</v>
      </c>
      <c r="D10" s="98">
        <v>0.3</v>
      </c>
      <c r="E10" s="99">
        <f t="shared" si="0"/>
        <v>112.83</v>
      </c>
      <c r="F10" s="99">
        <f>E10</f>
        <v>112.83</v>
      </c>
      <c r="G10" s="99">
        <f t="shared" si="1"/>
        <v>0</v>
      </c>
      <c r="H10" s="100">
        <v>1183461</v>
      </c>
      <c r="I10" s="101" t="s">
        <v>89</v>
      </c>
      <c r="J10" s="100" t="s">
        <v>90</v>
      </c>
      <c r="K10" s="277" t="s">
        <v>91</v>
      </c>
      <c r="L10" s="100">
        <v>95622123</v>
      </c>
      <c r="M10" s="231">
        <v>45699</v>
      </c>
      <c r="N10" s="282" t="s">
        <v>378</v>
      </c>
    </row>
    <row r="11" spans="1:15" s="6" customFormat="1" x14ac:dyDescent="0.25">
      <c r="A11" s="12">
        <v>2611</v>
      </c>
      <c r="B11" s="13" t="s">
        <v>92</v>
      </c>
      <c r="C11" s="12">
        <v>233.2</v>
      </c>
      <c r="D11" s="14">
        <v>0.3</v>
      </c>
      <c r="E11" s="15">
        <f t="shared" si="0"/>
        <v>69.959999999999994</v>
      </c>
      <c r="F11" s="15"/>
      <c r="G11" s="15">
        <f t="shared" si="1"/>
        <v>69.959999999999994</v>
      </c>
      <c r="H11" s="16">
        <v>1348989</v>
      </c>
      <c r="I11" s="17" t="s">
        <v>93</v>
      </c>
      <c r="J11" s="16" t="s">
        <v>94</v>
      </c>
      <c r="K11" s="182" t="s">
        <v>95</v>
      </c>
      <c r="L11" s="16">
        <v>99678203</v>
      </c>
      <c r="M11" s="16" t="s">
        <v>22</v>
      </c>
      <c r="N11" s="4"/>
    </row>
    <row r="12" spans="1:15" s="6" customFormat="1" x14ac:dyDescent="0.25">
      <c r="A12" s="69">
        <v>2612</v>
      </c>
      <c r="B12" s="70" t="s">
        <v>96</v>
      </c>
      <c r="C12" s="69">
        <v>585.20000000000005</v>
      </c>
      <c r="D12" s="14">
        <v>0.3</v>
      </c>
      <c r="E12" s="15">
        <f t="shared" si="0"/>
        <v>175.56</v>
      </c>
      <c r="F12" s="15"/>
      <c r="G12" s="15">
        <f t="shared" si="1"/>
        <v>175.56</v>
      </c>
      <c r="H12" s="16">
        <v>896658</v>
      </c>
      <c r="I12" s="17" t="s">
        <v>97</v>
      </c>
      <c r="J12" s="16" t="s">
        <v>90</v>
      </c>
      <c r="K12" s="29" t="s">
        <v>91</v>
      </c>
      <c r="L12" s="16">
        <v>99831783</v>
      </c>
      <c r="M12" s="12"/>
      <c r="N12" s="4"/>
    </row>
    <row r="13" spans="1:15" s="72" customFormat="1" x14ac:dyDescent="0.25">
      <c r="A13" s="297">
        <v>2613</v>
      </c>
      <c r="B13" s="70" t="s">
        <v>98</v>
      </c>
      <c r="C13" s="69">
        <v>211.2</v>
      </c>
      <c r="D13" s="14">
        <v>0.3</v>
      </c>
      <c r="E13" s="15">
        <f t="shared" si="0"/>
        <v>63.359999999999992</v>
      </c>
      <c r="F13" s="15"/>
      <c r="G13" s="15">
        <f t="shared" si="1"/>
        <v>63.359999999999992</v>
      </c>
      <c r="H13" s="16">
        <v>2884732</v>
      </c>
      <c r="I13" s="17" t="s">
        <v>99</v>
      </c>
      <c r="J13" s="16" t="s">
        <v>18</v>
      </c>
      <c r="K13" s="32" t="s">
        <v>19</v>
      </c>
      <c r="L13" s="16">
        <v>95878851</v>
      </c>
      <c r="M13" s="17"/>
      <c r="N13" s="4"/>
    </row>
    <row r="14" spans="1:15" s="6" customFormat="1" x14ac:dyDescent="0.25">
      <c r="A14" s="12">
        <v>2614</v>
      </c>
      <c r="B14" s="13" t="s">
        <v>100</v>
      </c>
      <c r="C14" s="12">
        <v>365.4</v>
      </c>
      <c r="D14" s="14">
        <v>0.3</v>
      </c>
      <c r="E14" s="15">
        <f t="shared" si="0"/>
        <v>109.61999999999999</v>
      </c>
      <c r="F14" s="15"/>
      <c r="G14" s="15">
        <f t="shared" si="1"/>
        <v>109.61999999999999</v>
      </c>
      <c r="H14" s="16">
        <v>1015515</v>
      </c>
      <c r="I14" s="17" t="s">
        <v>101</v>
      </c>
      <c r="J14" s="16" t="s">
        <v>90</v>
      </c>
      <c r="K14" s="29" t="s">
        <v>91</v>
      </c>
      <c r="L14" s="16">
        <v>92350077</v>
      </c>
      <c r="M14" s="17"/>
      <c r="N14" s="4"/>
    </row>
    <row r="15" spans="1:15" s="120" customFormat="1" x14ac:dyDescent="0.25">
      <c r="A15" s="96">
        <v>2615</v>
      </c>
      <c r="B15" s="97" t="s">
        <v>102</v>
      </c>
      <c r="C15" s="96">
        <v>464.3</v>
      </c>
      <c r="D15" s="98">
        <v>0.3</v>
      </c>
      <c r="E15" s="99">
        <f t="shared" si="0"/>
        <v>139.29</v>
      </c>
      <c r="F15" s="99">
        <f>E15</f>
        <v>139.29</v>
      </c>
      <c r="G15" s="99">
        <f t="shared" si="1"/>
        <v>0</v>
      </c>
      <c r="H15" s="100">
        <v>1248772</v>
      </c>
      <c r="I15" s="101" t="s">
        <v>103</v>
      </c>
      <c r="J15" s="100" t="s">
        <v>94</v>
      </c>
      <c r="K15" s="281" t="s">
        <v>95</v>
      </c>
      <c r="L15" s="100">
        <v>91102881</v>
      </c>
      <c r="M15" s="231">
        <v>45699</v>
      </c>
      <c r="N15" s="282" t="s">
        <v>376</v>
      </c>
    </row>
    <row r="16" spans="1:15" s="120" customFormat="1" x14ac:dyDescent="0.25">
      <c r="A16" s="96">
        <v>2616</v>
      </c>
      <c r="B16" s="97" t="s">
        <v>15</v>
      </c>
      <c r="C16" s="96">
        <v>173.5</v>
      </c>
      <c r="D16" s="98">
        <v>0.3</v>
      </c>
      <c r="E16" s="99">
        <f t="shared" si="0"/>
        <v>52.05</v>
      </c>
      <c r="F16" s="283">
        <f>50.41+1.64</f>
        <v>52.05</v>
      </c>
      <c r="G16" s="99">
        <f t="shared" si="1"/>
        <v>0</v>
      </c>
      <c r="H16" s="284">
        <v>6225617</v>
      </c>
      <c r="I16" s="285" t="s">
        <v>17</v>
      </c>
      <c r="J16" s="100" t="s">
        <v>18</v>
      </c>
      <c r="K16" s="277" t="s">
        <v>19</v>
      </c>
      <c r="L16" s="100">
        <v>98004554</v>
      </c>
      <c r="M16" s="96" t="s">
        <v>364</v>
      </c>
      <c r="N16" s="231">
        <v>45699</v>
      </c>
      <c r="O16" s="282" t="s">
        <v>375</v>
      </c>
    </row>
    <row r="17" spans="1:15" s="6" customFormat="1" ht="21.75" customHeight="1" x14ac:dyDescent="0.25">
      <c r="A17" s="69">
        <v>2617</v>
      </c>
      <c r="B17" s="70" t="s">
        <v>105</v>
      </c>
      <c r="C17" s="69">
        <v>299.3</v>
      </c>
      <c r="D17" s="14">
        <v>0.3</v>
      </c>
      <c r="E17" s="15">
        <f t="shared" si="0"/>
        <v>89.79</v>
      </c>
      <c r="F17" s="15"/>
      <c r="G17" s="15">
        <f t="shared" si="1"/>
        <v>89.79</v>
      </c>
      <c r="H17" s="69">
        <v>17375838</v>
      </c>
      <c r="I17" s="183" t="s">
        <v>106</v>
      </c>
      <c r="J17" s="78" t="s">
        <v>73</v>
      </c>
      <c r="K17" s="79" t="s">
        <v>74</v>
      </c>
      <c r="L17" s="79">
        <v>95089970</v>
      </c>
      <c r="M17" s="79"/>
      <c r="N17" s="4"/>
    </row>
    <row r="18" spans="1:15" s="120" customFormat="1" x14ac:dyDescent="0.25">
      <c r="A18" s="96">
        <v>2618</v>
      </c>
      <c r="B18" s="97" t="s">
        <v>48</v>
      </c>
      <c r="C18" s="96">
        <v>395</v>
      </c>
      <c r="D18" s="98">
        <v>0.3</v>
      </c>
      <c r="E18" s="99">
        <f t="shared" si="0"/>
        <v>118.5</v>
      </c>
      <c r="F18" s="99">
        <f>118.25+0.25</f>
        <v>118.5</v>
      </c>
      <c r="G18" s="99">
        <f t="shared" si="1"/>
        <v>0</v>
      </c>
      <c r="H18" s="100">
        <v>6552811</v>
      </c>
      <c r="I18" s="101" t="s">
        <v>107</v>
      </c>
      <c r="J18" s="100" t="s">
        <v>73</v>
      </c>
      <c r="K18" s="102" t="s">
        <v>74</v>
      </c>
      <c r="L18" s="100">
        <v>99085221</v>
      </c>
      <c r="M18" s="120" t="s">
        <v>386</v>
      </c>
      <c r="N18" s="100" t="s">
        <v>388</v>
      </c>
    </row>
    <row r="19" spans="1:15" s="120" customFormat="1" x14ac:dyDescent="0.25">
      <c r="A19" s="96">
        <v>2619</v>
      </c>
      <c r="B19" s="97" t="s">
        <v>108</v>
      </c>
      <c r="C19" s="96">
        <v>483.5</v>
      </c>
      <c r="D19" s="98">
        <v>0.3</v>
      </c>
      <c r="E19" s="99">
        <f t="shared" si="0"/>
        <v>145.04999999999998</v>
      </c>
      <c r="F19" s="99">
        <f>142.51+2.54</f>
        <v>145.04999999999998</v>
      </c>
      <c r="G19" s="99">
        <f t="shared" si="1"/>
        <v>0</v>
      </c>
      <c r="H19" s="100">
        <v>6552839</v>
      </c>
      <c r="I19" s="101" t="s">
        <v>109</v>
      </c>
      <c r="J19" s="100" t="s">
        <v>90</v>
      </c>
      <c r="K19" s="277" t="s">
        <v>91</v>
      </c>
      <c r="L19" s="100">
        <v>92017833</v>
      </c>
      <c r="M19" s="120" t="s">
        <v>386</v>
      </c>
      <c r="N19" s="100" t="s">
        <v>388</v>
      </c>
    </row>
    <row r="20" spans="1:15" s="120" customFormat="1" x14ac:dyDescent="0.25">
      <c r="A20" s="96">
        <v>2620</v>
      </c>
      <c r="B20" s="97" t="s">
        <v>110</v>
      </c>
      <c r="C20" s="96">
        <v>366.1</v>
      </c>
      <c r="D20" s="98">
        <v>0.3</v>
      </c>
      <c r="E20" s="99">
        <f t="shared" si="0"/>
        <v>109.83</v>
      </c>
      <c r="F20" s="99">
        <f>105.92+3.91</f>
        <v>109.83</v>
      </c>
      <c r="G20" s="99">
        <f t="shared" si="1"/>
        <v>0</v>
      </c>
      <c r="H20" s="100">
        <v>1183437</v>
      </c>
      <c r="I20" s="101" t="s">
        <v>111</v>
      </c>
      <c r="J20" s="100" t="s">
        <v>73</v>
      </c>
      <c r="K20" s="102" t="s">
        <v>74</v>
      </c>
      <c r="L20" s="100">
        <v>92585717</v>
      </c>
      <c r="M20" s="217">
        <v>45941</v>
      </c>
      <c r="N20" s="217">
        <v>45973</v>
      </c>
    </row>
    <row r="21" spans="1:15" s="120" customFormat="1" x14ac:dyDescent="0.25">
      <c r="A21" s="96">
        <v>2621</v>
      </c>
      <c r="B21" s="97" t="s">
        <v>113</v>
      </c>
      <c r="C21" s="96">
        <v>235.5</v>
      </c>
      <c r="D21" s="98">
        <v>0.3</v>
      </c>
      <c r="E21" s="99">
        <f t="shared" si="0"/>
        <v>70.649999999999991</v>
      </c>
      <c r="F21" s="99">
        <f>67.89+2.76</f>
        <v>70.650000000000006</v>
      </c>
      <c r="G21" s="99">
        <f t="shared" si="1"/>
        <v>0</v>
      </c>
      <c r="H21" s="100">
        <v>19745547</v>
      </c>
      <c r="I21" s="101" t="s">
        <v>114</v>
      </c>
      <c r="J21" s="100" t="s">
        <v>73</v>
      </c>
      <c r="K21" s="102" t="s">
        <v>74</v>
      </c>
      <c r="L21" s="100">
        <v>98821811</v>
      </c>
      <c r="M21" s="96" t="s">
        <v>351</v>
      </c>
      <c r="N21" s="100" t="s">
        <v>388</v>
      </c>
    </row>
    <row r="22" spans="1:15" s="120" customFormat="1" x14ac:dyDescent="0.25">
      <c r="A22" s="96">
        <v>2622</v>
      </c>
      <c r="B22" s="97" t="s">
        <v>115</v>
      </c>
      <c r="C22" s="96">
        <v>549.5</v>
      </c>
      <c r="D22" s="98">
        <v>0.3</v>
      </c>
      <c r="E22" s="99">
        <f t="shared" si="0"/>
        <v>164.85</v>
      </c>
      <c r="F22" s="99">
        <f>2.96+161.5+0.39</f>
        <v>164.85</v>
      </c>
      <c r="G22" s="99">
        <f t="shared" si="1"/>
        <v>0</v>
      </c>
      <c r="H22" s="100">
        <v>6067343</v>
      </c>
      <c r="I22" s="101" t="s">
        <v>116</v>
      </c>
      <c r="J22" s="100" t="s">
        <v>94</v>
      </c>
      <c r="K22" s="281" t="s">
        <v>95</v>
      </c>
      <c r="L22" s="100">
        <v>91329902</v>
      </c>
      <c r="M22" s="96" t="s">
        <v>367</v>
      </c>
      <c r="N22" s="225">
        <v>45788</v>
      </c>
      <c r="O22" s="100" t="s">
        <v>388</v>
      </c>
    </row>
    <row r="23" spans="1:15" s="6" customFormat="1" x14ac:dyDescent="0.25">
      <c r="A23" s="69">
        <v>2623</v>
      </c>
      <c r="B23" s="70" t="s">
        <v>49</v>
      </c>
      <c r="C23" s="69">
        <v>225.3</v>
      </c>
      <c r="D23" s="14">
        <v>0.3</v>
      </c>
      <c r="E23" s="15">
        <f t="shared" si="0"/>
        <v>67.59</v>
      </c>
      <c r="F23" s="15"/>
      <c r="G23" s="15">
        <f t="shared" si="1"/>
        <v>67.59</v>
      </c>
      <c r="H23" s="16">
        <v>1994004</v>
      </c>
      <c r="I23" s="17" t="s">
        <v>117</v>
      </c>
      <c r="J23" s="16" t="s">
        <v>73</v>
      </c>
      <c r="K23" s="32" t="s">
        <v>74</v>
      </c>
      <c r="L23" s="16">
        <v>99489917</v>
      </c>
      <c r="M23" s="12"/>
      <c r="N23" s="4"/>
    </row>
    <row r="24" spans="1:15" s="6" customFormat="1" x14ac:dyDescent="0.25">
      <c r="A24" s="69">
        <v>2624</v>
      </c>
      <c r="B24" s="70" t="s">
        <v>118</v>
      </c>
      <c r="C24" s="69">
        <v>206.8</v>
      </c>
      <c r="D24" s="14">
        <v>0.3</v>
      </c>
      <c r="E24" s="15">
        <f t="shared" si="0"/>
        <v>62.04</v>
      </c>
      <c r="F24" s="15">
        <f>61.54</f>
        <v>61.54</v>
      </c>
      <c r="G24" s="15">
        <f t="shared" si="1"/>
        <v>0.5</v>
      </c>
      <c r="H24" s="16">
        <v>3206725</v>
      </c>
      <c r="I24" s="17">
        <v>401002509090012</v>
      </c>
      <c r="J24" s="16" t="s">
        <v>73</v>
      </c>
      <c r="K24" s="32" t="s">
        <v>74</v>
      </c>
      <c r="L24" s="16">
        <v>93325253</v>
      </c>
      <c r="M24" s="231">
        <v>45669</v>
      </c>
      <c r="N24" s="4"/>
    </row>
    <row r="25" spans="1:15" x14ac:dyDescent="0.25">
      <c r="A25" s="69">
        <v>2625</v>
      </c>
      <c r="B25" s="70" t="s">
        <v>119</v>
      </c>
      <c r="C25" s="69">
        <v>605.29999999999995</v>
      </c>
      <c r="D25" s="14">
        <v>0.3</v>
      </c>
      <c r="E25" s="15">
        <f t="shared" si="0"/>
        <v>181.58999999999997</v>
      </c>
      <c r="F25" s="15">
        <f>1.02999999999995+178.35+2.21</f>
        <v>181.58999999999995</v>
      </c>
      <c r="G25" s="15">
        <f t="shared" si="1"/>
        <v>0</v>
      </c>
      <c r="H25" s="16">
        <v>5474204</v>
      </c>
      <c r="I25" s="17" t="s">
        <v>120</v>
      </c>
      <c r="J25" s="16" t="s">
        <v>73</v>
      </c>
      <c r="K25" s="32" t="s">
        <v>74</v>
      </c>
      <c r="L25" s="16">
        <v>92806972</v>
      </c>
      <c r="M25" s="126" t="s">
        <v>370</v>
      </c>
      <c r="N25" s="100" t="s">
        <v>384</v>
      </c>
      <c r="O25" s="100" t="s">
        <v>388</v>
      </c>
    </row>
    <row r="26" spans="1:15" s="6" customFormat="1" x14ac:dyDescent="0.25">
      <c r="A26" s="69">
        <v>2626</v>
      </c>
      <c r="B26" s="70" t="s">
        <v>51</v>
      </c>
      <c r="C26" s="69">
        <v>215.1</v>
      </c>
      <c r="D26" s="14">
        <v>0.3</v>
      </c>
      <c r="E26" s="15">
        <f t="shared" si="0"/>
        <v>64.53</v>
      </c>
      <c r="F26" s="15"/>
      <c r="G26" s="15">
        <f t="shared" si="1"/>
        <v>64.53</v>
      </c>
      <c r="H26" s="78">
        <v>3083395</v>
      </c>
      <c r="I26" s="183" t="s">
        <v>121</v>
      </c>
      <c r="J26" s="78" t="s">
        <v>73</v>
      </c>
      <c r="K26" s="79" t="s">
        <v>74</v>
      </c>
      <c r="L26" s="78">
        <v>99287760</v>
      </c>
      <c r="M26" s="69"/>
      <c r="N26" s="4"/>
    </row>
    <row r="27" spans="1:15" s="6" customFormat="1" x14ac:dyDescent="0.25">
      <c r="A27" s="96">
        <v>2627</v>
      </c>
      <c r="B27" s="97" t="s">
        <v>122</v>
      </c>
      <c r="C27" s="96">
        <v>77.8</v>
      </c>
      <c r="D27" s="98">
        <v>0.3</v>
      </c>
      <c r="E27" s="99">
        <f t="shared" si="0"/>
        <v>23.34</v>
      </c>
      <c r="F27" s="99">
        <v>19.619999999999997</v>
      </c>
      <c r="G27" s="99">
        <f t="shared" si="1"/>
        <v>3.7200000000000024</v>
      </c>
      <c r="H27" s="100">
        <v>2011348</v>
      </c>
      <c r="I27" s="101" t="s">
        <v>123</v>
      </c>
      <c r="J27" s="100" t="s">
        <v>94</v>
      </c>
      <c r="K27" s="281" t="s">
        <v>95</v>
      </c>
      <c r="L27" s="100">
        <v>98509729</v>
      </c>
      <c r="M27" s="225">
        <v>45941</v>
      </c>
      <c r="N27" s="4"/>
    </row>
    <row r="28" spans="1:15" s="6" customFormat="1" x14ac:dyDescent="0.25">
      <c r="A28" s="96">
        <v>2628</v>
      </c>
      <c r="B28" s="97" t="s">
        <v>124</v>
      </c>
      <c r="C28" s="96">
        <v>146.4</v>
      </c>
      <c r="D28" s="98">
        <v>0.3</v>
      </c>
      <c r="E28" s="99">
        <f t="shared" si="0"/>
        <v>43.92</v>
      </c>
      <c r="F28" s="99">
        <v>40.160000000000032</v>
      </c>
      <c r="G28" s="99">
        <f t="shared" si="1"/>
        <v>3.7599999999999696</v>
      </c>
      <c r="H28" s="100">
        <v>2396272</v>
      </c>
      <c r="I28" s="101" t="s">
        <v>125</v>
      </c>
      <c r="J28" s="100" t="s">
        <v>73</v>
      </c>
      <c r="K28" s="102" t="s">
        <v>74</v>
      </c>
      <c r="L28" s="100">
        <v>990991999</v>
      </c>
      <c r="M28" s="100" t="s">
        <v>384</v>
      </c>
      <c r="N28" s="4"/>
    </row>
    <row r="29" spans="1:15" s="120" customFormat="1" x14ac:dyDescent="0.25">
      <c r="A29" s="96">
        <v>2629</v>
      </c>
      <c r="B29" s="97" t="s">
        <v>32</v>
      </c>
      <c r="C29" s="96">
        <v>355.6</v>
      </c>
      <c r="D29" s="98">
        <v>0.3</v>
      </c>
      <c r="E29" s="99">
        <f t="shared" si="0"/>
        <v>106.68</v>
      </c>
      <c r="F29" s="99">
        <f>103.17+3.51</f>
        <v>106.68</v>
      </c>
      <c r="G29" s="99">
        <f t="shared" si="1"/>
        <v>0</v>
      </c>
      <c r="H29" s="100">
        <v>6488371</v>
      </c>
      <c r="I29" s="101" t="s">
        <v>126</v>
      </c>
      <c r="J29" s="100" t="s">
        <v>18</v>
      </c>
      <c r="K29" s="280" t="s">
        <v>19</v>
      </c>
      <c r="L29" s="100">
        <v>99096166</v>
      </c>
      <c r="M29" s="225">
        <v>45788</v>
      </c>
      <c r="N29" s="100" t="s">
        <v>388</v>
      </c>
    </row>
    <row r="30" spans="1:15" s="120" customFormat="1" x14ac:dyDescent="0.25">
      <c r="A30" s="96">
        <v>2630</v>
      </c>
      <c r="B30" s="97" t="s">
        <v>127</v>
      </c>
      <c r="C30" s="96">
        <v>248</v>
      </c>
      <c r="D30" s="98">
        <v>0.3</v>
      </c>
      <c r="E30" s="99">
        <f t="shared" si="0"/>
        <v>74.399999999999991</v>
      </c>
      <c r="F30" s="99">
        <f>0.850000000000001+71.25</f>
        <v>72.099999999999994</v>
      </c>
      <c r="G30" s="99">
        <f t="shared" si="1"/>
        <v>2.2999999999999972</v>
      </c>
      <c r="H30" s="100">
        <v>8098813</v>
      </c>
      <c r="I30" s="101" t="s">
        <v>128</v>
      </c>
      <c r="J30" s="100" t="s">
        <v>80</v>
      </c>
      <c r="K30" s="275" t="s">
        <v>81</v>
      </c>
      <c r="L30" s="100">
        <v>98279944</v>
      </c>
      <c r="M30" s="96" t="s">
        <v>364</v>
      </c>
      <c r="N30" s="100" t="s">
        <v>384</v>
      </c>
    </row>
    <row r="31" spans="1:15" s="6" customFormat="1" x14ac:dyDescent="0.25">
      <c r="A31" s="69">
        <v>2631</v>
      </c>
      <c r="B31" s="70" t="s">
        <v>129</v>
      </c>
      <c r="C31" s="69">
        <v>199.6</v>
      </c>
      <c r="D31" s="14">
        <v>0.3</v>
      </c>
      <c r="E31" s="15">
        <f t="shared" si="0"/>
        <v>59.879999999999995</v>
      </c>
      <c r="F31" s="15"/>
      <c r="G31" s="15">
        <f t="shared" si="1"/>
        <v>59.879999999999995</v>
      </c>
      <c r="H31" s="16">
        <v>931835</v>
      </c>
      <c r="I31" s="17" t="s">
        <v>130</v>
      </c>
      <c r="J31" s="16" t="s">
        <v>73</v>
      </c>
      <c r="K31" s="32" t="s">
        <v>74</v>
      </c>
      <c r="L31" s="16">
        <v>91766175</v>
      </c>
      <c r="M31" s="12"/>
      <c r="N31" s="4"/>
    </row>
    <row r="32" spans="1:15" s="6" customFormat="1" x14ac:dyDescent="0.25">
      <c r="A32" s="69">
        <v>2632</v>
      </c>
      <c r="B32" s="70" t="s">
        <v>53</v>
      </c>
      <c r="C32" s="69">
        <v>244.3</v>
      </c>
      <c r="D32" s="14">
        <v>0.3</v>
      </c>
      <c r="E32" s="15">
        <f t="shared" si="0"/>
        <v>73.290000000000006</v>
      </c>
      <c r="F32" s="15">
        <f>69.28+4.01</f>
        <v>73.290000000000006</v>
      </c>
      <c r="G32" s="15">
        <f t="shared" si="1"/>
        <v>0</v>
      </c>
      <c r="H32" s="16">
        <v>18395066</v>
      </c>
      <c r="I32" s="17" t="s">
        <v>131</v>
      </c>
      <c r="J32" s="16" t="s">
        <v>132</v>
      </c>
      <c r="K32" s="32" t="s">
        <v>133</v>
      </c>
      <c r="L32" s="16">
        <v>9562212</v>
      </c>
      <c r="M32" s="225">
        <v>45788</v>
      </c>
      <c r="N32" s="100" t="s">
        <v>388</v>
      </c>
    </row>
    <row r="33" spans="1:14" s="6" customFormat="1" x14ac:dyDescent="0.25">
      <c r="A33" s="252">
        <v>2633</v>
      </c>
      <c r="B33" s="293" t="s">
        <v>134</v>
      </c>
      <c r="C33" s="252"/>
      <c r="D33" s="292">
        <v>0.3</v>
      </c>
      <c r="E33" s="256">
        <f t="shared" si="0"/>
        <v>0</v>
      </c>
      <c r="F33" s="256"/>
      <c r="G33" s="15">
        <f t="shared" si="1"/>
        <v>0</v>
      </c>
      <c r="H33" s="253">
        <v>5585042</v>
      </c>
      <c r="I33" s="262" t="s">
        <v>135</v>
      </c>
      <c r="J33" s="253" t="s">
        <v>80</v>
      </c>
      <c r="K33" s="296" t="s">
        <v>81</v>
      </c>
      <c r="L33" s="253">
        <v>92768880</v>
      </c>
      <c r="M33" s="252"/>
      <c r="N33" s="4"/>
    </row>
    <row r="34" spans="1:14" s="6" customFormat="1" x14ac:dyDescent="0.25">
      <c r="A34" s="69">
        <v>2634</v>
      </c>
      <c r="B34" s="70" t="s">
        <v>136</v>
      </c>
      <c r="C34" s="69">
        <v>374.6</v>
      </c>
      <c r="D34" s="14">
        <v>0.3</v>
      </c>
      <c r="E34" s="15">
        <f t="shared" si="0"/>
        <v>112.38000000000001</v>
      </c>
      <c r="F34" s="15">
        <f>E34</f>
        <v>112.38000000000001</v>
      </c>
      <c r="G34" s="15">
        <f t="shared" si="1"/>
        <v>0</v>
      </c>
      <c r="H34" s="16">
        <v>24361971</v>
      </c>
      <c r="I34" s="17" t="s">
        <v>137</v>
      </c>
      <c r="J34" s="16" t="s">
        <v>80</v>
      </c>
      <c r="K34" s="185" t="s">
        <v>81</v>
      </c>
      <c r="L34" s="16">
        <v>93384540</v>
      </c>
      <c r="M34" s="231">
        <v>45669</v>
      </c>
      <c r="N34" s="4"/>
    </row>
    <row r="35" spans="1:14" s="6" customFormat="1" x14ac:dyDescent="0.25">
      <c r="A35" s="69">
        <v>2635</v>
      </c>
      <c r="B35" s="70" t="s">
        <v>138</v>
      </c>
      <c r="C35" s="69">
        <v>269.3</v>
      </c>
      <c r="D35" s="14">
        <v>0.3</v>
      </c>
      <c r="E35" s="15">
        <f t="shared" si="0"/>
        <v>80.790000000000006</v>
      </c>
      <c r="F35" s="15">
        <f>80.35+0.44</f>
        <v>80.789999999999992</v>
      </c>
      <c r="G35" s="15">
        <f t="shared" si="1"/>
        <v>0</v>
      </c>
      <c r="H35" s="32">
        <v>19928115</v>
      </c>
      <c r="I35" s="17" t="s">
        <v>139</v>
      </c>
      <c r="J35" s="32" t="s">
        <v>73</v>
      </c>
      <c r="K35" s="32" t="s">
        <v>74</v>
      </c>
      <c r="L35" s="16">
        <v>94606075</v>
      </c>
      <c r="M35" s="225">
        <v>45788</v>
      </c>
      <c r="N35" s="100" t="s">
        <v>388</v>
      </c>
    </row>
    <row r="36" spans="1:14" s="6" customFormat="1" x14ac:dyDescent="0.25">
      <c r="A36" s="69">
        <v>2636</v>
      </c>
      <c r="B36" s="70" t="s">
        <v>140</v>
      </c>
      <c r="C36" s="69">
        <v>348.6</v>
      </c>
      <c r="D36" s="14">
        <v>0.3</v>
      </c>
      <c r="E36" s="15">
        <f t="shared" ref="E36:E67" si="2">C36*D36</f>
        <v>104.58</v>
      </c>
      <c r="F36" s="15"/>
      <c r="G36" s="15">
        <f t="shared" ref="G36:G67" si="3">E36-F36</f>
        <v>104.58</v>
      </c>
      <c r="H36" s="16">
        <v>2092081</v>
      </c>
      <c r="I36" s="17" t="s">
        <v>141</v>
      </c>
      <c r="J36" s="16" t="s">
        <v>73</v>
      </c>
      <c r="K36" s="32" t="s">
        <v>74</v>
      </c>
      <c r="L36" s="16">
        <v>92565542</v>
      </c>
      <c r="M36" s="12"/>
      <c r="N36" s="4"/>
    </row>
    <row r="37" spans="1:14" s="6" customFormat="1" x14ac:dyDescent="0.25">
      <c r="A37" s="69">
        <v>2637</v>
      </c>
      <c r="B37" s="70" t="s">
        <v>142</v>
      </c>
      <c r="C37" s="69">
        <v>207.9</v>
      </c>
      <c r="D37" s="14">
        <v>0.3</v>
      </c>
      <c r="E37" s="15">
        <f t="shared" si="2"/>
        <v>62.37</v>
      </c>
      <c r="F37" s="15"/>
      <c r="G37" s="15">
        <f t="shared" si="3"/>
        <v>62.37</v>
      </c>
      <c r="H37" s="16">
        <v>12073906</v>
      </c>
      <c r="I37" s="17" t="s">
        <v>143</v>
      </c>
      <c r="J37" s="16" t="s">
        <v>90</v>
      </c>
      <c r="K37" s="29" t="s">
        <v>91</v>
      </c>
      <c r="L37" s="16">
        <v>95851127</v>
      </c>
      <c r="M37" s="12"/>
      <c r="N37" s="4"/>
    </row>
    <row r="38" spans="1:14" s="6" customFormat="1" x14ac:dyDescent="0.25">
      <c r="A38" s="252">
        <v>2638</v>
      </c>
      <c r="B38" s="293" t="s">
        <v>144</v>
      </c>
      <c r="C38" s="252"/>
      <c r="D38" s="292">
        <v>0.3</v>
      </c>
      <c r="E38" s="256">
        <f t="shared" si="2"/>
        <v>0</v>
      </c>
      <c r="F38" s="256"/>
      <c r="G38" s="15">
        <f t="shared" si="3"/>
        <v>0</v>
      </c>
      <c r="H38" s="253">
        <v>21944623</v>
      </c>
      <c r="I38" s="262" t="s">
        <v>145</v>
      </c>
      <c r="J38" s="253" t="s">
        <v>73</v>
      </c>
      <c r="K38" s="257" t="s">
        <v>74</v>
      </c>
      <c r="L38" s="253">
        <v>96622170</v>
      </c>
      <c r="M38" s="252"/>
      <c r="N38" s="4"/>
    </row>
    <row r="39" spans="1:14" s="6" customFormat="1" x14ac:dyDescent="0.25">
      <c r="A39" s="69">
        <v>2639</v>
      </c>
      <c r="B39" s="70" t="s">
        <v>146</v>
      </c>
      <c r="C39" s="69">
        <v>204.3</v>
      </c>
      <c r="D39" s="14">
        <v>0.3</v>
      </c>
      <c r="E39" s="15">
        <f t="shared" si="2"/>
        <v>61.29</v>
      </c>
      <c r="F39" s="15"/>
      <c r="G39" s="15">
        <f t="shared" si="3"/>
        <v>61.29</v>
      </c>
      <c r="H39" s="16">
        <v>1389397</v>
      </c>
      <c r="I39" s="17" t="s">
        <v>147</v>
      </c>
      <c r="J39" s="16" t="s">
        <v>73</v>
      </c>
      <c r="K39" s="32" t="s">
        <v>74</v>
      </c>
      <c r="L39" s="16">
        <v>99282044</v>
      </c>
      <c r="M39" s="12"/>
      <c r="N39" s="4"/>
    </row>
    <row r="40" spans="1:14" s="6" customFormat="1" x14ac:dyDescent="0.25">
      <c r="A40" s="69">
        <v>2640</v>
      </c>
      <c r="B40" s="70" t="s">
        <v>35</v>
      </c>
      <c r="C40" s="69">
        <v>223.8</v>
      </c>
      <c r="D40" s="14">
        <v>0.3</v>
      </c>
      <c r="E40" s="15">
        <f t="shared" si="2"/>
        <v>67.14</v>
      </c>
      <c r="F40" s="15"/>
      <c r="G40" s="15">
        <f t="shared" si="3"/>
        <v>67.14</v>
      </c>
      <c r="H40" s="16">
        <v>25021829</v>
      </c>
      <c r="I40" s="17" t="s">
        <v>148</v>
      </c>
      <c r="J40" s="16" t="s">
        <v>73</v>
      </c>
      <c r="K40" s="32" t="s">
        <v>74</v>
      </c>
      <c r="L40" s="16">
        <v>93383987</v>
      </c>
      <c r="M40" s="12"/>
      <c r="N40" s="4"/>
    </row>
    <row r="41" spans="1:14" s="6" customFormat="1" x14ac:dyDescent="0.25">
      <c r="A41" s="69">
        <v>2641</v>
      </c>
      <c r="B41" s="70" t="s">
        <v>149</v>
      </c>
      <c r="C41" s="69">
        <v>236.3</v>
      </c>
      <c r="D41" s="14">
        <v>0.3</v>
      </c>
      <c r="E41" s="15">
        <f t="shared" si="2"/>
        <v>70.89</v>
      </c>
      <c r="F41" s="15"/>
      <c r="G41" s="15">
        <f t="shared" si="3"/>
        <v>70.89</v>
      </c>
      <c r="H41" s="16">
        <v>1499316</v>
      </c>
      <c r="I41" s="17" t="s">
        <v>150</v>
      </c>
      <c r="J41" s="16" t="s">
        <v>90</v>
      </c>
      <c r="K41" s="32" t="s">
        <v>91</v>
      </c>
      <c r="L41" s="16">
        <v>99677197</v>
      </c>
      <c r="M41" s="12"/>
      <c r="N41" s="4"/>
    </row>
    <row r="42" spans="1:14" s="120" customFormat="1" x14ac:dyDescent="0.25">
      <c r="A42" s="96">
        <v>2642</v>
      </c>
      <c r="B42" s="97" t="s">
        <v>151</v>
      </c>
      <c r="C42" s="96">
        <v>181.1</v>
      </c>
      <c r="D42" s="98">
        <v>0.3</v>
      </c>
      <c r="E42" s="99">
        <f t="shared" si="2"/>
        <v>54.33</v>
      </c>
      <c r="F42" s="99">
        <v>50.82</v>
      </c>
      <c r="G42" s="99">
        <f t="shared" si="3"/>
        <v>3.509999999999998</v>
      </c>
      <c r="H42" s="100">
        <v>3018879</v>
      </c>
      <c r="I42" s="101" t="s">
        <v>152</v>
      </c>
      <c r="J42" s="100" t="s">
        <v>80</v>
      </c>
      <c r="K42" s="275" t="s">
        <v>81</v>
      </c>
      <c r="L42" s="100">
        <v>98818754</v>
      </c>
      <c r="M42" s="217">
        <v>45788</v>
      </c>
      <c r="N42" s="270"/>
    </row>
    <row r="43" spans="1:14" s="6" customFormat="1" x14ac:dyDescent="0.25">
      <c r="A43" s="96">
        <v>2643</v>
      </c>
      <c r="B43" s="97" t="s">
        <v>153</v>
      </c>
      <c r="C43" s="96">
        <v>234.4</v>
      </c>
      <c r="D43" s="98">
        <v>0.3</v>
      </c>
      <c r="E43" s="99">
        <f t="shared" si="2"/>
        <v>70.319999999999993</v>
      </c>
      <c r="F43" s="99">
        <v>67.47</v>
      </c>
      <c r="G43" s="99">
        <f t="shared" si="3"/>
        <v>2.8499999999999943</v>
      </c>
      <c r="H43" s="100">
        <v>1485446</v>
      </c>
      <c r="I43" s="101" t="s">
        <v>154</v>
      </c>
      <c r="J43" s="100" t="s">
        <v>18</v>
      </c>
      <c r="K43" s="102" t="s">
        <v>19</v>
      </c>
      <c r="L43" s="100">
        <v>99747558</v>
      </c>
      <c r="M43" s="230">
        <v>45728</v>
      </c>
      <c r="N43" s="4"/>
    </row>
    <row r="44" spans="1:14" x14ac:dyDescent="0.25">
      <c r="A44" s="69">
        <v>2644</v>
      </c>
      <c r="B44" s="70" t="s">
        <v>155</v>
      </c>
      <c r="C44" s="69">
        <v>269</v>
      </c>
      <c r="D44" s="14">
        <v>0.3</v>
      </c>
      <c r="E44" s="15">
        <f t="shared" si="2"/>
        <v>80.7</v>
      </c>
      <c r="F44" s="15"/>
      <c r="G44" s="15">
        <f t="shared" si="3"/>
        <v>80.7</v>
      </c>
      <c r="H44" s="78">
        <v>23180515</v>
      </c>
      <c r="I44" s="183" t="s">
        <v>156</v>
      </c>
      <c r="J44" s="78" t="s">
        <v>73</v>
      </c>
      <c r="K44" s="79" t="s">
        <v>74</v>
      </c>
      <c r="L44" s="78">
        <v>95931303</v>
      </c>
      <c r="M44" s="12" t="s">
        <v>22</v>
      </c>
    </row>
    <row r="45" spans="1:14" s="6" customFormat="1" x14ac:dyDescent="0.25">
      <c r="A45" s="69">
        <v>2645</v>
      </c>
      <c r="B45" s="70" t="s">
        <v>157</v>
      </c>
      <c r="C45" s="69">
        <v>255.8</v>
      </c>
      <c r="D45" s="14">
        <v>0.3</v>
      </c>
      <c r="E45" s="15">
        <f t="shared" si="2"/>
        <v>76.739999999999995</v>
      </c>
      <c r="F45" s="15"/>
      <c r="G45" s="15">
        <f t="shared" si="3"/>
        <v>76.739999999999995</v>
      </c>
      <c r="H45" s="16">
        <v>20133638</v>
      </c>
      <c r="I45" s="17" t="s">
        <v>158</v>
      </c>
      <c r="J45" s="16" t="s">
        <v>76</v>
      </c>
      <c r="K45" s="182" t="s">
        <v>77</v>
      </c>
      <c r="L45" s="16">
        <v>92802502</v>
      </c>
      <c r="M45" s="12" t="s">
        <v>22</v>
      </c>
      <c r="N45" s="4"/>
    </row>
    <row r="46" spans="1:14" s="6" customFormat="1" x14ac:dyDescent="0.25">
      <c r="A46" s="69">
        <v>2646</v>
      </c>
      <c r="B46" s="70" t="s">
        <v>159</v>
      </c>
      <c r="C46" s="69">
        <v>383</v>
      </c>
      <c r="D46" s="14">
        <v>0.3</v>
      </c>
      <c r="E46" s="15">
        <f t="shared" si="2"/>
        <v>114.89999999999999</v>
      </c>
      <c r="F46" s="15"/>
      <c r="G46" s="15">
        <f t="shared" si="3"/>
        <v>114.89999999999999</v>
      </c>
      <c r="H46" s="16">
        <v>13271226</v>
      </c>
      <c r="I46" s="17" t="s">
        <v>160</v>
      </c>
      <c r="J46" s="16" t="s">
        <v>73</v>
      </c>
      <c r="K46" s="32" t="s">
        <v>74</v>
      </c>
      <c r="L46" s="16">
        <v>92231129</v>
      </c>
      <c r="M46" s="12" t="s">
        <v>22</v>
      </c>
      <c r="N46" s="4"/>
    </row>
    <row r="47" spans="1:14" s="6" customFormat="1" x14ac:dyDescent="0.25">
      <c r="A47" s="12">
        <v>2647</v>
      </c>
      <c r="B47" s="13" t="s">
        <v>161</v>
      </c>
      <c r="C47" s="12">
        <v>213.1</v>
      </c>
      <c r="D47" s="14">
        <v>0.3</v>
      </c>
      <c r="E47" s="15">
        <f t="shared" si="2"/>
        <v>63.929999999999993</v>
      </c>
      <c r="F47" s="15"/>
      <c r="G47" s="15">
        <f t="shared" si="3"/>
        <v>63.929999999999993</v>
      </c>
      <c r="H47" s="16">
        <v>828714</v>
      </c>
      <c r="I47" s="17" t="s">
        <v>162</v>
      </c>
      <c r="J47" s="16" t="s">
        <v>94</v>
      </c>
      <c r="K47" s="182" t="s">
        <v>95</v>
      </c>
      <c r="L47" s="16">
        <v>99007372</v>
      </c>
      <c r="M47" s="12" t="s">
        <v>22</v>
      </c>
      <c r="N47" s="4"/>
    </row>
    <row r="48" spans="1:14" s="6" customFormat="1" x14ac:dyDescent="0.25">
      <c r="A48" s="69">
        <v>2648</v>
      </c>
      <c r="B48" s="70" t="s">
        <v>163</v>
      </c>
      <c r="C48" s="69">
        <v>146.5</v>
      </c>
      <c r="D48" s="14">
        <v>0.3</v>
      </c>
      <c r="E48" s="15">
        <f t="shared" si="2"/>
        <v>43.949999999999996</v>
      </c>
      <c r="F48" s="15"/>
      <c r="G48" s="15">
        <f t="shared" si="3"/>
        <v>43.949999999999996</v>
      </c>
      <c r="H48" s="16">
        <v>5086</v>
      </c>
      <c r="I48" s="17" t="s">
        <v>164</v>
      </c>
      <c r="J48" s="16" t="s">
        <v>94</v>
      </c>
      <c r="K48" s="182" t="s">
        <v>95</v>
      </c>
      <c r="L48" s="16">
        <v>99499787</v>
      </c>
      <c r="M48" s="12"/>
      <c r="N48" s="4"/>
    </row>
    <row r="49" spans="1:14" s="120" customFormat="1" x14ac:dyDescent="0.25">
      <c r="A49" s="96">
        <v>2649</v>
      </c>
      <c r="B49" s="97" t="s">
        <v>165</v>
      </c>
      <c r="C49" s="96">
        <v>226.8</v>
      </c>
      <c r="D49" s="98">
        <v>0.3</v>
      </c>
      <c r="E49" s="99">
        <f t="shared" si="2"/>
        <v>68.040000000000006</v>
      </c>
      <c r="F49" s="99">
        <f>65.5+2.54</f>
        <v>68.040000000000006</v>
      </c>
      <c r="G49" s="99">
        <f t="shared" si="3"/>
        <v>0</v>
      </c>
      <c r="H49" s="100">
        <v>1282981</v>
      </c>
      <c r="I49" s="101" t="s">
        <v>166</v>
      </c>
      <c r="J49" s="100" t="s">
        <v>80</v>
      </c>
      <c r="K49" s="275" t="s">
        <v>81</v>
      </c>
      <c r="L49" s="100">
        <v>99499053</v>
      </c>
      <c r="M49" s="96" t="s">
        <v>351</v>
      </c>
      <c r="N49" s="100" t="s">
        <v>388</v>
      </c>
    </row>
    <row r="50" spans="1:14" s="6" customFormat="1" x14ac:dyDescent="0.25">
      <c r="A50" s="69">
        <v>2650</v>
      </c>
      <c r="B50" s="70" t="s">
        <v>167</v>
      </c>
      <c r="C50" s="69">
        <v>231.7</v>
      </c>
      <c r="D50" s="14">
        <v>0.3</v>
      </c>
      <c r="E50" s="15">
        <f t="shared" si="2"/>
        <v>69.509999999999991</v>
      </c>
      <c r="F50" s="15"/>
      <c r="G50" s="15">
        <f t="shared" si="3"/>
        <v>69.509999999999991</v>
      </c>
      <c r="H50" s="16">
        <v>5949449</v>
      </c>
      <c r="I50" s="17" t="s">
        <v>168</v>
      </c>
      <c r="J50" s="16" t="s">
        <v>80</v>
      </c>
      <c r="K50" s="185" t="s">
        <v>81</v>
      </c>
      <c r="L50" s="16">
        <v>92781944</v>
      </c>
      <c r="M50" s="12"/>
      <c r="N50" s="4"/>
    </row>
    <row r="51" spans="1:14" s="6" customFormat="1" x14ac:dyDescent="0.25">
      <c r="A51" s="69">
        <v>2651</v>
      </c>
      <c r="B51" s="70" t="s">
        <v>169</v>
      </c>
      <c r="C51" s="69">
        <v>218.2</v>
      </c>
      <c r="D51" s="14">
        <v>0.3</v>
      </c>
      <c r="E51" s="15">
        <f t="shared" si="2"/>
        <v>65.459999999999994</v>
      </c>
      <c r="F51" s="15"/>
      <c r="G51" s="15">
        <f t="shared" si="3"/>
        <v>65.459999999999994</v>
      </c>
      <c r="H51" s="16">
        <v>18629431</v>
      </c>
      <c r="I51" s="17" t="s">
        <v>170</v>
      </c>
      <c r="J51" s="16" t="s">
        <v>73</v>
      </c>
      <c r="K51" s="32" t="s">
        <v>74</v>
      </c>
      <c r="L51" s="16">
        <v>92333700</v>
      </c>
      <c r="M51" s="12"/>
      <c r="N51" s="4"/>
    </row>
    <row r="52" spans="1:14" s="6" customFormat="1" x14ac:dyDescent="0.25">
      <c r="A52" s="69">
        <v>2652</v>
      </c>
      <c r="B52" s="70" t="s">
        <v>171</v>
      </c>
      <c r="C52" s="69">
        <v>131.69999999999999</v>
      </c>
      <c r="D52" s="14">
        <v>0.3</v>
      </c>
      <c r="E52" s="15">
        <f t="shared" si="2"/>
        <v>39.51</v>
      </c>
      <c r="F52" s="15">
        <v>35.143999999999998</v>
      </c>
      <c r="G52" s="15">
        <f t="shared" si="3"/>
        <v>4.3659999999999997</v>
      </c>
      <c r="H52" s="16">
        <v>23212756</v>
      </c>
      <c r="I52" s="17" t="s">
        <v>172</v>
      </c>
      <c r="J52" s="16" t="s">
        <v>94</v>
      </c>
      <c r="K52" s="182" t="s">
        <v>95</v>
      </c>
      <c r="L52" s="16">
        <v>98509729</v>
      </c>
      <c r="M52" s="225">
        <v>45941</v>
      </c>
      <c r="N52" s="4"/>
    </row>
    <row r="53" spans="1:14" s="6" customFormat="1" x14ac:dyDescent="0.25">
      <c r="A53" s="69">
        <v>2653</v>
      </c>
      <c r="B53" s="70" t="s">
        <v>173</v>
      </c>
      <c r="C53" s="69">
        <v>521.4</v>
      </c>
      <c r="D53" s="14">
        <v>0.3</v>
      </c>
      <c r="E53" s="15">
        <f t="shared" si="2"/>
        <v>156.41999999999999</v>
      </c>
      <c r="F53" s="15"/>
      <c r="G53" s="15">
        <f t="shared" si="3"/>
        <v>156.41999999999999</v>
      </c>
      <c r="H53" s="16">
        <v>9097024</v>
      </c>
      <c r="I53" s="17" t="s">
        <v>174</v>
      </c>
      <c r="J53" s="16" t="s">
        <v>18</v>
      </c>
      <c r="K53" s="32" t="s">
        <v>19</v>
      </c>
      <c r="L53" s="16">
        <v>95401775</v>
      </c>
      <c r="M53" s="12"/>
      <c r="N53" s="4"/>
    </row>
    <row r="54" spans="1:14" s="6" customFormat="1" x14ac:dyDescent="0.25">
      <c r="A54" s="69">
        <v>2654</v>
      </c>
      <c r="B54" s="70" t="s">
        <v>54</v>
      </c>
      <c r="C54" s="69">
        <v>406.1</v>
      </c>
      <c r="D54" s="14">
        <v>0.3</v>
      </c>
      <c r="E54" s="15">
        <f t="shared" si="2"/>
        <v>121.83</v>
      </c>
      <c r="F54" s="15">
        <f>E54</f>
        <v>121.83</v>
      </c>
      <c r="G54" s="15">
        <f t="shared" si="3"/>
        <v>0</v>
      </c>
      <c r="H54" s="16">
        <v>6073815</v>
      </c>
      <c r="I54" s="17" t="s">
        <v>175</v>
      </c>
      <c r="J54" s="16" t="s">
        <v>18</v>
      </c>
      <c r="K54" s="32" t="s">
        <v>19</v>
      </c>
      <c r="L54" s="16">
        <v>98780007</v>
      </c>
      <c r="M54" s="231">
        <v>45699</v>
      </c>
      <c r="N54" s="299" t="s">
        <v>379</v>
      </c>
    </row>
    <row r="55" spans="1:14" s="6" customFormat="1" x14ac:dyDescent="0.25">
      <c r="A55" s="69">
        <v>2655</v>
      </c>
      <c r="B55" s="70" t="s">
        <v>56</v>
      </c>
      <c r="C55" s="69">
        <v>216</v>
      </c>
      <c r="D55" s="14">
        <v>0.3</v>
      </c>
      <c r="E55" s="15">
        <f t="shared" si="2"/>
        <v>64.8</v>
      </c>
      <c r="F55" s="15">
        <v>60.740000000000009</v>
      </c>
      <c r="G55" s="15">
        <f t="shared" si="3"/>
        <v>4.0599999999999881</v>
      </c>
      <c r="H55" s="16">
        <v>20987274</v>
      </c>
      <c r="I55" s="17" t="s">
        <v>176</v>
      </c>
      <c r="J55" s="16" t="s">
        <v>73</v>
      </c>
      <c r="K55" s="32" t="s">
        <v>74</v>
      </c>
      <c r="L55" s="16">
        <v>92526652</v>
      </c>
      <c r="M55" s="225">
        <v>45941</v>
      </c>
      <c r="N55" s="4"/>
    </row>
    <row r="56" spans="1:14" s="6" customFormat="1" x14ac:dyDescent="0.25">
      <c r="A56" s="12">
        <v>2656</v>
      </c>
      <c r="B56" s="13" t="s">
        <v>177</v>
      </c>
      <c r="C56" s="12">
        <v>228</v>
      </c>
      <c r="D56" s="14">
        <v>0.3</v>
      </c>
      <c r="E56" s="15">
        <f t="shared" si="2"/>
        <v>68.399999999999991</v>
      </c>
      <c r="F56" s="15">
        <f>E56</f>
        <v>68.399999999999991</v>
      </c>
      <c r="G56" s="15">
        <f t="shared" si="3"/>
        <v>0</v>
      </c>
      <c r="H56" s="16">
        <v>21910635</v>
      </c>
      <c r="I56" s="17" t="s">
        <v>178</v>
      </c>
      <c r="J56" s="16" t="s">
        <v>18</v>
      </c>
      <c r="K56" s="32" t="s">
        <v>19</v>
      </c>
      <c r="L56" s="16">
        <v>92934362</v>
      </c>
      <c r="M56" s="231">
        <v>45699</v>
      </c>
      <c r="N56" s="299" t="s">
        <v>377</v>
      </c>
    </row>
    <row r="57" spans="1:14" s="120" customFormat="1" x14ac:dyDescent="0.25">
      <c r="A57" s="96">
        <v>2657</v>
      </c>
      <c r="B57" s="97" t="s">
        <v>179</v>
      </c>
      <c r="C57" s="96">
        <v>192.5</v>
      </c>
      <c r="D57" s="98">
        <v>0.3</v>
      </c>
      <c r="E57" s="99">
        <f t="shared" si="2"/>
        <v>57.75</v>
      </c>
      <c r="F57" s="99">
        <f>E57</f>
        <v>57.75</v>
      </c>
      <c r="G57" s="99">
        <f t="shared" si="3"/>
        <v>0</v>
      </c>
      <c r="H57" s="100">
        <v>6502761</v>
      </c>
      <c r="I57" s="101" t="s">
        <v>180</v>
      </c>
      <c r="J57" s="100" t="s">
        <v>18</v>
      </c>
      <c r="K57" s="102" t="s">
        <v>19</v>
      </c>
      <c r="L57" s="100">
        <v>98033332</v>
      </c>
      <c r="M57" s="100" t="s">
        <v>372</v>
      </c>
      <c r="N57" s="299" t="s">
        <v>373</v>
      </c>
    </row>
    <row r="58" spans="1:14" s="120" customFormat="1" x14ac:dyDescent="0.25">
      <c r="A58" s="96">
        <v>2658</v>
      </c>
      <c r="B58" s="97" t="s">
        <v>181</v>
      </c>
      <c r="C58" s="96">
        <v>155.9</v>
      </c>
      <c r="D58" s="98">
        <v>0.3</v>
      </c>
      <c r="E58" s="99">
        <f t="shared" si="2"/>
        <v>46.77</v>
      </c>
      <c r="F58" s="99">
        <v>45.95</v>
      </c>
      <c r="G58" s="99">
        <f t="shared" si="3"/>
        <v>0.82000000000000028</v>
      </c>
      <c r="H58" s="100">
        <v>6726168</v>
      </c>
      <c r="I58" s="101" t="s">
        <v>182</v>
      </c>
      <c r="J58" s="100" t="s">
        <v>73</v>
      </c>
      <c r="K58" s="102" t="s">
        <v>74</v>
      </c>
      <c r="L58" s="100"/>
      <c r="M58" s="126" t="s">
        <v>371</v>
      </c>
      <c r="N58" s="270"/>
    </row>
    <row r="59" spans="1:14" s="120" customFormat="1" x14ac:dyDescent="0.25">
      <c r="A59" s="96">
        <v>2659</v>
      </c>
      <c r="B59" s="97" t="s">
        <v>183</v>
      </c>
      <c r="C59" s="96">
        <v>247.7</v>
      </c>
      <c r="D59" s="98">
        <v>0.3</v>
      </c>
      <c r="E59" s="99">
        <f t="shared" si="2"/>
        <v>74.309999999999988</v>
      </c>
      <c r="F59" s="99">
        <f>71.39+2.92</f>
        <v>74.31</v>
      </c>
      <c r="G59" s="99">
        <f t="shared" si="3"/>
        <v>0</v>
      </c>
      <c r="H59" s="100">
        <v>5796837</v>
      </c>
      <c r="I59" s="101" t="s">
        <v>184</v>
      </c>
      <c r="J59" s="100" t="s">
        <v>18</v>
      </c>
      <c r="K59" s="102" t="s">
        <v>19</v>
      </c>
      <c r="L59" s="100"/>
      <c r="M59" s="126" t="s">
        <v>371</v>
      </c>
      <c r="N59" s="100" t="s">
        <v>388</v>
      </c>
    </row>
    <row r="60" spans="1:14" s="120" customFormat="1" x14ac:dyDescent="0.25">
      <c r="A60" s="96">
        <v>2660</v>
      </c>
      <c r="B60" s="97" t="s">
        <v>185</v>
      </c>
      <c r="C60" s="96">
        <v>238.5</v>
      </c>
      <c r="D60" s="98">
        <v>0.3</v>
      </c>
      <c r="E60" s="99">
        <f t="shared" si="2"/>
        <v>71.55</v>
      </c>
      <c r="F60" s="99">
        <f>68.06+3.49</f>
        <v>71.55</v>
      </c>
      <c r="G60" s="99">
        <f t="shared" si="3"/>
        <v>0</v>
      </c>
      <c r="H60" s="100">
        <v>7250691</v>
      </c>
      <c r="I60" s="101" t="s">
        <v>186</v>
      </c>
      <c r="J60" s="100" t="s">
        <v>73</v>
      </c>
      <c r="K60" s="102" t="s">
        <v>74</v>
      </c>
      <c r="L60" s="100"/>
      <c r="M60" s="217">
        <v>45788</v>
      </c>
      <c r="N60" s="100" t="s">
        <v>388</v>
      </c>
    </row>
    <row r="61" spans="1:14" s="6" customFormat="1" x14ac:dyDescent="0.25">
      <c r="A61" s="69">
        <v>2661</v>
      </c>
      <c r="B61" s="70" t="s">
        <v>187</v>
      </c>
      <c r="C61" s="69">
        <v>195.2</v>
      </c>
      <c r="D61" s="14">
        <v>0.3</v>
      </c>
      <c r="E61" s="15">
        <f t="shared" si="2"/>
        <v>58.559999999999995</v>
      </c>
      <c r="F61" s="15">
        <f>E61</f>
        <v>58.559999999999995</v>
      </c>
      <c r="G61" s="15">
        <f t="shared" si="3"/>
        <v>0</v>
      </c>
      <c r="H61" s="16">
        <v>24935198</v>
      </c>
      <c r="I61" s="17" t="s">
        <v>188</v>
      </c>
      <c r="J61" s="32" t="s">
        <v>73</v>
      </c>
      <c r="K61" s="32" t="s">
        <v>74</v>
      </c>
      <c r="L61" s="16">
        <v>99101900</v>
      </c>
      <c r="M61" s="100" t="s">
        <v>389</v>
      </c>
      <c r="N61" s="4"/>
    </row>
    <row r="62" spans="1:14" s="6" customFormat="1" x14ac:dyDescent="0.25">
      <c r="A62" s="12">
        <v>2662</v>
      </c>
      <c r="B62" s="13" t="s">
        <v>189</v>
      </c>
      <c r="C62" s="69">
        <v>287.2</v>
      </c>
      <c r="D62" s="14">
        <v>0.3</v>
      </c>
      <c r="E62" s="15">
        <f t="shared" si="2"/>
        <v>86.16</v>
      </c>
      <c r="F62" s="15"/>
      <c r="G62" s="15">
        <f t="shared" si="3"/>
        <v>86.16</v>
      </c>
      <c r="H62" s="16">
        <v>2931011</v>
      </c>
      <c r="I62" s="17" t="s">
        <v>190</v>
      </c>
      <c r="J62" s="16" t="s">
        <v>73</v>
      </c>
      <c r="K62" s="32" t="s">
        <v>74</v>
      </c>
      <c r="L62" s="16">
        <v>92997279</v>
      </c>
      <c r="M62" s="16" t="s">
        <v>22</v>
      </c>
      <c r="N62" s="4"/>
    </row>
    <row r="63" spans="1:14" s="6" customFormat="1" x14ac:dyDescent="0.25">
      <c r="A63" s="69">
        <v>2663</v>
      </c>
      <c r="B63" s="70" t="s">
        <v>191</v>
      </c>
      <c r="C63" s="69">
        <v>262.60000000000002</v>
      </c>
      <c r="D63" s="14">
        <v>0.3</v>
      </c>
      <c r="E63" s="15">
        <f t="shared" si="2"/>
        <v>78.78</v>
      </c>
      <c r="F63" s="15"/>
      <c r="G63" s="15">
        <f t="shared" si="3"/>
        <v>78.78</v>
      </c>
      <c r="H63" s="16">
        <v>568448</v>
      </c>
      <c r="I63" s="17" t="s">
        <v>192</v>
      </c>
      <c r="J63" s="16" t="s">
        <v>73</v>
      </c>
      <c r="K63" s="32" t="s">
        <v>74</v>
      </c>
      <c r="L63" s="16">
        <v>99298847</v>
      </c>
      <c r="M63" s="16"/>
      <c r="N63" s="4"/>
    </row>
    <row r="64" spans="1:14" s="35" customFormat="1" x14ac:dyDescent="0.25">
      <c r="A64" s="69">
        <v>2665</v>
      </c>
      <c r="B64" s="70" t="s">
        <v>194</v>
      </c>
      <c r="C64" s="69">
        <v>368.1</v>
      </c>
      <c r="D64" s="14">
        <v>0.3</v>
      </c>
      <c r="E64" s="15">
        <f t="shared" si="2"/>
        <v>110.43</v>
      </c>
      <c r="F64" s="15">
        <f>108.81+1.62</f>
        <v>110.43</v>
      </c>
      <c r="G64" s="15">
        <f t="shared" si="3"/>
        <v>0</v>
      </c>
      <c r="H64" s="16">
        <v>8467055</v>
      </c>
      <c r="I64" s="17" t="s">
        <v>195</v>
      </c>
      <c r="J64" s="16" t="s">
        <v>73</v>
      </c>
      <c r="K64" s="32" t="s">
        <v>74</v>
      </c>
      <c r="L64" s="16">
        <v>98919778</v>
      </c>
      <c r="M64" s="225">
        <v>45788</v>
      </c>
      <c r="N64" s="100" t="s">
        <v>388</v>
      </c>
    </row>
    <row r="65" spans="1:15" s="120" customFormat="1" x14ac:dyDescent="0.25">
      <c r="A65" s="96">
        <v>2666</v>
      </c>
      <c r="B65" s="97" t="s">
        <v>196</v>
      </c>
      <c r="C65" s="96">
        <v>233.6</v>
      </c>
      <c r="D65" s="98">
        <v>0.3</v>
      </c>
      <c r="E65" s="99">
        <f t="shared" si="2"/>
        <v>70.08</v>
      </c>
      <c r="F65" s="99">
        <f>3.11999999999999+66.5+0.46</f>
        <v>70.079999999999984</v>
      </c>
      <c r="G65" s="99">
        <f t="shared" si="3"/>
        <v>0</v>
      </c>
      <c r="H65" s="100">
        <v>23188968</v>
      </c>
      <c r="I65" s="101" t="s">
        <v>197</v>
      </c>
      <c r="J65" s="100" t="s">
        <v>73</v>
      </c>
      <c r="K65" s="102" t="s">
        <v>74</v>
      </c>
      <c r="L65" s="100">
        <v>95058843</v>
      </c>
      <c r="M65" s="96" t="s">
        <v>367</v>
      </c>
      <c r="N65" s="225">
        <v>45788</v>
      </c>
      <c r="O65" s="100" t="s">
        <v>388</v>
      </c>
    </row>
    <row r="66" spans="1:15" s="120" customFormat="1" x14ac:dyDescent="0.25">
      <c r="A66" s="96">
        <v>2667</v>
      </c>
      <c r="B66" s="97" t="s">
        <v>366</v>
      </c>
      <c r="C66" s="96">
        <v>172.9</v>
      </c>
      <c r="D66" s="98">
        <v>0.3</v>
      </c>
      <c r="E66" s="99">
        <f t="shared" si="2"/>
        <v>51.87</v>
      </c>
      <c r="F66" s="99">
        <f>48.67+3.2</f>
        <v>51.870000000000005</v>
      </c>
      <c r="G66" s="99">
        <f t="shared" si="3"/>
        <v>0</v>
      </c>
      <c r="H66" s="100">
        <v>893206</v>
      </c>
      <c r="I66" s="101" t="s">
        <v>199</v>
      </c>
      <c r="J66" s="100" t="s">
        <v>18</v>
      </c>
      <c r="K66" s="102" t="s">
        <v>19</v>
      </c>
      <c r="L66" s="100">
        <v>92786724</v>
      </c>
      <c r="M66" s="96" t="s">
        <v>367</v>
      </c>
      <c r="N66" s="100" t="s">
        <v>388</v>
      </c>
    </row>
    <row r="67" spans="1:15" s="35" customFormat="1" x14ac:dyDescent="0.25">
      <c r="A67" s="69">
        <v>2668</v>
      </c>
      <c r="B67" s="70" t="s">
        <v>200</v>
      </c>
      <c r="C67" s="69">
        <v>194.7</v>
      </c>
      <c r="D67" s="14">
        <v>0.3</v>
      </c>
      <c r="E67" s="15">
        <f t="shared" si="2"/>
        <v>58.41</v>
      </c>
      <c r="F67" s="15"/>
      <c r="G67" s="15">
        <f t="shared" si="3"/>
        <v>58.41</v>
      </c>
      <c r="H67" s="16">
        <v>8542496</v>
      </c>
      <c r="I67" s="17" t="s">
        <v>201</v>
      </c>
      <c r="J67" s="16" t="s">
        <v>73</v>
      </c>
      <c r="K67" s="32" t="s">
        <v>74</v>
      </c>
      <c r="L67" s="16">
        <v>99295329</v>
      </c>
      <c r="M67" s="12"/>
      <c r="N67" s="4"/>
    </row>
    <row r="68" spans="1:15" s="35" customFormat="1" x14ac:dyDescent="0.25">
      <c r="A68" s="69">
        <v>2669</v>
      </c>
      <c r="B68" s="70" t="s">
        <v>202</v>
      </c>
      <c r="C68" s="69">
        <v>237.7</v>
      </c>
      <c r="D68" s="14">
        <v>0.3</v>
      </c>
      <c r="E68" s="15">
        <f t="shared" ref="E68:E99" si="4">C68*D68</f>
        <v>71.309999999999988</v>
      </c>
      <c r="F68" s="15">
        <f>E68</f>
        <v>71.309999999999988</v>
      </c>
      <c r="G68" s="15">
        <f t="shared" ref="G68:G99" si="5">E68-F68</f>
        <v>0</v>
      </c>
      <c r="H68" s="16">
        <v>6460241</v>
      </c>
      <c r="I68" s="17" t="s">
        <v>203</v>
      </c>
      <c r="J68" s="16" t="s">
        <v>18</v>
      </c>
      <c r="K68" s="32" t="s">
        <v>19</v>
      </c>
      <c r="L68" s="16">
        <v>92550479</v>
      </c>
      <c r="M68" s="96" t="s">
        <v>382</v>
      </c>
      <c r="N68" s="4"/>
    </row>
    <row r="69" spans="1:15" s="35" customFormat="1" x14ac:dyDescent="0.25">
      <c r="A69" s="69">
        <v>2670</v>
      </c>
      <c r="B69" s="70" t="s">
        <v>205</v>
      </c>
      <c r="C69" s="69">
        <v>217.1</v>
      </c>
      <c r="D69" s="14">
        <v>0.3</v>
      </c>
      <c r="E69" s="15">
        <f t="shared" si="4"/>
        <v>65.13</v>
      </c>
      <c r="F69" s="15"/>
      <c r="G69" s="15">
        <f t="shared" si="5"/>
        <v>65.13</v>
      </c>
      <c r="H69" s="16">
        <v>1481996</v>
      </c>
      <c r="I69" s="17" t="s">
        <v>206</v>
      </c>
      <c r="J69" s="16" t="s">
        <v>94</v>
      </c>
      <c r="K69" s="182" t="s">
        <v>95</v>
      </c>
      <c r="L69" s="16">
        <v>99491404</v>
      </c>
      <c r="M69" s="12"/>
      <c r="N69" s="4"/>
    </row>
    <row r="70" spans="1:15" s="35" customFormat="1" x14ac:dyDescent="0.25">
      <c r="A70" s="69">
        <v>2671</v>
      </c>
      <c r="B70" s="70" t="s">
        <v>207</v>
      </c>
      <c r="C70" s="69">
        <v>245.9</v>
      </c>
      <c r="D70" s="14">
        <v>0.3</v>
      </c>
      <c r="E70" s="15">
        <f t="shared" si="4"/>
        <v>73.77</v>
      </c>
      <c r="F70" s="15"/>
      <c r="G70" s="15">
        <f t="shared" si="5"/>
        <v>73.77</v>
      </c>
      <c r="H70" s="16">
        <v>19595084</v>
      </c>
      <c r="I70" s="17" t="s">
        <v>208</v>
      </c>
      <c r="J70" s="16" t="s">
        <v>73</v>
      </c>
      <c r="K70" s="32" t="s">
        <v>74</v>
      </c>
      <c r="L70" s="16">
        <v>92921404</v>
      </c>
      <c r="M70" s="12"/>
      <c r="N70" s="4"/>
    </row>
    <row r="71" spans="1:15" s="35" customFormat="1" x14ac:dyDescent="0.25">
      <c r="A71" s="69">
        <v>2672</v>
      </c>
      <c r="B71" s="70" t="s">
        <v>209</v>
      </c>
      <c r="C71" s="69">
        <v>210.1</v>
      </c>
      <c r="D71" s="14">
        <v>0.3</v>
      </c>
      <c r="E71" s="15">
        <f t="shared" si="4"/>
        <v>63.029999999999994</v>
      </c>
      <c r="F71" s="15"/>
      <c r="G71" s="15">
        <f t="shared" si="5"/>
        <v>63.029999999999994</v>
      </c>
      <c r="H71" s="33">
        <v>21469064</v>
      </c>
      <c r="I71" s="17" t="s">
        <v>210</v>
      </c>
      <c r="J71" s="33" t="s">
        <v>73</v>
      </c>
      <c r="K71" s="184" t="s">
        <v>74</v>
      </c>
      <c r="L71" s="16">
        <v>93316559</v>
      </c>
      <c r="M71" s="12"/>
      <c r="N71" s="4"/>
    </row>
    <row r="72" spans="1:15" s="35" customFormat="1" x14ac:dyDescent="0.25">
      <c r="A72" s="57">
        <v>2673</v>
      </c>
      <c r="B72" s="13" t="s">
        <v>58</v>
      </c>
      <c r="C72" s="12">
        <v>234.2</v>
      </c>
      <c r="D72" s="14">
        <v>0.3</v>
      </c>
      <c r="E72" s="15">
        <f t="shared" si="4"/>
        <v>70.259999999999991</v>
      </c>
      <c r="F72" s="15"/>
      <c r="G72" s="15">
        <f t="shared" si="5"/>
        <v>70.259999999999991</v>
      </c>
      <c r="H72" s="33">
        <v>8393437</v>
      </c>
      <c r="I72" s="17">
        <v>401002466590016</v>
      </c>
      <c r="J72" s="33" t="s">
        <v>73</v>
      </c>
      <c r="K72" s="184" t="s">
        <v>74</v>
      </c>
      <c r="L72" s="16"/>
      <c r="M72" s="12"/>
      <c r="N72" s="4"/>
    </row>
    <row r="73" spans="1:15" s="120" customFormat="1" x14ac:dyDescent="0.25">
      <c r="A73" s="96">
        <v>2674</v>
      </c>
      <c r="B73" s="97" t="s">
        <v>37</v>
      </c>
      <c r="C73" s="96">
        <v>278.3</v>
      </c>
      <c r="D73" s="98">
        <v>0.3</v>
      </c>
      <c r="E73" s="99">
        <f t="shared" si="4"/>
        <v>83.49</v>
      </c>
      <c r="F73" s="99">
        <f>80.54+2.95</f>
        <v>83.490000000000009</v>
      </c>
      <c r="G73" s="99">
        <f t="shared" si="5"/>
        <v>0</v>
      </c>
      <c r="H73" s="100">
        <v>6332118</v>
      </c>
      <c r="I73" s="101" t="s">
        <v>211</v>
      </c>
      <c r="J73" s="100" t="s">
        <v>18</v>
      </c>
      <c r="K73" s="102" t="s">
        <v>19</v>
      </c>
      <c r="L73" s="100">
        <v>98930047</v>
      </c>
      <c r="M73" s="231">
        <v>45699</v>
      </c>
      <c r="N73" s="96" t="s">
        <v>390</v>
      </c>
    </row>
    <row r="74" spans="1:15" s="120" customFormat="1" x14ac:dyDescent="0.25">
      <c r="A74" s="96">
        <v>2675</v>
      </c>
      <c r="B74" s="97" t="s">
        <v>39</v>
      </c>
      <c r="C74" s="96">
        <v>227.9</v>
      </c>
      <c r="D74" s="98">
        <v>0.3</v>
      </c>
      <c r="E74" s="99">
        <f t="shared" si="4"/>
        <v>68.37</v>
      </c>
      <c r="F74" s="99">
        <f>66.99+1.38</f>
        <v>68.36999999999999</v>
      </c>
      <c r="G74" s="99">
        <f t="shared" si="5"/>
        <v>0</v>
      </c>
      <c r="H74" s="100">
        <v>6332123</v>
      </c>
      <c r="I74" s="101" t="s">
        <v>212</v>
      </c>
      <c r="J74" s="100" t="s">
        <v>73</v>
      </c>
      <c r="K74" s="102" t="s">
        <v>74</v>
      </c>
      <c r="L74" s="100">
        <v>98777808</v>
      </c>
      <c r="M74" s="231">
        <v>45699</v>
      </c>
      <c r="N74" s="96" t="s">
        <v>390</v>
      </c>
    </row>
    <row r="75" spans="1:15" s="6" customFormat="1" x14ac:dyDescent="0.25">
      <c r="A75" s="12">
        <v>2676</v>
      </c>
      <c r="B75" s="13" t="s">
        <v>59</v>
      </c>
      <c r="C75" s="69">
        <v>196.9</v>
      </c>
      <c r="D75" s="14">
        <v>0.3</v>
      </c>
      <c r="E75" s="15">
        <f t="shared" si="4"/>
        <v>59.07</v>
      </c>
      <c r="F75" s="15"/>
      <c r="G75" s="15">
        <f t="shared" si="5"/>
        <v>59.07</v>
      </c>
      <c r="H75" s="32">
        <v>568083</v>
      </c>
      <c r="I75" s="17" t="s">
        <v>213</v>
      </c>
      <c r="J75" s="32" t="s">
        <v>76</v>
      </c>
      <c r="K75" s="182" t="s">
        <v>77</v>
      </c>
      <c r="L75" s="16">
        <v>98146666</v>
      </c>
      <c r="M75" s="12"/>
      <c r="N75" s="4"/>
    </row>
    <row r="76" spans="1:15" s="120" customFormat="1" x14ac:dyDescent="0.25">
      <c r="A76" s="96">
        <v>2677</v>
      </c>
      <c r="B76" s="97" t="s">
        <v>214</v>
      </c>
      <c r="C76" s="96">
        <v>169.5</v>
      </c>
      <c r="D76" s="98">
        <v>0.3</v>
      </c>
      <c r="E76" s="99">
        <f t="shared" si="4"/>
        <v>50.85</v>
      </c>
      <c r="F76" s="99">
        <f>46.55+4.3</f>
        <v>50.849999999999994</v>
      </c>
      <c r="G76" s="99">
        <f t="shared" si="5"/>
        <v>0</v>
      </c>
      <c r="H76" s="102">
        <v>7031534</v>
      </c>
      <c r="I76" s="101" t="s">
        <v>215</v>
      </c>
      <c r="J76" s="100" t="s">
        <v>73</v>
      </c>
      <c r="K76" s="102" t="s">
        <v>74</v>
      </c>
      <c r="L76" s="100">
        <v>92995115</v>
      </c>
      <c r="M76" s="96" t="s">
        <v>351</v>
      </c>
      <c r="N76" s="96" t="s">
        <v>388</v>
      </c>
    </row>
    <row r="77" spans="1:15" s="120" customFormat="1" x14ac:dyDescent="0.25">
      <c r="A77" s="96">
        <v>2678</v>
      </c>
      <c r="B77" s="97" t="s">
        <v>216</v>
      </c>
      <c r="C77" s="96">
        <v>423.4</v>
      </c>
      <c r="D77" s="98">
        <v>0.3</v>
      </c>
      <c r="E77" s="99">
        <f t="shared" si="4"/>
        <v>127.01999999999998</v>
      </c>
      <c r="F77" s="99">
        <f>122.28+4.74</f>
        <v>127.02</v>
      </c>
      <c r="G77" s="99">
        <f t="shared" si="5"/>
        <v>0</v>
      </c>
      <c r="H77" s="102">
        <v>7211987</v>
      </c>
      <c r="I77" s="101" t="s">
        <v>217</v>
      </c>
      <c r="J77" s="100" t="s">
        <v>73</v>
      </c>
      <c r="K77" s="102" t="s">
        <v>74</v>
      </c>
      <c r="L77" s="100"/>
      <c r="M77" s="217">
        <v>45727</v>
      </c>
      <c r="N77" s="96" t="s">
        <v>388</v>
      </c>
    </row>
    <row r="78" spans="1:15" s="120" customFormat="1" x14ac:dyDescent="0.25">
      <c r="A78" s="96">
        <v>2680</v>
      </c>
      <c r="B78" s="97" t="s">
        <v>218</v>
      </c>
      <c r="C78" s="96">
        <v>149</v>
      </c>
      <c r="D78" s="98">
        <v>0.3</v>
      </c>
      <c r="E78" s="99">
        <f t="shared" si="4"/>
        <v>44.699999999999996</v>
      </c>
      <c r="F78" s="99">
        <v>40.769999999999996</v>
      </c>
      <c r="G78" s="99">
        <f t="shared" si="5"/>
        <v>3.9299999999999997</v>
      </c>
      <c r="H78" s="102">
        <v>553684</v>
      </c>
      <c r="I78" s="101">
        <v>1010125978001</v>
      </c>
      <c r="J78" s="100" t="s">
        <v>80</v>
      </c>
      <c r="K78" s="102" t="s">
        <v>219</v>
      </c>
      <c r="L78" s="100">
        <v>98279480</v>
      </c>
      <c r="M78" s="126" t="s">
        <v>370</v>
      </c>
      <c r="N78" s="270"/>
    </row>
    <row r="79" spans="1:15" s="120" customFormat="1" x14ac:dyDescent="0.25">
      <c r="A79" s="96">
        <v>2681</v>
      </c>
      <c r="B79" s="97" t="s">
        <v>61</v>
      </c>
      <c r="C79" s="96">
        <v>182.5</v>
      </c>
      <c r="D79" s="98">
        <v>0.3</v>
      </c>
      <c r="E79" s="99">
        <f t="shared" si="4"/>
        <v>54.75</v>
      </c>
      <c r="F79" s="99">
        <v>51.26</v>
      </c>
      <c r="G79" s="99">
        <f t="shared" si="5"/>
        <v>3.490000000000002</v>
      </c>
      <c r="H79" s="102">
        <v>23172723</v>
      </c>
      <c r="I79" s="101" t="s">
        <v>221</v>
      </c>
      <c r="J79" s="102" t="s">
        <v>73</v>
      </c>
      <c r="K79" s="102" t="s">
        <v>74</v>
      </c>
      <c r="L79" s="100">
        <v>93635099</v>
      </c>
      <c r="M79" s="126" t="s">
        <v>371</v>
      </c>
      <c r="N79" s="270"/>
    </row>
    <row r="80" spans="1:15" s="6" customFormat="1" x14ac:dyDescent="0.25">
      <c r="A80" s="69">
        <v>2682</v>
      </c>
      <c r="B80" s="70" t="s">
        <v>222</v>
      </c>
      <c r="C80" s="69">
        <v>192.8</v>
      </c>
      <c r="D80" s="14">
        <v>0.3</v>
      </c>
      <c r="E80" s="15">
        <f t="shared" si="4"/>
        <v>57.84</v>
      </c>
      <c r="F80" s="15"/>
      <c r="G80" s="15">
        <f t="shared" si="5"/>
        <v>57.84</v>
      </c>
      <c r="H80" s="32">
        <v>1356383</v>
      </c>
      <c r="I80" s="17" t="s">
        <v>223</v>
      </c>
      <c r="J80" s="32" t="s">
        <v>80</v>
      </c>
      <c r="K80" s="32" t="s">
        <v>81</v>
      </c>
      <c r="L80" s="16"/>
      <c r="M80" s="111"/>
      <c r="N80" s="4"/>
    </row>
    <row r="81" spans="1:15" x14ac:dyDescent="0.25">
      <c r="A81" s="69">
        <v>2683</v>
      </c>
      <c r="B81" s="70" t="s">
        <v>224</v>
      </c>
      <c r="C81" s="69">
        <v>487.1</v>
      </c>
      <c r="D81" s="14">
        <v>0.3</v>
      </c>
      <c r="E81" s="15">
        <f t="shared" si="4"/>
        <v>146.13</v>
      </c>
      <c r="F81" s="15"/>
      <c r="G81" s="15">
        <f t="shared" si="5"/>
        <v>146.13</v>
      </c>
      <c r="H81" s="32">
        <v>5912206</v>
      </c>
      <c r="I81" s="17" t="s">
        <v>225</v>
      </c>
      <c r="J81" s="16" t="s">
        <v>73</v>
      </c>
      <c r="K81" s="32" t="s">
        <v>74</v>
      </c>
      <c r="L81" s="16">
        <v>92704591</v>
      </c>
      <c r="M81" s="111"/>
    </row>
    <row r="82" spans="1:15" s="6" customFormat="1" x14ac:dyDescent="0.25">
      <c r="A82" s="69">
        <v>2684</v>
      </c>
      <c r="B82" s="70" t="s">
        <v>226</v>
      </c>
      <c r="C82" s="69">
        <v>202.1</v>
      </c>
      <c r="D82" s="14">
        <v>0.3</v>
      </c>
      <c r="E82" s="15">
        <f t="shared" si="4"/>
        <v>60.629999999999995</v>
      </c>
      <c r="F82" s="15">
        <f>E82</f>
        <v>60.629999999999995</v>
      </c>
      <c r="G82" s="15">
        <f t="shared" si="5"/>
        <v>0</v>
      </c>
      <c r="H82" s="79">
        <v>4768041</v>
      </c>
      <c r="I82" s="183" t="s">
        <v>227</v>
      </c>
      <c r="J82" s="78" t="s">
        <v>73</v>
      </c>
      <c r="K82" s="79" t="s">
        <v>74</v>
      </c>
      <c r="L82" s="78">
        <v>99697032</v>
      </c>
      <c r="M82" s="294" t="s">
        <v>383</v>
      </c>
      <c r="N82" s="4"/>
    </row>
    <row r="83" spans="1:15" s="120" customFormat="1" x14ac:dyDescent="0.25">
      <c r="A83" s="96">
        <v>2685</v>
      </c>
      <c r="B83" s="97" t="s">
        <v>228</v>
      </c>
      <c r="C83" s="96">
        <v>162.6</v>
      </c>
      <c r="D83" s="98">
        <v>0.3</v>
      </c>
      <c r="E83" s="99">
        <f t="shared" si="4"/>
        <v>48.779999999999994</v>
      </c>
      <c r="F83" s="99">
        <f>E83</f>
        <v>48.779999999999994</v>
      </c>
      <c r="G83" s="99">
        <f t="shared" si="5"/>
        <v>0</v>
      </c>
      <c r="H83" s="102">
        <v>25026854</v>
      </c>
      <c r="I83" s="101" t="s">
        <v>229</v>
      </c>
      <c r="J83" s="100" t="s">
        <v>18</v>
      </c>
      <c r="K83" s="102" t="s">
        <v>19</v>
      </c>
      <c r="L83" s="100">
        <v>96124005</v>
      </c>
      <c r="M83" s="231">
        <v>45699</v>
      </c>
      <c r="N83" s="299" t="s">
        <v>374</v>
      </c>
    </row>
    <row r="84" spans="1:15" s="6" customFormat="1" x14ac:dyDescent="0.25">
      <c r="A84" s="69">
        <v>2686</v>
      </c>
      <c r="B84" s="70" t="s">
        <v>230</v>
      </c>
      <c r="C84" s="36">
        <v>353.9</v>
      </c>
      <c r="D84" s="14">
        <v>0.3</v>
      </c>
      <c r="E84" s="15">
        <f t="shared" si="4"/>
        <v>106.16999999999999</v>
      </c>
      <c r="F84" s="15"/>
      <c r="G84" s="15">
        <f t="shared" si="5"/>
        <v>106.16999999999999</v>
      </c>
      <c r="H84" s="32">
        <v>6064295</v>
      </c>
      <c r="I84" s="17" t="s">
        <v>231</v>
      </c>
      <c r="J84" s="16" t="s">
        <v>73</v>
      </c>
      <c r="K84" s="32" t="s">
        <v>74</v>
      </c>
      <c r="L84" s="16"/>
      <c r="M84" s="111"/>
      <c r="N84" s="4"/>
    </row>
    <row r="85" spans="1:15" s="6" customFormat="1" x14ac:dyDescent="0.25">
      <c r="A85" s="69">
        <v>2687</v>
      </c>
      <c r="B85" s="112" t="s">
        <v>62</v>
      </c>
      <c r="C85" s="36">
        <v>250.9</v>
      </c>
      <c r="D85" s="14">
        <v>0.3</v>
      </c>
      <c r="E85" s="15">
        <f t="shared" si="4"/>
        <v>75.27</v>
      </c>
      <c r="F85" s="15"/>
      <c r="G85" s="15">
        <f t="shared" si="5"/>
        <v>75.27</v>
      </c>
      <c r="H85" s="32">
        <v>14175595</v>
      </c>
      <c r="I85" s="17" t="s">
        <v>232</v>
      </c>
      <c r="J85" s="16" t="s">
        <v>76</v>
      </c>
      <c r="K85" s="182" t="s">
        <v>77</v>
      </c>
      <c r="L85" s="16">
        <v>99531669</v>
      </c>
      <c r="M85" s="33" t="s">
        <v>22</v>
      </c>
      <c r="N85" s="4"/>
    </row>
    <row r="86" spans="1:15" s="6" customFormat="1" x14ac:dyDescent="0.25">
      <c r="A86" s="69">
        <v>2688</v>
      </c>
      <c r="B86" s="16" t="s">
        <v>234</v>
      </c>
      <c r="C86" s="36">
        <v>354.4</v>
      </c>
      <c r="D86" s="14">
        <v>0.3</v>
      </c>
      <c r="E86" s="15">
        <f t="shared" si="4"/>
        <v>106.32</v>
      </c>
      <c r="F86" s="15">
        <f>103.31+3.01</f>
        <v>106.32000000000001</v>
      </c>
      <c r="G86" s="15">
        <f t="shared" si="5"/>
        <v>0</v>
      </c>
      <c r="H86" s="32">
        <v>18647005</v>
      </c>
      <c r="I86" s="17" t="s">
        <v>235</v>
      </c>
      <c r="J86" s="16" t="s">
        <v>73</v>
      </c>
      <c r="K86" s="32" t="s">
        <v>74</v>
      </c>
      <c r="L86" s="16"/>
      <c r="M86" s="126" t="s">
        <v>371</v>
      </c>
      <c r="N86" s="126" t="s">
        <v>387</v>
      </c>
    </row>
    <row r="87" spans="1:15" s="120" customFormat="1" x14ac:dyDescent="0.25">
      <c r="A87" s="96">
        <v>2689</v>
      </c>
      <c r="B87" s="100" t="s">
        <v>236</v>
      </c>
      <c r="C87" s="124">
        <v>316.2</v>
      </c>
      <c r="D87" s="98">
        <v>0.3</v>
      </c>
      <c r="E87" s="99">
        <f t="shared" si="4"/>
        <v>94.86</v>
      </c>
      <c r="F87" s="99">
        <f>94.11</f>
        <v>94.11</v>
      </c>
      <c r="G87" s="99">
        <f t="shared" si="5"/>
        <v>0.75</v>
      </c>
      <c r="H87" s="102">
        <v>1527206</v>
      </c>
      <c r="I87" s="101" t="s">
        <v>237</v>
      </c>
      <c r="J87" s="100" t="s">
        <v>73</v>
      </c>
      <c r="K87" s="102" t="s">
        <v>74</v>
      </c>
      <c r="L87" s="100"/>
      <c r="M87" s="270" t="s">
        <v>367</v>
      </c>
      <c r="N87" s="270"/>
    </row>
    <row r="88" spans="1:15" s="120" customFormat="1" x14ac:dyDescent="0.25">
      <c r="A88" s="96">
        <v>2690</v>
      </c>
      <c r="B88" s="100" t="s">
        <v>238</v>
      </c>
      <c r="C88" s="124">
        <v>293.89999999999998</v>
      </c>
      <c r="D88" s="98">
        <v>0.3</v>
      </c>
      <c r="E88" s="99">
        <f t="shared" si="4"/>
        <v>88.169999999999987</v>
      </c>
      <c r="F88" s="99">
        <f>0.949999999999946+85.5+1.72</f>
        <v>88.169999999999945</v>
      </c>
      <c r="G88" s="99">
        <f t="shared" si="5"/>
        <v>0</v>
      </c>
      <c r="H88" s="102">
        <v>7376171</v>
      </c>
      <c r="I88" s="101" t="s">
        <v>239</v>
      </c>
      <c r="J88" s="100" t="s">
        <v>80</v>
      </c>
      <c r="K88" s="102" t="s">
        <v>81</v>
      </c>
      <c r="L88" s="100"/>
      <c r="M88" s="126" t="s">
        <v>364</v>
      </c>
      <c r="N88" s="270" t="s">
        <v>367</v>
      </c>
      <c r="O88" s="100" t="s">
        <v>388</v>
      </c>
    </row>
    <row r="89" spans="1:15" s="120" customFormat="1" x14ac:dyDescent="0.25">
      <c r="A89" s="96">
        <v>2691</v>
      </c>
      <c r="B89" s="100" t="s">
        <v>240</v>
      </c>
      <c r="C89" s="124">
        <v>337.8</v>
      </c>
      <c r="D89" s="98">
        <v>0.3</v>
      </c>
      <c r="E89" s="99">
        <f t="shared" si="4"/>
        <v>101.34</v>
      </c>
      <c r="F89" s="99">
        <f>97.03+4.31</f>
        <v>101.34</v>
      </c>
      <c r="G89" s="99">
        <f t="shared" si="5"/>
        <v>0</v>
      </c>
      <c r="H89" s="102">
        <v>7376203</v>
      </c>
      <c r="I89" s="101" t="s">
        <v>241</v>
      </c>
      <c r="J89" s="100" t="s">
        <v>73</v>
      </c>
      <c r="K89" s="102" t="s">
        <v>74</v>
      </c>
      <c r="L89" s="100"/>
      <c r="M89" s="270" t="s">
        <v>367</v>
      </c>
      <c r="N89" s="100" t="s">
        <v>388</v>
      </c>
    </row>
    <row r="90" spans="1:15" s="120" customFormat="1" x14ac:dyDescent="0.25">
      <c r="A90" s="96">
        <v>2692</v>
      </c>
      <c r="B90" s="100" t="s">
        <v>243</v>
      </c>
      <c r="C90" s="124">
        <v>314.10000000000002</v>
      </c>
      <c r="D90" s="98">
        <v>0.3</v>
      </c>
      <c r="E90" s="99">
        <f t="shared" si="4"/>
        <v>94.23</v>
      </c>
      <c r="F90" s="99">
        <f>93.04+1.19</f>
        <v>94.23</v>
      </c>
      <c r="G90" s="99">
        <f t="shared" si="5"/>
        <v>0</v>
      </c>
      <c r="H90" s="102">
        <v>626838</v>
      </c>
      <c r="I90" s="101" t="s">
        <v>244</v>
      </c>
      <c r="J90" s="100" t="s">
        <v>73</v>
      </c>
      <c r="K90" s="102" t="s">
        <v>74</v>
      </c>
      <c r="L90" s="100"/>
      <c r="M90" s="231">
        <v>46002</v>
      </c>
      <c r="N90" s="126" t="s">
        <v>467</v>
      </c>
    </row>
    <row r="91" spans="1:15" s="120" customFormat="1" x14ac:dyDescent="0.25">
      <c r="A91" s="96">
        <v>2693</v>
      </c>
      <c r="B91" s="100" t="s">
        <v>245</v>
      </c>
      <c r="C91" s="124">
        <v>195.8</v>
      </c>
      <c r="D91" s="98">
        <v>0.3</v>
      </c>
      <c r="E91" s="99">
        <f t="shared" si="4"/>
        <v>58.74</v>
      </c>
      <c r="F91" s="99">
        <f>56.3+2.44</f>
        <v>58.739999999999995</v>
      </c>
      <c r="G91" s="99">
        <f t="shared" si="5"/>
        <v>0</v>
      </c>
      <c r="H91" s="102">
        <v>20233513</v>
      </c>
      <c r="I91" s="101" t="s">
        <v>246</v>
      </c>
      <c r="J91" s="100" t="s">
        <v>73</v>
      </c>
      <c r="K91" s="102" t="s">
        <v>74</v>
      </c>
      <c r="L91" s="100">
        <v>99669614</v>
      </c>
      <c r="M91" s="231">
        <v>46002</v>
      </c>
      <c r="N91" s="126" t="s">
        <v>467</v>
      </c>
    </row>
    <row r="92" spans="1:15" s="120" customFormat="1" x14ac:dyDescent="0.25">
      <c r="A92" s="96">
        <v>2694</v>
      </c>
      <c r="B92" s="100" t="s">
        <v>248</v>
      </c>
      <c r="C92" s="124">
        <v>80.099999999999994</v>
      </c>
      <c r="D92" s="98">
        <v>0.3</v>
      </c>
      <c r="E92" s="99">
        <f t="shared" si="4"/>
        <v>24.029999999999998</v>
      </c>
      <c r="F92" s="99">
        <f>E92</f>
        <v>24.029999999999998</v>
      </c>
      <c r="G92" s="99">
        <f t="shared" si="5"/>
        <v>0</v>
      </c>
      <c r="H92" s="102">
        <v>18620904</v>
      </c>
      <c r="I92" s="101" t="s">
        <v>249</v>
      </c>
      <c r="J92" s="100" t="s">
        <v>80</v>
      </c>
      <c r="K92" s="102" t="s">
        <v>81</v>
      </c>
      <c r="L92" s="100">
        <v>98255331</v>
      </c>
      <c r="M92" s="126" t="s">
        <v>368</v>
      </c>
      <c r="N92" s="299" t="s">
        <v>369</v>
      </c>
    </row>
    <row r="93" spans="1:15" s="120" customFormat="1" x14ac:dyDescent="0.25">
      <c r="A93" s="96">
        <v>2697</v>
      </c>
      <c r="B93" s="100" t="s">
        <v>250</v>
      </c>
      <c r="C93" s="124">
        <v>195.9</v>
      </c>
      <c r="D93" s="98">
        <v>0.3</v>
      </c>
      <c r="E93" s="99">
        <f t="shared" si="4"/>
        <v>58.769999999999996</v>
      </c>
      <c r="F93" s="99">
        <f>56.89+1.88</f>
        <v>58.77</v>
      </c>
      <c r="G93" s="99">
        <f t="shared" si="5"/>
        <v>0</v>
      </c>
      <c r="H93" s="102">
        <v>24992357</v>
      </c>
      <c r="I93" s="101" t="s">
        <v>251</v>
      </c>
      <c r="J93" s="100" t="s">
        <v>73</v>
      </c>
      <c r="K93" s="102" t="s">
        <v>74</v>
      </c>
      <c r="L93" s="100">
        <v>96581299</v>
      </c>
      <c r="M93" s="231">
        <v>46002</v>
      </c>
      <c r="N93" s="126" t="s">
        <v>467</v>
      </c>
    </row>
    <row r="94" spans="1:15" s="120" customFormat="1" x14ac:dyDescent="0.25">
      <c r="A94" s="96">
        <v>2698</v>
      </c>
      <c r="B94" s="100" t="s">
        <v>63</v>
      </c>
      <c r="C94" s="124">
        <v>455.5</v>
      </c>
      <c r="D94" s="98">
        <v>0.3</v>
      </c>
      <c r="E94" s="99">
        <f t="shared" si="4"/>
        <v>136.65</v>
      </c>
      <c r="F94" s="99">
        <f>2.03999999999988+131.4</f>
        <v>133.43999999999988</v>
      </c>
      <c r="G94" s="99">
        <f t="shared" si="5"/>
        <v>3.2100000000001216</v>
      </c>
      <c r="H94" s="102">
        <v>21332246</v>
      </c>
      <c r="I94" s="101" t="s">
        <v>252</v>
      </c>
      <c r="J94" s="100" t="s">
        <v>73</v>
      </c>
      <c r="K94" s="102" t="s">
        <v>74</v>
      </c>
      <c r="L94" s="100">
        <v>98260073</v>
      </c>
      <c r="M94" s="126" t="s">
        <v>364</v>
      </c>
      <c r="N94" s="270" t="s">
        <v>367</v>
      </c>
    </row>
    <row r="95" spans="1:15" s="6" customFormat="1" x14ac:dyDescent="0.25">
      <c r="A95" s="69">
        <v>2699</v>
      </c>
      <c r="B95" s="16" t="s">
        <v>253</v>
      </c>
      <c r="C95" s="36">
        <v>227.7</v>
      </c>
      <c r="D95" s="14">
        <v>0.3</v>
      </c>
      <c r="E95" s="15">
        <f t="shared" si="4"/>
        <v>68.309999999999988</v>
      </c>
      <c r="F95" s="15">
        <f>E95</f>
        <v>68.309999999999988</v>
      </c>
      <c r="G95" s="15">
        <f t="shared" si="5"/>
        <v>0</v>
      </c>
      <c r="H95" s="32">
        <v>5031003</v>
      </c>
      <c r="I95" s="17">
        <v>1006555153017</v>
      </c>
      <c r="J95" s="16" t="s">
        <v>18</v>
      </c>
      <c r="K95" s="32" t="s">
        <v>19</v>
      </c>
      <c r="L95" s="16">
        <v>98129999</v>
      </c>
      <c r="M95" s="100" t="s">
        <v>389</v>
      </c>
      <c r="N95" s="4"/>
    </row>
    <row r="96" spans="1:15" s="6" customFormat="1" x14ac:dyDescent="0.25">
      <c r="A96" s="69">
        <v>2700</v>
      </c>
      <c r="B96" s="16" t="s">
        <v>254</v>
      </c>
      <c r="C96" s="36">
        <v>390.7</v>
      </c>
      <c r="D96" s="14">
        <v>0.3</v>
      </c>
      <c r="E96" s="15">
        <f t="shared" si="4"/>
        <v>117.21</v>
      </c>
      <c r="F96" s="15">
        <f>113.09+4.12</f>
        <v>117.21000000000001</v>
      </c>
      <c r="G96" s="15">
        <f t="shared" si="5"/>
        <v>0</v>
      </c>
      <c r="H96" s="32">
        <v>2216024</v>
      </c>
      <c r="I96" s="17" t="s">
        <v>255</v>
      </c>
      <c r="J96" s="16" t="s">
        <v>73</v>
      </c>
      <c r="K96" s="32" t="s">
        <v>74</v>
      </c>
      <c r="L96" s="16">
        <v>99093696</v>
      </c>
      <c r="M96" s="219">
        <v>45727</v>
      </c>
      <c r="N96" s="100" t="s">
        <v>388</v>
      </c>
    </row>
    <row r="97" spans="1:17" s="120" customFormat="1" x14ac:dyDescent="0.25">
      <c r="A97" s="96">
        <v>2702</v>
      </c>
      <c r="B97" s="100" t="s">
        <v>256</v>
      </c>
      <c r="C97" s="124">
        <v>469.3</v>
      </c>
      <c r="D97" s="98">
        <v>0.3</v>
      </c>
      <c r="E97" s="99">
        <f t="shared" si="4"/>
        <v>140.79</v>
      </c>
      <c r="F97" s="99">
        <f>136.5+4.29</f>
        <v>140.79</v>
      </c>
      <c r="G97" s="99">
        <f t="shared" si="5"/>
        <v>0</v>
      </c>
      <c r="H97" s="102">
        <v>2045458</v>
      </c>
      <c r="I97" s="101" t="s">
        <v>257</v>
      </c>
      <c r="J97" s="100" t="s">
        <v>80</v>
      </c>
      <c r="K97" s="102" t="s">
        <v>81</v>
      </c>
      <c r="L97" s="100">
        <v>99282287</v>
      </c>
      <c r="M97" s="219">
        <v>45788</v>
      </c>
      <c r="N97" s="126" t="s">
        <v>383</v>
      </c>
    </row>
    <row r="98" spans="1:17" s="6" customFormat="1" x14ac:dyDescent="0.25">
      <c r="A98" s="69">
        <v>2703</v>
      </c>
      <c r="B98" s="16" t="s">
        <v>258</v>
      </c>
      <c r="C98" s="36">
        <v>109.4</v>
      </c>
      <c r="D98" s="14">
        <v>0.3</v>
      </c>
      <c r="E98" s="15">
        <f t="shared" si="4"/>
        <v>32.82</v>
      </c>
      <c r="F98" s="15"/>
      <c r="G98" s="15">
        <f t="shared" si="5"/>
        <v>32.82</v>
      </c>
      <c r="H98" s="32">
        <v>652182</v>
      </c>
      <c r="I98" s="17" t="s">
        <v>259</v>
      </c>
      <c r="J98" s="16" t="s">
        <v>73</v>
      </c>
      <c r="K98" s="32" t="s">
        <v>74</v>
      </c>
      <c r="L98" s="16">
        <v>99982977</v>
      </c>
      <c r="M98" s="33"/>
      <c r="N98" s="4"/>
    </row>
    <row r="99" spans="1:17" s="120" customFormat="1" x14ac:dyDescent="0.25">
      <c r="A99" s="96">
        <v>2706</v>
      </c>
      <c r="B99" s="100" t="s">
        <v>260</v>
      </c>
      <c r="C99" s="124">
        <v>313.3</v>
      </c>
      <c r="D99" s="98">
        <v>0.3</v>
      </c>
      <c r="E99" s="99">
        <f t="shared" si="4"/>
        <v>93.99</v>
      </c>
      <c r="F99" s="99">
        <f>90.25+3.74</f>
        <v>93.99</v>
      </c>
      <c r="G99" s="99">
        <f t="shared" si="5"/>
        <v>0</v>
      </c>
      <c r="H99" s="102">
        <v>23144392</v>
      </c>
      <c r="I99" s="101" t="s">
        <v>261</v>
      </c>
      <c r="J99" s="100" t="s">
        <v>18</v>
      </c>
      <c r="K99" s="102" t="s">
        <v>19</v>
      </c>
      <c r="L99" s="100">
        <v>97216689</v>
      </c>
      <c r="M99" s="100" t="s">
        <v>360</v>
      </c>
      <c r="N99" s="6" t="s">
        <v>361</v>
      </c>
      <c r="P99" s="231">
        <v>46002</v>
      </c>
      <c r="Q99" s="270" t="s">
        <v>389</v>
      </c>
    </row>
    <row r="100" spans="1:17" s="6" customFormat="1" x14ac:dyDescent="0.25">
      <c r="A100" s="69">
        <v>2707</v>
      </c>
      <c r="B100" s="16" t="s">
        <v>262</v>
      </c>
      <c r="C100" s="36">
        <v>369.6</v>
      </c>
      <c r="D100" s="14">
        <v>0.3</v>
      </c>
      <c r="E100" s="15">
        <f t="shared" ref="E100:E127" si="6">C100*D100</f>
        <v>110.88000000000001</v>
      </c>
      <c r="F100" s="15">
        <f>E100</f>
        <v>110.88000000000001</v>
      </c>
      <c r="G100" s="15">
        <f t="shared" ref="G100:G127" si="7">E100-F100</f>
        <v>0</v>
      </c>
      <c r="H100" s="32">
        <v>7026153</v>
      </c>
      <c r="I100" s="17" t="s">
        <v>263</v>
      </c>
      <c r="J100" s="16" t="s">
        <v>94</v>
      </c>
      <c r="K100" s="32" t="s">
        <v>95</v>
      </c>
      <c r="L100" s="16">
        <v>95333133</v>
      </c>
      <c r="M100" s="205">
        <v>46002</v>
      </c>
      <c r="N100" s="4"/>
    </row>
    <row r="101" spans="1:17" s="6" customFormat="1" x14ac:dyDescent="0.25">
      <c r="A101" s="252">
        <v>2708</v>
      </c>
      <c r="B101" s="253" t="s">
        <v>41</v>
      </c>
      <c r="C101" s="254"/>
      <c r="D101" s="292">
        <v>0.3</v>
      </c>
      <c r="E101" s="256">
        <f t="shared" si="6"/>
        <v>0</v>
      </c>
      <c r="F101" s="256"/>
      <c r="G101" s="15">
        <f t="shared" si="7"/>
        <v>0</v>
      </c>
      <c r="H101" s="257">
        <v>426432</v>
      </c>
      <c r="I101" s="262" t="s">
        <v>264</v>
      </c>
      <c r="J101" s="253" t="s">
        <v>80</v>
      </c>
      <c r="K101" s="257" t="s">
        <v>81</v>
      </c>
      <c r="L101" s="253">
        <v>99092959</v>
      </c>
      <c r="M101" s="33"/>
      <c r="N101" s="4"/>
    </row>
    <row r="102" spans="1:17" s="6" customFormat="1" x14ac:dyDescent="0.25">
      <c r="A102" s="69">
        <v>2710</v>
      </c>
      <c r="B102" s="16" t="s">
        <v>265</v>
      </c>
      <c r="C102" s="36">
        <v>196.7</v>
      </c>
      <c r="D102" s="14">
        <v>0.3</v>
      </c>
      <c r="E102" s="15">
        <f t="shared" si="6"/>
        <v>59.009999999999991</v>
      </c>
      <c r="F102" s="15"/>
      <c r="G102" s="15">
        <f t="shared" si="7"/>
        <v>59.009999999999991</v>
      </c>
      <c r="H102" s="32">
        <v>944469</v>
      </c>
      <c r="I102" s="17" t="s">
        <v>266</v>
      </c>
      <c r="J102" s="16" t="s">
        <v>73</v>
      </c>
      <c r="K102" s="32" t="s">
        <v>74</v>
      </c>
      <c r="L102" s="16"/>
      <c r="M102" s="33"/>
      <c r="N102" s="4"/>
    </row>
    <row r="103" spans="1:17" s="6" customFormat="1" x14ac:dyDescent="0.25">
      <c r="A103" s="69">
        <v>2711</v>
      </c>
      <c r="B103" s="16" t="s">
        <v>267</v>
      </c>
      <c r="C103" s="36">
        <v>268.7</v>
      </c>
      <c r="D103" s="14">
        <v>0.3</v>
      </c>
      <c r="E103" s="15">
        <f t="shared" si="6"/>
        <v>80.61</v>
      </c>
      <c r="F103" s="15"/>
      <c r="G103" s="15">
        <f t="shared" si="7"/>
        <v>80.61</v>
      </c>
      <c r="H103" s="32">
        <v>5775933</v>
      </c>
      <c r="I103" s="17" t="s">
        <v>268</v>
      </c>
      <c r="J103" s="16" t="s">
        <v>80</v>
      </c>
      <c r="K103" s="32" t="s">
        <v>81</v>
      </c>
      <c r="L103" s="16"/>
      <c r="M103" s="33"/>
      <c r="N103" s="4"/>
    </row>
    <row r="104" spans="1:17" s="120" customFormat="1" x14ac:dyDescent="0.25">
      <c r="A104" s="96">
        <v>2712</v>
      </c>
      <c r="B104" s="100" t="s">
        <v>64</v>
      </c>
      <c r="C104" s="124">
        <v>240</v>
      </c>
      <c r="D104" s="98">
        <v>0.3</v>
      </c>
      <c r="E104" s="99">
        <f t="shared" si="6"/>
        <v>72</v>
      </c>
      <c r="F104" s="99">
        <v>70.739999999999995</v>
      </c>
      <c r="G104" s="99">
        <f t="shared" si="7"/>
        <v>1.2600000000000051</v>
      </c>
      <c r="H104" s="102">
        <v>2439264</v>
      </c>
      <c r="I104" s="101" t="s">
        <v>269</v>
      </c>
      <c r="J104" s="100" t="s">
        <v>18</v>
      </c>
      <c r="K104" s="102" t="s">
        <v>19</v>
      </c>
      <c r="L104" s="100">
        <v>91780732</v>
      </c>
      <c r="M104" s="270" t="s">
        <v>367</v>
      </c>
      <c r="N104" s="270"/>
    </row>
    <row r="105" spans="1:17" s="6" customFormat="1" x14ac:dyDescent="0.25">
      <c r="A105" s="69">
        <v>2714</v>
      </c>
      <c r="B105" s="16" t="s">
        <v>270</v>
      </c>
      <c r="C105" s="36">
        <v>209.9</v>
      </c>
      <c r="D105" s="14">
        <v>0.3</v>
      </c>
      <c r="E105" s="15">
        <f t="shared" si="6"/>
        <v>62.97</v>
      </c>
      <c r="F105" s="15"/>
      <c r="G105" s="15">
        <f t="shared" si="7"/>
        <v>62.97</v>
      </c>
      <c r="H105" s="32">
        <v>18813939</v>
      </c>
      <c r="I105" s="17" t="s">
        <v>271</v>
      </c>
      <c r="J105" s="16" t="s">
        <v>73</v>
      </c>
      <c r="K105" s="32" t="s">
        <v>74</v>
      </c>
      <c r="L105" s="16">
        <v>92903559</v>
      </c>
      <c r="M105" s="33"/>
      <c r="N105" s="4"/>
    </row>
    <row r="106" spans="1:17" s="6" customFormat="1" x14ac:dyDescent="0.25">
      <c r="A106" s="69">
        <v>2715</v>
      </c>
      <c r="B106" s="16" t="s">
        <v>272</v>
      </c>
      <c r="C106" s="36">
        <v>174.2</v>
      </c>
      <c r="D106" s="14">
        <v>0.3</v>
      </c>
      <c r="E106" s="15">
        <f t="shared" si="6"/>
        <v>52.26</v>
      </c>
      <c r="F106" s="15"/>
      <c r="G106" s="15">
        <f t="shared" si="7"/>
        <v>52.26</v>
      </c>
      <c r="H106" s="32">
        <v>5571701</v>
      </c>
      <c r="I106" s="17" t="s">
        <v>273</v>
      </c>
      <c r="J106" s="16" t="s">
        <v>73</v>
      </c>
      <c r="K106" s="32" t="s">
        <v>74</v>
      </c>
      <c r="L106" s="16">
        <v>99773624</v>
      </c>
      <c r="M106" s="33"/>
      <c r="N106" s="4"/>
    </row>
    <row r="107" spans="1:17" s="6" customFormat="1" x14ac:dyDescent="0.25">
      <c r="A107" s="69">
        <v>2716</v>
      </c>
      <c r="B107" s="16" t="s">
        <v>274</v>
      </c>
      <c r="C107" s="36">
        <v>225.8</v>
      </c>
      <c r="D107" s="14">
        <v>0.3</v>
      </c>
      <c r="E107" s="15">
        <f t="shared" si="6"/>
        <v>67.739999999999995</v>
      </c>
      <c r="F107" s="15"/>
      <c r="G107" s="15">
        <f t="shared" si="7"/>
        <v>67.739999999999995</v>
      </c>
      <c r="H107" s="32">
        <v>1398299</v>
      </c>
      <c r="I107" s="17" t="s">
        <v>275</v>
      </c>
      <c r="J107" s="16" t="s">
        <v>276</v>
      </c>
      <c r="K107" s="32" t="s">
        <v>81</v>
      </c>
      <c r="L107" s="16">
        <v>99294734</v>
      </c>
      <c r="M107" s="33"/>
      <c r="N107" s="4"/>
    </row>
    <row r="108" spans="1:17" s="6" customFormat="1" x14ac:dyDescent="0.25">
      <c r="A108" s="69">
        <v>2717</v>
      </c>
      <c r="B108" s="16" t="s">
        <v>277</v>
      </c>
      <c r="C108" s="36">
        <v>216.3</v>
      </c>
      <c r="D108" s="14">
        <v>0.3</v>
      </c>
      <c r="E108" s="15">
        <f t="shared" si="6"/>
        <v>64.89</v>
      </c>
      <c r="F108" s="15"/>
      <c r="G108" s="15">
        <f t="shared" si="7"/>
        <v>64.89</v>
      </c>
      <c r="H108" s="32">
        <v>5968087</v>
      </c>
      <c r="I108" s="17" t="s">
        <v>278</v>
      </c>
      <c r="J108" s="16" t="s">
        <v>73</v>
      </c>
      <c r="K108" s="32" t="s">
        <v>74</v>
      </c>
      <c r="L108" s="16">
        <v>91116250</v>
      </c>
      <c r="M108" s="33"/>
      <c r="N108" s="4"/>
    </row>
    <row r="109" spans="1:17" s="6" customFormat="1" x14ac:dyDescent="0.25">
      <c r="A109" s="69">
        <v>2718</v>
      </c>
      <c r="B109" s="16" t="s">
        <v>279</v>
      </c>
      <c r="C109" s="36">
        <v>184.4</v>
      </c>
      <c r="D109" s="14">
        <v>0.3</v>
      </c>
      <c r="E109" s="15">
        <f t="shared" si="6"/>
        <v>55.32</v>
      </c>
      <c r="F109" s="15"/>
      <c r="G109" s="15">
        <f t="shared" si="7"/>
        <v>55.32</v>
      </c>
      <c r="H109" s="32">
        <v>5571729</v>
      </c>
      <c r="I109" s="17" t="s">
        <v>280</v>
      </c>
      <c r="J109" s="16" t="s">
        <v>73</v>
      </c>
      <c r="K109" s="32" t="s">
        <v>74</v>
      </c>
      <c r="L109" s="16">
        <v>99643459</v>
      </c>
      <c r="M109" s="33"/>
      <c r="N109" s="4"/>
    </row>
    <row r="110" spans="1:17" s="6" customFormat="1" x14ac:dyDescent="0.25">
      <c r="A110" s="69">
        <v>2719</v>
      </c>
      <c r="B110" s="16" t="s">
        <v>281</v>
      </c>
      <c r="C110" s="36">
        <v>410.9</v>
      </c>
      <c r="D110" s="14">
        <v>0.3</v>
      </c>
      <c r="E110" s="15">
        <f t="shared" si="6"/>
        <v>123.26999999999998</v>
      </c>
      <c r="F110" s="15"/>
      <c r="G110" s="15">
        <f t="shared" si="7"/>
        <v>123.26999999999998</v>
      </c>
      <c r="H110" s="32">
        <v>925058</v>
      </c>
      <c r="I110" s="17" t="s">
        <v>282</v>
      </c>
      <c r="J110" s="16" t="s">
        <v>283</v>
      </c>
      <c r="K110" s="32" t="s">
        <v>81</v>
      </c>
      <c r="L110" s="16">
        <v>92656157</v>
      </c>
      <c r="M110" s="33"/>
      <c r="N110" s="4"/>
    </row>
    <row r="111" spans="1:17" s="6" customFormat="1" x14ac:dyDescent="0.25">
      <c r="A111" s="69">
        <v>2721</v>
      </c>
      <c r="B111" s="16" t="s">
        <v>284</v>
      </c>
      <c r="C111" s="12">
        <v>250.3</v>
      </c>
      <c r="D111" s="14">
        <v>0.3</v>
      </c>
      <c r="E111" s="15">
        <f t="shared" si="6"/>
        <v>75.09</v>
      </c>
      <c r="F111" s="15">
        <f>74.58+0.51</f>
        <v>75.09</v>
      </c>
      <c r="G111" s="15">
        <f t="shared" si="7"/>
        <v>0</v>
      </c>
      <c r="H111" s="32">
        <v>7673741</v>
      </c>
      <c r="I111" s="17" t="s">
        <v>285</v>
      </c>
      <c r="J111" s="16" t="s">
        <v>18</v>
      </c>
      <c r="K111" s="32" t="s">
        <v>19</v>
      </c>
      <c r="L111" s="16"/>
      <c r="M111" s="231">
        <v>45699</v>
      </c>
      <c r="N111" s="205">
        <v>45728</v>
      </c>
    </row>
    <row r="112" spans="1:17" s="120" customFormat="1" x14ac:dyDescent="0.25">
      <c r="A112" s="96">
        <v>2722</v>
      </c>
      <c r="B112" s="97" t="s">
        <v>66</v>
      </c>
      <c r="C112" s="96">
        <v>184.1</v>
      </c>
      <c r="D112" s="98">
        <v>0.3</v>
      </c>
      <c r="E112" s="99">
        <f t="shared" si="6"/>
        <v>55.23</v>
      </c>
      <c r="F112" s="99">
        <f>54.34+0.89</f>
        <v>55.230000000000004</v>
      </c>
      <c r="G112" s="99">
        <f t="shared" si="7"/>
        <v>0</v>
      </c>
      <c r="H112" s="102">
        <v>675043</v>
      </c>
      <c r="I112" s="101" t="s">
        <v>286</v>
      </c>
      <c r="J112" s="100" t="s">
        <v>80</v>
      </c>
      <c r="K112" s="102" t="s">
        <v>81</v>
      </c>
      <c r="L112" s="100"/>
      <c r="M112" s="270" t="s">
        <v>367</v>
      </c>
      <c r="N112" s="126" t="s">
        <v>383</v>
      </c>
    </row>
    <row r="113" spans="1:14" s="6" customFormat="1" x14ac:dyDescent="0.25">
      <c r="A113" s="69">
        <v>2724</v>
      </c>
      <c r="B113" s="82" t="s">
        <v>287</v>
      </c>
      <c r="C113" s="12">
        <v>510.4</v>
      </c>
      <c r="D113" s="14">
        <v>0.3</v>
      </c>
      <c r="E113" s="15">
        <f t="shared" si="6"/>
        <v>153.11999999999998</v>
      </c>
      <c r="F113" s="15"/>
      <c r="G113" s="15">
        <f t="shared" si="7"/>
        <v>153.11999999999998</v>
      </c>
      <c r="H113" s="32">
        <v>272921</v>
      </c>
      <c r="I113" s="17" t="s">
        <v>288</v>
      </c>
      <c r="J113" s="16" t="s">
        <v>73</v>
      </c>
      <c r="K113" s="32" t="s">
        <v>74</v>
      </c>
      <c r="L113" s="16"/>
      <c r="M113" s="33"/>
      <c r="N113" s="4"/>
    </row>
    <row r="114" spans="1:14" s="6" customFormat="1" x14ac:dyDescent="0.25">
      <c r="A114" s="69">
        <v>2725</v>
      </c>
      <c r="B114" s="82" t="s">
        <v>289</v>
      </c>
      <c r="C114" s="12">
        <v>504</v>
      </c>
      <c r="D114" s="14">
        <v>0.3</v>
      </c>
      <c r="E114" s="15">
        <f t="shared" si="6"/>
        <v>151.19999999999999</v>
      </c>
      <c r="F114" s="15">
        <f>150.77+0.43</f>
        <v>151.20000000000002</v>
      </c>
      <c r="G114" s="15">
        <f t="shared" si="7"/>
        <v>0</v>
      </c>
      <c r="H114" s="32">
        <v>21910195</v>
      </c>
      <c r="I114" s="17" t="s">
        <v>290</v>
      </c>
      <c r="J114" s="16" t="s">
        <v>73</v>
      </c>
      <c r="K114" s="32" t="s">
        <v>74</v>
      </c>
      <c r="L114" s="16"/>
      <c r="M114" s="219">
        <v>45788</v>
      </c>
      <c r="N114" s="96" t="s">
        <v>388</v>
      </c>
    </row>
    <row r="115" spans="1:14" s="6" customFormat="1" x14ac:dyDescent="0.25">
      <c r="A115" s="69">
        <v>2726</v>
      </c>
      <c r="B115" s="82" t="s">
        <v>293</v>
      </c>
      <c r="C115" s="12">
        <v>252</v>
      </c>
      <c r="D115" s="14">
        <v>0.3</v>
      </c>
      <c r="E115" s="15">
        <f t="shared" si="6"/>
        <v>75.599999999999994</v>
      </c>
      <c r="F115" s="15"/>
      <c r="G115" s="15">
        <f t="shared" si="7"/>
        <v>75.599999999999994</v>
      </c>
      <c r="H115" s="32">
        <v>5932095</v>
      </c>
      <c r="I115" s="17">
        <v>401003983190032</v>
      </c>
      <c r="J115" s="16" t="s">
        <v>73</v>
      </c>
      <c r="K115" s="32" t="s">
        <v>74</v>
      </c>
      <c r="L115" s="16"/>
      <c r="M115" s="33"/>
      <c r="N115" s="4"/>
    </row>
    <row r="116" spans="1:14" s="6" customFormat="1" x14ac:dyDescent="0.25">
      <c r="A116" s="69">
        <v>2727</v>
      </c>
      <c r="B116" s="82" t="s">
        <v>294</v>
      </c>
      <c r="C116" s="12">
        <v>139.30000000000001</v>
      </c>
      <c r="D116" s="14">
        <v>0.3</v>
      </c>
      <c r="E116" s="15">
        <f t="shared" si="6"/>
        <v>41.79</v>
      </c>
      <c r="F116" s="15"/>
      <c r="G116" s="15">
        <f t="shared" si="7"/>
        <v>41.79</v>
      </c>
      <c r="H116" s="32">
        <v>14874655</v>
      </c>
      <c r="I116" s="17">
        <v>250020006381</v>
      </c>
      <c r="J116" s="16" t="s">
        <v>94</v>
      </c>
      <c r="K116" s="32" t="s">
        <v>95</v>
      </c>
      <c r="L116" s="16">
        <v>99580134</v>
      </c>
      <c r="M116" s="33"/>
      <c r="N116" s="4"/>
    </row>
    <row r="117" spans="1:14" s="6" customFormat="1" x14ac:dyDescent="0.25">
      <c r="A117" s="69">
        <v>2728</v>
      </c>
      <c r="B117" s="83" t="s">
        <v>295</v>
      </c>
      <c r="C117" s="12">
        <v>265.8</v>
      </c>
      <c r="D117" s="14">
        <v>0.3</v>
      </c>
      <c r="E117" s="15">
        <f t="shared" si="6"/>
        <v>79.739999999999995</v>
      </c>
      <c r="F117" s="15"/>
      <c r="G117" s="15">
        <f t="shared" si="7"/>
        <v>79.739999999999995</v>
      </c>
      <c r="H117" s="32">
        <v>6300163</v>
      </c>
      <c r="I117" s="17" t="s">
        <v>296</v>
      </c>
      <c r="J117" s="16" t="s">
        <v>73</v>
      </c>
      <c r="K117" s="32" t="s">
        <v>74</v>
      </c>
      <c r="L117" s="16"/>
      <c r="M117" s="33"/>
      <c r="N117" s="4"/>
    </row>
    <row r="118" spans="1:14" s="6" customFormat="1" x14ac:dyDescent="0.25">
      <c r="A118" s="69">
        <v>2729</v>
      </c>
      <c r="B118" s="83" t="s">
        <v>297</v>
      </c>
      <c r="C118" s="12">
        <v>42</v>
      </c>
      <c r="D118" s="14">
        <v>0.3</v>
      </c>
      <c r="E118" s="15">
        <f t="shared" si="6"/>
        <v>12.6</v>
      </c>
      <c r="F118" s="15">
        <f>E118</f>
        <v>12.6</v>
      </c>
      <c r="G118" s="15">
        <f t="shared" si="7"/>
        <v>0</v>
      </c>
      <c r="H118" s="32">
        <v>21145036</v>
      </c>
      <c r="I118" s="17" t="s">
        <v>298</v>
      </c>
      <c r="J118" s="16" t="s">
        <v>73</v>
      </c>
      <c r="K118" s="32" t="s">
        <v>74</v>
      </c>
      <c r="L118" s="16"/>
      <c r="M118" s="96" t="s">
        <v>390</v>
      </c>
      <c r="N118" s="4"/>
    </row>
    <row r="119" spans="1:14" s="120" customFormat="1" x14ac:dyDescent="0.25">
      <c r="A119" s="96">
        <v>2730</v>
      </c>
      <c r="B119" s="279" t="s">
        <v>67</v>
      </c>
      <c r="C119" s="96">
        <v>303.10000000000002</v>
      </c>
      <c r="D119" s="98">
        <v>0.3</v>
      </c>
      <c r="E119" s="99">
        <f t="shared" si="6"/>
        <v>90.93</v>
      </c>
      <c r="F119" s="99">
        <v>90.789999999999992</v>
      </c>
      <c r="G119" s="99">
        <f t="shared" si="7"/>
        <v>0.14000000000001478</v>
      </c>
      <c r="H119" s="102">
        <v>5138892</v>
      </c>
      <c r="I119" s="101" t="s">
        <v>299</v>
      </c>
      <c r="J119" s="100" t="s">
        <v>73</v>
      </c>
      <c r="K119" s="102" t="s">
        <v>74</v>
      </c>
      <c r="L119" s="100"/>
      <c r="M119" s="126" t="s">
        <v>370</v>
      </c>
      <c r="N119" s="270"/>
    </row>
    <row r="120" spans="1:14" s="6" customFormat="1" x14ac:dyDescent="0.25">
      <c r="A120" s="69">
        <v>2731</v>
      </c>
      <c r="B120" s="16" t="s">
        <v>300</v>
      </c>
      <c r="C120" s="12">
        <v>169.1</v>
      </c>
      <c r="D120" s="14">
        <v>0.3</v>
      </c>
      <c r="E120" s="15">
        <f t="shared" si="6"/>
        <v>50.73</v>
      </c>
      <c r="F120" s="15"/>
      <c r="G120" s="15">
        <f t="shared" si="7"/>
        <v>50.73</v>
      </c>
      <c r="H120" s="32">
        <v>3912773</v>
      </c>
      <c r="I120" s="17" t="s">
        <v>301</v>
      </c>
      <c r="J120" s="16" t="s">
        <v>73</v>
      </c>
      <c r="K120" s="32" t="s">
        <v>74</v>
      </c>
      <c r="L120" s="16"/>
      <c r="M120" s="33"/>
      <c r="N120" s="4"/>
    </row>
    <row r="121" spans="1:14" s="6" customFormat="1" x14ac:dyDescent="0.25">
      <c r="A121" s="69">
        <v>2732</v>
      </c>
      <c r="B121" s="13" t="s">
        <v>302</v>
      </c>
      <c r="C121" s="12">
        <v>91.7</v>
      </c>
      <c r="D121" s="14">
        <v>0.3</v>
      </c>
      <c r="E121" s="15">
        <f t="shared" si="6"/>
        <v>27.51</v>
      </c>
      <c r="F121" s="15"/>
      <c r="G121" s="15">
        <f t="shared" si="7"/>
        <v>27.51</v>
      </c>
      <c r="H121" s="32">
        <v>846753</v>
      </c>
      <c r="I121" s="17" t="s">
        <v>303</v>
      </c>
      <c r="J121" s="16" t="s">
        <v>73</v>
      </c>
      <c r="K121" s="32" t="s">
        <v>74</v>
      </c>
      <c r="L121" s="16"/>
      <c r="M121" s="33"/>
      <c r="N121" s="4"/>
    </row>
    <row r="122" spans="1:14" s="6" customFormat="1" x14ac:dyDescent="0.25">
      <c r="A122" s="69">
        <v>2733</v>
      </c>
      <c r="B122" s="16" t="s">
        <v>304</v>
      </c>
      <c r="C122" s="12">
        <v>558.6</v>
      </c>
      <c r="D122" s="14">
        <v>0.3</v>
      </c>
      <c r="E122" s="15">
        <f t="shared" si="6"/>
        <v>167.58</v>
      </c>
      <c r="F122" s="15"/>
      <c r="G122" s="15">
        <f t="shared" si="7"/>
        <v>167.58</v>
      </c>
      <c r="H122" s="32">
        <v>20444019</v>
      </c>
      <c r="I122" s="17" t="s">
        <v>305</v>
      </c>
      <c r="J122" s="16" t="s">
        <v>73</v>
      </c>
      <c r="K122" s="32" t="s">
        <v>74</v>
      </c>
      <c r="L122" s="16"/>
      <c r="M122" s="33"/>
      <c r="N122" s="4"/>
    </row>
    <row r="123" spans="1:14" s="6" customFormat="1" x14ac:dyDescent="0.25">
      <c r="A123" s="69">
        <v>2734</v>
      </c>
      <c r="B123" s="16" t="s">
        <v>306</v>
      </c>
      <c r="C123" s="12">
        <v>225.4</v>
      </c>
      <c r="D123" s="14">
        <v>0.3</v>
      </c>
      <c r="E123" s="15">
        <f t="shared" si="6"/>
        <v>67.62</v>
      </c>
      <c r="F123" s="15">
        <f>64.03+3.59</f>
        <v>67.62</v>
      </c>
      <c r="G123" s="15">
        <f t="shared" si="7"/>
        <v>0</v>
      </c>
      <c r="H123" s="32">
        <v>24187516</v>
      </c>
      <c r="I123" s="17" t="s">
        <v>307</v>
      </c>
      <c r="J123" s="16" t="s">
        <v>90</v>
      </c>
      <c r="K123" s="32" t="s">
        <v>91</v>
      </c>
      <c r="L123" s="16"/>
      <c r="M123" s="219">
        <v>45727</v>
      </c>
      <c r="N123" s="270" t="s">
        <v>389</v>
      </c>
    </row>
    <row r="124" spans="1:14" s="6" customFormat="1" x14ac:dyDescent="0.25">
      <c r="A124" s="69">
        <v>2736</v>
      </c>
      <c r="B124" s="16" t="s">
        <v>308</v>
      </c>
      <c r="C124" s="12">
        <v>161.5</v>
      </c>
      <c r="D124" s="14">
        <v>0.3</v>
      </c>
      <c r="E124" s="15">
        <f t="shared" si="6"/>
        <v>48.449999999999996</v>
      </c>
      <c r="F124" s="15"/>
      <c r="G124" s="15">
        <f t="shared" si="7"/>
        <v>48.449999999999996</v>
      </c>
      <c r="H124" s="32">
        <v>4629429</v>
      </c>
      <c r="I124" s="17" t="s">
        <v>309</v>
      </c>
      <c r="J124" s="16" t="s">
        <v>73</v>
      </c>
      <c r="K124" s="32" t="s">
        <v>74</v>
      </c>
      <c r="L124" s="16"/>
      <c r="M124" s="33"/>
      <c r="N124" s="4"/>
    </row>
    <row r="125" spans="1:14" s="6" customFormat="1" x14ac:dyDescent="0.25">
      <c r="A125" s="69">
        <v>2737</v>
      </c>
      <c r="B125" s="16" t="s">
        <v>310</v>
      </c>
      <c r="C125" s="12">
        <v>305.60000000000002</v>
      </c>
      <c r="D125" s="14">
        <v>0.3</v>
      </c>
      <c r="E125" s="15">
        <f t="shared" si="6"/>
        <v>91.68</v>
      </c>
      <c r="F125" s="15"/>
      <c r="G125" s="15">
        <f t="shared" si="7"/>
        <v>91.68</v>
      </c>
      <c r="H125" s="32">
        <v>734135</v>
      </c>
      <c r="I125" s="17" t="s">
        <v>311</v>
      </c>
      <c r="J125" s="16" t="s">
        <v>80</v>
      </c>
      <c r="K125" s="32" t="s">
        <v>81</v>
      </c>
      <c r="L125" s="16"/>
      <c r="M125" s="33"/>
      <c r="N125" s="4"/>
    </row>
    <row r="126" spans="1:14" s="6" customFormat="1" x14ac:dyDescent="0.25">
      <c r="A126" s="69">
        <v>2738</v>
      </c>
      <c r="B126" s="16" t="s">
        <v>312</v>
      </c>
      <c r="C126" s="12">
        <v>268.7</v>
      </c>
      <c r="D126" s="14">
        <v>0.3</v>
      </c>
      <c r="E126" s="15">
        <f t="shared" si="6"/>
        <v>80.61</v>
      </c>
      <c r="F126" s="15"/>
      <c r="G126" s="15">
        <f t="shared" si="7"/>
        <v>80.61</v>
      </c>
      <c r="H126" s="32">
        <v>1298606</v>
      </c>
      <c r="I126" s="17" t="s">
        <v>313</v>
      </c>
      <c r="J126" s="16" t="s">
        <v>73</v>
      </c>
      <c r="K126" s="32" t="s">
        <v>74</v>
      </c>
      <c r="L126" s="16"/>
      <c r="M126" s="33"/>
      <c r="N126" s="4"/>
    </row>
    <row r="127" spans="1:14" s="120" customFormat="1" ht="14.25" thickBot="1" x14ac:dyDescent="0.3">
      <c r="A127" s="146">
        <v>2740</v>
      </c>
      <c r="B127" s="147" t="s">
        <v>314</v>
      </c>
      <c r="C127" s="146">
        <v>235.9</v>
      </c>
      <c r="D127" s="98">
        <v>0.3</v>
      </c>
      <c r="E127" s="149">
        <f t="shared" si="6"/>
        <v>70.77</v>
      </c>
      <c r="F127" s="149">
        <f>68.81+1.96</f>
        <v>70.77</v>
      </c>
      <c r="G127" s="99">
        <f t="shared" si="7"/>
        <v>0</v>
      </c>
      <c r="H127" s="150">
        <v>18315397</v>
      </c>
      <c r="I127" s="181">
        <v>401002460790021</v>
      </c>
      <c r="J127" s="147" t="s">
        <v>73</v>
      </c>
      <c r="K127" s="150" t="s">
        <v>74</v>
      </c>
      <c r="L127" s="147">
        <v>94346448</v>
      </c>
      <c r="M127" s="219">
        <v>45727</v>
      </c>
      <c r="N127" s="270" t="s">
        <v>389</v>
      </c>
    </row>
    <row r="128" spans="1:14" s="6" customFormat="1" ht="14.25" thickBot="1" x14ac:dyDescent="0.3">
      <c r="A128" s="42"/>
      <c r="B128" s="43"/>
      <c r="C128" s="44">
        <f>SUM(C4:C127)</f>
        <v>32613.700000000004</v>
      </c>
      <c r="D128" s="45"/>
      <c r="E128" s="46">
        <f>SUM(E4:E127)</f>
        <v>9784.110000000006</v>
      </c>
      <c r="F128" s="46">
        <f>SUM(F4:F127)</f>
        <v>5516.3039999999992</v>
      </c>
      <c r="G128" s="46">
        <f>SUM(G4:G127)</f>
        <v>4267.8060000000005</v>
      </c>
      <c r="H128" s="45"/>
      <c r="I128" s="48"/>
      <c r="J128" s="45"/>
      <c r="K128" s="45"/>
      <c r="L128" s="45"/>
      <c r="M128" s="49"/>
      <c r="N128" s="4"/>
    </row>
    <row r="129" spans="1:14" s="6" customFormat="1" x14ac:dyDescent="0.25">
      <c r="A129" s="51"/>
      <c r="B129" s="50"/>
      <c r="C129" s="52"/>
      <c r="D129" s="53"/>
      <c r="E129" s="52"/>
      <c r="F129" s="52"/>
      <c r="G129" s="52"/>
      <c r="H129" s="54"/>
      <c r="I129" s="55"/>
      <c r="J129" s="54"/>
      <c r="K129" s="54"/>
      <c r="L129" s="54"/>
      <c r="M129" s="56"/>
      <c r="N129" s="4"/>
    </row>
    <row r="130" spans="1:14" s="6" customFormat="1" x14ac:dyDescent="0.25">
      <c r="A130" s="57"/>
      <c r="C130" s="58"/>
      <c r="D130" s="58"/>
      <c r="E130" s="58"/>
      <c r="F130" s="58"/>
      <c r="G130" s="58"/>
      <c r="H130" s="59"/>
      <c r="I130" s="60"/>
      <c r="J130" s="59"/>
      <c r="N130" s="4"/>
    </row>
    <row r="131" spans="1:14" x14ac:dyDescent="0.25">
      <c r="E131" s="306"/>
      <c r="F131" s="306"/>
      <c r="G131" s="306"/>
      <c r="H131" s="306"/>
      <c r="J131" s="307"/>
      <c r="K131" s="307"/>
      <c r="M131" s="65"/>
    </row>
    <row r="132" spans="1:14" s="64" customFormat="1" x14ac:dyDescent="0.25">
      <c r="A132" s="61"/>
      <c r="C132" s="61"/>
      <c r="D132" s="61"/>
      <c r="E132" s="306"/>
      <c r="F132" s="306"/>
      <c r="G132" s="306"/>
      <c r="H132" s="306"/>
      <c r="I132" s="63"/>
      <c r="J132" s="307"/>
      <c r="K132" s="307"/>
      <c r="M132" s="28"/>
      <c r="N132" s="4"/>
    </row>
    <row r="133" spans="1:14" s="64" customFormat="1" x14ac:dyDescent="0.25">
      <c r="A133" s="61"/>
      <c r="C133" s="61"/>
      <c r="D133" s="28"/>
      <c r="E133" s="62"/>
      <c r="F133" s="62"/>
      <c r="G133" s="62"/>
      <c r="I133" s="63"/>
      <c r="M133" s="28"/>
      <c r="N133" s="4"/>
    </row>
    <row r="134" spans="1:14" s="64" customFormat="1" x14ac:dyDescent="0.25">
      <c r="A134" s="61"/>
      <c r="B134" s="28"/>
      <c r="C134" s="61"/>
      <c r="D134" s="61"/>
      <c r="E134" s="62"/>
      <c r="F134" s="62"/>
      <c r="G134" s="62"/>
      <c r="I134" s="63"/>
      <c r="M134" s="28"/>
      <c r="N134" s="4"/>
    </row>
    <row r="135" spans="1:14" s="64" customFormat="1" x14ac:dyDescent="0.25">
      <c r="A135" s="61"/>
      <c r="B135" s="28"/>
      <c r="C135" s="61"/>
      <c r="D135" s="61"/>
      <c r="E135" s="62"/>
      <c r="F135" s="62"/>
      <c r="G135" s="62"/>
      <c r="I135" s="63"/>
      <c r="M135" s="28"/>
      <c r="N135" s="4"/>
    </row>
    <row r="136" spans="1:14" s="64" customFormat="1" x14ac:dyDescent="0.25">
      <c r="A136" s="61"/>
      <c r="B136" s="28"/>
      <c r="C136" s="68"/>
      <c r="D136" s="61"/>
      <c r="E136" s="68"/>
      <c r="F136" s="68"/>
      <c r="G136" s="68"/>
      <c r="I136" s="63"/>
      <c r="M136" s="28"/>
      <c r="N136" s="4"/>
    </row>
    <row r="137" spans="1:14" s="64" customFormat="1" x14ac:dyDescent="0.25">
      <c r="A137" s="61"/>
      <c r="B137" s="28"/>
      <c r="C137" s="61"/>
      <c r="D137" s="61"/>
      <c r="E137" s="62"/>
      <c r="F137" s="62"/>
      <c r="G137" s="62"/>
      <c r="I137" s="63"/>
      <c r="M137" s="28"/>
      <c r="N137" s="4"/>
    </row>
    <row r="138" spans="1:14" s="64" customFormat="1" x14ac:dyDescent="0.25">
      <c r="A138" s="61"/>
      <c r="B138" s="28"/>
      <c r="C138" s="61"/>
      <c r="D138" s="61"/>
      <c r="E138" s="62"/>
      <c r="F138" s="62"/>
      <c r="G138" s="62"/>
      <c r="I138" s="63"/>
      <c r="M138" s="28"/>
      <c r="N138" s="4"/>
    </row>
    <row r="139" spans="1:14" s="64" customFormat="1" x14ac:dyDescent="0.25">
      <c r="A139" s="61"/>
      <c r="B139" s="28"/>
      <c r="C139" s="61"/>
      <c r="D139" s="61"/>
      <c r="E139" s="62"/>
      <c r="F139" s="62"/>
      <c r="G139" s="62"/>
      <c r="I139" s="63"/>
      <c r="M139" s="28"/>
      <c r="N139" s="4"/>
    </row>
    <row r="140" spans="1:14" s="64" customFormat="1" x14ac:dyDescent="0.25">
      <c r="A140" s="61"/>
      <c r="B140" s="28"/>
      <c r="C140" s="61"/>
      <c r="D140" s="61"/>
      <c r="E140" s="62"/>
      <c r="F140" s="62"/>
      <c r="G140" s="62"/>
      <c r="I140" s="63"/>
      <c r="M140" s="28"/>
      <c r="N140" s="4"/>
    </row>
    <row r="141" spans="1:14" s="64" customFormat="1" x14ac:dyDescent="0.25">
      <c r="A141" s="61"/>
      <c r="B141" s="28"/>
      <c r="C141" s="61"/>
      <c r="D141" s="61"/>
      <c r="E141" s="62"/>
      <c r="F141" s="62"/>
      <c r="G141" s="62"/>
      <c r="I141" s="63"/>
      <c r="M141" s="28"/>
      <c r="N141" s="4"/>
    </row>
    <row r="142" spans="1:14" s="64" customFormat="1" x14ac:dyDescent="0.25">
      <c r="A142" s="61"/>
      <c r="B142" s="28"/>
      <c r="C142" s="61"/>
      <c r="D142" s="61"/>
      <c r="E142" s="62"/>
      <c r="F142" s="62"/>
      <c r="G142" s="62"/>
      <c r="I142" s="63"/>
      <c r="M142" s="28"/>
      <c r="N142" s="4"/>
    </row>
    <row r="143" spans="1:14" s="64" customFormat="1" x14ac:dyDescent="0.25">
      <c r="A143" s="61"/>
      <c r="B143" s="28"/>
      <c r="C143" s="61"/>
      <c r="D143" s="61"/>
      <c r="E143" s="62"/>
      <c r="F143" s="62"/>
      <c r="G143" s="62"/>
      <c r="I143" s="63"/>
      <c r="M143" s="28"/>
      <c r="N143" s="4"/>
    </row>
    <row r="144" spans="1:14" s="64" customFormat="1" x14ac:dyDescent="0.25">
      <c r="A144" s="61"/>
      <c r="B144" s="28"/>
      <c r="C144" s="61"/>
      <c r="D144" s="61"/>
      <c r="E144" s="62"/>
      <c r="F144" s="62"/>
      <c r="G144" s="62"/>
      <c r="I144" s="63"/>
      <c r="M144" s="28"/>
      <c r="N144" s="4"/>
    </row>
    <row r="145" spans="1:14" s="64" customFormat="1" x14ac:dyDescent="0.25">
      <c r="A145" s="61"/>
      <c r="B145" s="28"/>
      <c r="C145" s="61"/>
      <c r="D145" s="61"/>
      <c r="E145" s="62"/>
      <c r="F145" s="62"/>
      <c r="G145" s="62"/>
      <c r="I145" s="63"/>
      <c r="M145" s="28"/>
      <c r="N145" s="4"/>
    </row>
    <row r="146" spans="1:14" s="64" customFormat="1" x14ac:dyDescent="0.25">
      <c r="A146" s="61"/>
      <c r="B146" s="28"/>
      <c r="C146" s="61"/>
      <c r="D146" s="61"/>
      <c r="E146" s="62"/>
      <c r="F146" s="62"/>
      <c r="G146" s="62"/>
      <c r="I146" s="63"/>
      <c r="M146" s="28"/>
      <c r="N146" s="4"/>
    </row>
    <row r="147" spans="1:14" s="64" customFormat="1" x14ac:dyDescent="0.25">
      <c r="A147" s="61"/>
      <c r="B147" s="28"/>
      <c r="C147" s="61"/>
      <c r="D147" s="61"/>
      <c r="E147" s="62"/>
      <c r="F147" s="62"/>
      <c r="G147" s="62"/>
      <c r="I147" s="63"/>
      <c r="M147" s="28"/>
      <c r="N147" s="4"/>
    </row>
    <row r="148" spans="1:14" s="64" customFormat="1" x14ac:dyDescent="0.25">
      <c r="A148" s="61"/>
      <c r="B148" s="28"/>
      <c r="C148" s="61"/>
      <c r="D148" s="61"/>
      <c r="E148" s="62"/>
      <c r="F148" s="62"/>
      <c r="G148" s="62"/>
      <c r="I148" s="63"/>
      <c r="M148" s="28"/>
      <c r="N148" s="4"/>
    </row>
    <row r="149" spans="1:14" s="64" customFormat="1" x14ac:dyDescent="0.25">
      <c r="A149" s="61"/>
      <c r="B149" s="28"/>
      <c r="C149" s="61"/>
      <c r="D149" s="61"/>
      <c r="E149" s="62"/>
      <c r="F149" s="62"/>
      <c r="G149" s="62"/>
      <c r="I149" s="63"/>
      <c r="M149" s="28"/>
      <c r="N149" s="4"/>
    </row>
    <row r="150" spans="1:14" s="64" customFormat="1" x14ac:dyDescent="0.25">
      <c r="A150" s="61"/>
      <c r="B150" s="28"/>
      <c r="C150" s="61"/>
      <c r="D150" s="61"/>
      <c r="E150" s="62"/>
      <c r="F150" s="62"/>
      <c r="G150" s="62"/>
      <c r="I150" s="63"/>
      <c r="M150" s="28"/>
      <c r="N150" s="4"/>
    </row>
    <row r="151" spans="1:14" s="64" customFormat="1" x14ac:dyDescent="0.25">
      <c r="A151" s="61"/>
      <c r="B151" s="28"/>
      <c r="C151" s="61"/>
      <c r="D151" s="61"/>
      <c r="E151" s="62"/>
      <c r="F151" s="62"/>
      <c r="G151" s="62"/>
      <c r="I151" s="63"/>
      <c r="M151" s="28"/>
      <c r="N151" s="4"/>
    </row>
    <row r="152" spans="1:14" s="64" customFormat="1" x14ac:dyDescent="0.25">
      <c r="A152" s="61"/>
      <c r="B152" s="28"/>
      <c r="C152" s="61"/>
      <c r="D152" s="61"/>
      <c r="E152" s="62"/>
      <c r="F152" s="62"/>
      <c r="G152" s="62"/>
      <c r="I152" s="63"/>
      <c r="M152" s="28"/>
      <c r="N152" s="4"/>
    </row>
    <row r="153" spans="1:14" s="64" customFormat="1" x14ac:dyDescent="0.25">
      <c r="A153" s="61"/>
      <c r="B153" s="28"/>
      <c r="C153" s="61"/>
      <c r="D153" s="61"/>
      <c r="E153" s="62"/>
      <c r="F153" s="62"/>
      <c r="G153" s="62"/>
      <c r="I153" s="63"/>
      <c r="M153" s="28"/>
      <c r="N153" s="4"/>
    </row>
    <row r="154" spans="1:14" s="64" customFormat="1" x14ac:dyDescent="0.25">
      <c r="A154" s="61"/>
      <c r="B154" s="28"/>
      <c r="C154" s="61"/>
      <c r="D154" s="61"/>
      <c r="E154" s="62"/>
      <c r="F154" s="62"/>
      <c r="G154" s="62"/>
      <c r="I154" s="63"/>
      <c r="M154" s="28"/>
      <c r="N154" s="4"/>
    </row>
    <row r="155" spans="1:14" s="64" customFormat="1" x14ac:dyDescent="0.25">
      <c r="A155" s="61"/>
      <c r="B155" s="28"/>
      <c r="C155" s="61"/>
      <c r="D155" s="61"/>
      <c r="E155" s="62"/>
      <c r="F155" s="62"/>
      <c r="G155" s="62"/>
      <c r="I155" s="63"/>
      <c r="M155" s="28"/>
      <c r="N155" s="4"/>
    </row>
    <row r="156" spans="1:14" s="64" customFormat="1" x14ac:dyDescent="0.25">
      <c r="A156" s="61"/>
      <c r="B156" s="28"/>
      <c r="C156" s="61"/>
      <c r="D156" s="61"/>
      <c r="E156" s="62"/>
      <c r="F156" s="62"/>
      <c r="G156" s="62"/>
      <c r="I156" s="63"/>
      <c r="M156" s="28"/>
      <c r="N156" s="4"/>
    </row>
    <row r="157" spans="1:14" s="64" customFormat="1" x14ac:dyDescent="0.25">
      <c r="A157" s="61"/>
      <c r="B157" s="28"/>
      <c r="C157" s="61"/>
      <c r="D157" s="61"/>
      <c r="E157" s="62"/>
      <c r="F157" s="62"/>
      <c r="G157" s="62"/>
      <c r="I157" s="63"/>
      <c r="M157" s="28"/>
      <c r="N157" s="4"/>
    </row>
    <row r="158" spans="1:14" s="64" customFormat="1" x14ac:dyDescent="0.25">
      <c r="A158" s="61"/>
      <c r="B158" s="28"/>
      <c r="C158" s="61"/>
      <c r="D158" s="61"/>
      <c r="E158" s="62"/>
      <c r="F158" s="62"/>
      <c r="G158" s="62"/>
      <c r="I158" s="63"/>
      <c r="M158" s="28"/>
      <c r="N158" s="4"/>
    </row>
    <row r="159" spans="1:14" s="64" customFormat="1" x14ac:dyDescent="0.25">
      <c r="A159" s="61"/>
      <c r="B159" s="28"/>
      <c r="C159" s="61"/>
      <c r="D159" s="61"/>
      <c r="E159" s="62"/>
      <c r="F159" s="62"/>
      <c r="G159" s="62"/>
      <c r="I159" s="63"/>
      <c r="M159" s="28"/>
      <c r="N159" s="4"/>
    </row>
    <row r="160" spans="1:14" s="64" customFormat="1" x14ac:dyDescent="0.25">
      <c r="A160" s="61"/>
      <c r="B160" s="28"/>
      <c r="C160" s="61"/>
      <c r="D160" s="61"/>
      <c r="E160" s="62"/>
      <c r="F160" s="62"/>
      <c r="G160" s="62"/>
      <c r="I160" s="63"/>
      <c r="M160" s="28"/>
      <c r="N160" s="4"/>
    </row>
    <row r="161" spans="1:14" s="64" customFormat="1" x14ac:dyDescent="0.25">
      <c r="A161" s="61"/>
      <c r="B161" s="28"/>
      <c r="C161" s="61"/>
      <c r="D161" s="61"/>
      <c r="E161" s="62"/>
      <c r="F161" s="62"/>
      <c r="G161" s="62"/>
      <c r="I161" s="63"/>
      <c r="M161" s="28"/>
      <c r="N161" s="4"/>
    </row>
    <row r="162" spans="1:14" s="64" customFormat="1" x14ac:dyDescent="0.25">
      <c r="A162" s="61"/>
      <c r="B162" s="28"/>
      <c r="C162" s="61"/>
      <c r="D162" s="61"/>
      <c r="E162" s="62"/>
      <c r="F162" s="62"/>
      <c r="G162" s="62"/>
      <c r="I162" s="63"/>
      <c r="M162" s="28"/>
      <c r="N162" s="4"/>
    </row>
    <row r="163" spans="1:14" s="64" customFormat="1" x14ac:dyDescent="0.25">
      <c r="A163" s="61"/>
      <c r="B163" s="28"/>
      <c r="C163" s="61"/>
      <c r="D163" s="61"/>
      <c r="E163" s="62"/>
      <c r="F163" s="62"/>
      <c r="G163" s="62"/>
      <c r="I163" s="63"/>
      <c r="M163" s="28"/>
      <c r="N163" s="4"/>
    </row>
    <row r="164" spans="1:14" s="64" customFormat="1" x14ac:dyDescent="0.25">
      <c r="A164" s="61"/>
      <c r="B164" s="28"/>
      <c r="C164" s="61"/>
      <c r="D164" s="61"/>
      <c r="E164" s="62"/>
      <c r="F164" s="62"/>
      <c r="G164" s="62"/>
      <c r="I164" s="63"/>
      <c r="M164" s="28"/>
      <c r="N164" s="4"/>
    </row>
    <row r="165" spans="1:14" s="64" customFormat="1" x14ac:dyDescent="0.25">
      <c r="A165" s="61"/>
      <c r="B165" s="28"/>
      <c r="C165" s="61"/>
      <c r="D165" s="61"/>
      <c r="E165" s="62"/>
      <c r="F165" s="62"/>
      <c r="G165" s="62"/>
      <c r="I165" s="63"/>
      <c r="M165" s="28"/>
      <c r="N165" s="4"/>
    </row>
  </sheetData>
  <autoFilter ref="A2:N3" xr:uid="{06EFA543-D0DC-4C36-B405-A0D1C9F60FC4}"/>
  <mergeCells count="17">
    <mergeCell ref="E132:H132"/>
    <mergeCell ref="J132:K132"/>
    <mergeCell ref="M2:M3"/>
    <mergeCell ref="E131:H131"/>
    <mergeCell ref="F2:F3"/>
    <mergeCell ref="G2:G3"/>
    <mergeCell ref="J131:K131"/>
    <mergeCell ref="H2:H3"/>
    <mergeCell ref="I2:I3"/>
    <mergeCell ref="J2:J3"/>
    <mergeCell ref="K2:K3"/>
    <mergeCell ref="L2:L3"/>
    <mergeCell ref="A2:A3"/>
    <mergeCell ref="B2:B3"/>
    <mergeCell ref="C2:C3"/>
    <mergeCell ref="D2:D3"/>
    <mergeCell ref="E2:E3"/>
  </mergeCells>
  <phoneticPr fontId="13" type="noConversion"/>
  <conditionalFormatting sqref="I16">
    <cfRule type="duplicateValues" dxfId="3" priority="1"/>
  </conditionalFormatting>
  <pageMargins left="0.7" right="0.7" top="0.75" bottom="0.75" header="0.3" footer="0.3"/>
  <pageSetup paperSize="8" scale="5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63B8-BC76-4EA3-8370-F882CE787CEE}">
  <dimension ref="A1:O165"/>
  <sheetViews>
    <sheetView view="pageBreakPreview" zoomScaleNormal="100" zoomScaleSheetLayoutView="100" workbookViewId="0">
      <pane xSplit="2" ySplit="3" topLeftCell="C7" activePane="bottomRight" state="frozen"/>
      <selection pane="topRight" activeCell="D1" sqref="D1"/>
      <selection pane="bottomLeft" activeCell="A6" sqref="A6"/>
      <selection pane="bottomRight" activeCell="G33" sqref="G33"/>
    </sheetView>
  </sheetViews>
  <sheetFormatPr defaultColWidth="9.140625" defaultRowHeight="13.5" x14ac:dyDescent="0.25"/>
  <cols>
    <col min="1" max="1" width="39.28515625" style="61" bestFit="1" customWidth="1"/>
    <col min="2" max="2" width="38.28515625" style="28" customWidth="1"/>
    <col min="3" max="3" width="16" style="61" bestFit="1" customWidth="1"/>
    <col min="4" max="4" width="12.42578125" style="61" customWidth="1"/>
    <col min="5" max="5" width="16" style="61" bestFit="1" customWidth="1"/>
    <col min="6" max="7" width="16" style="61" customWidth="1"/>
    <col min="8" max="8" width="12.28515625" style="64" customWidth="1"/>
    <col min="9" max="9" width="21.42578125" style="63" hidden="1" customWidth="1"/>
    <col min="10" max="10" width="20" style="64" hidden="1" customWidth="1"/>
    <col min="11" max="11" width="17.42578125" style="64" hidden="1" customWidth="1"/>
    <col min="12" max="12" width="12" style="64" hidden="1" customWidth="1"/>
    <col min="13" max="13" width="20.140625" style="28" customWidth="1"/>
    <col min="14" max="14" width="10.42578125" style="4" customWidth="1"/>
    <col min="15" max="15" width="10.140625" style="28" bestFit="1" customWidth="1"/>
    <col min="16" max="16384" width="9.140625" style="28"/>
  </cols>
  <sheetData>
    <row r="1" spans="1:14" s="7" customFormat="1" ht="30" customHeight="1" x14ac:dyDescent="0.25">
      <c r="A1" s="303" t="s">
        <v>381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5"/>
      <c r="N1" s="4"/>
    </row>
    <row r="2" spans="1:14" s="11" customFormat="1" ht="19.5" customHeight="1" x14ac:dyDescent="0.25">
      <c r="A2" s="313" t="s">
        <v>2</v>
      </c>
      <c r="B2" s="308" t="s">
        <v>3</v>
      </c>
      <c r="C2" s="314" t="s">
        <v>4</v>
      </c>
      <c r="D2" s="308" t="s">
        <v>5</v>
      </c>
      <c r="E2" s="308" t="s">
        <v>6</v>
      </c>
      <c r="F2" s="308" t="s">
        <v>6</v>
      </c>
      <c r="G2" s="308" t="s">
        <v>31</v>
      </c>
      <c r="H2" s="308" t="s">
        <v>9</v>
      </c>
      <c r="I2" s="308" t="s">
        <v>10</v>
      </c>
      <c r="J2" s="308" t="s">
        <v>11</v>
      </c>
      <c r="K2" s="308" t="s">
        <v>12</v>
      </c>
      <c r="L2" s="308" t="s">
        <v>13</v>
      </c>
      <c r="M2" s="309" t="s">
        <v>14</v>
      </c>
      <c r="N2" s="8"/>
    </row>
    <row r="3" spans="1:14" s="11" customFormat="1" ht="26.25" customHeight="1" x14ac:dyDescent="0.25">
      <c r="A3" s="313"/>
      <c r="B3" s="308"/>
      <c r="C3" s="315"/>
      <c r="D3" s="308"/>
      <c r="E3" s="308"/>
      <c r="F3" s="308"/>
      <c r="G3" s="308"/>
      <c r="H3" s="308"/>
      <c r="I3" s="308"/>
      <c r="J3" s="308"/>
      <c r="K3" s="308"/>
      <c r="L3" s="308"/>
      <c r="M3" s="309"/>
      <c r="N3" s="8"/>
    </row>
    <row r="4" spans="1:14" s="6" customFormat="1" x14ac:dyDescent="0.25">
      <c r="A4" s="69">
        <v>2603</v>
      </c>
      <c r="B4" s="70" t="s">
        <v>71</v>
      </c>
      <c r="C4" s="69">
        <v>305.3</v>
      </c>
      <c r="D4" s="14">
        <v>0.3</v>
      </c>
      <c r="E4" s="15">
        <f t="shared" ref="E4:E35" si="0">C4*D4</f>
        <v>91.59</v>
      </c>
      <c r="F4" s="15"/>
      <c r="G4" s="15">
        <f t="shared" ref="G4:G35" si="1">E4-F4</f>
        <v>91.59</v>
      </c>
      <c r="H4" s="16">
        <v>5744412</v>
      </c>
      <c r="I4" s="17" t="s">
        <v>72</v>
      </c>
      <c r="J4" s="16" t="s">
        <v>73</v>
      </c>
      <c r="K4" s="266" t="s">
        <v>74</v>
      </c>
      <c r="L4" s="16">
        <v>92566993</v>
      </c>
      <c r="M4" s="16"/>
      <c r="N4" s="4"/>
    </row>
    <row r="5" spans="1:14" s="120" customFormat="1" x14ac:dyDescent="0.25">
      <c r="A5" s="96">
        <v>2604</v>
      </c>
      <c r="B5" s="97" t="s">
        <v>46</v>
      </c>
      <c r="C5" s="96">
        <v>287.10000000000002</v>
      </c>
      <c r="D5" s="98">
        <v>0.3</v>
      </c>
      <c r="E5" s="99">
        <f t="shared" si="0"/>
        <v>86.13000000000001</v>
      </c>
      <c r="F5" s="99">
        <v>83.99</v>
      </c>
      <c r="G5" s="99">
        <f t="shared" si="1"/>
        <v>2.1400000000000148</v>
      </c>
      <c r="H5" s="100">
        <v>3946807</v>
      </c>
      <c r="I5" s="101" t="s">
        <v>75</v>
      </c>
      <c r="J5" s="100" t="s">
        <v>76</v>
      </c>
      <c r="K5" s="100" t="s">
        <v>77</v>
      </c>
      <c r="L5" s="100">
        <v>99702767</v>
      </c>
      <c r="M5" s="100" t="s">
        <v>388</v>
      </c>
      <c r="N5" s="270"/>
    </row>
    <row r="6" spans="1:14" s="6" customFormat="1" x14ac:dyDescent="0.25">
      <c r="A6" s="69">
        <v>2606</v>
      </c>
      <c r="B6" s="70" t="s">
        <v>78</v>
      </c>
      <c r="C6" s="69">
        <v>174.6</v>
      </c>
      <c r="D6" s="14">
        <v>0.3</v>
      </c>
      <c r="E6" s="15">
        <f t="shared" si="0"/>
        <v>52.379999999999995</v>
      </c>
      <c r="F6" s="15">
        <v>51.77</v>
      </c>
      <c r="G6" s="15">
        <f t="shared" si="1"/>
        <v>0.60999999999999233</v>
      </c>
      <c r="H6" s="16">
        <v>13974337</v>
      </c>
      <c r="I6" s="17" t="s">
        <v>79</v>
      </c>
      <c r="J6" s="16" t="s">
        <v>80</v>
      </c>
      <c r="K6" s="32" t="s">
        <v>81</v>
      </c>
      <c r="L6" s="16">
        <v>99291110</v>
      </c>
      <c r="M6" s="100" t="s">
        <v>388</v>
      </c>
      <c r="N6" s="4"/>
    </row>
    <row r="7" spans="1:14" s="6" customFormat="1" x14ac:dyDescent="0.25">
      <c r="A7" s="12">
        <v>2607</v>
      </c>
      <c r="B7" s="13" t="s">
        <v>82</v>
      </c>
      <c r="C7" s="12">
        <v>210</v>
      </c>
      <c r="D7" s="14">
        <v>0.3</v>
      </c>
      <c r="E7" s="15">
        <f t="shared" si="0"/>
        <v>63</v>
      </c>
      <c r="F7" s="15">
        <v>60.66</v>
      </c>
      <c r="G7" s="15">
        <f t="shared" si="1"/>
        <v>2.3400000000000034</v>
      </c>
      <c r="H7" s="16">
        <v>6488366</v>
      </c>
      <c r="I7" s="17" t="s">
        <v>83</v>
      </c>
      <c r="J7" s="16" t="s">
        <v>73</v>
      </c>
      <c r="K7" s="32" t="s">
        <v>74</v>
      </c>
      <c r="L7" s="16">
        <v>95479797</v>
      </c>
      <c r="M7" s="100" t="s">
        <v>388</v>
      </c>
      <c r="N7" s="4"/>
    </row>
    <row r="8" spans="1:14" s="6" customFormat="1" x14ac:dyDescent="0.25">
      <c r="A8" s="69">
        <v>2608</v>
      </c>
      <c r="B8" s="70" t="s">
        <v>84</v>
      </c>
      <c r="C8" s="69">
        <v>165.5</v>
      </c>
      <c r="D8" s="14">
        <v>0.3</v>
      </c>
      <c r="E8" s="15">
        <f t="shared" si="0"/>
        <v>49.65</v>
      </c>
      <c r="F8" s="15">
        <v>47.74</v>
      </c>
      <c r="G8" s="15">
        <f t="shared" si="1"/>
        <v>1.9099999999999966</v>
      </c>
      <c r="H8" s="16">
        <v>1233627</v>
      </c>
      <c r="I8" s="17" t="s">
        <v>85</v>
      </c>
      <c r="J8" s="16" t="s">
        <v>73</v>
      </c>
      <c r="K8" s="32" t="s">
        <v>74</v>
      </c>
      <c r="L8" s="16">
        <v>92788274</v>
      </c>
      <c r="M8" s="100" t="s">
        <v>389</v>
      </c>
      <c r="N8" s="4"/>
    </row>
    <row r="9" spans="1:14" s="6" customFormat="1" x14ac:dyDescent="0.25">
      <c r="A9" s="69">
        <v>2609</v>
      </c>
      <c r="B9" s="70" t="s">
        <v>87</v>
      </c>
      <c r="C9" s="69">
        <v>100.6</v>
      </c>
      <c r="D9" s="14">
        <v>0.3</v>
      </c>
      <c r="E9" s="15">
        <f t="shared" si="0"/>
        <v>30.179999999999996</v>
      </c>
      <c r="F9" s="15"/>
      <c r="G9" s="15">
        <f t="shared" si="1"/>
        <v>30.179999999999996</v>
      </c>
      <c r="H9" s="16">
        <v>1248701</v>
      </c>
      <c r="I9" s="17" t="s">
        <v>88</v>
      </c>
      <c r="J9" s="16" t="s">
        <v>73</v>
      </c>
      <c r="K9" s="32" t="s">
        <v>74</v>
      </c>
      <c r="L9" s="16">
        <v>90911500</v>
      </c>
      <c r="M9" s="12"/>
      <c r="N9" s="4"/>
    </row>
    <row r="10" spans="1:14" s="120" customFormat="1" x14ac:dyDescent="0.25">
      <c r="A10" s="96">
        <v>2610</v>
      </c>
      <c r="B10" s="97" t="s">
        <v>47</v>
      </c>
      <c r="C10" s="96">
        <v>298.60000000000002</v>
      </c>
      <c r="D10" s="98">
        <v>0.3</v>
      </c>
      <c r="E10" s="99">
        <f t="shared" si="0"/>
        <v>89.58</v>
      </c>
      <c r="F10" s="99">
        <f>1.93+85.5</f>
        <v>87.43</v>
      </c>
      <c r="G10" s="99">
        <f t="shared" si="1"/>
        <v>2.1499999999999915</v>
      </c>
      <c r="H10" s="100">
        <v>1183461</v>
      </c>
      <c r="I10" s="101" t="s">
        <v>89</v>
      </c>
      <c r="J10" s="100" t="s">
        <v>90</v>
      </c>
      <c r="K10" s="277" t="s">
        <v>91</v>
      </c>
      <c r="L10" s="100">
        <v>95622123</v>
      </c>
      <c r="M10" s="205">
        <v>45728</v>
      </c>
      <c r="N10" s="270"/>
    </row>
    <row r="11" spans="1:14" s="6" customFormat="1" x14ac:dyDescent="0.25">
      <c r="A11" s="12">
        <v>2611</v>
      </c>
      <c r="B11" s="13" t="s">
        <v>92</v>
      </c>
      <c r="C11" s="12">
        <v>157.30000000000001</v>
      </c>
      <c r="D11" s="14">
        <v>0.3</v>
      </c>
      <c r="E11" s="15">
        <f t="shared" si="0"/>
        <v>47.190000000000005</v>
      </c>
      <c r="F11" s="15"/>
      <c r="G11" s="15">
        <f t="shared" si="1"/>
        <v>47.190000000000005</v>
      </c>
      <c r="H11" s="16">
        <v>1348989</v>
      </c>
      <c r="I11" s="17" t="s">
        <v>93</v>
      </c>
      <c r="J11" s="16" t="s">
        <v>94</v>
      </c>
      <c r="K11" s="182" t="s">
        <v>95</v>
      </c>
      <c r="L11" s="16">
        <v>99678203</v>
      </c>
      <c r="M11" s="16" t="s">
        <v>22</v>
      </c>
      <c r="N11" s="4"/>
    </row>
    <row r="12" spans="1:14" s="6" customFormat="1" x14ac:dyDescent="0.25">
      <c r="A12" s="69">
        <v>2612</v>
      </c>
      <c r="B12" s="70" t="s">
        <v>96</v>
      </c>
      <c r="C12" s="69">
        <v>456.3</v>
      </c>
      <c r="D12" s="14">
        <v>0.3</v>
      </c>
      <c r="E12" s="15">
        <f t="shared" si="0"/>
        <v>136.88999999999999</v>
      </c>
      <c r="F12" s="15"/>
      <c r="G12" s="15">
        <f t="shared" si="1"/>
        <v>136.88999999999999</v>
      </c>
      <c r="H12" s="16">
        <v>896658</v>
      </c>
      <c r="I12" s="17" t="s">
        <v>97</v>
      </c>
      <c r="J12" s="16" t="s">
        <v>90</v>
      </c>
      <c r="K12" s="29" t="s">
        <v>91</v>
      </c>
      <c r="L12" s="16">
        <v>99831783</v>
      </c>
      <c r="M12" s="12"/>
      <c r="N12" s="4"/>
    </row>
    <row r="13" spans="1:14" s="72" customFormat="1" x14ac:dyDescent="0.25">
      <c r="A13" s="69">
        <v>2613</v>
      </c>
      <c r="B13" s="70" t="s">
        <v>98</v>
      </c>
      <c r="C13" s="69">
        <v>102.3</v>
      </c>
      <c r="D13" s="14">
        <v>0.3</v>
      </c>
      <c r="E13" s="15">
        <f t="shared" si="0"/>
        <v>30.689999999999998</v>
      </c>
      <c r="F13" s="15"/>
      <c r="G13" s="15">
        <f t="shared" si="1"/>
        <v>30.689999999999998</v>
      </c>
      <c r="H13" s="16">
        <v>2884732</v>
      </c>
      <c r="I13" s="17" t="s">
        <v>99</v>
      </c>
      <c r="J13" s="16" t="s">
        <v>18</v>
      </c>
      <c r="K13" s="32" t="s">
        <v>19</v>
      </c>
      <c r="L13" s="16">
        <v>95878851</v>
      </c>
      <c r="M13" s="17"/>
      <c r="N13" s="4"/>
    </row>
    <row r="14" spans="1:14" s="6" customFormat="1" x14ac:dyDescent="0.25">
      <c r="A14" s="12">
        <v>2614</v>
      </c>
      <c r="B14" s="13" t="s">
        <v>100</v>
      </c>
      <c r="C14" s="12">
        <v>337.5</v>
      </c>
      <c r="D14" s="14">
        <v>0.3</v>
      </c>
      <c r="E14" s="15">
        <f t="shared" si="0"/>
        <v>101.25</v>
      </c>
      <c r="F14" s="15"/>
      <c r="G14" s="15">
        <f t="shared" si="1"/>
        <v>101.25</v>
      </c>
      <c r="H14" s="16">
        <v>1015515</v>
      </c>
      <c r="I14" s="17" t="s">
        <v>101</v>
      </c>
      <c r="J14" s="16" t="s">
        <v>90</v>
      </c>
      <c r="K14" s="29" t="s">
        <v>91</v>
      </c>
      <c r="L14" s="16">
        <v>92350077</v>
      </c>
      <c r="M14" s="17"/>
      <c r="N14" s="4"/>
    </row>
    <row r="15" spans="1:14" s="120" customFormat="1" x14ac:dyDescent="0.25">
      <c r="A15" s="96">
        <v>2615</v>
      </c>
      <c r="B15" s="97" t="s">
        <v>102</v>
      </c>
      <c r="C15" s="96">
        <v>372.4</v>
      </c>
      <c r="D15" s="98">
        <v>0.3</v>
      </c>
      <c r="E15" s="99">
        <f t="shared" si="0"/>
        <v>111.71999999999998</v>
      </c>
      <c r="F15" s="99">
        <f>0.3+108.9</f>
        <v>109.2</v>
      </c>
      <c r="G15" s="99">
        <f t="shared" si="1"/>
        <v>2.5199999999999818</v>
      </c>
      <c r="H15" s="100">
        <v>1248772</v>
      </c>
      <c r="I15" s="101" t="s">
        <v>103</v>
      </c>
      <c r="J15" s="100" t="s">
        <v>94</v>
      </c>
      <c r="K15" s="281" t="s">
        <v>95</v>
      </c>
      <c r="L15" s="100">
        <v>91102881</v>
      </c>
      <c r="M15" s="282" t="s">
        <v>376</v>
      </c>
      <c r="N15" s="270">
        <v>46002</v>
      </c>
    </row>
    <row r="16" spans="1:14" x14ac:dyDescent="0.25">
      <c r="A16" s="69">
        <v>2616</v>
      </c>
      <c r="B16" s="70" t="s">
        <v>15</v>
      </c>
      <c r="C16" s="69">
        <v>175.3</v>
      </c>
      <c r="D16" s="14">
        <v>0.3</v>
      </c>
      <c r="E16" s="15">
        <f t="shared" si="0"/>
        <v>52.59</v>
      </c>
      <c r="F16" s="278"/>
      <c r="G16" s="15">
        <f t="shared" si="1"/>
        <v>52.59</v>
      </c>
      <c r="H16" s="117">
        <v>6225617</v>
      </c>
      <c r="I16" s="118" t="s">
        <v>17</v>
      </c>
      <c r="J16" s="16" t="s">
        <v>18</v>
      </c>
      <c r="K16" s="29" t="s">
        <v>19</v>
      </c>
      <c r="L16" s="16">
        <v>98004554</v>
      </c>
      <c r="M16" s="17"/>
    </row>
    <row r="17" spans="1:14" s="6" customFormat="1" x14ac:dyDescent="0.25">
      <c r="A17" s="69">
        <v>2617</v>
      </c>
      <c r="B17" s="70" t="s">
        <v>105</v>
      </c>
      <c r="C17" s="69">
        <v>206.2</v>
      </c>
      <c r="D17" s="14">
        <v>0.3</v>
      </c>
      <c r="E17" s="15">
        <f t="shared" si="0"/>
        <v>61.859999999999992</v>
      </c>
      <c r="F17" s="15"/>
      <c r="G17" s="15">
        <f t="shared" si="1"/>
        <v>61.859999999999992</v>
      </c>
      <c r="H17" s="69">
        <v>17375838</v>
      </c>
      <c r="I17" s="183" t="s">
        <v>106</v>
      </c>
      <c r="J17" s="78" t="s">
        <v>73</v>
      </c>
      <c r="K17" s="79" t="s">
        <v>74</v>
      </c>
      <c r="L17" s="79">
        <v>95089970</v>
      </c>
      <c r="M17" s="79"/>
      <c r="N17" s="4"/>
    </row>
    <row r="18" spans="1:14" s="6" customFormat="1" x14ac:dyDescent="0.25">
      <c r="A18" s="69">
        <v>2618</v>
      </c>
      <c r="B18" s="70" t="s">
        <v>48</v>
      </c>
      <c r="C18" s="69">
        <v>360.9</v>
      </c>
      <c r="D18" s="14">
        <v>0.3</v>
      </c>
      <c r="E18" s="15">
        <f t="shared" si="0"/>
        <v>108.27</v>
      </c>
      <c r="F18" s="15">
        <v>103.7</v>
      </c>
      <c r="G18" s="15">
        <f t="shared" si="1"/>
        <v>4.5699999999999932</v>
      </c>
      <c r="H18" s="16">
        <v>6552811</v>
      </c>
      <c r="I18" s="17" t="s">
        <v>107</v>
      </c>
      <c r="J18" s="16" t="s">
        <v>73</v>
      </c>
      <c r="K18" s="32" t="s">
        <v>74</v>
      </c>
      <c r="L18" s="16">
        <v>99085221</v>
      </c>
      <c r="M18" s="100" t="s">
        <v>388</v>
      </c>
      <c r="N18" s="4"/>
    </row>
    <row r="19" spans="1:14" s="6" customFormat="1" x14ac:dyDescent="0.25">
      <c r="A19" s="69">
        <v>2619</v>
      </c>
      <c r="B19" s="70" t="s">
        <v>108</v>
      </c>
      <c r="C19" s="69">
        <v>420</v>
      </c>
      <c r="D19" s="14">
        <v>0.3</v>
      </c>
      <c r="E19" s="15">
        <f t="shared" si="0"/>
        <v>126</v>
      </c>
      <c r="F19" s="15">
        <v>121.21</v>
      </c>
      <c r="G19" s="15">
        <f t="shared" si="1"/>
        <v>4.7900000000000063</v>
      </c>
      <c r="H19" s="16">
        <v>6552839</v>
      </c>
      <c r="I19" s="17" t="s">
        <v>109</v>
      </c>
      <c r="J19" s="16" t="s">
        <v>90</v>
      </c>
      <c r="K19" s="29" t="s">
        <v>91</v>
      </c>
      <c r="L19" s="16">
        <v>92017833</v>
      </c>
      <c r="M19" s="100" t="s">
        <v>388</v>
      </c>
      <c r="N19" s="4"/>
    </row>
    <row r="20" spans="1:14" s="120" customFormat="1" x14ac:dyDescent="0.25">
      <c r="A20" s="96">
        <v>2620</v>
      </c>
      <c r="B20" s="97" t="s">
        <v>110</v>
      </c>
      <c r="C20" s="96">
        <v>263.3</v>
      </c>
      <c r="D20" s="98">
        <v>0.3</v>
      </c>
      <c r="E20" s="99">
        <f t="shared" si="0"/>
        <v>78.989999999999995</v>
      </c>
      <c r="F20" s="99">
        <v>76.84</v>
      </c>
      <c r="G20" s="99">
        <f t="shared" si="1"/>
        <v>2.1499999999999915</v>
      </c>
      <c r="H20" s="100">
        <v>1183437</v>
      </c>
      <c r="I20" s="101" t="s">
        <v>111</v>
      </c>
      <c r="J20" s="100" t="s">
        <v>73</v>
      </c>
      <c r="K20" s="102" t="s">
        <v>74</v>
      </c>
      <c r="L20" s="100">
        <v>92585717</v>
      </c>
      <c r="M20" s="217">
        <v>45973</v>
      </c>
      <c r="N20" s="270"/>
    </row>
    <row r="21" spans="1:14" s="6" customFormat="1" x14ac:dyDescent="0.25">
      <c r="A21" s="69">
        <v>2621</v>
      </c>
      <c r="B21" s="70" t="s">
        <v>113</v>
      </c>
      <c r="C21" s="69">
        <v>150.9</v>
      </c>
      <c r="D21" s="14">
        <v>0.3</v>
      </c>
      <c r="E21" s="15">
        <f t="shared" si="0"/>
        <v>45.27</v>
      </c>
      <c r="F21" s="300">
        <v>44.74</v>
      </c>
      <c r="G21" s="15">
        <f t="shared" si="1"/>
        <v>0.53000000000000114</v>
      </c>
      <c r="H21" s="16">
        <v>19745547</v>
      </c>
      <c r="I21" s="17" t="s">
        <v>114</v>
      </c>
      <c r="J21" s="16" t="s">
        <v>73</v>
      </c>
      <c r="K21" s="32" t="s">
        <v>74</v>
      </c>
      <c r="L21" s="16">
        <v>98821811</v>
      </c>
      <c r="M21" s="100" t="s">
        <v>388</v>
      </c>
      <c r="N21" s="4"/>
    </row>
    <row r="22" spans="1:14" s="6" customFormat="1" x14ac:dyDescent="0.25">
      <c r="A22" s="12">
        <v>2622</v>
      </c>
      <c r="B22" s="13" t="s">
        <v>115</v>
      </c>
      <c r="C22" s="12">
        <v>431.7</v>
      </c>
      <c r="D22" s="14">
        <v>0.3</v>
      </c>
      <c r="E22" s="15">
        <f t="shared" si="0"/>
        <v>129.51</v>
      </c>
      <c r="F22" s="15">
        <v>127.86</v>
      </c>
      <c r="G22" s="15">
        <f t="shared" si="1"/>
        <v>1.6499999999999915</v>
      </c>
      <c r="H22" s="16">
        <v>6067343</v>
      </c>
      <c r="I22" s="17" t="s">
        <v>116</v>
      </c>
      <c r="J22" s="16" t="s">
        <v>94</v>
      </c>
      <c r="K22" s="182" t="s">
        <v>95</v>
      </c>
      <c r="L22" s="16">
        <v>91329902</v>
      </c>
      <c r="M22" s="100" t="s">
        <v>388</v>
      </c>
      <c r="N22" s="4"/>
    </row>
    <row r="23" spans="1:14" s="6" customFormat="1" x14ac:dyDescent="0.25">
      <c r="A23" s="69">
        <v>2623</v>
      </c>
      <c r="B23" s="70" t="s">
        <v>49</v>
      </c>
      <c r="C23" s="69">
        <v>157.19999999999999</v>
      </c>
      <c r="D23" s="14">
        <v>0.3</v>
      </c>
      <c r="E23" s="15">
        <f t="shared" si="0"/>
        <v>47.16</v>
      </c>
      <c r="F23" s="15"/>
      <c r="G23" s="15">
        <f t="shared" si="1"/>
        <v>47.16</v>
      </c>
      <c r="H23" s="16">
        <v>1994004</v>
      </c>
      <c r="I23" s="17" t="s">
        <v>117</v>
      </c>
      <c r="J23" s="16" t="s">
        <v>73</v>
      </c>
      <c r="K23" s="32" t="s">
        <v>74</v>
      </c>
      <c r="L23" s="16">
        <v>99489917</v>
      </c>
      <c r="M23" s="12"/>
      <c r="N23" s="4"/>
    </row>
    <row r="24" spans="1:14" s="6" customFormat="1" x14ac:dyDescent="0.25">
      <c r="A24" s="69">
        <v>2624</v>
      </c>
      <c r="B24" s="70" t="s">
        <v>118</v>
      </c>
      <c r="C24" s="69">
        <v>185.1</v>
      </c>
      <c r="D24" s="14">
        <v>0.3</v>
      </c>
      <c r="E24" s="15">
        <f t="shared" si="0"/>
        <v>55.529999999999994</v>
      </c>
      <c r="F24" s="15"/>
      <c r="G24" s="15">
        <f t="shared" si="1"/>
        <v>55.529999999999994</v>
      </c>
      <c r="H24" s="16">
        <v>3206725</v>
      </c>
      <c r="I24" s="17">
        <v>401002509090012</v>
      </c>
      <c r="J24" s="16" t="s">
        <v>73</v>
      </c>
      <c r="K24" s="32" t="s">
        <v>74</v>
      </c>
      <c r="L24" s="16">
        <v>93325253</v>
      </c>
      <c r="M24" s="12"/>
      <c r="N24" s="4"/>
    </row>
    <row r="25" spans="1:14" x14ac:dyDescent="0.25">
      <c r="A25" s="69">
        <v>2625</v>
      </c>
      <c r="B25" s="70" t="s">
        <v>119</v>
      </c>
      <c r="C25" s="69">
        <v>496.8</v>
      </c>
      <c r="D25" s="14">
        <v>0.3</v>
      </c>
      <c r="E25" s="15">
        <f t="shared" si="0"/>
        <v>149.04</v>
      </c>
      <c r="F25" s="15">
        <v>147.44</v>
      </c>
      <c r="G25" s="15">
        <f t="shared" si="1"/>
        <v>1.5999999999999943</v>
      </c>
      <c r="H25" s="16">
        <v>5474204</v>
      </c>
      <c r="I25" s="17" t="s">
        <v>120</v>
      </c>
      <c r="J25" s="16" t="s">
        <v>73</v>
      </c>
      <c r="K25" s="32" t="s">
        <v>74</v>
      </c>
      <c r="L25" s="16">
        <v>92806972</v>
      </c>
      <c r="M25" s="100" t="s">
        <v>388</v>
      </c>
    </row>
    <row r="26" spans="1:14" s="6" customFormat="1" x14ac:dyDescent="0.25">
      <c r="A26" s="69">
        <v>2626</v>
      </c>
      <c r="B26" s="70" t="s">
        <v>51</v>
      </c>
      <c r="C26" s="69">
        <v>182.7</v>
      </c>
      <c r="D26" s="14">
        <v>0.3</v>
      </c>
      <c r="E26" s="15">
        <f t="shared" si="0"/>
        <v>54.809999999999995</v>
      </c>
      <c r="F26" s="15"/>
      <c r="G26" s="15">
        <f t="shared" si="1"/>
        <v>54.809999999999995</v>
      </c>
      <c r="H26" s="78">
        <v>3083395</v>
      </c>
      <c r="I26" s="183" t="s">
        <v>121</v>
      </c>
      <c r="J26" s="78" t="s">
        <v>73</v>
      </c>
      <c r="K26" s="79" t="s">
        <v>74</v>
      </c>
      <c r="L26" s="78">
        <v>99287760</v>
      </c>
      <c r="M26" s="69"/>
      <c r="N26" s="4"/>
    </row>
    <row r="27" spans="1:14" s="6" customFormat="1" x14ac:dyDescent="0.25">
      <c r="A27" s="69">
        <v>2627</v>
      </c>
      <c r="B27" s="70" t="s">
        <v>122</v>
      </c>
      <c r="C27" s="69">
        <v>49.5</v>
      </c>
      <c r="D27" s="14">
        <v>0.3</v>
      </c>
      <c r="E27" s="15">
        <f t="shared" si="0"/>
        <v>14.85</v>
      </c>
      <c r="F27" s="15"/>
      <c r="G27" s="15">
        <f t="shared" si="1"/>
        <v>14.85</v>
      </c>
      <c r="H27" s="16">
        <v>2011348</v>
      </c>
      <c r="I27" s="17" t="s">
        <v>123</v>
      </c>
      <c r="J27" s="16" t="s">
        <v>94</v>
      </c>
      <c r="K27" s="182" t="s">
        <v>95</v>
      </c>
      <c r="L27" s="16">
        <v>98509729</v>
      </c>
      <c r="M27" s="12"/>
      <c r="N27" s="4"/>
    </row>
    <row r="28" spans="1:14" s="6" customFormat="1" x14ac:dyDescent="0.25">
      <c r="A28" s="12">
        <v>2628</v>
      </c>
      <c r="B28" s="13" t="s">
        <v>124</v>
      </c>
      <c r="C28" s="12">
        <v>106.7</v>
      </c>
      <c r="D28" s="14">
        <v>0.3</v>
      </c>
      <c r="E28" s="15">
        <f t="shared" si="0"/>
        <v>32.01</v>
      </c>
      <c r="F28" s="15"/>
      <c r="G28" s="15">
        <f t="shared" si="1"/>
        <v>32.01</v>
      </c>
      <c r="H28" s="16">
        <v>2396272</v>
      </c>
      <c r="I28" s="17" t="s">
        <v>125</v>
      </c>
      <c r="J28" s="16" t="s">
        <v>73</v>
      </c>
      <c r="K28" s="32" t="s">
        <v>74</v>
      </c>
      <c r="L28" s="16">
        <v>990991999</v>
      </c>
      <c r="M28" s="16" t="s">
        <v>22</v>
      </c>
      <c r="N28" s="4"/>
    </row>
    <row r="29" spans="1:14" s="6" customFormat="1" x14ac:dyDescent="0.25">
      <c r="A29" s="12">
        <v>2629</v>
      </c>
      <c r="B29" s="13" t="s">
        <v>32</v>
      </c>
      <c r="C29" s="12">
        <v>288</v>
      </c>
      <c r="D29" s="14">
        <v>0.3</v>
      </c>
      <c r="E29" s="15">
        <f t="shared" si="0"/>
        <v>86.399999999999991</v>
      </c>
      <c r="F29" s="15">
        <v>85.589999999999989</v>
      </c>
      <c r="G29" s="15">
        <f t="shared" si="1"/>
        <v>0.81000000000000227</v>
      </c>
      <c r="H29" s="16">
        <v>6488371</v>
      </c>
      <c r="I29" s="17" t="s">
        <v>126</v>
      </c>
      <c r="J29" s="16" t="s">
        <v>18</v>
      </c>
      <c r="K29" s="268" t="s">
        <v>19</v>
      </c>
      <c r="L29" s="16">
        <v>99096166</v>
      </c>
      <c r="M29" s="100" t="s">
        <v>388</v>
      </c>
      <c r="N29" s="75"/>
    </row>
    <row r="30" spans="1:14" s="6" customFormat="1" x14ac:dyDescent="0.25">
      <c r="A30" s="69">
        <v>2630</v>
      </c>
      <c r="B30" s="70" t="s">
        <v>127</v>
      </c>
      <c r="C30" s="69">
        <v>191.1</v>
      </c>
      <c r="D30" s="14">
        <v>0.3</v>
      </c>
      <c r="E30" s="15">
        <f t="shared" si="0"/>
        <v>57.33</v>
      </c>
      <c r="F30" s="15"/>
      <c r="G30" s="15">
        <f t="shared" si="1"/>
        <v>57.33</v>
      </c>
      <c r="H30" s="16">
        <v>8098813</v>
      </c>
      <c r="I30" s="17" t="s">
        <v>128</v>
      </c>
      <c r="J30" s="16" t="s">
        <v>80</v>
      </c>
      <c r="K30" s="185" t="s">
        <v>81</v>
      </c>
      <c r="L30" s="16">
        <v>98279944</v>
      </c>
      <c r="M30" s="12"/>
      <c r="N30" s="4"/>
    </row>
    <row r="31" spans="1:14" s="6" customFormat="1" x14ac:dyDescent="0.25">
      <c r="A31" s="69">
        <v>2631</v>
      </c>
      <c r="B31" s="70" t="s">
        <v>129</v>
      </c>
      <c r="C31" s="69">
        <v>166.3</v>
      </c>
      <c r="D31" s="14">
        <v>0.3</v>
      </c>
      <c r="E31" s="15">
        <f t="shared" si="0"/>
        <v>49.89</v>
      </c>
      <c r="F31" s="15"/>
      <c r="G31" s="15">
        <f t="shared" si="1"/>
        <v>49.89</v>
      </c>
      <c r="H31" s="16">
        <v>931835</v>
      </c>
      <c r="I31" s="17" t="s">
        <v>130</v>
      </c>
      <c r="J31" s="16" t="s">
        <v>73</v>
      </c>
      <c r="K31" s="32" t="s">
        <v>74</v>
      </c>
      <c r="L31" s="16">
        <v>91766175</v>
      </c>
      <c r="M31" s="12"/>
      <c r="N31" s="4"/>
    </row>
    <row r="32" spans="1:14" s="6" customFormat="1" x14ac:dyDescent="0.25">
      <c r="A32" s="69">
        <v>2632</v>
      </c>
      <c r="B32" s="70" t="s">
        <v>53</v>
      </c>
      <c r="C32" s="69">
        <v>216.9</v>
      </c>
      <c r="D32" s="14">
        <v>0.3</v>
      </c>
      <c r="E32" s="15">
        <f t="shared" si="0"/>
        <v>65.069999999999993</v>
      </c>
      <c r="F32" s="15">
        <v>60.34</v>
      </c>
      <c r="G32" s="15">
        <f t="shared" si="1"/>
        <v>4.7299999999999898</v>
      </c>
      <c r="H32" s="16">
        <v>18395066</v>
      </c>
      <c r="I32" s="17" t="s">
        <v>131</v>
      </c>
      <c r="J32" s="16" t="s">
        <v>132</v>
      </c>
      <c r="K32" s="32" t="s">
        <v>133</v>
      </c>
      <c r="L32" s="16">
        <v>9562212</v>
      </c>
      <c r="M32" s="100" t="s">
        <v>388</v>
      </c>
      <c r="N32" s="4"/>
    </row>
    <row r="33" spans="1:14" s="6" customFormat="1" x14ac:dyDescent="0.25">
      <c r="A33" s="252">
        <v>2633</v>
      </c>
      <c r="B33" s="293" t="s">
        <v>134</v>
      </c>
      <c r="C33" s="252"/>
      <c r="D33" s="292">
        <v>0.3</v>
      </c>
      <c r="E33" s="256">
        <f t="shared" si="0"/>
        <v>0</v>
      </c>
      <c r="F33" s="256"/>
      <c r="G33" s="15">
        <f t="shared" si="1"/>
        <v>0</v>
      </c>
      <c r="H33" s="253">
        <v>5585042</v>
      </c>
      <c r="I33" s="262" t="s">
        <v>135</v>
      </c>
      <c r="J33" s="253" t="s">
        <v>80</v>
      </c>
      <c r="K33" s="296" t="s">
        <v>81</v>
      </c>
      <c r="L33" s="253">
        <v>92768880</v>
      </c>
      <c r="M33" s="252"/>
      <c r="N33" s="4"/>
    </row>
    <row r="34" spans="1:14" s="120" customFormat="1" x14ac:dyDescent="0.25">
      <c r="A34" s="96">
        <v>2634</v>
      </c>
      <c r="B34" s="97" t="s">
        <v>136</v>
      </c>
      <c r="C34" s="96">
        <v>314.60000000000002</v>
      </c>
      <c r="D34" s="98">
        <v>0.3</v>
      </c>
      <c r="E34" s="99">
        <f t="shared" si="0"/>
        <v>94.38000000000001</v>
      </c>
      <c r="F34" s="99">
        <f>0.42+90.25</f>
        <v>90.67</v>
      </c>
      <c r="G34" s="99">
        <f t="shared" si="1"/>
        <v>3.710000000000008</v>
      </c>
      <c r="H34" s="100">
        <v>24361971</v>
      </c>
      <c r="I34" s="101" t="s">
        <v>137</v>
      </c>
      <c r="J34" s="100" t="s">
        <v>80</v>
      </c>
      <c r="K34" s="275" t="s">
        <v>81</v>
      </c>
      <c r="L34" s="100">
        <v>93384540</v>
      </c>
      <c r="M34" s="231">
        <v>45669</v>
      </c>
      <c r="N34" s="100" t="s">
        <v>389</v>
      </c>
    </row>
    <row r="35" spans="1:14" s="6" customFormat="1" x14ac:dyDescent="0.25">
      <c r="A35" s="69">
        <v>2635</v>
      </c>
      <c r="B35" s="70" t="s">
        <v>138</v>
      </c>
      <c r="C35" s="69">
        <v>216.2</v>
      </c>
      <c r="D35" s="14">
        <v>0.3</v>
      </c>
      <c r="E35" s="15">
        <f t="shared" si="0"/>
        <v>64.86</v>
      </c>
      <c r="F35" s="15">
        <v>61.309999999999995</v>
      </c>
      <c r="G35" s="15">
        <f t="shared" si="1"/>
        <v>3.5500000000000043</v>
      </c>
      <c r="H35" s="32">
        <v>19928115</v>
      </c>
      <c r="I35" s="17" t="s">
        <v>139</v>
      </c>
      <c r="J35" s="32" t="s">
        <v>73</v>
      </c>
      <c r="K35" s="32" t="s">
        <v>74</v>
      </c>
      <c r="L35" s="16">
        <v>94606075</v>
      </c>
      <c r="M35" s="100" t="s">
        <v>388</v>
      </c>
      <c r="N35" s="4"/>
    </row>
    <row r="36" spans="1:14" s="6" customFormat="1" x14ac:dyDescent="0.25">
      <c r="A36" s="69">
        <v>2636</v>
      </c>
      <c r="B36" s="70" t="s">
        <v>140</v>
      </c>
      <c r="C36" s="69">
        <v>257.10000000000002</v>
      </c>
      <c r="D36" s="14">
        <v>0.3</v>
      </c>
      <c r="E36" s="15">
        <f t="shared" ref="E36:E67" si="2">C36*D36</f>
        <v>77.13000000000001</v>
      </c>
      <c r="F36" s="15"/>
      <c r="G36" s="15">
        <f t="shared" ref="G36:G67" si="3">E36-F36</f>
        <v>77.13000000000001</v>
      </c>
      <c r="H36" s="16">
        <v>2092081</v>
      </c>
      <c r="I36" s="17" t="s">
        <v>141</v>
      </c>
      <c r="J36" s="16" t="s">
        <v>73</v>
      </c>
      <c r="K36" s="32" t="s">
        <v>74</v>
      </c>
      <c r="L36" s="16">
        <v>92565542</v>
      </c>
      <c r="M36" s="12"/>
      <c r="N36" s="4"/>
    </row>
    <row r="37" spans="1:14" s="6" customFormat="1" x14ac:dyDescent="0.25">
      <c r="A37" s="69">
        <v>2637</v>
      </c>
      <c r="B37" s="70" t="s">
        <v>142</v>
      </c>
      <c r="C37" s="69">
        <v>213</v>
      </c>
      <c r="D37" s="14">
        <v>0.3</v>
      </c>
      <c r="E37" s="15">
        <f t="shared" si="2"/>
        <v>63.9</v>
      </c>
      <c r="F37" s="15"/>
      <c r="G37" s="15">
        <f t="shared" si="3"/>
        <v>63.9</v>
      </c>
      <c r="H37" s="16">
        <v>12073906</v>
      </c>
      <c r="I37" s="17" t="s">
        <v>143</v>
      </c>
      <c r="J37" s="16" t="s">
        <v>90</v>
      </c>
      <c r="K37" s="29" t="s">
        <v>91</v>
      </c>
      <c r="L37" s="16">
        <v>95851127</v>
      </c>
      <c r="M37" s="12"/>
      <c r="N37" s="4"/>
    </row>
    <row r="38" spans="1:14" s="6" customFormat="1" x14ac:dyDescent="0.25">
      <c r="A38" s="252">
        <v>2638</v>
      </c>
      <c r="B38" s="293" t="s">
        <v>144</v>
      </c>
      <c r="C38" s="252"/>
      <c r="D38" s="292">
        <v>0.3</v>
      </c>
      <c r="E38" s="256">
        <f t="shared" si="2"/>
        <v>0</v>
      </c>
      <c r="F38" s="256"/>
      <c r="G38" s="15">
        <f t="shared" si="3"/>
        <v>0</v>
      </c>
      <c r="H38" s="253">
        <v>21944623</v>
      </c>
      <c r="I38" s="262" t="s">
        <v>145</v>
      </c>
      <c r="J38" s="253" t="s">
        <v>73</v>
      </c>
      <c r="K38" s="257" t="s">
        <v>74</v>
      </c>
      <c r="L38" s="253">
        <v>96622170</v>
      </c>
      <c r="M38" s="252"/>
      <c r="N38" s="4"/>
    </row>
    <row r="39" spans="1:14" s="6" customFormat="1" x14ac:dyDescent="0.25">
      <c r="A39" s="69">
        <v>2639</v>
      </c>
      <c r="B39" s="70" t="s">
        <v>146</v>
      </c>
      <c r="C39" s="69">
        <v>138.4</v>
      </c>
      <c r="D39" s="14">
        <v>0.3</v>
      </c>
      <c r="E39" s="15">
        <f t="shared" si="2"/>
        <v>41.52</v>
      </c>
      <c r="F39" s="15"/>
      <c r="G39" s="15">
        <f t="shared" si="3"/>
        <v>41.52</v>
      </c>
      <c r="H39" s="16">
        <v>1389397</v>
      </c>
      <c r="I39" s="17" t="s">
        <v>147</v>
      </c>
      <c r="J39" s="16" t="s">
        <v>73</v>
      </c>
      <c r="K39" s="32" t="s">
        <v>74</v>
      </c>
      <c r="L39" s="16">
        <v>99282044</v>
      </c>
      <c r="M39" s="12"/>
      <c r="N39" s="4"/>
    </row>
    <row r="40" spans="1:14" s="6" customFormat="1" x14ac:dyDescent="0.25">
      <c r="A40" s="69">
        <v>2640</v>
      </c>
      <c r="B40" s="70" t="s">
        <v>35</v>
      </c>
      <c r="C40" s="69">
        <v>159.80000000000001</v>
      </c>
      <c r="D40" s="14">
        <v>0.3</v>
      </c>
      <c r="E40" s="15">
        <f t="shared" si="2"/>
        <v>47.940000000000005</v>
      </c>
      <c r="F40" s="15"/>
      <c r="G40" s="15">
        <f t="shared" si="3"/>
        <v>47.940000000000005</v>
      </c>
      <c r="H40" s="16">
        <v>25021829</v>
      </c>
      <c r="I40" s="17" t="s">
        <v>148</v>
      </c>
      <c r="J40" s="16" t="s">
        <v>73</v>
      </c>
      <c r="K40" s="32" t="s">
        <v>74</v>
      </c>
      <c r="L40" s="16">
        <v>93383987</v>
      </c>
      <c r="M40" s="12"/>
      <c r="N40" s="4"/>
    </row>
    <row r="41" spans="1:14" s="6" customFormat="1" x14ac:dyDescent="0.25">
      <c r="A41" s="69">
        <v>2641</v>
      </c>
      <c r="B41" s="70" t="s">
        <v>149</v>
      </c>
      <c r="C41" s="69">
        <v>175</v>
      </c>
      <c r="D41" s="14">
        <v>0.3</v>
      </c>
      <c r="E41" s="15">
        <f t="shared" si="2"/>
        <v>52.5</v>
      </c>
      <c r="F41" s="15"/>
      <c r="G41" s="15">
        <f t="shared" si="3"/>
        <v>52.5</v>
      </c>
      <c r="H41" s="16">
        <v>1499316</v>
      </c>
      <c r="I41" s="17" t="s">
        <v>150</v>
      </c>
      <c r="J41" s="16" t="s">
        <v>90</v>
      </c>
      <c r="K41" s="32" t="s">
        <v>91</v>
      </c>
      <c r="L41" s="16">
        <v>99677197</v>
      </c>
      <c r="M41" s="12"/>
      <c r="N41" s="4"/>
    </row>
    <row r="42" spans="1:14" s="6" customFormat="1" x14ac:dyDescent="0.25">
      <c r="A42" s="69">
        <v>2642</v>
      </c>
      <c r="B42" s="70" t="s">
        <v>151</v>
      </c>
      <c r="C42" s="69">
        <v>204.8</v>
      </c>
      <c r="D42" s="14">
        <v>0.3</v>
      </c>
      <c r="E42" s="15">
        <f t="shared" si="2"/>
        <v>61.44</v>
      </c>
      <c r="F42" s="15"/>
      <c r="G42" s="15">
        <f t="shared" si="3"/>
        <v>61.44</v>
      </c>
      <c r="H42" s="16">
        <v>3018879</v>
      </c>
      <c r="I42" s="17" t="s">
        <v>152</v>
      </c>
      <c r="J42" s="16" t="s">
        <v>80</v>
      </c>
      <c r="K42" s="185" t="s">
        <v>81</v>
      </c>
      <c r="L42" s="16">
        <v>98818754</v>
      </c>
      <c r="M42" s="12"/>
      <c r="N42" s="4"/>
    </row>
    <row r="43" spans="1:14" s="6" customFormat="1" x14ac:dyDescent="0.25">
      <c r="A43" s="69">
        <v>2643</v>
      </c>
      <c r="B43" s="70" t="s">
        <v>153</v>
      </c>
      <c r="C43" s="69">
        <v>165.6</v>
      </c>
      <c r="D43" s="14">
        <v>0.3</v>
      </c>
      <c r="E43" s="15">
        <f t="shared" si="2"/>
        <v>49.68</v>
      </c>
      <c r="F43" s="15"/>
      <c r="G43" s="15">
        <f t="shared" si="3"/>
        <v>49.68</v>
      </c>
      <c r="H43" s="16">
        <v>1485446</v>
      </c>
      <c r="I43" s="17" t="s">
        <v>154</v>
      </c>
      <c r="J43" s="16" t="s">
        <v>18</v>
      </c>
      <c r="K43" s="32" t="s">
        <v>19</v>
      </c>
      <c r="L43" s="16">
        <v>99747558</v>
      </c>
      <c r="M43" s="32" t="s">
        <v>22</v>
      </c>
      <c r="N43" s="4"/>
    </row>
    <row r="44" spans="1:14" x14ac:dyDescent="0.25">
      <c r="A44" s="69">
        <v>2644</v>
      </c>
      <c r="B44" s="70" t="s">
        <v>155</v>
      </c>
      <c r="C44" s="69">
        <v>221.7</v>
      </c>
      <c r="D44" s="14">
        <v>0.3</v>
      </c>
      <c r="E44" s="15">
        <f t="shared" si="2"/>
        <v>66.509999999999991</v>
      </c>
      <c r="F44" s="15"/>
      <c r="G44" s="15">
        <f t="shared" si="3"/>
        <v>66.509999999999991</v>
      </c>
      <c r="H44" s="78">
        <v>23180515</v>
      </c>
      <c r="I44" s="183" t="s">
        <v>156</v>
      </c>
      <c r="J44" s="78" t="s">
        <v>73</v>
      </c>
      <c r="K44" s="79" t="s">
        <v>74</v>
      </c>
      <c r="L44" s="78">
        <v>95931303</v>
      </c>
      <c r="M44" s="12" t="s">
        <v>22</v>
      </c>
    </row>
    <row r="45" spans="1:14" s="6" customFormat="1" x14ac:dyDescent="0.25">
      <c r="A45" s="69">
        <v>2645</v>
      </c>
      <c r="B45" s="70" t="s">
        <v>157</v>
      </c>
      <c r="C45" s="69">
        <v>174.7</v>
      </c>
      <c r="D45" s="14">
        <v>0.3</v>
      </c>
      <c r="E45" s="15">
        <f t="shared" si="2"/>
        <v>52.41</v>
      </c>
      <c r="F45" s="15"/>
      <c r="G45" s="15">
        <f t="shared" si="3"/>
        <v>52.41</v>
      </c>
      <c r="H45" s="16">
        <v>20133638</v>
      </c>
      <c r="I45" s="17" t="s">
        <v>158</v>
      </c>
      <c r="J45" s="16" t="s">
        <v>76</v>
      </c>
      <c r="K45" s="182" t="s">
        <v>77</v>
      </c>
      <c r="L45" s="16">
        <v>92802502</v>
      </c>
      <c r="M45" s="12" t="s">
        <v>22</v>
      </c>
      <c r="N45" s="4"/>
    </row>
    <row r="46" spans="1:14" s="6" customFormat="1" x14ac:dyDescent="0.25">
      <c r="A46" s="69">
        <v>2646</v>
      </c>
      <c r="B46" s="70" t="s">
        <v>159</v>
      </c>
      <c r="C46" s="69">
        <v>360</v>
      </c>
      <c r="D46" s="14">
        <v>0.3</v>
      </c>
      <c r="E46" s="15">
        <f t="shared" si="2"/>
        <v>108</v>
      </c>
      <c r="F46" s="15"/>
      <c r="G46" s="15">
        <f t="shared" si="3"/>
        <v>108</v>
      </c>
      <c r="H46" s="16">
        <v>13271226</v>
      </c>
      <c r="I46" s="17" t="s">
        <v>160</v>
      </c>
      <c r="J46" s="16" t="s">
        <v>73</v>
      </c>
      <c r="K46" s="32" t="s">
        <v>74</v>
      </c>
      <c r="L46" s="16">
        <v>92231129</v>
      </c>
      <c r="M46" s="12" t="s">
        <v>22</v>
      </c>
      <c r="N46" s="4"/>
    </row>
    <row r="47" spans="1:14" s="6" customFormat="1" x14ac:dyDescent="0.25">
      <c r="A47" s="12">
        <v>2647</v>
      </c>
      <c r="B47" s="13" t="s">
        <v>161</v>
      </c>
      <c r="C47" s="12">
        <v>175.5</v>
      </c>
      <c r="D47" s="14">
        <v>0.3</v>
      </c>
      <c r="E47" s="15">
        <f t="shared" si="2"/>
        <v>52.65</v>
      </c>
      <c r="F47" s="15"/>
      <c r="G47" s="15">
        <f t="shared" si="3"/>
        <v>52.65</v>
      </c>
      <c r="H47" s="16">
        <v>828714</v>
      </c>
      <c r="I47" s="17" t="s">
        <v>162</v>
      </c>
      <c r="J47" s="16" t="s">
        <v>94</v>
      </c>
      <c r="K47" s="182" t="s">
        <v>95</v>
      </c>
      <c r="L47" s="16">
        <v>99007372</v>
      </c>
      <c r="M47" s="12" t="s">
        <v>22</v>
      </c>
      <c r="N47" s="4"/>
    </row>
    <row r="48" spans="1:14" s="6" customFormat="1" x14ac:dyDescent="0.25">
      <c r="A48" s="69">
        <v>2648</v>
      </c>
      <c r="B48" s="70" t="s">
        <v>163</v>
      </c>
      <c r="C48" s="69">
        <v>216.7</v>
      </c>
      <c r="D48" s="14">
        <v>0.3</v>
      </c>
      <c r="E48" s="15">
        <f t="shared" si="2"/>
        <v>65.009999999999991</v>
      </c>
      <c r="F48" s="15"/>
      <c r="G48" s="15">
        <f t="shared" si="3"/>
        <v>65.009999999999991</v>
      </c>
      <c r="H48" s="16">
        <v>5086</v>
      </c>
      <c r="I48" s="17" t="s">
        <v>164</v>
      </c>
      <c r="J48" s="16" t="s">
        <v>94</v>
      </c>
      <c r="K48" s="182" t="s">
        <v>95</v>
      </c>
      <c r="L48" s="16">
        <v>99499787</v>
      </c>
      <c r="M48" s="12"/>
      <c r="N48" s="4"/>
    </row>
    <row r="49" spans="1:15" s="120" customFormat="1" x14ac:dyDescent="0.25">
      <c r="A49" s="96">
        <v>2649</v>
      </c>
      <c r="B49" s="97" t="s">
        <v>165</v>
      </c>
      <c r="C49" s="96">
        <v>200.8</v>
      </c>
      <c r="D49" s="98">
        <v>0.3</v>
      </c>
      <c r="E49" s="99">
        <f t="shared" si="2"/>
        <v>60.24</v>
      </c>
      <c r="F49" s="99">
        <v>59.21</v>
      </c>
      <c r="G49" s="99">
        <f t="shared" si="3"/>
        <v>1.0300000000000011</v>
      </c>
      <c r="H49" s="100">
        <v>1282981</v>
      </c>
      <c r="I49" s="101" t="s">
        <v>166</v>
      </c>
      <c r="J49" s="100" t="s">
        <v>80</v>
      </c>
      <c r="K49" s="275" t="s">
        <v>81</v>
      </c>
      <c r="L49" s="100">
        <v>99499053</v>
      </c>
      <c r="M49" s="100" t="s">
        <v>388</v>
      </c>
      <c r="N49" s="270"/>
    </row>
    <row r="50" spans="1:15" s="6" customFormat="1" x14ac:dyDescent="0.25">
      <c r="A50" s="69">
        <v>2650</v>
      </c>
      <c r="B50" s="70" t="s">
        <v>167</v>
      </c>
      <c r="C50" s="69">
        <v>191.5</v>
      </c>
      <c r="D50" s="14">
        <v>0.3</v>
      </c>
      <c r="E50" s="15">
        <f t="shared" si="2"/>
        <v>57.449999999999996</v>
      </c>
      <c r="F50" s="15"/>
      <c r="G50" s="15">
        <f t="shared" si="3"/>
        <v>57.449999999999996</v>
      </c>
      <c r="H50" s="16">
        <v>5949449</v>
      </c>
      <c r="I50" s="17" t="s">
        <v>168</v>
      </c>
      <c r="J50" s="16" t="s">
        <v>80</v>
      </c>
      <c r="K50" s="185" t="s">
        <v>81</v>
      </c>
      <c r="L50" s="16">
        <v>92781944</v>
      </c>
      <c r="M50" s="12"/>
      <c r="N50" s="4"/>
    </row>
    <row r="51" spans="1:15" s="6" customFormat="1" x14ac:dyDescent="0.25">
      <c r="A51" s="69">
        <v>2651</v>
      </c>
      <c r="B51" s="70" t="s">
        <v>169</v>
      </c>
      <c r="C51" s="69">
        <v>141.6</v>
      </c>
      <c r="D51" s="14">
        <v>0.3</v>
      </c>
      <c r="E51" s="15">
        <f t="shared" si="2"/>
        <v>42.48</v>
      </c>
      <c r="F51" s="15"/>
      <c r="G51" s="15">
        <f t="shared" si="3"/>
        <v>42.48</v>
      </c>
      <c r="H51" s="16">
        <v>18629431</v>
      </c>
      <c r="I51" s="17" t="s">
        <v>170</v>
      </c>
      <c r="J51" s="16" t="s">
        <v>73</v>
      </c>
      <c r="K51" s="32" t="s">
        <v>74</v>
      </c>
      <c r="L51" s="16">
        <v>92333700</v>
      </c>
      <c r="M51" s="12"/>
      <c r="N51" s="4"/>
    </row>
    <row r="52" spans="1:15" s="6" customFormat="1" x14ac:dyDescent="0.25">
      <c r="A52" s="69">
        <v>2652</v>
      </c>
      <c r="B52" s="70" t="s">
        <v>171</v>
      </c>
      <c r="C52" s="69">
        <v>57.5</v>
      </c>
      <c r="D52" s="14">
        <v>0.3</v>
      </c>
      <c r="E52" s="15">
        <f t="shared" si="2"/>
        <v>17.25</v>
      </c>
      <c r="F52" s="15"/>
      <c r="G52" s="15">
        <f t="shared" si="3"/>
        <v>17.25</v>
      </c>
      <c r="H52" s="16">
        <v>23212756</v>
      </c>
      <c r="I52" s="17" t="s">
        <v>172</v>
      </c>
      <c r="J52" s="16" t="s">
        <v>94</v>
      </c>
      <c r="K52" s="182" t="s">
        <v>95</v>
      </c>
      <c r="L52" s="16">
        <v>98509729</v>
      </c>
      <c r="M52" s="12"/>
      <c r="N52" s="4"/>
    </row>
    <row r="53" spans="1:15" s="6" customFormat="1" x14ac:dyDescent="0.25">
      <c r="A53" s="69">
        <v>2653</v>
      </c>
      <c r="B53" s="70" t="s">
        <v>173</v>
      </c>
      <c r="C53" s="69">
        <v>435</v>
      </c>
      <c r="D53" s="14">
        <v>0.3</v>
      </c>
      <c r="E53" s="15">
        <f t="shared" si="2"/>
        <v>130.5</v>
      </c>
      <c r="F53" s="15"/>
      <c r="G53" s="15">
        <f t="shared" si="3"/>
        <v>130.5</v>
      </c>
      <c r="H53" s="16">
        <v>9097024</v>
      </c>
      <c r="I53" s="17" t="s">
        <v>174</v>
      </c>
      <c r="J53" s="16" t="s">
        <v>18</v>
      </c>
      <c r="K53" s="32" t="s">
        <v>19</v>
      </c>
      <c r="L53" s="16">
        <v>95401775</v>
      </c>
      <c r="M53" s="12"/>
      <c r="N53" s="4"/>
    </row>
    <row r="54" spans="1:15" s="120" customFormat="1" x14ac:dyDescent="0.25">
      <c r="A54" s="96">
        <v>2654</v>
      </c>
      <c r="B54" s="97" t="s">
        <v>54</v>
      </c>
      <c r="C54" s="96">
        <v>348.9</v>
      </c>
      <c r="D54" s="98">
        <v>0.3</v>
      </c>
      <c r="E54" s="99">
        <f t="shared" si="2"/>
        <v>104.66999999999999</v>
      </c>
      <c r="F54" s="99">
        <f>0.82+102.2</f>
        <v>103.02</v>
      </c>
      <c r="G54" s="99">
        <f t="shared" si="3"/>
        <v>1.6499999999999915</v>
      </c>
      <c r="H54" s="100">
        <v>6073815</v>
      </c>
      <c r="I54" s="101" t="s">
        <v>175</v>
      </c>
      <c r="J54" s="100" t="s">
        <v>18</v>
      </c>
      <c r="K54" s="102" t="s">
        <v>19</v>
      </c>
      <c r="L54" s="100">
        <v>98780007</v>
      </c>
      <c r="M54" s="231">
        <v>45699</v>
      </c>
      <c r="N54" s="299" t="s">
        <v>379</v>
      </c>
      <c r="O54" s="231">
        <v>45972</v>
      </c>
    </row>
    <row r="55" spans="1:15" s="6" customFormat="1" x14ac:dyDescent="0.25">
      <c r="A55" s="69">
        <v>2655</v>
      </c>
      <c r="B55" s="70" t="s">
        <v>56</v>
      </c>
      <c r="C55" s="69">
        <v>150.5</v>
      </c>
      <c r="D55" s="14">
        <v>0.3</v>
      </c>
      <c r="E55" s="15">
        <f t="shared" si="2"/>
        <v>45.15</v>
      </c>
      <c r="F55" s="15"/>
      <c r="G55" s="15">
        <f t="shared" si="3"/>
        <v>45.15</v>
      </c>
      <c r="H55" s="16">
        <v>20987274</v>
      </c>
      <c r="I55" s="17" t="s">
        <v>176</v>
      </c>
      <c r="J55" s="16" t="s">
        <v>73</v>
      </c>
      <c r="K55" s="32" t="s">
        <v>74</v>
      </c>
      <c r="L55" s="16">
        <v>92526652</v>
      </c>
      <c r="M55" s="110">
        <v>45170</v>
      </c>
      <c r="N55" s="4"/>
    </row>
    <row r="56" spans="1:15" s="120" customFormat="1" x14ac:dyDescent="0.25">
      <c r="A56" s="96">
        <v>2656</v>
      </c>
      <c r="B56" s="97" t="s">
        <v>177</v>
      </c>
      <c r="C56" s="96">
        <v>182.3</v>
      </c>
      <c r="D56" s="98">
        <v>0.3</v>
      </c>
      <c r="E56" s="99">
        <f t="shared" si="2"/>
        <v>54.690000000000005</v>
      </c>
      <c r="F56" s="99">
        <f>0.66+44.55</f>
        <v>45.209999999999994</v>
      </c>
      <c r="G56" s="99">
        <f t="shared" si="3"/>
        <v>9.4800000000000111</v>
      </c>
      <c r="H56" s="100">
        <v>21910635</v>
      </c>
      <c r="I56" s="101" t="s">
        <v>178</v>
      </c>
      <c r="J56" s="100" t="s">
        <v>18</v>
      </c>
      <c r="K56" s="102" t="s">
        <v>19</v>
      </c>
      <c r="L56" s="100">
        <v>92934362</v>
      </c>
      <c r="M56" s="299" t="s">
        <v>377</v>
      </c>
      <c r="N56" s="270">
        <v>46002</v>
      </c>
    </row>
    <row r="57" spans="1:15" s="6" customFormat="1" x14ac:dyDescent="0.25">
      <c r="A57" s="12">
        <v>2657</v>
      </c>
      <c r="B57" s="13" t="s">
        <v>179</v>
      </c>
      <c r="C57" s="12">
        <v>169.2</v>
      </c>
      <c r="D57" s="14">
        <v>0.3</v>
      </c>
      <c r="E57" s="15">
        <f t="shared" si="2"/>
        <v>50.76</v>
      </c>
      <c r="F57" s="15"/>
      <c r="G57" s="15">
        <f t="shared" si="3"/>
        <v>50.76</v>
      </c>
      <c r="H57" s="16">
        <v>6502761</v>
      </c>
      <c r="I57" s="17" t="s">
        <v>180</v>
      </c>
      <c r="J57" s="16" t="s">
        <v>18</v>
      </c>
      <c r="K57" s="32" t="s">
        <v>19</v>
      </c>
      <c r="L57" s="16">
        <v>98033332</v>
      </c>
      <c r="M57" s="16" t="s">
        <v>22</v>
      </c>
      <c r="N57" s="4"/>
    </row>
    <row r="58" spans="1:15" s="6" customFormat="1" x14ac:dyDescent="0.25">
      <c r="A58" s="12">
        <v>2658</v>
      </c>
      <c r="B58" s="13" t="s">
        <v>181</v>
      </c>
      <c r="C58" s="12">
        <v>54.7</v>
      </c>
      <c r="D58" s="14">
        <v>0.3</v>
      </c>
      <c r="E58" s="15">
        <f t="shared" si="2"/>
        <v>16.41</v>
      </c>
      <c r="F58" s="15"/>
      <c r="G58" s="15">
        <f t="shared" si="3"/>
        <v>16.41</v>
      </c>
      <c r="H58" s="16">
        <v>6726168</v>
      </c>
      <c r="I58" s="17" t="s">
        <v>182</v>
      </c>
      <c r="J58" s="16" t="s">
        <v>73</v>
      </c>
      <c r="K58" s="32" t="s">
        <v>74</v>
      </c>
      <c r="L58" s="16"/>
      <c r="M58" s="16"/>
      <c r="N58" s="4"/>
    </row>
    <row r="59" spans="1:15" s="120" customFormat="1" x14ac:dyDescent="0.25">
      <c r="A59" s="96">
        <v>2659</v>
      </c>
      <c r="B59" s="97" t="s">
        <v>183</v>
      </c>
      <c r="C59" s="96">
        <v>190.6</v>
      </c>
      <c r="D59" s="98">
        <v>0.3</v>
      </c>
      <c r="E59" s="99">
        <f t="shared" si="2"/>
        <v>57.18</v>
      </c>
      <c r="F59" s="99">
        <v>56.480000000000004</v>
      </c>
      <c r="G59" s="99">
        <f t="shared" si="3"/>
        <v>0.69999999999999574</v>
      </c>
      <c r="H59" s="100">
        <v>5796837</v>
      </c>
      <c r="I59" s="101" t="s">
        <v>184</v>
      </c>
      <c r="J59" s="100" t="s">
        <v>18</v>
      </c>
      <c r="K59" s="102" t="s">
        <v>19</v>
      </c>
      <c r="L59" s="100"/>
      <c r="M59" s="100" t="s">
        <v>388</v>
      </c>
      <c r="N59" s="270"/>
    </row>
    <row r="60" spans="1:15" s="120" customFormat="1" x14ac:dyDescent="0.25">
      <c r="A60" s="96">
        <v>2660</v>
      </c>
      <c r="B60" s="97" t="s">
        <v>185</v>
      </c>
      <c r="C60" s="96">
        <v>165.9</v>
      </c>
      <c r="D60" s="98">
        <v>0.3</v>
      </c>
      <c r="E60" s="99">
        <f t="shared" si="2"/>
        <v>49.77</v>
      </c>
      <c r="F60" s="99">
        <v>48.76</v>
      </c>
      <c r="G60" s="99">
        <f t="shared" si="3"/>
        <v>1.0100000000000051</v>
      </c>
      <c r="H60" s="100">
        <v>7250691</v>
      </c>
      <c r="I60" s="101" t="s">
        <v>186</v>
      </c>
      <c r="J60" s="100" t="s">
        <v>73</v>
      </c>
      <c r="K60" s="102" t="s">
        <v>74</v>
      </c>
      <c r="L60" s="100"/>
      <c r="M60" s="100" t="s">
        <v>388</v>
      </c>
      <c r="N60" s="270"/>
    </row>
    <row r="61" spans="1:15" s="6" customFormat="1" x14ac:dyDescent="0.25">
      <c r="A61" s="69">
        <v>2661</v>
      </c>
      <c r="B61" s="70" t="s">
        <v>187</v>
      </c>
      <c r="C61" s="69">
        <v>179.1</v>
      </c>
      <c r="D61" s="14">
        <v>0.3</v>
      </c>
      <c r="E61" s="15">
        <f t="shared" si="2"/>
        <v>53.73</v>
      </c>
      <c r="F61" s="15">
        <v>50.22</v>
      </c>
      <c r="G61" s="15">
        <f t="shared" si="3"/>
        <v>3.509999999999998</v>
      </c>
      <c r="H61" s="16">
        <v>24935198</v>
      </c>
      <c r="I61" s="17" t="s">
        <v>188</v>
      </c>
      <c r="J61" s="32" t="s">
        <v>73</v>
      </c>
      <c r="K61" s="32" t="s">
        <v>74</v>
      </c>
      <c r="L61" s="16">
        <v>99101900</v>
      </c>
      <c r="M61" s="100" t="s">
        <v>389</v>
      </c>
      <c r="N61" s="4"/>
    </row>
    <row r="62" spans="1:15" s="6" customFormat="1" x14ac:dyDescent="0.25">
      <c r="A62" s="12">
        <v>2662</v>
      </c>
      <c r="B62" s="13" t="s">
        <v>189</v>
      </c>
      <c r="C62" s="69">
        <v>84.9</v>
      </c>
      <c r="D62" s="14">
        <v>0.3</v>
      </c>
      <c r="E62" s="15">
        <f t="shared" si="2"/>
        <v>25.470000000000002</v>
      </c>
      <c r="F62" s="15"/>
      <c r="G62" s="15">
        <f t="shared" si="3"/>
        <v>25.470000000000002</v>
      </c>
      <c r="H62" s="16">
        <v>2931011</v>
      </c>
      <c r="I62" s="17" t="s">
        <v>190</v>
      </c>
      <c r="J62" s="16" t="s">
        <v>73</v>
      </c>
      <c r="K62" s="32" t="s">
        <v>74</v>
      </c>
      <c r="L62" s="16">
        <v>92997279</v>
      </c>
      <c r="M62" s="16" t="s">
        <v>22</v>
      </c>
      <c r="N62" s="4"/>
    </row>
    <row r="63" spans="1:15" s="6" customFormat="1" x14ac:dyDescent="0.25">
      <c r="A63" s="69">
        <v>2663</v>
      </c>
      <c r="B63" s="70" t="s">
        <v>191</v>
      </c>
      <c r="C63" s="69">
        <v>284.60000000000002</v>
      </c>
      <c r="D63" s="14">
        <v>0.3</v>
      </c>
      <c r="E63" s="15">
        <f t="shared" si="2"/>
        <v>85.38000000000001</v>
      </c>
      <c r="F63" s="15"/>
      <c r="G63" s="15">
        <f t="shared" si="3"/>
        <v>85.38000000000001</v>
      </c>
      <c r="H63" s="16">
        <v>568448</v>
      </c>
      <c r="I63" s="17" t="s">
        <v>192</v>
      </c>
      <c r="J63" s="16" t="s">
        <v>73</v>
      </c>
      <c r="K63" s="32" t="s">
        <v>74</v>
      </c>
      <c r="L63" s="16">
        <v>99298847</v>
      </c>
      <c r="M63" s="16"/>
      <c r="N63" s="4"/>
    </row>
    <row r="64" spans="1:15" s="120" customFormat="1" x14ac:dyDescent="0.25">
      <c r="A64" s="96">
        <v>2665</v>
      </c>
      <c r="B64" s="97" t="s">
        <v>194</v>
      </c>
      <c r="C64" s="96">
        <v>301.5</v>
      </c>
      <c r="D64" s="98">
        <v>0.3</v>
      </c>
      <c r="E64" s="99">
        <f t="shared" si="2"/>
        <v>90.45</v>
      </c>
      <c r="F64" s="99">
        <v>87.48</v>
      </c>
      <c r="G64" s="99">
        <f t="shared" si="3"/>
        <v>2.9699999999999989</v>
      </c>
      <c r="H64" s="100">
        <v>8467055</v>
      </c>
      <c r="I64" s="101" t="s">
        <v>195</v>
      </c>
      <c r="J64" s="100" t="s">
        <v>73</v>
      </c>
      <c r="K64" s="102" t="s">
        <v>74</v>
      </c>
      <c r="L64" s="100">
        <v>98919778</v>
      </c>
      <c r="M64" s="100" t="s">
        <v>388</v>
      </c>
      <c r="N64" s="270"/>
    </row>
    <row r="65" spans="1:14" s="120" customFormat="1" x14ac:dyDescent="0.25">
      <c r="A65" s="96">
        <v>2666</v>
      </c>
      <c r="B65" s="97" t="s">
        <v>196</v>
      </c>
      <c r="C65" s="96">
        <v>181.8</v>
      </c>
      <c r="D65" s="98">
        <v>0.3</v>
      </c>
      <c r="E65" s="99">
        <f t="shared" si="2"/>
        <v>54.54</v>
      </c>
      <c r="F65" s="99">
        <v>51.79</v>
      </c>
      <c r="G65" s="99">
        <f t="shared" si="3"/>
        <v>2.75</v>
      </c>
      <c r="H65" s="100">
        <v>23188968</v>
      </c>
      <c r="I65" s="101" t="s">
        <v>197</v>
      </c>
      <c r="J65" s="100" t="s">
        <v>73</v>
      </c>
      <c r="K65" s="102" t="s">
        <v>74</v>
      </c>
      <c r="L65" s="100">
        <v>95058843</v>
      </c>
      <c r="M65" s="100" t="s">
        <v>388</v>
      </c>
      <c r="N65" s="270"/>
    </row>
    <row r="66" spans="1:14" s="120" customFormat="1" x14ac:dyDescent="0.25">
      <c r="A66" s="96">
        <v>2667</v>
      </c>
      <c r="B66" s="97" t="s">
        <v>198</v>
      </c>
      <c r="C66" s="96">
        <v>66.2</v>
      </c>
      <c r="D66" s="98">
        <v>0.3</v>
      </c>
      <c r="E66" s="99">
        <f t="shared" si="2"/>
        <v>19.86</v>
      </c>
      <c r="F66" s="99">
        <f>15.8</f>
        <v>15.8</v>
      </c>
      <c r="G66" s="99">
        <f t="shared" si="3"/>
        <v>4.0599999999999987</v>
      </c>
      <c r="H66" s="100">
        <v>210053</v>
      </c>
      <c r="I66" s="101" t="s">
        <v>199</v>
      </c>
      <c r="J66" s="100" t="s">
        <v>18</v>
      </c>
      <c r="K66" s="102" t="s">
        <v>19</v>
      </c>
      <c r="L66" s="100">
        <v>92786724</v>
      </c>
      <c r="M66" s="100" t="s">
        <v>388</v>
      </c>
      <c r="N66" s="270"/>
    </row>
    <row r="67" spans="1:14" s="35" customFormat="1" x14ac:dyDescent="0.25">
      <c r="A67" s="69">
        <v>2668</v>
      </c>
      <c r="B67" s="70" t="s">
        <v>200</v>
      </c>
      <c r="C67" s="69">
        <v>164.5</v>
      </c>
      <c r="D67" s="14">
        <v>0.3</v>
      </c>
      <c r="E67" s="15">
        <f t="shared" si="2"/>
        <v>49.35</v>
      </c>
      <c r="F67" s="15"/>
      <c r="G67" s="15">
        <f t="shared" si="3"/>
        <v>49.35</v>
      </c>
      <c r="H67" s="16">
        <v>8542496</v>
      </c>
      <c r="I67" s="17" t="s">
        <v>201</v>
      </c>
      <c r="J67" s="16" t="s">
        <v>73</v>
      </c>
      <c r="K67" s="32" t="s">
        <v>74</v>
      </c>
      <c r="L67" s="16">
        <v>99295329</v>
      </c>
      <c r="M67" s="12"/>
      <c r="N67" s="4"/>
    </row>
    <row r="68" spans="1:14" s="120" customFormat="1" x14ac:dyDescent="0.25">
      <c r="A68" s="96">
        <v>2669</v>
      </c>
      <c r="B68" s="97" t="s">
        <v>202</v>
      </c>
      <c r="C68" s="96">
        <v>192.5</v>
      </c>
      <c r="D68" s="98">
        <v>0.3</v>
      </c>
      <c r="E68" s="99">
        <f t="shared" ref="E68:E99" si="4">C68*D68</f>
        <v>57.75</v>
      </c>
      <c r="F68" s="99">
        <v>54.149999999999991</v>
      </c>
      <c r="G68" s="99">
        <f t="shared" ref="G68:G99" si="5">E68-F68</f>
        <v>3.6000000000000085</v>
      </c>
      <c r="H68" s="100">
        <v>6460241</v>
      </c>
      <c r="I68" s="101" t="s">
        <v>203</v>
      </c>
      <c r="J68" s="100" t="s">
        <v>18</v>
      </c>
      <c r="K68" s="102" t="s">
        <v>19</v>
      </c>
      <c r="L68" s="100">
        <v>92550479</v>
      </c>
      <c r="M68" s="96" t="s">
        <v>382</v>
      </c>
      <c r="N68" s="270"/>
    </row>
    <row r="69" spans="1:14" s="35" customFormat="1" x14ac:dyDescent="0.25">
      <c r="A69" s="69">
        <v>2670</v>
      </c>
      <c r="B69" s="70" t="s">
        <v>205</v>
      </c>
      <c r="C69" s="69">
        <v>185.7</v>
      </c>
      <c r="D69" s="14">
        <v>0.3</v>
      </c>
      <c r="E69" s="15">
        <f t="shared" si="4"/>
        <v>55.709999999999994</v>
      </c>
      <c r="F69" s="15"/>
      <c r="G69" s="15">
        <f t="shared" si="5"/>
        <v>55.709999999999994</v>
      </c>
      <c r="H69" s="16">
        <v>1481996</v>
      </c>
      <c r="I69" s="17" t="s">
        <v>206</v>
      </c>
      <c r="J69" s="16" t="s">
        <v>94</v>
      </c>
      <c r="K69" s="182" t="s">
        <v>95</v>
      </c>
      <c r="L69" s="16">
        <v>99491404</v>
      </c>
      <c r="M69" s="12"/>
      <c r="N69" s="4"/>
    </row>
    <row r="70" spans="1:14" s="35" customFormat="1" x14ac:dyDescent="0.25">
      <c r="A70" s="69">
        <v>2671</v>
      </c>
      <c r="B70" s="70" t="s">
        <v>207</v>
      </c>
      <c r="C70" s="69">
        <v>187.9</v>
      </c>
      <c r="D70" s="14">
        <v>0.3</v>
      </c>
      <c r="E70" s="15">
        <f t="shared" si="4"/>
        <v>56.37</v>
      </c>
      <c r="F70" s="15"/>
      <c r="G70" s="15">
        <f t="shared" si="5"/>
        <v>56.37</v>
      </c>
      <c r="H70" s="16">
        <v>19595084</v>
      </c>
      <c r="I70" s="17" t="s">
        <v>208</v>
      </c>
      <c r="J70" s="16" t="s">
        <v>73</v>
      </c>
      <c r="K70" s="32" t="s">
        <v>74</v>
      </c>
      <c r="L70" s="16">
        <v>92921404</v>
      </c>
      <c r="M70" s="12"/>
      <c r="N70" s="4"/>
    </row>
    <row r="71" spans="1:14" s="35" customFormat="1" x14ac:dyDescent="0.25">
      <c r="A71" s="69">
        <v>2672</v>
      </c>
      <c r="B71" s="70" t="s">
        <v>209</v>
      </c>
      <c r="C71" s="69">
        <v>171.2</v>
      </c>
      <c r="D71" s="14">
        <v>0.3</v>
      </c>
      <c r="E71" s="15">
        <f t="shared" si="4"/>
        <v>51.359999999999992</v>
      </c>
      <c r="F71" s="15"/>
      <c r="G71" s="15">
        <f t="shared" si="5"/>
        <v>51.359999999999992</v>
      </c>
      <c r="H71" s="33">
        <v>21469064</v>
      </c>
      <c r="I71" s="17" t="s">
        <v>210</v>
      </c>
      <c r="J71" s="33" t="s">
        <v>73</v>
      </c>
      <c r="K71" s="184" t="s">
        <v>74</v>
      </c>
      <c r="L71" s="16">
        <v>93316559</v>
      </c>
      <c r="M71" s="12"/>
      <c r="N71" s="4"/>
    </row>
    <row r="72" spans="1:14" s="35" customFormat="1" x14ac:dyDescent="0.25">
      <c r="A72" s="57">
        <v>2673</v>
      </c>
      <c r="B72" s="13" t="s">
        <v>58</v>
      </c>
      <c r="C72" s="12">
        <v>188.8</v>
      </c>
      <c r="D72" s="14">
        <v>0.3</v>
      </c>
      <c r="E72" s="15">
        <f t="shared" si="4"/>
        <v>56.64</v>
      </c>
      <c r="F72" s="15"/>
      <c r="G72" s="15">
        <f t="shared" si="5"/>
        <v>56.64</v>
      </c>
      <c r="H72" s="33">
        <v>8393437</v>
      </c>
      <c r="I72" s="17">
        <v>401002466590016</v>
      </c>
      <c r="J72" s="33" t="s">
        <v>73</v>
      </c>
      <c r="K72" s="184" t="s">
        <v>74</v>
      </c>
      <c r="L72" s="16"/>
      <c r="M72" s="12"/>
      <c r="N72" s="4"/>
    </row>
    <row r="73" spans="1:14" s="120" customFormat="1" x14ac:dyDescent="0.25">
      <c r="A73" s="96">
        <v>2674</v>
      </c>
      <c r="B73" s="97" t="s">
        <v>37</v>
      </c>
      <c r="C73" s="96">
        <v>222.9</v>
      </c>
      <c r="D73" s="98">
        <v>0.3</v>
      </c>
      <c r="E73" s="99">
        <f t="shared" si="4"/>
        <v>66.87</v>
      </c>
      <c r="F73" s="99">
        <v>63.55</v>
      </c>
      <c r="G73" s="99">
        <f t="shared" si="5"/>
        <v>3.3200000000000074</v>
      </c>
      <c r="H73" s="100">
        <v>6332118</v>
      </c>
      <c r="I73" s="101" t="s">
        <v>211</v>
      </c>
      <c r="J73" s="100" t="s">
        <v>18</v>
      </c>
      <c r="K73" s="102" t="s">
        <v>19</v>
      </c>
      <c r="L73" s="100">
        <v>98930047</v>
      </c>
      <c r="M73" s="96" t="s">
        <v>390</v>
      </c>
      <c r="N73" s="270"/>
    </row>
    <row r="74" spans="1:14" s="6" customFormat="1" x14ac:dyDescent="0.25">
      <c r="A74" s="69">
        <v>2675</v>
      </c>
      <c r="B74" s="70" t="s">
        <v>39</v>
      </c>
      <c r="C74" s="69">
        <v>205</v>
      </c>
      <c r="D74" s="14">
        <v>0.3</v>
      </c>
      <c r="E74" s="15">
        <f t="shared" si="4"/>
        <v>61.5</v>
      </c>
      <c r="F74" s="15">
        <v>60.37</v>
      </c>
      <c r="G74" s="15">
        <f t="shared" si="5"/>
        <v>1.1300000000000026</v>
      </c>
      <c r="H74" s="16">
        <v>6332123</v>
      </c>
      <c r="I74" s="17" t="s">
        <v>212</v>
      </c>
      <c r="J74" s="16" t="s">
        <v>73</v>
      </c>
      <c r="K74" s="32" t="s">
        <v>74</v>
      </c>
      <c r="L74" s="16">
        <v>98777808</v>
      </c>
      <c r="M74" s="96" t="s">
        <v>390</v>
      </c>
      <c r="N74" s="4"/>
    </row>
    <row r="75" spans="1:14" s="6" customFormat="1" x14ac:dyDescent="0.25">
      <c r="A75" s="12">
        <v>2676</v>
      </c>
      <c r="B75" s="13" t="s">
        <v>59</v>
      </c>
      <c r="C75" s="69">
        <v>154.30000000000001</v>
      </c>
      <c r="D75" s="14">
        <v>0.3</v>
      </c>
      <c r="E75" s="15">
        <f t="shared" si="4"/>
        <v>46.29</v>
      </c>
      <c r="F75" s="15"/>
      <c r="G75" s="15">
        <f t="shared" si="5"/>
        <v>46.29</v>
      </c>
      <c r="H75" s="32">
        <v>568083</v>
      </c>
      <c r="I75" s="17" t="s">
        <v>213</v>
      </c>
      <c r="J75" s="32" t="s">
        <v>76</v>
      </c>
      <c r="K75" s="182" t="s">
        <v>77</v>
      </c>
      <c r="L75" s="16">
        <v>98146666</v>
      </c>
      <c r="M75" s="12"/>
      <c r="N75" s="4"/>
    </row>
    <row r="76" spans="1:14" s="120" customFormat="1" x14ac:dyDescent="0.25">
      <c r="A76" s="96">
        <v>2677</v>
      </c>
      <c r="B76" s="97" t="s">
        <v>214</v>
      </c>
      <c r="C76" s="96">
        <v>137.19999999999999</v>
      </c>
      <c r="D76" s="98">
        <v>0.3</v>
      </c>
      <c r="E76" s="99">
        <f t="shared" si="4"/>
        <v>41.16</v>
      </c>
      <c r="F76" s="99">
        <v>38.450000000000003</v>
      </c>
      <c r="G76" s="99">
        <f t="shared" si="5"/>
        <v>2.7099999999999937</v>
      </c>
      <c r="H76" s="102">
        <v>7031534</v>
      </c>
      <c r="I76" s="101" t="s">
        <v>215</v>
      </c>
      <c r="J76" s="100" t="s">
        <v>73</v>
      </c>
      <c r="K76" s="102" t="s">
        <v>74</v>
      </c>
      <c r="L76" s="100">
        <v>92995115</v>
      </c>
      <c r="M76" s="96" t="s">
        <v>388</v>
      </c>
      <c r="N76" s="270"/>
    </row>
    <row r="77" spans="1:14" s="120" customFormat="1" x14ac:dyDescent="0.25">
      <c r="A77" s="96">
        <v>2678</v>
      </c>
      <c r="B77" s="97" t="s">
        <v>216</v>
      </c>
      <c r="C77" s="96">
        <v>337.2</v>
      </c>
      <c r="D77" s="98">
        <v>0.3</v>
      </c>
      <c r="E77" s="99">
        <f t="shared" si="4"/>
        <v>101.16</v>
      </c>
      <c r="F77" s="99">
        <v>99.210000000000008</v>
      </c>
      <c r="G77" s="99">
        <f t="shared" si="5"/>
        <v>1.9499999999999886</v>
      </c>
      <c r="H77" s="102">
        <v>7211987</v>
      </c>
      <c r="I77" s="101" t="s">
        <v>217</v>
      </c>
      <c r="J77" s="100" t="s">
        <v>73</v>
      </c>
      <c r="K77" s="102" t="s">
        <v>74</v>
      </c>
      <c r="L77" s="100"/>
      <c r="M77" s="96" t="s">
        <v>388</v>
      </c>
      <c r="N77" s="270"/>
    </row>
    <row r="78" spans="1:14" s="6" customFormat="1" x14ac:dyDescent="0.25">
      <c r="A78" s="69">
        <v>2680</v>
      </c>
      <c r="B78" s="70" t="s">
        <v>218</v>
      </c>
      <c r="C78" s="69">
        <v>42.5</v>
      </c>
      <c r="D78" s="14">
        <v>0.3</v>
      </c>
      <c r="E78" s="15">
        <f t="shared" si="4"/>
        <v>12.75</v>
      </c>
      <c r="F78" s="15"/>
      <c r="G78" s="15">
        <f t="shared" si="5"/>
        <v>12.75</v>
      </c>
      <c r="H78" s="32">
        <v>553684</v>
      </c>
      <c r="I78" s="17">
        <v>1010125978001</v>
      </c>
      <c r="J78" s="16" t="s">
        <v>80</v>
      </c>
      <c r="K78" s="32" t="s">
        <v>219</v>
      </c>
      <c r="L78" s="16">
        <v>98279480</v>
      </c>
      <c r="M78" s="269"/>
      <c r="N78" s="4"/>
    </row>
    <row r="79" spans="1:14" s="6" customFormat="1" x14ac:dyDescent="0.25">
      <c r="A79" s="69">
        <v>2681</v>
      </c>
      <c r="B79" s="70" t="s">
        <v>61</v>
      </c>
      <c r="C79" s="69">
        <v>125.8</v>
      </c>
      <c r="D79" s="14">
        <v>0.3</v>
      </c>
      <c r="E79" s="15">
        <f t="shared" si="4"/>
        <v>37.739999999999995</v>
      </c>
      <c r="F79" s="15"/>
      <c r="G79" s="15">
        <f t="shared" si="5"/>
        <v>37.739999999999995</v>
      </c>
      <c r="H79" s="32">
        <v>23172723</v>
      </c>
      <c r="I79" s="17" t="s">
        <v>221</v>
      </c>
      <c r="J79" s="32" t="s">
        <v>73</v>
      </c>
      <c r="K79" s="32" t="s">
        <v>74</v>
      </c>
      <c r="L79" s="16">
        <v>93635099</v>
      </c>
      <c r="M79" s="111"/>
      <c r="N79" s="4"/>
    </row>
    <row r="80" spans="1:14" s="6" customFormat="1" x14ac:dyDescent="0.25">
      <c r="A80" s="69">
        <v>2682</v>
      </c>
      <c r="B80" s="70" t="s">
        <v>222</v>
      </c>
      <c r="C80" s="69">
        <v>185.5</v>
      </c>
      <c r="D80" s="14">
        <v>0.3</v>
      </c>
      <c r="E80" s="15">
        <f t="shared" si="4"/>
        <v>55.65</v>
      </c>
      <c r="F80" s="15"/>
      <c r="G80" s="15">
        <f t="shared" si="5"/>
        <v>55.65</v>
      </c>
      <c r="H80" s="32">
        <v>1356383</v>
      </c>
      <c r="I80" s="17" t="s">
        <v>223</v>
      </c>
      <c r="J80" s="32" t="s">
        <v>80</v>
      </c>
      <c r="K80" s="32" t="s">
        <v>81</v>
      </c>
      <c r="L80" s="16"/>
      <c r="M80" s="111"/>
      <c r="N80" s="4"/>
    </row>
    <row r="81" spans="1:14" x14ac:dyDescent="0.25">
      <c r="A81" s="69">
        <v>2683</v>
      </c>
      <c r="B81" s="70" t="s">
        <v>224</v>
      </c>
      <c r="C81" s="69">
        <v>399.2</v>
      </c>
      <c r="D81" s="14">
        <v>0.3</v>
      </c>
      <c r="E81" s="15">
        <f t="shared" si="4"/>
        <v>119.75999999999999</v>
      </c>
      <c r="F81" s="15"/>
      <c r="G81" s="15">
        <f t="shared" si="5"/>
        <v>119.75999999999999</v>
      </c>
      <c r="H81" s="32">
        <v>5912206</v>
      </c>
      <c r="I81" s="17" t="s">
        <v>225</v>
      </c>
      <c r="J81" s="16" t="s">
        <v>73</v>
      </c>
      <c r="K81" s="32" t="s">
        <v>74</v>
      </c>
      <c r="L81" s="16">
        <v>92704591</v>
      </c>
      <c r="M81" s="111"/>
    </row>
    <row r="82" spans="1:14" s="120" customFormat="1" x14ac:dyDescent="0.25">
      <c r="A82" s="96">
        <v>2684</v>
      </c>
      <c r="B82" s="97" t="s">
        <v>226</v>
      </c>
      <c r="C82" s="96">
        <v>188.9</v>
      </c>
      <c r="D82" s="98">
        <v>0.3</v>
      </c>
      <c r="E82" s="99">
        <f t="shared" si="4"/>
        <v>56.67</v>
      </c>
      <c r="F82" s="99">
        <f>0.569999999999978+52.25</f>
        <v>52.819999999999979</v>
      </c>
      <c r="G82" s="99">
        <f t="shared" si="5"/>
        <v>3.8500000000000227</v>
      </c>
      <c r="H82" s="102">
        <v>4768041</v>
      </c>
      <c r="I82" s="101" t="s">
        <v>227</v>
      </c>
      <c r="J82" s="100" t="s">
        <v>73</v>
      </c>
      <c r="K82" s="102" t="s">
        <v>74</v>
      </c>
      <c r="L82" s="100">
        <v>99697032</v>
      </c>
      <c r="M82" s="294" t="s">
        <v>383</v>
      </c>
      <c r="N82" s="270"/>
    </row>
    <row r="83" spans="1:14" s="6" customFormat="1" x14ac:dyDescent="0.25">
      <c r="A83" s="69">
        <v>2685</v>
      </c>
      <c r="B83" s="70" t="s">
        <v>228</v>
      </c>
      <c r="C83" s="69">
        <v>143.9</v>
      </c>
      <c r="D83" s="14">
        <v>0.3</v>
      </c>
      <c r="E83" s="15">
        <f t="shared" si="4"/>
        <v>43.17</v>
      </c>
      <c r="F83" s="15"/>
      <c r="G83" s="15">
        <f t="shared" si="5"/>
        <v>43.17</v>
      </c>
      <c r="H83" s="32">
        <v>25026854</v>
      </c>
      <c r="I83" s="17" t="s">
        <v>229</v>
      </c>
      <c r="J83" s="16" t="s">
        <v>18</v>
      </c>
      <c r="K83" s="32" t="s">
        <v>19</v>
      </c>
      <c r="L83" s="16">
        <v>96124005</v>
      </c>
      <c r="M83" s="111"/>
      <c r="N83" s="4"/>
    </row>
    <row r="84" spans="1:14" s="6" customFormat="1" x14ac:dyDescent="0.25">
      <c r="A84" s="69">
        <v>2686</v>
      </c>
      <c r="B84" s="70" t="s">
        <v>230</v>
      </c>
      <c r="C84" s="36">
        <v>225.1</v>
      </c>
      <c r="D84" s="14">
        <v>0.3</v>
      </c>
      <c r="E84" s="15">
        <f t="shared" si="4"/>
        <v>67.53</v>
      </c>
      <c r="F84" s="15"/>
      <c r="G84" s="15">
        <f t="shared" si="5"/>
        <v>67.53</v>
      </c>
      <c r="H84" s="32">
        <v>6064295</v>
      </c>
      <c r="I84" s="17" t="s">
        <v>231</v>
      </c>
      <c r="J84" s="16" t="s">
        <v>73</v>
      </c>
      <c r="K84" s="32" t="s">
        <v>74</v>
      </c>
      <c r="L84" s="16"/>
      <c r="M84" s="111"/>
      <c r="N84" s="4"/>
    </row>
    <row r="85" spans="1:14" s="6" customFormat="1" x14ac:dyDescent="0.25">
      <c r="A85" s="69">
        <v>2687</v>
      </c>
      <c r="B85" s="112" t="s">
        <v>62</v>
      </c>
      <c r="C85" s="36">
        <v>191.2</v>
      </c>
      <c r="D85" s="14">
        <v>0.3</v>
      </c>
      <c r="E85" s="15">
        <f t="shared" si="4"/>
        <v>57.359999999999992</v>
      </c>
      <c r="F85" s="15"/>
      <c r="G85" s="15">
        <f t="shared" si="5"/>
        <v>57.359999999999992</v>
      </c>
      <c r="H85" s="32">
        <v>14175595</v>
      </c>
      <c r="I85" s="17" t="s">
        <v>232</v>
      </c>
      <c r="J85" s="16" t="s">
        <v>76</v>
      </c>
      <c r="K85" s="182" t="s">
        <v>77</v>
      </c>
      <c r="L85" s="16">
        <v>99531669</v>
      </c>
      <c r="M85" s="33" t="s">
        <v>22</v>
      </c>
      <c r="N85" s="4"/>
    </row>
    <row r="86" spans="1:14" s="120" customFormat="1" x14ac:dyDescent="0.25">
      <c r="A86" s="96">
        <v>2688</v>
      </c>
      <c r="B86" s="100" t="s">
        <v>234</v>
      </c>
      <c r="C86" s="124">
        <v>266.7</v>
      </c>
      <c r="D86" s="98">
        <v>0.3</v>
      </c>
      <c r="E86" s="99">
        <f t="shared" si="4"/>
        <v>80.009999999999991</v>
      </c>
      <c r="F86" s="99">
        <v>77.289999999999992</v>
      </c>
      <c r="G86" s="99">
        <f t="shared" si="5"/>
        <v>2.7199999999999989</v>
      </c>
      <c r="H86" s="102">
        <v>18647005</v>
      </c>
      <c r="I86" s="101" t="s">
        <v>235</v>
      </c>
      <c r="J86" s="100" t="s">
        <v>73</v>
      </c>
      <c r="K86" s="102" t="s">
        <v>74</v>
      </c>
      <c r="L86" s="100"/>
      <c r="M86" s="126" t="s">
        <v>387</v>
      </c>
      <c r="N86" s="270"/>
    </row>
    <row r="87" spans="1:14" s="6" customFormat="1" x14ac:dyDescent="0.25">
      <c r="A87" s="69">
        <v>2689</v>
      </c>
      <c r="B87" s="16" t="s">
        <v>236</v>
      </c>
      <c r="C87" s="36">
        <v>239.5</v>
      </c>
      <c r="D87" s="14">
        <v>0.3</v>
      </c>
      <c r="E87" s="15">
        <f t="shared" si="4"/>
        <v>71.849999999999994</v>
      </c>
      <c r="F87" s="15"/>
      <c r="G87" s="15">
        <f t="shared" si="5"/>
        <v>71.849999999999994</v>
      </c>
      <c r="H87" s="32">
        <v>1527206</v>
      </c>
      <c r="I87" s="17" t="s">
        <v>237</v>
      </c>
      <c r="J87" s="16" t="s">
        <v>73</v>
      </c>
      <c r="K87" s="32" t="s">
        <v>74</v>
      </c>
      <c r="L87" s="16"/>
      <c r="M87" s="33"/>
      <c r="N87" s="4"/>
    </row>
    <row r="88" spans="1:14" s="120" customFormat="1" x14ac:dyDescent="0.25">
      <c r="A88" s="96">
        <v>2690</v>
      </c>
      <c r="B88" s="100" t="s">
        <v>238</v>
      </c>
      <c r="C88" s="124">
        <v>301.89999999999998</v>
      </c>
      <c r="D88" s="98">
        <v>0.3</v>
      </c>
      <c r="E88" s="99">
        <f t="shared" si="4"/>
        <v>90.57</v>
      </c>
      <c r="F88" s="99">
        <v>88.53</v>
      </c>
      <c r="G88" s="99">
        <f t="shared" si="5"/>
        <v>2.039999999999992</v>
      </c>
      <c r="H88" s="102">
        <v>7376171</v>
      </c>
      <c r="I88" s="101" t="s">
        <v>239</v>
      </c>
      <c r="J88" s="100" t="s">
        <v>80</v>
      </c>
      <c r="K88" s="102" t="s">
        <v>81</v>
      </c>
      <c r="L88" s="100"/>
      <c r="M88" s="100" t="s">
        <v>388</v>
      </c>
      <c r="N88" s="270"/>
    </row>
    <row r="89" spans="1:14" s="120" customFormat="1" x14ac:dyDescent="0.25">
      <c r="A89" s="96">
        <v>2691</v>
      </c>
      <c r="B89" s="100" t="s">
        <v>240</v>
      </c>
      <c r="C89" s="124">
        <v>251.1</v>
      </c>
      <c r="D89" s="98">
        <v>0.3</v>
      </c>
      <c r="E89" s="99">
        <f t="shared" si="4"/>
        <v>75.33</v>
      </c>
      <c r="F89" s="99">
        <v>71.425139664804476</v>
      </c>
      <c r="G89" s="99">
        <f t="shared" si="5"/>
        <v>3.9048603351955222</v>
      </c>
      <c r="H89" s="102">
        <v>7376203</v>
      </c>
      <c r="I89" s="101" t="s">
        <v>241</v>
      </c>
      <c r="J89" s="100" t="s">
        <v>73</v>
      </c>
      <c r="K89" s="102" t="s">
        <v>74</v>
      </c>
      <c r="L89" s="100"/>
      <c r="M89" s="100" t="s">
        <v>388</v>
      </c>
      <c r="N89" s="270"/>
    </row>
    <row r="90" spans="1:14" s="120" customFormat="1" x14ac:dyDescent="0.25">
      <c r="A90" s="96">
        <v>2692</v>
      </c>
      <c r="B90" s="100" t="s">
        <v>243</v>
      </c>
      <c r="C90" s="124">
        <v>250.5</v>
      </c>
      <c r="D90" s="98">
        <v>0.3</v>
      </c>
      <c r="E90" s="99">
        <f t="shared" si="4"/>
        <v>75.149999999999991</v>
      </c>
      <c r="F90" s="99">
        <f>74.81</f>
        <v>74.81</v>
      </c>
      <c r="G90" s="99">
        <f t="shared" si="5"/>
        <v>0.3399999999999892</v>
      </c>
      <c r="H90" s="102">
        <v>626838</v>
      </c>
      <c r="I90" s="101" t="s">
        <v>244</v>
      </c>
      <c r="J90" s="100" t="s">
        <v>73</v>
      </c>
      <c r="K90" s="102" t="s">
        <v>74</v>
      </c>
      <c r="L90" s="100"/>
      <c r="M90" s="126" t="s">
        <v>467</v>
      </c>
      <c r="N90" s="270"/>
    </row>
    <row r="91" spans="1:14" s="120" customFormat="1" x14ac:dyDescent="0.25">
      <c r="A91" s="96">
        <v>2693</v>
      </c>
      <c r="B91" s="100" t="s">
        <v>245</v>
      </c>
      <c r="C91" s="124">
        <v>138.30000000000001</v>
      </c>
      <c r="D91" s="98">
        <v>0.3</v>
      </c>
      <c r="E91" s="99">
        <f t="shared" si="4"/>
        <v>41.49</v>
      </c>
      <c r="F91" s="99">
        <v>40.31</v>
      </c>
      <c r="G91" s="99">
        <f t="shared" si="5"/>
        <v>1.1799999999999997</v>
      </c>
      <c r="H91" s="102">
        <v>20233513</v>
      </c>
      <c r="I91" s="101" t="s">
        <v>246</v>
      </c>
      <c r="J91" s="100" t="s">
        <v>73</v>
      </c>
      <c r="K91" s="102" t="s">
        <v>74</v>
      </c>
      <c r="L91" s="100">
        <v>99669614</v>
      </c>
      <c r="M91" s="126" t="s">
        <v>467</v>
      </c>
      <c r="N91" s="270"/>
    </row>
    <row r="92" spans="1:14" s="6" customFormat="1" x14ac:dyDescent="0.25">
      <c r="A92" s="69">
        <v>2694</v>
      </c>
      <c r="B92" s="16" t="s">
        <v>248</v>
      </c>
      <c r="C92" s="36">
        <v>68.599999999999994</v>
      </c>
      <c r="D92" s="14">
        <v>0.3</v>
      </c>
      <c r="E92" s="15">
        <f t="shared" si="4"/>
        <v>20.58</v>
      </c>
      <c r="F92" s="15"/>
      <c r="G92" s="15">
        <f t="shared" si="5"/>
        <v>20.58</v>
      </c>
      <c r="H92" s="32">
        <v>18620904</v>
      </c>
      <c r="I92" s="17" t="s">
        <v>249</v>
      </c>
      <c r="J92" s="16" t="s">
        <v>80</v>
      </c>
      <c r="K92" s="32" t="s">
        <v>81</v>
      </c>
      <c r="L92" s="16">
        <v>98255331</v>
      </c>
      <c r="M92" s="33"/>
      <c r="N92" s="4"/>
    </row>
    <row r="93" spans="1:14" s="120" customFormat="1" x14ac:dyDescent="0.25">
      <c r="A93" s="96">
        <v>2697</v>
      </c>
      <c r="B93" s="100" t="s">
        <v>250</v>
      </c>
      <c r="C93" s="124">
        <v>145.5</v>
      </c>
      <c r="D93" s="98">
        <v>0.3</v>
      </c>
      <c r="E93" s="99">
        <f t="shared" si="4"/>
        <v>43.65</v>
      </c>
      <c r="F93" s="99">
        <v>40.869999999999997</v>
      </c>
      <c r="G93" s="99">
        <f t="shared" si="5"/>
        <v>2.7800000000000011</v>
      </c>
      <c r="H93" s="102">
        <v>24992357</v>
      </c>
      <c r="I93" s="101" t="s">
        <v>251</v>
      </c>
      <c r="J93" s="100" t="s">
        <v>73</v>
      </c>
      <c r="K93" s="102" t="s">
        <v>74</v>
      </c>
      <c r="L93" s="100">
        <v>96581299</v>
      </c>
      <c r="M93" s="126" t="s">
        <v>467</v>
      </c>
      <c r="N93" s="270"/>
    </row>
    <row r="94" spans="1:14" s="6" customFormat="1" x14ac:dyDescent="0.25">
      <c r="A94" s="252">
        <v>2698</v>
      </c>
      <c r="B94" s="253" t="s">
        <v>63</v>
      </c>
      <c r="C94" s="254"/>
      <c r="D94" s="292">
        <v>0.3</v>
      </c>
      <c r="E94" s="256">
        <f t="shared" si="4"/>
        <v>0</v>
      </c>
      <c r="F94" s="256"/>
      <c r="G94" s="15">
        <f t="shared" si="5"/>
        <v>0</v>
      </c>
      <c r="H94" s="257">
        <v>21332246</v>
      </c>
      <c r="I94" s="262" t="s">
        <v>252</v>
      </c>
      <c r="J94" s="253" t="s">
        <v>73</v>
      </c>
      <c r="K94" s="257" t="s">
        <v>74</v>
      </c>
      <c r="L94" s="253">
        <v>98260073</v>
      </c>
      <c r="M94" s="261"/>
      <c r="N94" s="4"/>
    </row>
    <row r="95" spans="1:14" s="120" customFormat="1" x14ac:dyDescent="0.25">
      <c r="A95" s="96">
        <v>2699</v>
      </c>
      <c r="B95" s="100" t="s">
        <v>253</v>
      </c>
      <c r="C95" s="124">
        <v>180.8</v>
      </c>
      <c r="D95" s="98">
        <v>0.3</v>
      </c>
      <c r="E95" s="99">
        <f t="shared" si="4"/>
        <v>54.24</v>
      </c>
      <c r="F95" s="99">
        <v>51.23</v>
      </c>
      <c r="G95" s="99">
        <f t="shared" si="5"/>
        <v>3.0100000000000051</v>
      </c>
      <c r="H95" s="102">
        <v>5031003</v>
      </c>
      <c r="I95" s="101">
        <v>1006555153017</v>
      </c>
      <c r="J95" s="100" t="s">
        <v>18</v>
      </c>
      <c r="K95" s="102" t="s">
        <v>19</v>
      </c>
      <c r="L95" s="100">
        <v>98129999</v>
      </c>
      <c r="M95" s="100" t="s">
        <v>389</v>
      </c>
      <c r="N95" s="270"/>
    </row>
    <row r="96" spans="1:14" s="120" customFormat="1" x14ac:dyDescent="0.25">
      <c r="A96" s="96">
        <v>2700</v>
      </c>
      <c r="B96" s="100" t="s">
        <v>254</v>
      </c>
      <c r="C96" s="124">
        <v>396.6</v>
      </c>
      <c r="D96" s="98">
        <v>0.3</v>
      </c>
      <c r="E96" s="99">
        <f t="shared" si="4"/>
        <v>118.98</v>
      </c>
      <c r="F96" s="99">
        <v>114.63</v>
      </c>
      <c r="G96" s="99">
        <f t="shared" si="5"/>
        <v>4.3500000000000085</v>
      </c>
      <c r="H96" s="102">
        <v>2216024</v>
      </c>
      <c r="I96" s="101" t="s">
        <v>255</v>
      </c>
      <c r="J96" s="100" t="s">
        <v>73</v>
      </c>
      <c r="K96" s="102" t="s">
        <v>74</v>
      </c>
      <c r="L96" s="100">
        <v>99093696</v>
      </c>
      <c r="M96" s="100" t="s">
        <v>388</v>
      </c>
      <c r="N96" s="270"/>
    </row>
    <row r="97" spans="1:14" s="120" customFormat="1" x14ac:dyDescent="0.25">
      <c r="A97" s="96">
        <v>2702</v>
      </c>
      <c r="B97" s="100" t="s">
        <v>256</v>
      </c>
      <c r="C97" s="124">
        <v>418.6</v>
      </c>
      <c r="D97" s="98">
        <v>0.3</v>
      </c>
      <c r="E97" s="99">
        <f t="shared" si="4"/>
        <v>125.58</v>
      </c>
      <c r="F97" s="99">
        <v>124.41</v>
      </c>
      <c r="G97" s="99">
        <f t="shared" si="5"/>
        <v>1.1700000000000017</v>
      </c>
      <c r="H97" s="102">
        <v>2045458</v>
      </c>
      <c r="I97" s="101" t="s">
        <v>257</v>
      </c>
      <c r="J97" s="100" t="s">
        <v>80</v>
      </c>
      <c r="K97" s="102" t="s">
        <v>81</v>
      </c>
      <c r="L97" s="100">
        <v>99282287</v>
      </c>
      <c r="M97" s="126" t="s">
        <v>383</v>
      </c>
      <c r="N97" s="270"/>
    </row>
    <row r="98" spans="1:14" s="6" customFormat="1" x14ac:dyDescent="0.25">
      <c r="A98" s="69">
        <v>2703</v>
      </c>
      <c r="B98" s="16" t="s">
        <v>258</v>
      </c>
      <c r="C98" s="36">
        <v>122.2</v>
      </c>
      <c r="D98" s="14">
        <v>0.3</v>
      </c>
      <c r="E98" s="15">
        <f t="shared" si="4"/>
        <v>36.659999999999997</v>
      </c>
      <c r="F98" s="15"/>
      <c r="G98" s="15">
        <f t="shared" si="5"/>
        <v>36.659999999999997</v>
      </c>
      <c r="H98" s="32">
        <v>652182</v>
      </c>
      <c r="I98" s="17" t="s">
        <v>259</v>
      </c>
      <c r="J98" s="16" t="s">
        <v>73</v>
      </c>
      <c r="K98" s="32" t="s">
        <v>74</v>
      </c>
      <c r="L98" s="16">
        <v>99982977</v>
      </c>
      <c r="M98" s="33"/>
      <c r="N98" s="4"/>
    </row>
    <row r="99" spans="1:14" s="120" customFormat="1" x14ac:dyDescent="0.25">
      <c r="A99" s="96">
        <v>2706</v>
      </c>
      <c r="B99" s="100" t="s">
        <v>260</v>
      </c>
      <c r="C99" s="124">
        <v>255.1</v>
      </c>
      <c r="D99" s="98">
        <v>0.3</v>
      </c>
      <c r="E99" s="99">
        <f t="shared" si="4"/>
        <v>76.53</v>
      </c>
      <c r="F99" s="99">
        <f>72.26+0.02</f>
        <v>72.28</v>
      </c>
      <c r="G99" s="99">
        <f t="shared" si="5"/>
        <v>4.25</v>
      </c>
      <c r="H99" s="102">
        <v>23144392</v>
      </c>
      <c r="I99" s="101" t="s">
        <v>261</v>
      </c>
      <c r="J99" s="100" t="s">
        <v>18</v>
      </c>
      <c r="K99" s="102" t="s">
        <v>19</v>
      </c>
      <c r="L99" s="100">
        <v>97216689</v>
      </c>
      <c r="M99" s="270" t="s">
        <v>389</v>
      </c>
      <c r="N99" s="270"/>
    </row>
    <row r="100" spans="1:14" s="120" customFormat="1" x14ac:dyDescent="0.25">
      <c r="A100" s="96">
        <v>2707</v>
      </c>
      <c r="B100" s="100" t="s">
        <v>262</v>
      </c>
      <c r="C100" s="124">
        <v>328.3</v>
      </c>
      <c r="D100" s="98">
        <v>0.3</v>
      </c>
      <c r="E100" s="99">
        <f t="shared" ref="E100:E127" si="6">C100*D100</f>
        <v>98.49</v>
      </c>
      <c r="F100" s="99">
        <v>0.4</v>
      </c>
      <c r="G100" s="99">
        <f t="shared" ref="G100:G127" si="7">E100-F100</f>
        <v>98.089999999999989</v>
      </c>
      <c r="H100" s="102">
        <v>7026153</v>
      </c>
      <c r="I100" s="101" t="s">
        <v>263</v>
      </c>
      <c r="J100" s="100" t="s">
        <v>94</v>
      </c>
      <c r="K100" s="102" t="s">
        <v>95</v>
      </c>
      <c r="L100" s="100">
        <v>95333133</v>
      </c>
      <c r="M100" s="205">
        <v>46002</v>
      </c>
      <c r="N100" s="270"/>
    </row>
    <row r="101" spans="1:14" s="6" customFormat="1" x14ac:dyDescent="0.25">
      <c r="A101" s="252">
        <v>2708</v>
      </c>
      <c r="B101" s="253" t="s">
        <v>41</v>
      </c>
      <c r="C101" s="254"/>
      <c r="D101" s="292">
        <v>0.3</v>
      </c>
      <c r="E101" s="256">
        <f t="shared" si="6"/>
        <v>0</v>
      </c>
      <c r="F101" s="256"/>
      <c r="G101" s="15">
        <f t="shared" si="7"/>
        <v>0</v>
      </c>
      <c r="H101" s="257">
        <v>426432</v>
      </c>
      <c r="I101" s="262" t="s">
        <v>264</v>
      </c>
      <c r="J101" s="253" t="s">
        <v>80</v>
      </c>
      <c r="K101" s="257" t="s">
        <v>81</v>
      </c>
      <c r="L101" s="253">
        <v>99092959</v>
      </c>
      <c r="M101" s="261"/>
      <c r="N101" s="4"/>
    </row>
    <row r="102" spans="1:14" s="6" customFormat="1" x14ac:dyDescent="0.25">
      <c r="A102" s="69">
        <v>2710</v>
      </c>
      <c r="B102" s="16" t="s">
        <v>265</v>
      </c>
      <c r="C102" s="36">
        <v>197.6</v>
      </c>
      <c r="D102" s="14">
        <v>0.3</v>
      </c>
      <c r="E102" s="15">
        <f t="shared" si="6"/>
        <v>59.279999999999994</v>
      </c>
      <c r="F102" s="15"/>
      <c r="G102" s="15">
        <f t="shared" si="7"/>
        <v>59.279999999999994</v>
      </c>
      <c r="H102" s="32">
        <v>944469</v>
      </c>
      <c r="I102" s="17" t="s">
        <v>266</v>
      </c>
      <c r="J102" s="16" t="s">
        <v>73</v>
      </c>
      <c r="K102" s="32" t="s">
        <v>74</v>
      </c>
      <c r="L102" s="16"/>
      <c r="M102" s="33"/>
      <c r="N102" s="4"/>
    </row>
    <row r="103" spans="1:14" s="6" customFormat="1" x14ac:dyDescent="0.25">
      <c r="A103" s="69">
        <v>2711</v>
      </c>
      <c r="B103" s="16" t="s">
        <v>267</v>
      </c>
      <c r="C103" s="36">
        <v>198.8</v>
      </c>
      <c r="D103" s="14">
        <v>0.3</v>
      </c>
      <c r="E103" s="15">
        <f t="shared" si="6"/>
        <v>59.64</v>
      </c>
      <c r="F103" s="15"/>
      <c r="G103" s="15">
        <f t="shared" si="7"/>
        <v>59.64</v>
      </c>
      <c r="H103" s="32">
        <v>5775933</v>
      </c>
      <c r="I103" s="17" t="s">
        <v>268</v>
      </c>
      <c r="J103" s="16" t="s">
        <v>80</v>
      </c>
      <c r="K103" s="32" t="s">
        <v>81</v>
      </c>
      <c r="L103" s="16"/>
      <c r="M103" s="33"/>
      <c r="N103" s="4"/>
    </row>
    <row r="104" spans="1:14" s="6" customFormat="1" x14ac:dyDescent="0.25">
      <c r="A104" s="69">
        <v>2712</v>
      </c>
      <c r="B104" s="16" t="s">
        <v>64</v>
      </c>
      <c r="C104" s="36">
        <v>215.8</v>
      </c>
      <c r="D104" s="14">
        <v>0.3</v>
      </c>
      <c r="E104" s="15">
        <f t="shared" si="6"/>
        <v>64.739999999999995</v>
      </c>
      <c r="F104" s="15"/>
      <c r="G104" s="15">
        <f t="shared" si="7"/>
        <v>64.739999999999995</v>
      </c>
      <c r="H104" s="32">
        <v>2439264</v>
      </c>
      <c r="I104" s="17" t="s">
        <v>269</v>
      </c>
      <c r="J104" s="16" t="s">
        <v>18</v>
      </c>
      <c r="K104" s="32" t="s">
        <v>19</v>
      </c>
      <c r="L104" s="16">
        <v>91780732</v>
      </c>
      <c r="M104" s="33"/>
      <c r="N104" s="4"/>
    </row>
    <row r="105" spans="1:14" s="6" customFormat="1" x14ac:dyDescent="0.25">
      <c r="A105" s="69">
        <v>2714</v>
      </c>
      <c r="B105" s="16" t="s">
        <v>270</v>
      </c>
      <c r="C105" s="36">
        <v>190.9</v>
      </c>
      <c r="D105" s="14">
        <v>0.3</v>
      </c>
      <c r="E105" s="15">
        <f t="shared" si="6"/>
        <v>57.27</v>
      </c>
      <c r="F105" s="15"/>
      <c r="G105" s="15">
        <f t="shared" si="7"/>
        <v>57.27</v>
      </c>
      <c r="H105" s="32">
        <v>18813939</v>
      </c>
      <c r="I105" s="17" t="s">
        <v>271</v>
      </c>
      <c r="J105" s="16" t="s">
        <v>73</v>
      </c>
      <c r="K105" s="32" t="s">
        <v>74</v>
      </c>
      <c r="L105" s="16">
        <v>92903559</v>
      </c>
      <c r="M105" s="33"/>
      <c r="N105" s="4"/>
    </row>
    <row r="106" spans="1:14" s="6" customFormat="1" x14ac:dyDescent="0.25">
      <c r="A106" s="69">
        <v>2715</v>
      </c>
      <c r="B106" s="16" t="s">
        <v>272</v>
      </c>
      <c r="C106" s="36">
        <v>175.8</v>
      </c>
      <c r="D106" s="14">
        <v>0.3</v>
      </c>
      <c r="E106" s="15">
        <f t="shared" si="6"/>
        <v>52.74</v>
      </c>
      <c r="F106" s="15"/>
      <c r="G106" s="15">
        <f t="shared" si="7"/>
        <v>52.74</v>
      </c>
      <c r="H106" s="32">
        <v>5571701</v>
      </c>
      <c r="I106" s="17" t="s">
        <v>273</v>
      </c>
      <c r="J106" s="16" t="s">
        <v>73</v>
      </c>
      <c r="K106" s="32" t="s">
        <v>74</v>
      </c>
      <c r="L106" s="16">
        <v>99773624</v>
      </c>
      <c r="M106" s="33"/>
      <c r="N106" s="4"/>
    </row>
    <row r="107" spans="1:14" s="6" customFormat="1" x14ac:dyDescent="0.25">
      <c r="A107" s="69">
        <v>2716</v>
      </c>
      <c r="B107" s="16" t="s">
        <v>274</v>
      </c>
      <c r="C107" s="36">
        <v>180.2</v>
      </c>
      <c r="D107" s="14">
        <v>0.3</v>
      </c>
      <c r="E107" s="15">
        <f t="shared" si="6"/>
        <v>54.059999999999995</v>
      </c>
      <c r="F107" s="15"/>
      <c r="G107" s="15">
        <f t="shared" si="7"/>
        <v>54.059999999999995</v>
      </c>
      <c r="H107" s="32">
        <v>1398299</v>
      </c>
      <c r="I107" s="17" t="s">
        <v>275</v>
      </c>
      <c r="J107" s="16" t="s">
        <v>276</v>
      </c>
      <c r="K107" s="32" t="s">
        <v>81</v>
      </c>
      <c r="L107" s="16">
        <v>99294734</v>
      </c>
      <c r="M107" s="33"/>
      <c r="N107" s="4"/>
    </row>
    <row r="108" spans="1:14" s="6" customFormat="1" x14ac:dyDescent="0.25">
      <c r="A108" s="69">
        <v>2717</v>
      </c>
      <c r="B108" s="16" t="s">
        <v>277</v>
      </c>
      <c r="C108" s="36">
        <v>150.9</v>
      </c>
      <c r="D108" s="14">
        <v>0.3</v>
      </c>
      <c r="E108" s="15">
        <f t="shared" si="6"/>
        <v>45.27</v>
      </c>
      <c r="F108" s="15"/>
      <c r="G108" s="15">
        <f t="shared" si="7"/>
        <v>45.27</v>
      </c>
      <c r="H108" s="32">
        <v>5968087</v>
      </c>
      <c r="I108" s="17" t="s">
        <v>278</v>
      </c>
      <c r="J108" s="16" t="s">
        <v>73</v>
      </c>
      <c r="K108" s="32" t="s">
        <v>74</v>
      </c>
      <c r="L108" s="16">
        <v>91116250</v>
      </c>
      <c r="M108" s="33"/>
      <c r="N108" s="4"/>
    </row>
    <row r="109" spans="1:14" s="6" customFormat="1" x14ac:dyDescent="0.25">
      <c r="A109" s="69">
        <v>2718</v>
      </c>
      <c r="B109" s="16" t="s">
        <v>279</v>
      </c>
      <c r="C109" s="36">
        <v>130.69999999999999</v>
      </c>
      <c r="D109" s="14">
        <v>0.3</v>
      </c>
      <c r="E109" s="15">
        <f t="shared" si="6"/>
        <v>39.209999999999994</v>
      </c>
      <c r="F109" s="15"/>
      <c r="G109" s="15">
        <f t="shared" si="7"/>
        <v>39.209999999999994</v>
      </c>
      <c r="H109" s="32">
        <v>5571729</v>
      </c>
      <c r="I109" s="17" t="s">
        <v>280</v>
      </c>
      <c r="J109" s="16" t="s">
        <v>73</v>
      </c>
      <c r="K109" s="32" t="s">
        <v>74</v>
      </c>
      <c r="L109" s="16">
        <v>99643459</v>
      </c>
      <c r="M109" s="33"/>
      <c r="N109" s="4"/>
    </row>
    <row r="110" spans="1:14" s="6" customFormat="1" x14ac:dyDescent="0.25">
      <c r="A110" s="81">
        <v>2719</v>
      </c>
      <c r="B110" s="16" t="s">
        <v>281</v>
      </c>
      <c r="C110" s="36">
        <v>351.2</v>
      </c>
      <c r="D110" s="14">
        <v>0.3</v>
      </c>
      <c r="E110" s="15">
        <f t="shared" si="6"/>
        <v>105.36</v>
      </c>
      <c r="F110" s="15"/>
      <c r="G110" s="15">
        <f t="shared" si="7"/>
        <v>105.36</v>
      </c>
      <c r="H110" s="32">
        <v>925058</v>
      </c>
      <c r="I110" s="17" t="s">
        <v>282</v>
      </c>
      <c r="J110" s="16" t="s">
        <v>283</v>
      </c>
      <c r="K110" s="32" t="s">
        <v>81</v>
      </c>
      <c r="L110" s="16">
        <v>92656157</v>
      </c>
      <c r="M110" s="33"/>
      <c r="N110" s="4"/>
    </row>
    <row r="111" spans="1:14" s="120" customFormat="1" x14ac:dyDescent="0.25">
      <c r="A111" s="276">
        <v>2721</v>
      </c>
      <c r="B111" s="100" t="s">
        <v>284</v>
      </c>
      <c r="C111" s="96">
        <v>196.3</v>
      </c>
      <c r="D111" s="98">
        <v>0.3</v>
      </c>
      <c r="E111" s="99">
        <f t="shared" si="6"/>
        <v>58.89</v>
      </c>
      <c r="F111" s="99">
        <v>56.489999999999995</v>
      </c>
      <c r="G111" s="99">
        <f t="shared" si="7"/>
        <v>2.4000000000000057</v>
      </c>
      <c r="H111" s="102">
        <v>7673741</v>
      </c>
      <c r="I111" s="101" t="s">
        <v>285</v>
      </c>
      <c r="J111" s="100" t="s">
        <v>18</v>
      </c>
      <c r="K111" s="102" t="s">
        <v>19</v>
      </c>
      <c r="L111" s="100"/>
      <c r="M111" s="205">
        <v>45728</v>
      </c>
      <c r="N111" s="270"/>
    </row>
    <row r="112" spans="1:14" s="120" customFormat="1" x14ac:dyDescent="0.25">
      <c r="A112" s="276">
        <v>2722</v>
      </c>
      <c r="B112" s="97" t="s">
        <v>66</v>
      </c>
      <c r="C112" s="96">
        <v>170.3</v>
      </c>
      <c r="D112" s="98">
        <v>0.3</v>
      </c>
      <c r="E112" s="99">
        <f t="shared" si="6"/>
        <v>51.09</v>
      </c>
      <c r="F112" s="99">
        <v>50.209999999999994</v>
      </c>
      <c r="G112" s="99">
        <f t="shared" si="7"/>
        <v>0.88000000000000966</v>
      </c>
      <c r="H112" s="102">
        <v>675043</v>
      </c>
      <c r="I112" s="101" t="s">
        <v>286</v>
      </c>
      <c r="J112" s="100" t="s">
        <v>80</v>
      </c>
      <c r="K112" s="102" t="s">
        <v>81</v>
      </c>
      <c r="L112" s="100"/>
      <c r="M112" s="126" t="s">
        <v>383</v>
      </c>
      <c r="N112" s="270"/>
    </row>
    <row r="113" spans="1:14" s="6" customFormat="1" x14ac:dyDescent="0.25">
      <c r="A113" s="81">
        <v>2724</v>
      </c>
      <c r="B113" s="82" t="s">
        <v>287</v>
      </c>
      <c r="C113" s="12">
        <v>412.9</v>
      </c>
      <c r="D113" s="14">
        <v>0.3</v>
      </c>
      <c r="E113" s="15">
        <f t="shared" si="6"/>
        <v>123.86999999999999</v>
      </c>
      <c r="F113" s="15"/>
      <c r="G113" s="15">
        <f t="shared" si="7"/>
        <v>123.86999999999999</v>
      </c>
      <c r="H113" s="32">
        <v>272921</v>
      </c>
      <c r="I113" s="17" t="s">
        <v>288</v>
      </c>
      <c r="J113" s="16" t="s">
        <v>73</v>
      </c>
      <c r="K113" s="32" t="s">
        <v>74</v>
      </c>
      <c r="L113" s="16"/>
      <c r="M113" s="33"/>
      <c r="N113" s="4"/>
    </row>
    <row r="114" spans="1:14" s="6" customFormat="1" x14ac:dyDescent="0.25">
      <c r="A114" s="81">
        <v>2725</v>
      </c>
      <c r="B114" s="82" t="s">
        <v>289</v>
      </c>
      <c r="C114" s="12">
        <v>405.4</v>
      </c>
      <c r="D114" s="14">
        <v>0.3</v>
      </c>
      <c r="E114" s="15">
        <f t="shared" si="6"/>
        <v>121.61999999999999</v>
      </c>
      <c r="F114" s="15">
        <v>118.32</v>
      </c>
      <c r="G114" s="15">
        <f t="shared" si="7"/>
        <v>3.2999999999999972</v>
      </c>
      <c r="H114" s="32">
        <v>21910195</v>
      </c>
      <c r="I114" s="17" t="s">
        <v>290</v>
      </c>
      <c r="J114" s="16" t="s">
        <v>73</v>
      </c>
      <c r="K114" s="32" t="s">
        <v>74</v>
      </c>
      <c r="L114" s="16"/>
      <c r="M114" s="96" t="s">
        <v>388</v>
      </c>
      <c r="N114" s="4"/>
    </row>
    <row r="115" spans="1:14" s="6" customFormat="1" x14ac:dyDescent="0.25">
      <c r="A115" s="81">
        <v>2726</v>
      </c>
      <c r="B115" s="82" t="s">
        <v>293</v>
      </c>
      <c r="C115" s="12">
        <v>210</v>
      </c>
      <c r="D115" s="14">
        <v>0.3</v>
      </c>
      <c r="E115" s="15">
        <f t="shared" si="6"/>
        <v>63</v>
      </c>
      <c r="F115" s="15"/>
      <c r="G115" s="15">
        <f t="shared" si="7"/>
        <v>63</v>
      </c>
      <c r="H115" s="32">
        <v>5932095</v>
      </c>
      <c r="I115" s="17">
        <v>401003983190032</v>
      </c>
      <c r="J115" s="16" t="s">
        <v>73</v>
      </c>
      <c r="K115" s="32" t="s">
        <v>74</v>
      </c>
      <c r="L115" s="16"/>
      <c r="M115" s="33"/>
      <c r="N115" s="4"/>
    </row>
    <row r="116" spans="1:14" s="6" customFormat="1" x14ac:dyDescent="0.25">
      <c r="A116" s="81">
        <v>2727</v>
      </c>
      <c r="B116" s="82" t="s">
        <v>294</v>
      </c>
      <c r="C116" s="12">
        <v>154.5</v>
      </c>
      <c r="D116" s="14">
        <v>0.3</v>
      </c>
      <c r="E116" s="15">
        <f t="shared" si="6"/>
        <v>46.35</v>
      </c>
      <c r="F116" s="15"/>
      <c r="G116" s="15">
        <f t="shared" si="7"/>
        <v>46.35</v>
      </c>
      <c r="H116" s="32">
        <v>14874655</v>
      </c>
      <c r="I116" s="17">
        <v>250020006381</v>
      </c>
      <c r="J116" s="16" t="s">
        <v>94</v>
      </c>
      <c r="K116" s="32" t="s">
        <v>95</v>
      </c>
      <c r="L116" s="16">
        <v>99580134</v>
      </c>
      <c r="M116" s="33"/>
      <c r="N116" s="4"/>
    </row>
    <row r="117" spans="1:14" s="6" customFormat="1" x14ac:dyDescent="0.25">
      <c r="A117" s="81">
        <v>2728</v>
      </c>
      <c r="B117" s="83" t="s">
        <v>295</v>
      </c>
      <c r="C117" s="12">
        <v>214</v>
      </c>
      <c r="D117" s="14">
        <v>0.3</v>
      </c>
      <c r="E117" s="15">
        <f t="shared" si="6"/>
        <v>64.2</v>
      </c>
      <c r="F117" s="15"/>
      <c r="G117" s="15">
        <f t="shared" si="7"/>
        <v>64.2</v>
      </c>
      <c r="H117" s="32">
        <v>6300163</v>
      </c>
      <c r="I117" s="17" t="s">
        <v>296</v>
      </c>
      <c r="J117" s="16" t="s">
        <v>73</v>
      </c>
      <c r="K117" s="32" t="s">
        <v>74</v>
      </c>
      <c r="L117" s="16"/>
      <c r="M117" s="33"/>
      <c r="N117" s="4"/>
    </row>
    <row r="118" spans="1:14" s="6" customFormat="1" x14ac:dyDescent="0.25">
      <c r="A118" s="81">
        <v>2729</v>
      </c>
      <c r="B118" s="83" t="s">
        <v>297</v>
      </c>
      <c r="C118" s="12">
        <v>193.9</v>
      </c>
      <c r="D118" s="14">
        <v>0.3</v>
      </c>
      <c r="E118" s="15">
        <f t="shared" si="6"/>
        <v>58.17</v>
      </c>
      <c r="F118" s="15">
        <v>53.900000000000006</v>
      </c>
      <c r="G118" s="15">
        <f t="shared" si="7"/>
        <v>4.269999999999996</v>
      </c>
      <c r="H118" s="32">
        <v>21145036</v>
      </c>
      <c r="I118" s="17" t="s">
        <v>298</v>
      </c>
      <c r="J118" s="16" t="s">
        <v>73</v>
      </c>
      <c r="K118" s="32" t="s">
        <v>74</v>
      </c>
      <c r="L118" s="16"/>
      <c r="M118" s="96" t="s">
        <v>390</v>
      </c>
      <c r="N118" s="4"/>
    </row>
    <row r="119" spans="1:14" s="6" customFormat="1" x14ac:dyDescent="0.25">
      <c r="A119" s="81">
        <v>2730</v>
      </c>
      <c r="B119" s="40" t="s">
        <v>67</v>
      </c>
      <c r="C119" s="12">
        <v>246.9</v>
      </c>
      <c r="D119" s="14">
        <v>0.3</v>
      </c>
      <c r="E119" s="15">
        <f t="shared" si="6"/>
        <v>74.069999999999993</v>
      </c>
      <c r="F119" s="15"/>
      <c r="G119" s="15">
        <f t="shared" si="7"/>
        <v>74.069999999999993</v>
      </c>
      <c r="H119" s="32">
        <v>5138892</v>
      </c>
      <c r="I119" s="17" t="s">
        <v>299</v>
      </c>
      <c r="J119" s="16" t="s">
        <v>73</v>
      </c>
      <c r="K119" s="32" t="s">
        <v>74</v>
      </c>
      <c r="L119" s="16"/>
      <c r="M119" s="33"/>
      <c r="N119" s="4"/>
    </row>
    <row r="120" spans="1:14" s="6" customFormat="1" x14ac:dyDescent="0.25">
      <c r="A120" s="81">
        <v>2731</v>
      </c>
      <c r="B120" s="16" t="s">
        <v>300</v>
      </c>
      <c r="C120" s="12">
        <v>162.9</v>
      </c>
      <c r="D120" s="14">
        <v>0.3</v>
      </c>
      <c r="E120" s="15">
        <f t="shared" si="6"/>
        <v>48.87</v>
      </c>
      <c r="F120" s="15"/>
      <c r="G120" s="15">
        <f t="shared" si="7"/>
        <v>48.87</v>
      </c>
      <c r="H120" s="32">
        <v>3912773</v>
      </c>
      <c r="I120" s="17" t="s">
        <v>301</v>
      </c>
      <c r="J120" s="16" t="s">
        <v>73</v>
      </c>
      <c r="K120" s="32" t="s">
        <v>74</v>
      </c>
      <c r="L120" s="16"/>
      <c r="M120" s="33"/>
      <c r="N120" s="4"/>
    </row>
    <row r="121" spans="1:14" s="6" customFormat="1" x14ac:dyDescent="0.25">
      <c r="A121" s="81">
        <v>2732</v>
      </c>
      <c r="B121" s="13" t="s">
        <v>302</v>
      </c>
      <c r="C121" s="12">
        <v>46.9</v>
      </c>
      <c r="D121" s="14">
        <v>0.3</v>
      </c>
      <c r="E121" s="15">
        <f t="shared" si="6"/>
        <v>14.069999999999999</v>
      </c>
      <c r="F121" s="15"/>
      <c r="G121" s="15">
        <f t="shared" si="7"/>
        <v>14.069999999999999</v>
      </c>
      <c r="H121" s="32">
        <v>846753</v>
      </c>
      <c r="I121" s="17" t="s">
        <v>303</v>
      </c>
      <c r="J121" s="16" t="s">
        <v>73</v>
      </c>
      <c r="K121" s="32" t="s">
        <v>74</v>
      </c>
      <c r="L121" s="16"/>
      <c r="M121" s="33"/>
      <c r="N121" s="4"/>
    </row>
    <row r="122" spans="1:14" s="6" customFormat="1" x14ac:dyDescent="0.25">
      <c r="A122" s="69">
        <v>2733</v>
      </c>
      <c r="B122" s="16" t="s">
        <v>304</v>
      </c>
      <c r="C122" s="12">
        <v>470.5</v>
      </c>
      <c r="D122" s="14">
        <v>0.3</v>
      </c>
      <c r="E122" s="15">
        <f t="shared" si="6"/>
        <v>141.15</v>
      </c>
      <c r="F122" s="15"/>
      <c r="G122" s="15">
        <f t="shared" si="7"/>
        <v>141.15</v>
      </c>
      <c r="H122" s="32">
        <v>20444019</v>
      </c>
      <c r="I122" s="17" t="s">
        <v>305</v>
      </c>
      <c r="J122" s="16" t="s">
        <v>73</v>
      </c>
      <c r="K122" s="32" t="s">
        <v>74</v>
      </c>
      <c r="L122" s="16"/>
      <c r="M122" s="33"/>
      <c r="N122" s="4"/>
    </row>
    <row r="123" spans="1:14" s="6" customFormat="1" x14ac:dyDescent="0.25">
      <c r="A123" s="69">
        <v>2734</v>
      </c>
      <c r="B123" s="16" t="s">
        <v>306</v>
      </c>
      <c r="C123" s="12">
        <v>136.30000000000001</v>
      </c>
      <c r="D123" s="14">
        <v>0.3</v>
      </c>
      <c r="E123" s="15">
        <f t="shared" si="6"/>
        <v>40.89</v>
      </c>
      <c r="F123" s="15">
        <v>39.160000000000004</v>
      </c>
      <c r="G123" s="15">
        <f t="shared" si="7"/>
        <v>1.7299999999999969</v>
      </c>
      <c r="H123" s="32">
        <v>24187516</v>
      </c>
      <c r="I123" s="17" t="s">
        <v>307</v>
      </c>
      <c r="J123" s="16" t="s">
        <v>90</v>
      </c>
      <c r="K123" s="32" t="s">
        <v>91</v>
      </c>
      <c r="L123" s="16"/>
      <c r="M123" s="270" t="s">
        <v>389</v>
      </c>
      <c r="N123" s="4"/>
    </row>
    <row r="124" spans="1:14" s="6" customFormat="1" x14ac:dyDescent="0.25">
      <c r="A124" s="69">
        <v>2736</v>
      </c>
      <c r="B124" s="16" t="s">
        <v>308</v>
      </c>
      <c r="C124" s="12">
        <v>142.30000000000001</v>
      </c>
      <c r="D124" s="14">
        <v>0.3</v>
      </c>
      <c r="E124" s="15">
        <f t="shared" si="6"/>
        <v>42.690000000000005</v>
      </c>
      <c r="F124" s="15"/>
      <c r="G124" s="15">
        <f t="shared" si="7"/>
        <v>42.690000000000005</v>
      </c>
      <c r="H124" s="32">
        <v>4629429</v>
      </c>
      <c r="I124" s="17" t="s">
        <v>309</v>
      </c>
      <c r="J124" s="16" t="s">
        <v>73</v>
      </c>
      <c r="K124" s="32" t="s">
        <v>74</v>
      </c>
      <c r="L124" s="16"/>
      <c r="M124" s="33"/>
      <c r="N124" s="4"/>
    </row>
    <row r="125" spans="1:14" s="6" customFormat="1" x14ac:dyDescent="0.25">
      <c r="A125" s="69">
        <v>2737</v>
      </c>
      <c r="B125" s="16" t="s">
        <v>310</v>
      </c>
      <c r="C125" s="12">
        <v>250.8</v>
      </c>
      <c r="D125" s="14">
        <v>0.3</v>
      </c>
      <c r="E125" s="15">
        <f t="shared" si="6"/>
        <v>75.239999999999995</v>
      </c>
      <c r="F125" s="15"/>
      <c r="G125" s="15">
        <f t="shared" si="7"/>
        <v>75.239999999999995</v>
      </c>
      <c r="H125" s="32">
        <v>734135</v>
      </c>
      <c r="I125" s="17" t="s">
        <v>311</v>
      </c>
      <c r="J125" s="16" t="s">
        <v>80</v>
      </c>
      <c r="K125" s="32" t="s">
        <v>81</v>
      </c>
      <c r="L125" s="16"/>
      <c r="M125" s="33"/>
      <c r="N125" s="4"/>
    </row>
    <row r="126" spans="1:14" s="6" customFormat="1" x14ac:dyDescent="0.25">
      <c r="A126" s="69">
        <v>2738</v>
      </c>
      <c r="B126" s="16" t="s">
        <v>312</v>
      </c>
      <c r="C126" s="12">
        <v>225</v>
      </c>
      <c r="D126" s="14">
        <v>0.3</v>
      </c>
      <c r="E126" s="15">
        <f t="shared" si="6"/>
        <v>67.5</v>
      </c>
      <c r="F126" s="15"/>
      <c r="G126" s="15">
        <f t="shared" si="7"/>
        <v>67.5</v>
      </c>
      <c r="H126" s="32">
        <v>1298606</v>
      </c>
      <c r="I126" s="17" t="s">
        <v>313</v>
      </c>
      <c r="J126" s="16" t="s">
        <v>73</v>
      </c>
      <c r="K126" s="32" t="s">
        <v>74</v>
      </c>
      <c r="L126" s="16"/>
      <c r="M126" s="33"/>
      <c r="N126" s="4"/>
    </row>
    <row r="127" spans="1:14" s="120" customFormat="1" ht="14.25" thickBot="1" x14ac:dyDescent="0.3">
      <c r="A127" s="146">
        <v>2740</v>
      </c>
      <c r="B127" s="147" t="s">
        <v>314</v>
      </c>
      <c r="C127" s="146">
        <v>342.3</v>
      </c>
      <c r="D127" s="98">
        <v>0.3</v>
      </c>
      <c r="E127" s="149">
        <f t="shared" si="6"/>
        <v>102.69</v>
      </c>
      <c r="F127" s="149">
        <f>102.54</f>
        <v>102.54</v>
      </c>
      <c r="G127" s="99">
        <f t="shared" si="7"/>
        <v>0.14999999999999147</v>
      </c>
      <c r="H127" s="150">
        <v>18315397</v>
      </c>
      <c r="I127" s="181">
        <v>401002460790021</v>
      </c>
      <c r="J127" s="147" t="s">
        <v>73</v>
      </c>
      <c r="K127" s="150" t="s">
        <v>74</v>
      </c>
      <c r="L127" s="147">
        <v>94346448</v>
      </c>
      <c r="M127" s="270" t="s">
        <v>389</v>
      </c>
      <c r="N127" s="270"/>
    </row>
    <row r="128" spans="1:14" s="6" customFormat="1" ht="14.25" thickBot="1" x14ac:dyDescent="0.3">
      <c r="A128" s="42"/>
      <c r="B128" s="43"/>
      <c r="C128" s="44">
        <f>SUM(C4:C127)</f>
        <v>26181.9</v>
      </c>
      <c r="D128" s="45"/>
      <c r="E128" s="46">
        <f>SUM(E4:E127)</f>
        <v>7854.5699999999961</v>
      </c>
      <c r="F128" s="46">
        <f t="shared" ref="F128:G128" si="8">SUM(F4:F127)</f>
        <v>3423.815139664805</v>
      </c>
      <c r="G128" s="46">
        <f t="shared" si="8"/>
        <v>4430.7548603351934</v>
      </c>
      <c r="H128" s="45"/>
      <c r="I128" s="48"/>
      <c r="J128" s="45"/>
      <c r="K128" s="45"/>
      <c r="L128" s="45"/>
      <c r="M128" s="49"/>
      <c r="N128" s="4"/>
    </row>
    <row r="129" spans="1:14" s="6" customFormat="1" x14ac:dyDescent="0.25">
      <c r="A129" s="51"/>
      <c r="B129" s="50"/>
      <c r="C129" s="52"/>
      <c r="D129" s="53"/>
      <c r="E129" s="52"/>
      <c r="F129" s="52"/>
      <c r="G129" s="52"/>
      <c r="H129" s="54"/>
      <c r="I129" s="55"/>
      <c r="J129" s="54"/>
      <c r="K129" s="54"/>
      <c r="L129" s="54"/>
      <c r="M129" s="56"/>
      <c r="N129" s="4"/>
    </row>
    <row r="130" spans="1:14" s="6" customFormat="1" x14ac:dyDescent="0.25">
      <c r="A130" s="57"/>
      <c r="C130" s="58"/>
      <c r="D130" s="58"/>
      <c r="E130" s="58"/>
      <c r="F130" s="58"/>
      <c r="G130" s="58"/>
      <c r="H130" s="59"/>
      <c r="I130" s="60"/>
      <c r="J130" s="59"/>
      <c r="N130" s="4"/>
    </row>
    <row r="131" spans="1:14" x14ac:dyDescent="0.25">
      <c r="D131" s="61" t="s">
        <v>380</v>
      </c>
      <c r="E131" s="306"/>
      <c r="F131" s="306"/>
      <c r="G131" s="306"/>
      <c r="H131" s="306"/>
      <c r="J131" s="307"/>
      <c r="K131" s="307"/>
      <c r="M131" s="65"/>
    </row>
    <row r="132" spans="1:14" s="64" customFormat="1" x14ac:dyDescent="0.25">
      <c r="A132" s="61"/>
      <c r="C132" s="61"/>
      <c r="D132" s="61" t="s">
        <v>44</v>
      </c>
      <c r="E132" s="306"/>
      <c r="F132" s="306"/>
      <c r="G132" s="306"/>
      <c r="H132" s="306"/>
      <c r="I132" s="63"/>
      <c r="J132" s="307"/>
      <c r="K132" s="307"/>
      <c r="M132" s="28"/>
      <c r="N132" s="4"/>
    </row>
    <row r="133" spans="1:14" s="64" customFormat="1" x14ac:dyDescent="0.25">
      <c r="A133" s="61"/>
      <c r="C133" s="61"/>
      <c r="D133" s="28"/>
      <c r="E133" s="62"/>
      <c r="F133" s="62"/>
      <c r="G133" s="62"/>
      <c r="I133" s="63"/>
      <c r="M133" s="28"/>
      <c r="N133" s="4"/>
    </row>
    <row r="134" spans="1:14" s="64" customFormat="1" x14ac:dyDescent="0.25">
      <c r="A134" s="61"/>
      <c r="B134" s="28"/>
      <c r="C134" s="61"/>
      <c r="D134" s="61"/>
      <c r="E134" s="62"/>
      <c r="F134" s="62"/>
      <c r="G134" s="62"/>
      <c r="I134" s="63"/>
      <c r="M134" s="28"/>
      <c r="N134" s="4"/>
    </row>
    <row r="135" spans="1:14" s="64" customFormat="1" x14ac:dyDescent="0.25">
      <c r="A135" s="61"/>
      <c r="B135" s="28"/>
      <c r="C135" s="61"/>
      <c r="D135" s="61"/>
      <c r="E135" s="62"/>
      <c r="F135" s="62"/>
      <c r="G135" s="62"/>
      <c r="I135" s="63"/>
      <c r="M135" s="28"/>
      <c r="N135" s="4"/>
    </row>
    <row r="136" spans="1:14" s="64" customFormat="1" x14ac:dyDescent="0.25">
      <c r="A136" s="61"/>
      <c r="B136" s="28"/>
      <c r="C136" s="68"/>
      <c r="D136" s="61"/>
      <c r="E136" s="68"/>
      <c r="F136" s="68"/>
      <c r="G136" s="68"/>
      <c r="I136" s="63"/>
      <c r="M136" s="28"/>
      <c r="N136" s="4"/>
    </row>
    <row r="137" spans="1:14" s="64" customFormat="1" x14ac:dyDescent="0.25">
      <c r="A137" s="61"/>
      <c r="B137" s="28"/>
      <c r="C137" s="61"/>
      <c r="D137" s="61"/>
      <c r="E137" s="62"/>
      <c r="F137" s="62"/>
      <c r="G137" s="62"/>
      <c r="I137" s="63"/>
      <c r="M137" s="28"/>
      <c r="N137" s="4"/>
    </row>
    <row r="138" spans="1:14" s="64" customFormat="1" x14ac:dyDescent="0.25">
      <c r="A138" s="61"/>
      <c r="B138" s="28"/>
      <c r="C138" s="61"/>
      <c r="D138" s="61"/>
      <c r="E138" s="62"/>
      <c r="F138" s="62"/>
      <c r="G138" s="62"/>
      <c r="I138" s="63"/>
      <c r="M138" s="28"/>
      <c r="N138" s="4"/>
    </row>
    <row r="139" spans="1:14" s="64" customFormat="1" x14ac:dyDescent="0.25">
      <c r="A139" s="61"/>
      <c r="B139" s="28"/>
      <c r="C139" s="61"/>
      <c r="D139" s="61"/>
      <c r="E139" s="62"/>
      <c r="F139" s="62"/>
      <c r="G139" s="62"/>
      <c r="I139" s="63"/>
      <c r="M139" s="28"/>
      <c r="N139" s="4"/>
    </row>
    <row r="140" spans="1:14" s="64" customFormat="1" x14ac:dyDescent="0.25">
      <c r="A140" s="61"/>
      <c r="B140" s="28"/>
      <c r="C140" s="61"/>
      <c r="D140" s="61"/>
      <c r="E140" s="62"/>
      <c r="F140" s="62"/>
      <c r="G140" s="62"/>
      <c r="I140" s="63"/>
      <c r="M140" s="28"/>
      <c r="N140" s="4"/>
    </row>
    <row r="141" spans="1:14" s="64" customFormat="1" x14ac:dyDescent="0.25">
      <c r="A141" s="61"/>
      <c r="B141" s="28"/>
      <c r="C141" s="61"/>
      <c r="D141" s="61"/>
      <c r="E141" s="62"/>
      <c r="F141" s="62"/>
      <c r="G141" s="62"/>
      <c r="I141" s="63"/>
      <c r="M141" s="28"/>
      <c r="N141" s="4"/>
    </row>
    <row r="142" spans="1:14" s="64" customFormat="1" x14ac:dyDescent="0.25">
      <c r="A142" s="61"/>
      <c r="B142" s="28"/>
      <c r="C142" s="61"/>
      <c r="D142" s="61"/>
      <c r="E142" s="62"/>
      <c r="F142" s="62"/>
      <c r="G142" s="62"/>
      <c r="I142" s="63"/>
      <c r="M142" s="28"/>
      <c r="N142" s="4"/>
    </row>
    <row r="143" spans="1:14" s="64" customFormat="1" x14ac:dyDescent="0.25">
      <c r="A143" s="61"/>
      <c r="B143" s="28"/>
      <c r="C143" s="61"/>
      <c r="D143" s="61"/>
      <c r="E143" s="62"/>
      <c r="F143" s="62"/>
      <c r="G143" s="62"/>
      <c r="I143" s="63"/>
      <c r="M143" s="28"/>
      <c r="N143" s="4"/>
    </row>
    <row r="144" spans="1:14" s="64" customFormat="1" x14ac:dyDescent="0.25">
      <c r="A144" s="61"/>
      <c r="B144" s="28"/>
      <c r="C144" s="61"/>
      <c r="D144" s="61"/>
      <c r="E144" s="62"/>
      <c r="F144" s="62"/>
      <c r="G144" s="62"/>
      <c r="I144" s="63"/>
      <c r="M144" s="28"/>
      <c r="N144" s="4"/>
    </row>
    <row r="145" spans="1:14" s="64" customFormat="1" x14ac:dyDescent="0.25">
      <c r="A145" s="61"/>
      <c r="B145" s="28"/>
      <c r="C145" s="61"/>
      <c r="D145" s="61"/>
      <c r="E145" s="62"/>
      <c r="F145" s="62"/>
      <c r="G145" s="62"/>
      <c r="I145" s="63"/>
      <c r="M145" s="28"/>
      <c r="N145" s="4"/>
    </row>
    <row r="146" spans="1:14" s="64" customFormat="1" x14ac:dyDescent="0.25">
      <c r="A146" s="61"/>
      <c r="B146" s="28"/>
      <c r="C146" s="61"/>
      <c r="D146" s="61"/>
      <c r="E146" s="62"/>
      <c r="F146" s="62"/>
      <c r="G146" s="62"/>
      <c r="I146" s="63"/>
      <c r="M146" s="28"/>
      <c r="N146" s="4"/>
    </row>
    <row r="147" spans="1:14" s="64" customFormat="1" x14ac:dyDescent="0.25">
      <c r="A147" s="61"/>
      <c r="B147" s="28"/>
      <c r="C147" s="61"/>
      <c r="D147" s="61"/>
      <c r="E147" s="62"/>
      <c r="F147" s="62"/>
      <c r="G147" s="62"/>
      <c r="I147" s="63"/>
      <c r="M147" s="28"/>
      <c r="N147" s="4"/>
    </row>
    <row r="148" spans="1:14" s="64" customFormat="1" x14ac:dyDescent="0.25">
      <c r="A148" s="61"/>
      <c r="B148" s="28"/>
      <c r="C148" s="61"/>
      <c r="D148" s="61"/>
      <c r="E148" s="62"/>
      <c r="F148" s="62"/>
      <c r="G148" s="62"/>
      <c r="I148" s="63"/>
      <c r="M148" s="28"/>
      <c r="N148" s="4"/>
    </row>
    <row r="149" spans="1:14" s="64" customFormat="1" x14ac:dyDescent="0.25">
      <c r="A149" s="61"/>
      <c r="B149" s="28"/>
      <c r="C149" s="61"/>
      <c r="D149" s="61"/>
      <c r="E149" s="62"/>
      <c r="F149" s="62"/>
      <c r="G149" s="62"/>
      <c r="I149" s="63"/>
      <c r="M149" s="28"/>
      <c r="N149" s="4"/>
    </row>
    <row r="150" spans="1:14" s="64" customFormat="1" x14ac:dyDescent="0.25">
      <c r="A150" s="61"/>
      <c r="B150" s="28"/>
      <c r="C150" s="61"/>
      <c r="D150" s="61"/>
      <c r="E150" s="62"/>
      <c r="F150" s="62"/>
      <c r="G150" s="62"/>
      <c r="I150" s="63"/>
      <c r="M150" s="28"/>
      <c r="N150" s="4"/>
    </row>
    <row r="151" spans="1:14" s="64" customFormat="1" x14ac:dyDescent="0.25">
      <c r="A151" s="61"/>
      <c r="B151" s="28"/>
      <c r="C151" s="61"/>
      <c r="D151" s="61"/>
      <c r="E151" s="62"/>
      <c r="F151" s="62"/>
      <c r="G151" s="62"/>
      <c r="I151" s="63"/>
      <c r="M151" s="28"/>
      <c r="N151" s="4"/>
    </row>
    <row r="152" spans="1:14" s="64" customFormat="1" x14ac:dyDescent="0.25">
      <c r="A152" s="61"/>
      <c r="B152" s="28"/>
      <c r="C152" s="61"/>
      <c r="D152" s="61"/>
      <c r="E152" s="62"/>
      <c r="F152" s="62"/>
      <c r="G152" s="62"/>
      <c r="I152" s="63"/>
      <c r="M152" s="28"/>
      <c r="N152" s="4"/>
    </row>
    <row r="153" spans="1:14" s="64" customFormat="1" x14ac:dyDescent="0.25">
      <c r="A153" s="61"/>
      <c r="B153" s="28"/>
      <c r="C153" s="61"/>
      <c r="D153" s="61"/>
      <c r="E153" s="62"/>
      <c r="F153" s="62"/>
      <c r="G153" s="62"/>
      <c r="I153" s="63"/>
      <c r="M153" s="28"/>
      <c r="N153" s="4"/>
    </row>
    <row r="154" spans="1:14" s="64" customFormat="1" x14ac:dyDescent="0.25">
      <c r="A154" s="61"/>
      <c r="B154" s="28"/>
      <c r="C154" s="61"/>
      <c r="D154" s="61"/>
      <c r="E154" s="62"/>
      <c r="F154" s="62"/>
      <c r="G154" s="62"/>
      <c r="I154" s="63"/>
      <c r="M154" s="28"/>
      <c r="N154" s="4"/>
    </row>
    <row r="155" spans="1:14" s="64" customFormat="1" x14ac:dyDescent="0.25">
      <c r="A155" s="61"/>
      <c r="B155" s="28"/>
      <c r="C155" s="61"/>
      <c r="D155" s="61"/>
      <c r="E155" s="62"/>
      <c r="F155" s="62"/>
      <c r="G155" s="62"/>
      <c r="I155" s="63"/>
      <c r="M155" s="28"/>
      <c r="N155" s="4"/>
    </row>
    <row r="156" spans="1:14" s="64" customFormat="1" x14ac:dyDescent="0.25">
      <c r="A156" s="61"/>
      <c r="B156" s="28"/>
      <c r="C156" s="61"/>
      <c r="D156" s="61"/>
      <c r="E156" s="62"/>
      <c r="F156" s="62"/>
      <c r="G156" s="62"/>
      <c r="I156" s="63"/>
      <c r="M156" s="28"/>
      <c r="N156" s="4"/>
    </row>
    <row r="157" spans="1:14" s="64" customFormat="1" x14ac:dyDescent="0.25">
      <c r="A157" s="61"/>
      <c r="B157" s="28"/>
      <c r="C157" s="61"/>
      <c r="D157" s="61"/>
      <c r="E157" s="62"/>
      <c r="F157" s="62"/>
      <c r="G157" s="62"/>
      <c r="I157" s="63"/>
      <c r="M157" s="28"/>
      <c r="N157" s="4"/>
    </row>
    <row r="158" spans="1:14" s="64" customFormat="1" x14ac:dyDescent="0.25">
      <c r="A158" s="61"/>
      <c r="B158" s="28"/>
      <c r="C158" s="61"/>
      <c r="D158" s="61"/>
      <c r="E158" s="62"/>
      <c r="F158" s="62"/>
      <c r="G158" s="62"/>
      <c r="I158" s="63"/>
      <c r="M158" s="28"/>
      <c r="N158" s="4"/>
    </row>
    <row r="159" spans="1:14" s="64" customFormat="1" x14ac:dyDescent="0.25">
      <c r="A159" s="61"/>
      <c r="B159" s="28"/>
      <c r="C159" s="61"/>
      <c r="D159" s="61"/>
      <c r="E159" s="62"/>
      <c r="F159" s="62"/>
      <c r="G159" s="62"/>
      <c r="I159" s="63"/>
      <c r="M159" s="28"/>
      <c r="N159" s="4"/>
    </row>
    <row r="160" spans="1:14" s="64" customFormat="1" x14ac:dyDescent="0.25">
      <c r="A160" s="61"/>
      <c r="B160" s="28"/>
      <c r="C160" s="61"/>
      <c r="D160" s="61"/>
      <c r="E160" s="62"/>
      <c r="F160" s="62"/>
      <c r="G160" s="62"/>
      <c r="I160" s="63"/>
      <c r="M160" s="28"/>
      <c r="N160" s="4"/>
    </row>
    <row r="161" spans="1:14" s="64" customFormat="1" x14ac:dyDescent="0.25">
      <c r="A161" s="61"/>
      <c r="B161" s="28"/>
      <c r="C161" s="61"/>
      <c r="D161" s="61"/>
      <c r="E161" s="62"/>
      <c r="F161" s="62"/>
      <c r="G161" s="62"/>
      <c r="I161" s="63"/>
      <c r="M161" s="28"/>
      <c r="N161" s="4"/>
    </row>
    <row r="162" spans="1:14" s="64" customFormat="1" x14ac:dyDescent="0.25">
      <c r="A162" s="61"/>
      <c r="B162" s="28"/>
      <c r="C162" s="61"/>
      <c r="D162" s="61"/>
      <c r="E162" s="62"/>
      <c r="F162" s="62"/>
      <c r="G162" s="62"/>
      <c r="I162" s="63"/>
      <c r="M162" s="28"/>
      <c r="N162" s="4"/>
    </row>
    <row r="163" spans="1:14" s="64" customFormat="1" x14ac:dyDescent="0.25">
      <c r="A163" s="61"/>
      <c r="B163" s="28"/>
      <c r="C163" s="61"/>
      <c r="D163" s="61"/>
      <c r="E163" s="62"/>
      <c r="F163" s="62"/>
      <c r="G163" s="62"/>
      <c r="I163" s="63"/>
      <c r="M163" s="28"/>
      <c r="N163" s="4"/>
    </row>
    <row r="164" spans="1:14" s="64" customFormat="1" x14ac:dyDescent="0.25">
      <c r="A164" s="61"/>
      <c r="B164" s="28"/>
      <c r="C164" s="61"/>
      <c r="D164" s="61"/>
      <c r="E164" s="62"/>
      <c r="F164" s="62"/>
      <c r="G164" s="62"/>
      <c r="I164" s="63"/>
      <c r="M164" s="28"/>
      <c r="N164" s="4"/>
    </row>
    <row r="165" spans="1:14" s="64" customFormat="1" x14ac:dyDescent="0.25">
      <c r="A165" s="61"/>
      <c r="B165" s="28"/>
      <c r="C165" s="61"/>
      <c r="D165" s="61"/>
      <c r="E165" s="62"/>
      <c r="F165" s="62"/>
      <c r="G165" s="62"/>
      <c r="I165" s="63"/>
      <c r="M165" s="28"/>
      <c r="N165" s="4"/>
    </row>
  </sheetData>
  <mergeCells count="17">
    <mergeCell ref="L2:L3"/>
    <mergeCell ref="M2:M3"/>
    <mergeCell ref="A2:A3"/>
    <mergeCell ref="B2:B3"/>
    <mergeCell ref="C2:C3"/>
    <mergeCell ref="D2:D3"/>
    <mergeCell ref="E2:E3"/>
    <mergeCell ref="H2:H3"/>
    <mergeCell ref="I2:I3"/>
    <mergeCell ref="J2:J3"/>
    <mergeCell ref="E131:H131"/>
    <mergeCell ref="J131:K131"/>
    <mergeCell ref="E132:H132"/>
    <mergeCell ref="J132:K132"/>
    <mergeCell ref="F2:F3"/>
    <mergeCell ref="G2:G3"/>
    <mergeCell ref="K2:K3"/>
  </mergeCells>
  <conditionalFormatting sqref="I16">
    <cfRule type="duplicateValues" dxfId="2" priority="1"/>
  </conditionalFormatting>
  <pageMargins left="0.7" right="0.7" top="0.75" bottom="0.75" header="0.3" footer="0.3"/>
  <pageSetup paperSize="8" scale="5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C7216-DFE0-4D46-9BC9-5E295F644960}">
  <dimension ref="A1:N165"/>
  <sheetViews>
    <sheetView zoomScaleNormal="100" zoomScaleSheetLayoutView="100" workbookViewId="0">
      <pane xSplit="2" ySplit="3" topLeftCell="C98" activePane="bottomRight" state="frozen"/>
      <selection pane="topRight" activeCell="D1" sqref="D1"/>
      <selection pane="bottomLeft" activeCell="A6" sqref="A6"/>
      <selection pane="bottomRight" activeCell="G2" sqref="G2:G3"/>
    </sheetView>
  </sheetViews>
  <sheetFormatPr defaultColWidth="9.140625" defaultRowHeight="13.5" x14ac:dyDescent="0.25"/>
  <cols>
    <col min="1" max="1" width="41.140625" style="61" bestFit="1" customWidth="1"/>
    <col min="2" max="2" width="38.28515625" style="28" customWidth="1"/>
    <col min="3" max="3" width="16" style="61" bestFit="1" customWidth="1"/>
    <col min="4" max="4" width="12.42578125" style="61" customWidth="1"/>
    <col min="5" max="5" width="16" style="61" bestFit="1" customWidth="1"/>
    <col min="6" max="7" width="16" style="61" customWidth="1"/>
    <col min="8" max="8" width="12.28515625" style="64" customWidth="1"/>
    <col min="9" max="9" width="21.42578125" style="63" hidden="1" customWidth="1"/>
    <col min="10" max="10" width="20" style="64" hidden="1" customWidth="1"/>
    <col min="11" max="11" width="17.42578125" style="64" hidden="1" customWidth="1"/>
    <col min="12" max="12" width="12" style="64" hidden="1" customWidth="1"/>
    <col min="13" max="13" width="15" style="28" customWidth="1"/>
    <col min="14" max="14" width="10.42578125" style="4" customWidth="1"/>
    <col min="15" max="16384" width="9.140625" style="28"/>
  </cols>
  <sheetData>
    <row r="1" spans="1:14" s="7" customFormat="1" ht="30" customHeight="1" x14ac:dyDescent="0.25">
      <c r="A1" s="303" t="s">
        <v>466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5"/>
      <c r="N1" s="4"/>
    </row>
    <row r="2" spans="1:14" s="11" customFormat="1" ht="19.5" customHeight="1" x14ac:dyDescent="0.25">
      <c r="A2" s="313" t="s">
        <v>2</v>
      </c>
      <c r="B2" s="308" t="s">
        <v>3</v>
      </c>
      <c r="C2" s="314" t="s">
        <v>4</v>
      </c>
      <c r="D2" s="308" t="s">
        <v>5</v>
      </c>
      <c r="E2" s="308" t="s">
        <v>6</v>
      </c>
      <c r="F2" s="301"/>
      <c r="G2" s="314" t="s">
        <v>31</v>
      </c>
      <c r="H2" s="308" t="s">
        <v>9</v>
      </c>
      <c r="I2" s="308" t="s">
        <v>10</v>
      </c>
      <c r="J2" s="308" t="s">
        <v>11</v>
      </c>
      <c r="K2" s="308" t="s">
        <v>12</v>
      </c>
      <c r="L2" s="308" t="s">
        <v>13</v>
      </c>
      <c r="M2" s="309" t="s">
        <v>14</v>
      </c>
      <c r="N2" s="8"/>
    </row>
    <row r="3" spans="1:14" s="11" customFormat="1" ht="26.25" customHeight="1" x14ac:dyDescent="0.25">
      <c r="A3" s="313"/>
      <c r="B3" s="308"/>
      <c r="C3" s="315"/>
      <c r="D3" s="308"/>
      <c r="E3" s="308"/>
      <c r="F3" s="301"/>
      <c r="G3" s="315"/>
      <c r="H3" s="308"/>
      <c r="I3" s="308"/>
      <c r="J3" s="308"/>
      <c r="K3" s="308"/>
      <c r="L3" s="308"/>
      <c r="M3" s="309"/>
      <c r="N3" s="8"/>
    </row>
    <row r="4" spans="1:14" s="6" customFormat="1" x14ac:dyDescent="0.25">
      <c r="A4" s="69" t="s">
        <v>465</v>
      </c>
      <c r="B4" s="70" t="s">
        <v>71</v>
      </c>
      <c r="C4" s="69">
        <v>13.7</v>
      </c>
      <c r="D4" s="14">
        <v>0.3</v>
      </c>
      <c r="E4" s="15">
        <f t="shared" ref="E4:E35" si="0">C4*D4</f>
        <v>4.1099999999999994</v>
      </c>
      <c r="F4" s="15"/>
      <c r="G4" s="15">
        <f>E4-F4</f>
        <v>4.1099999999999994</v>
      </c>
      <c r="H4" s="16">
        <v>5744412</v>
      </c>
      <c r="I4" s="17" t="s">
        <v>72</v>
      </c>
      <c r="J4" s="16" t="s">
        <v>73</v>
      </c>
      <c r="K4" s="266" t="s">
        <v>74</v>
      </c>
      <c r="L4" s="16">
        <v>92566993</v>
      </c>
      <c r="M4" s="16"/>
      <c r="N4" s="4"/>
    </row>
    <row r="5" spans="1:14" s="6" customFormat="1" x14ac:dyDescent="0.25">
      <c r="A5" s="69" t="s">
        <v>464</v>
      </c>
      <c r="B5" s="70" t="s">
        <v>46</v>
      </c>
      <c r="C5" s="69">
        <v>23</v>
      </c>
      <c r="D5" s="14">
        <v>0.3</v>
      </c>
      <c r="E5" s="15">
        <f t="shared" si="0"/>
        <v>6.8999999999999995</v>
      </c>
      <c r="F5" s="15"/>
      <c r="G5" s="15">
        <f t="shared" ref="G5:G68" si="1">E5-F5</f>
        <v>6.8999999999999995</v>
      </c>
      <c r="H5" s="16">
        <v>3946807</v>
      </c>
      <c r="I5" s="17" t="s">
        <v>75</v>
      </c>
      <c r="J5" s="16" t="s">
        <v>76</v>
      </c>
      <c r="K5" s="16" t="s">
        <v>77</v>
      </c>
      <c r="L5" s="16">
        <v>99702767</v>
      </c>
      <c r="M5" s="16"/>
      <c r="N5" s="4"/>
    </row>
    <row r="6" spans="1:14" s="6" customFormat="1" x14ac:dyDescent="0.25">
      <c r="A6" s="69" t="s">
        <v>463</v>
      </c>
      <c r="B6" s="70" t="s">
        <v>78</v>
      </c>
      <c r="C6" s="69">
        <v>25.8</v>
      </c>
      <c r="D6" s="14">
        <v>0.3</v>
      </c>
      <c r="E6" s="15">
        <f t="shared" si="0"/>
        <v>7.74</v>
      </c>
      <c r="F6" s="15"/>
      <c r="G6" s="15">
        <f t="shared" si="1"/>
        <v>7.74</v>
      </c>
      <c r="H6" s="16">
        <v>13974337</v>
      </c>
      <c r="I6" s="17" t="s">
        <v>79</v>
      </c>
      <c r="J6" s="16" t="s">
        <v>80</v>
      </c>
      <c r="K6" s="32" t="s">
        <v>81</v>
      </c>
      <c r="L6" s="16">
        <v>99291110</v>
      </c>
      <c r="M6" s="16"/>
      <c r="N6" s="4"/>
    </row>
    <row r="7" spans="1:14" s="6" customFormat="1" x14ac:dyDescent="0.25">
      <c r="A7" s="12" t="s">
        <v>462</v>
      </c>
      <c r="B7" s="13" t="s">
        <v>82</v>
      </c>
      <c r="C7" s="12">
        <v>105.7</v>
      </c>
      <c r="D7" s="14">
        <v>0.3</v>
      </c>
      <c r="E7" s="15">
        <f t="shared" si="0"/>
        <v>31.71</v>
      </c>
      <c r="F7" s="15"/>
      <c r="G7" s="15">
        <f t="shared" si="1"/>
        <v>31.71</v>
      </c>
      <c r="H7" s="16">
        <v>6488366</v>
      </c>
      <c r="I7" s="17" t="s">
        <v>83</v>
      </c>
      <c r="J7" s="16" t="s">
        <v>73</v>
      </c>
      <c r="K7" s="32" t="s">
        <v>74</v>
      </c>
      <c r="L7" s="16">
        <v>95479797</v>
      </c>
      <c r="M7" s="16" t="s">
        <v>22</v>
      </c>
      <c r="N7" s="4"/>
    </row>
    <row r="8" spans="1:14" s="6" customFormat="1" x14ac:dyDescent="0.25">
      <c r="A8" s="18" t="s">
        <v>461</v>
      </c>
      <c r="B8" s="19" t="s">
        <v>84</v>
      </c>
      <c r="C8" s="18"/>
      <c r="D8" s="20">
        <v>0.3</v>
      </c>
      <c r="E8" s="21">
        <f t="shared" si="0"/>
        <v>0</v>
      </c>
      <c r="F8" s="21"/>
      <c r="G8" s="15">
        <f t="shared" si="1"/>
        <v>0</v>
      </c>
      <c r="H8" s="16">
        <v>1233627</v>
      </c>
      <c r="I8" s="17" t="s">
        <v>85</v>
      </c>
      <c r="J8" s="16" t="s">
        <v>73</v>
      </c>
      <c r="K8" s="32" t="s">
        <v>74</v>
      </c>
      <c r="L8" s="16">
        <v>92788274</v>
      </c>
      <c r="M8" s="12"/>
      <c r="N8" s="4"/>
    </row>
    <row r="9" spans="1:14" s="6" customFormat="1" x14ac:dyDescent="0.25">
      <c r="A9" s="69" t="s">
        <v>460</v>
      </c>
      <c r="B9" s="70" t="s">
        <v>87</v>
      </c>
      <c r="C9" s="69">
        <v>9.4</v>
      </c>
      <c r="D9" s="14">
        <v>0.3</v>
      </c>
      <c r="E9" s="15">
        <f t="shared" si="0"/>
        <v>2.82</v>
      </c>
      <c r="F9" s="15"/>
      <c r="G9" s="15">
        <f t="shared" si="1"/>
        <v>2.82</v>
      </c>
      <c r="H9" s="16">
        <v>1248701</v>
      </c>
      <c r="I9" s="17" t="s">
        <v>88</v>
      </c>
      <c r="J9" s="16" t="s">
        <v>73</v>
      </c>
      <c r="K9" s="32" t="s">
        <v>74</v>
      </c>
      <c r="L9" s="16">
        <v>90911500</v>
      </c>
      <c r="M9" s="12"/>
      <c r="N9" s="4"/>
    </row>
    <row r="10" spans="1:14" s="6" customFormat="1" x14ac:dyDescent="0.25">
      <c r="A10" s="69" t="s">
        <v>459</v>
      </c>
      <c r="B10" s="70" t="s">
        <v>47</v>
      </c>
      <c r="C10" s="69">
        <v>39.700000000000003</v>
      </c>
      <c r="D10" s="14">
        <v>0.3</v>
      </c>
      <c r="E10" s="15">
        <f t="shared" si="0"/>
        <v>11.91</v>
      </c>
      <c r="F10" s="15"/>
      <c r="G10" s="15">
        <f t="shared" si="1"/>
        <v>11.91</v>
      </c>
      <c r="H10" s="16">
        <v>1183461</v>
      </c>
      <c r="I10" s="17" t="s">
        <v>89</v>
      </c>
      <c r="J10" s="16" t="s">
        <v>90</v>
      </c>
      <c r="K10" s="29" t="s">
        <v>91</v>
      </c>
      <c r="L10" s="16">
        <v>95622123</v>
      </c>
      <c r="M10" s="17"/>
      <c r="N10" s="4"/>
    </row>
    <row r="11" spans="1:14" s="6" customFormat="1" x14ac:dyDescent="0.25">
      <c r="A11" s="12" t="s">
        <v>458</v>
      </c>
      <c r="B11" s="13" t="s">
        <v>92</v>
      </c>
      <c r="C11" s="12">
        <v>27.1</v>
      </c>
      <c r="D11" s="14">
        <v>0.3</v>
      </c>
      <c r="E11" s="15">
        <f t="shared" si="0"/>
        <v>8.1300000000000008</v>
      </c>
      <c r="F11" s="15"/>
      <c r="G11" s="15">
        <f t="shared" si="1"/>
        <v>8.1300000000000008</v>
      </c>
      <c r="H11" s="16">
        <v>1348989</v>
      </c>
      <c r="I11" s="17" t="s">
        <v>93</v>
      </c>
      <c r="J11" s="16" t="s">
        <v>94</v>
      </c>
      <c r="K11" s="182" t="s">
        <v>95</v>
      </c>
      <c r="L11" s="16">
        <v>99678203</v>
      </c>
      <c r="M11" s="16" t="s">
        <v>22</v>
      </c>
      <c r="N11" s="4"/>
    </row>
    <row r="12" spans="1:14" s="6" customFormat="1" x14ac:dyDescent="0.25">
      <c r="A12" s="69" t="s">
        <v>457</v>
      </c>
      <c r="B12" s="70" t="s">
        <v>96</v>
      </c>
      <c r="C12" s="69">
        <v>340</v>
      </c>
      <c r="D12" s="14">
        <v>0.3</v>
      </c>
      <c r="E12" s="15">
        <f t="shared" si="0"/>
        <v>102</v>
      </c>
      <c r="F12" s="15"/>
      <c r="G12" s="15">
        <f t="shared" si="1"/>
        <v>102</v>
      </c>
      <c r="H12" s="16">
        <v>896658</v>
      </c>
      <c r="I12" s="17" t="s">
        <v>97</v>
      </c>
      <c r="J12" s="16" t="s">
        <v>90</v>
      </c>
      <c r="K12" s="29" t="s">
        <v>91</v>
      </c>
      <c r="L12" s="16">
        <v>99831783</v>
      </c>
      <c r="M12" s="12"/>
      <c r="N12" s="4"/>
    </row>
    <row r="13" spans="1:14" s="72" customFormat="1" x14ac:dyDescent="0.25">
      <c r="A13" s="69" t="s">
        <v>456</v>
      </c>
      <c r="B13" s="70" t="s">
        <v>98</v>
      </c>
      <c r="C13" s="69">
        <v>46.2</v>
      </c>
      <c r="D13" s="14">
        <v>0.3</v>
      </c>
      <c r="E13" s="15">
        <f t="shared" si="0"/>
        <v>13.860000000000001</v>
      </c>
      <c r="F13" s="15"/>
      <c r="G13" s="15">
        <f t="shared" si="1"/>
        <v>13.860000000000001</v>
      </c>
      <c r="H13" s="16">
        <v>2884732</v>
      </c>
      <c r="I13" s="17" t="s">
        <v>99</v>
      </c>
      <c r="J13" s="16" t="s">
        <v>18</v>
      </c>
      <c r="K13" s="32" t="s">
        <v>19</v>
      </c>
      <c r="L13" s="16">
        <v>95878851</v>
      </c>
      <c r="M13" s="17"/>
      <c r="N13" s="4"/>
    </row>
    <row r="14" spans="1:14" s="6" customFormat="1" x14ac:dyDescent="0.25">
      <c r="A14" s="18" t="s">
        <v>455</v>
      </c>
      <c r="B14" s="19" t="s">
        <v>100</v>
      </c>
      <c r="C14" s="18"/>
      <c r="D14" s="20">
        <v>0.3</v>
      </c>
      <c r="E14" s="21">
        <f t="shared" si="0"/>
        <v>0</v>
      </c>
      <c r="F14" s="21"/>
      <c r="G14" s="15">
        <f t="shared" si="1"/>
        <v>0</v>
      </c>
      <c r="H14" s="16">
        <v>1015515</v>
      </c>
      <c r="I14" s="17" t="s">
        <v>101</v>
      </c>
      <c r="J14" s="16" t="s">
        <v>90</v>
      </c>
      <c r="K14" s="29" t="s">
        <v>91</v>
      </c>
      <c r="L14" s="16">
        <v>92350077</v>
      </c>
      <c r="M14" s="17"/>
      <c r="N14" s="4"/>
    </row>
    <row r="15" spans="1:14" s="6" customFormat="1" x14ac:dyDescent="0.25">
      <c r="A15" s="12" t="s">
        <v>454</v>
      </c>
      <c r="B15" s="13" t="s">
        <v>102</v>
      </c>
      <c r="C15" s="12">
        <v>38</v>
      </c>
      <c r="D15" s="14">
        <v>0.3</v>
      </c>
      <c r="E15" s="15">
        <f t="shared" si="0"/>
        <v>11.4</v>
      </c>
      <c r="F15" s="15"/>
      <c r="G15" s="15">
        <f t="shared" si="1"/>
        <v>11.4</v>
      </c>
      <c r="H15" s="16">
        <v>1248772</v>
      </c>
      <c r="I15" s="17" t="s">
        <v>103</v>
      </c>
      <c r="J15" s="16" t="s">
        <v>94</v>
      </c>
      <c r="K15" s="182" t="s">
        <v>95</v>
      </c>
      <c r="L15" s="16">
        <v>91102881</v>
      </c>
      <c r="M15" s="16" t="s">
        <v>22</v>
      </c>
      <c r="N15" s="4"/>
    </row>
    <row r="16" spans="1:14" x14ac:dyDescent="0.25">
      <c r="A16" s="69" t="s">
        <v>21</v>
      </c>
      <c r="B16" s="70" t="s">
        <v>15</v>
      </c>
      <c r="C16" s="69">
        <v>24.4</v>
      </c>
      <c r="D16" s="14">
        <v>0.3</v>
      </c>
      <c r="E16" s="15">
        <f t="shared" si="0"/>
        <v>7.3199999999999994</v>
      </c>
      <c r="F16" s="278"/>
      <c r="G16" s="15">
        <f t="shared" si="1"/>
        <v>7.3199999999999994</v>
      </c>
      <c r="H16" s="117">
        <v>6225617</v>
      </c>
      <c r="I16" s="118" t="s">
        <v>17</v>
      </c>
      <c r="J16" s="16" t="s">
        <v>18</v>
      </c>
      <c r="K16" s="29" t="s">
        <v>19</v>
      </c>
      <c r="L16" s="16">
        <v>98004554</v>
      </c>
      <c r="M16" s="17"/>
    </row>
    <row r="17" spans="1:14" s="6" customFormat="1" x14ac:dyDescent="0.25">
      <c r="A17" s="18" t="s">
        <v>453</v>
      </c>
      <c r="B17" s="19" t="s">
        <v>105</v>
      </c>
      <c r="C17" s="18"/>
      <c r="D17" s="20">
        <v>0.3</v>
      </c>
      <c r="E17" s="21">
        <f t="shared" si="0"/>
        <v>0</v>
      </c>
      <c r="F17" s="21"/>
      <c r="G17" s="15">
        <f t="shared" si="1"/>
        <v>0</v>
      </c>
      <c r="H17" s="69">
        <v>17375838</v>
      </c>
      <c r="I17" s="183" t="s">
        <v>106</v>
      </c>
      <c r="J17" s="78" t="s">
        <v>73</v>
      </c>
      <c r="K17" s="79" t="s">
        <v>74</v>
      </c>
      <c r="L17" s="79">
        <v>95089970</v>
      </c>
      <c r="M17" s="79"/>
      <c r="N17" s="4"/>
    </row>
    <row r="18" spans="1:14" s="6" customFormat="1" x14ac:dyDescent="0.25">
      <c r="A18" s="69" t="s">
        <v>452</v>
      </c>
      <c r="B18" s="70" t="s">
        <v>48</v>
      </c>
      <c r="C18" s="69">
        <v>73.8</v>
      </c>
      <c r="D18" s="14">
        <v>0.3</v>
      </c>
      <c r="E18" s="15">
        <f t="shared" si="0"/>
        <v>22.139999999999997</v>
      </c>
      <c r="F18" s="15"/>
      <c r="G18" s="15">
        <f t="shared" si="1"/>
        <v>22.139999999999997</v>
      </c>
      <c r="H18" s="16">
        <v>6552811</v>
      </c>
      <c r="I18" s="17" t="s">
        <v>107</v>
      </c>
      <c r="J18" s="16" t="s">
        <v>73</v>
      </c>
      <c r="K18" s="32" t="s">
        <v>74</v>
      </c>
      <c r="L18" s="16">
        <v>99085221</v>
      </c>
      <c r="M18" s="12"/>
      <c r="N18" s="4"/>
    </row>
    <row r="19" spans="1:14" s="6" customFormat="1" x14ac:dyDescent="0.25">
      <c r="A19" s="69" t="s">
        <v>451</v>
      </c>
      <c r="B19" s="70" t="s">
        <v>108</v>
      </c>
      <c r="C19" s="69">
        <v>85.5</v>
      </c>
      <c r="D19" s="14">
        <v>0.3</v>
      </c>
      <c r="E19" s="15">
        <f t="shared" si="0"/>
        <v>25.65</v>
      </c>
      <c r="F19" s="15"/>
      <c r="G19" s="15">
        <f t="shared" si="1"/>
        <v>25.65</v>
      </c>
      <c r="H19" s="16">
        <v>6552839</v>
      </c>
      <c r="I19" s="17" t="s">
        <v>109</v>
      </c>
      <c r="J19" s="16" t="s">
        <v>90</v>
      </c>
      <c r="K19" s="29" t="s">
        <v>91</v>
      </c>
      <c r="L19" s="16">
        <v>92017833</v>
      </c>
      <c r="M19" s="12"/>
      <c r="N19" s="4"/>
    </row>
    <row r="20" spans="1:14" s="6" customFormat="1" x14ac:dyDescent="0.25">
      <c r="A20" s="69" t="s">
        <v>450</v>
      </c>
      <c r="B20" s="70" t="s">
        <v>110</v>
      </c>
      <c r="C20" s="69">
        <v>15</v>
      </c>
      <c r="D20" s="14">
        <v>0.3</v>
      </c>
      <c r="E20" s="15">
        <f t="shared" si="0"/>
        <v>4.5</v>
      </c>
      <c r="F20" s="15"/>
      <c r="G20" s="15">
        <f t="shared" si="1"/>
        <v>4.5</v>
      </c>
      <c r="H20" s="16">
        <v>1183437</v>
      </c>
      <c r="I20" s="17" t="s">
        <v>111</v>
      </c>
      <c r="J20" s="16" t="s">
        <v>73</v>
      </c>
      <c r="K20" s="32" t="s">
        <v>74</v>
      </c>
      <c r="L20" s="16">
        <v>92585717</v>
      </c>
      <c r="M20" s="12"/>
      <c r="N20" s="4"/>
    </row>
    <row r="21" spans="1:14" s="6" customFormat="1" x14ac:dyDescent="0.25">
      <c r="A21" s="18" t="s">
        <v>449</v>
      </c>
      <c r="B21" s="19" t="s">
        <v>113</v>
      </c>
      <c r="C21" s="18"/>
      <c r="D21" s="20">
        <v>0.3</v>
      </c>
      <c r="E21" s="21">
        <f t="shared" si="0"/>
        <v>0</v>
      </c>
      <c r="F21" s="21"/>
      <c r="G21" s="15">
        <f t="shared" si="1"/>
        <v>0</v>
      </c>
      <c r="H21" s="16">
        <v>19745547</v>
      </c>
      <c r="I21" s="17" t="s">
        <v>114</v>
      </c>
      <c r="J21" s="16" t="s">
        <v>73</v>
      </c>
      <c r="K21" s="32" t="s">
        <v>74</v>
      </c>
      <c r="L21" s="16">
        <v>98821811</v>
      </c>
      <c r="M21" s="12"/>
      <c r="N21" s="4"/>
    </row>
    <row r="22" spans="1:14" s="6" customFormat="1" x14ac:dyDescent="0.25">
      <c r="A22" s="12" t="s">
        <v>448</v>
      </c>
      <c r="B22" s="13" t="s">
        <v>115</v>
      </c>
      <c r="C22" s="12">
        <v>317.5</v>
      </c>
      <c r="D22" s="14">
        <v>0.3</v>
      </c>
      <c r="E22" s="15">
        <f t="shared" si="0"/>
        <v>95.25</v>
      </c>
      <c r="F22" s="15"/>
      <c r="G22" s="15">
        <f t="shared" si="1"/>
        <v>95.25</v>
      </c>
      <c r="H22" s="16">
        <v>6067343</v>
      </c>
      <c r="I22" s="17" t="s">
        <v>116</v>
      </c>
      <c r="J22" s="16" t="s">
        <v>94</v>
      </c>
      <c r="K22" s="182" t="s">
        <v>95</v>
      </c>
      <c r="L22" s="16">
        <v>91329902</v>
      </c>
      <c r="M22" s="12" t="s">
        <v>22</v>
      </c>
      <c r="N22" s="4"/>
    </row>
    <row r="23" spans="1:14" s="6" customFormat="1" x14ac:dyDescent="0.25">
      <c r="A23" s="69" t="s">
        <v>447</v>
      </c>
      <c r="B23" s="70" t="s">
        <v>49</v>
      </c>
      <c r="C23" s="69">
        <v>33.4</v>
      </c>
      <c r="D23" s="14">
        <v>0.3</v>
      </c>
      <c r="E23" s="15">
        <f t="shared" si="0"/>
        <v>10.02</v>
      </c>
      <c r="F23" s="15"/>
      <c r="G23" s="15">
        <f t="shared" si="1"/>
        <v>10.02</v>
      </c>
      <c r="H23" s="16">
        <v>1994004</v>
      </c>
      <c r="I23" s="17" t="s">
        <v>117</v>
      </c>
      <c r="J23" s="16" t="s">
        <v>73</v>
      </c>
      <c r="K23" s="32" t="s">
        <v>74</v>
      </c>
      <c r="L23" s="16">
        <v>99489917</v>
      </c>
      <c r="M23" s="12"/>
      <c r="N23" s="4"/>
    </row>
    <row r="24" spans="1:14" s="6" customFormat="1" x14ac:dyDescent="0.25">
      <c r="A24" s="69" t="s">
        <v>446</v>
      </c>
      <c r="B24" s="70" t="s">
        <v>118</v>
      </c>
      <c r="C24" s="69">
        <v>38.5</v>
      </c>
      <c r="D24" s="14">
        <v>0.3</v>
      </c>
      <c r="E24" s="15">
        <f t="shared" si="0"/>
        <v>11.549999999999999</v>
      </c>
      <c r="F24" s="15"/>
      <c r="G24" s="15">
        <f t="shared" si="1"/>
        <v>11.549999999999999</v>
      </c>
      <c r="H24" s="16">
        <v>3206725</v>
      </c>
      <c r="I24" s="17">
        <v>401002509090012</v>
      </c>
      <c r="J24" s="16" t="s">
        <v>73</v>
      </c>
      <c r="K24" s="32" t="s">
        <v>74</v>
      </c>
      <c r="L24" s="16">
        <v>93325253</v>
      </c>
      <c r="M24" s="12"/>
      <c r="N24" s="4"/>
    </row>
    <row r="25" spans="1:14" x14ac:dyDescent="0.25">
      <c r="A25" s="69" t="s">
        <v>445</v>
      </c>
      <c r="B25" s="70" t="s">
        <v>119</v>
      </c>
      <c r="C25" s="69">
        <v>140.5</v>
      </c>
      <c r="D25" s="14">
        <v>0.3</v>
      </c>
      <c r="E25" s="15">
        <f t="shared" si="0"/>
        <v>42.15</v>
      </c>
      <c r="F25" s="15"/>
      <c r="G25" s="15">
        <f t="shared" si="1"/>
        <v>42.15</v>
      </c>
      <c r="H25" s="16">
        <v>5474204</v>
      </c>
      <c r="I25" s="17" t="s">
        <v>120</v>
      </c>
      <c r="J25" s="16" t="s">
        <v>73</v>
      </c>
      <c r="K25" s="32" t="s">
        <v>74</v>
      </c>
      <c r="L25" s="16">
        <v>92806972</v>
      </c>
      <c r="M25" s="12" t="s">
        <v>22</v>
      </c>
    </row>
    <row r="26" spans="1:14" s="6" customFormat="1" x14ac:dyDescent="0.25">
      <c r="A26" s="69" t="s">
        <v>444</v>
      </c>
      <c r="B26" s="70" t="s">
        <v>51</v>
      </c>
      <c r="C26" s="69">
        <v>29.6</v>
      </c>
      <c r="D26" s="14">
        <v>0.3</v>
      </c>
      <c r="E26" s="15">
        <f t="shared" si="0"/>
        <v>8.8800000000000008</v>
      </c>
      <c r="F26" s="15"/>
      <c r="G26" s="15">
        <f t="shared" si="1"/>
        <v>8.8800000000000008</v>
      </c>
      <c r="H26" s="78">
        <v>3083395</v>
      </c>
      <c r="I26" s="183" t="s">
        <v>121</v>
      </c>
      <c r="J26" s="78" t="s">
        <v>73</v>
      </c>
      <c r="K26" s="79" t="s">
        <v>74</v>
      </c>
      <c r="L26" s="78">
        <v>99287760</v>
      </c>
      <c r="M26" s="69"/>
      <c r="N26" s="4"/>
    </row>
    <row r="27" spans="1:14" s="6" customFormat="1" x14ac:dyDescent="0.25">
      <c r="A27" s="18" t="s">
        <v>443</v>
      </c>
      <c r="B27" s="19" t="s">
        <v>122</v>
      </c>
      <c r="C27" s="18"/>
      <c r="D27" s="20">
        <v>0.3</v>
      </c>
      <c r="E27" s="21">
        <f t="shared" si="0"/>
        <v>0</v>
      </c>
      <c r="F27" s="21"/>
      <c r="G27" s="15">
        <f t="shared" si="1"/>
        <v>0</v>
      </c>
      <c r="H27" s="16">
        <v>2011348</v>
      </c>
      <c r="I27" s="17" t="s">
        <v>123</v>
      </c>
      <c r="J27" s="16" t="s">
        <v>94</v>
      </c>
      <c r="K27" s="182" t="s">
        <v>95</v>
      </c>
      <c r="L27" s="16">
        <v>98509729</v>
      </c>
      <c r="M27" s="12"/>
      <c r="N27" s="4"/>
    </row>
    <row r="28" spans="1:14" s="6" customFormat="1" x14ac:dyDescent="0.25">
      <c r="A28" s="12" t="s">
        <v>442</v>
      </c>
      <c r="B28" s="13" t="s">
        <v>124</v>
      </c>
      <c r="C28" s="12">
        <v>16.3</v>
      </c>
      <c r="D28" s="14">
        <v>0.3</v>
      </c>
      <c r="E28" s="15">
        <f t="shared" si="0"/>
        <v>4.8899999999999997</v>
      </c>
      <c r="F28" s="15"/>
      <c r="G28" s="15">
        <f t="shared" si="1"/>
        <v>4.8899999999999997</v>
      </c>
      <c r="H28" s="16">
        <v>2396272</v>
      </c>
      <c r="I28" s="17" t="s">
        <v>125</v>
      </c>
      <c r="J28" s="16" t="s">
        <v>73</v>
      </c>
      <c r="K28" s="32" t="s">
        <v>74</v>
      </c>
      <c r="L28" s="16">
        <v>990991999</v>
      </c>
      <c r="M28" s="16" t="s">
        <v>22</v>
      </c>
      <c r="N28" s="4"/>
    </row>
    <row r="29" spans="1:14" s="6" customFormat="1" x14ac:dyDescent="0.25">
      <c r="A29" s="12" t="s">
        <v>441</v>
      </c>
      <c r="B29" s="13" t="s">
        <v>32</v>
      </c>
      <c r="C29" s="12">
        <v>101.7</v>
      </c>
      <c r="D29" s="14">
        <v>0.3</v>
      </c>
      <c r="E29" s="15">
        <f t="shared" si="0"/>
        <v>30.509999999999998</v>
      </c>
      <c r="F29" s="15"/>
      <c r="G29" s="15">
        <f t="shared" si="1"/>
        <v>30.509999999999998</v>
      </c>
      <c r="H29" s="16">
        <v>6488371</v>
      </c>
      <c r="I29" s="17" t="s">
        <v>126</v>
      </c>
      <c r="J29" s="16" t="s">
        <v>18</v>
      </c>
      <c r="K29" s="268" t="s">
        <v>19</v>
      </c>
      <c r="L29" s="16">
        <v>99096166</v>
      </c>
      <c r="M29" s="16" t="s">
        <v>22</v>
      </c>
      <c r="N29" s="75"/>
    </row>
    <row r="30" spans="1:14" s="6" customFormat="1" x14ac:dyDescent="0.25">
      <c r="A30" s="69" t="s">
        <v>440</v>
      </c>
      <c r="B30" s="70" t="s">
        <v>127</v>
      </c>
      <c r="C30" s="69">
        <v>37.200000000000003</v>
      </c>
      <c r="D30" s="14">
        <v>0.3</v>
      </c>
      <c r="E30" s="15">
        <f t="shared" si="0"/>
        <v>11.16</v>
      </c>
      <c r="F30" s="15"/>
      <c r="G30" s="15">
        <f t="shared" si="1"/>
        <v>11.16</v>
      </c>
      <c r="H30" s="16">
        <v>8098813</v>
      </c>
      <c r="I30" s="17" t="s">
        <v>128</v>
      </c>
      <c r="J30" s="16" t="s">
        <v>80</v>
      </c>
      <c r="K30" s="185" t="s">
        <v>81</v>
      </c>
      <c r="L30" s="16">
        <v>98279944</v>
      </c>
      <c r="M30" s="12"/>
      <c r="N30" s="4"/>
    </row>
    <row r="31" spans="1:14" s="6" customFormat="1" x14ac:dyDescent="0.25">
      <c r="A31" s="18" t="s">
        <v>439</v>
      </c>
      <c r="B31" s="19" t="s">
        <v>129</v>
      </c>
      <c r="C31" s="18"/>
      <c r="D31" s="20">
        <v>0.3</v>
      </c>
      <c r="E31" s="21">
        <f t="shared" si="0"/>
        <v>0</v>
      </c>
      <c r="F31" s="21"/>
      <c r="G31" s="15">
        <f t="shared" si="1"/>
        <v>0</v>
      </c>
      <c r="H31" s="16">
        <v>931835</v>
      </c>
      <c r="I31" s="17" t="s">
        <v>130</v>
      </c>
      <c r="J31" s="16" t="s">
        <v>73</v>
      </c>
      <c r="K31" s="32" t="s">
        <v>74</v>
      </c>
      <c r="L31" s="16">
        <v>91766175</v>
      </c>
      <c r="M31" s="12"/>
      <c r="N31" s="4"/>
    </row>
    <row r="32" spans="1:14" s="6" customFormat="1" x14ac:dyDescent="0.25">
      <c r="A32" s="69" t="s">
        <v>438</v>
      </c>
      <c r="B32" s="70" t="s">
        <v>53</v>
      </c>
      <c r="C32" s="69">
        <v>19</v>
      </c>
      <c r="D32" s="14">
        <v>0.3</v>
      </c>
      <c r="E32" s="15">
        <f t="shared" si="0"/>
        <v>5.7</v>
      </c>
      <c r="F32" s="15"/>
      <c r="G32" s="15">
        <f t="shared" si="1"/>
        <v>5.7</v>
      </c>
      <c r="H32" s="16">
        <v>18395066</v>
      </c>
      <c r="I32" s="17" t="s">
        <v>131</v>
      </c>
      <c r="J32" s="16" t="s">
        <v>132</v>
      </c>
      <c r="K32" s="32" t="s">
        <v>133</v>
      </c>
      <c r="L32" s="16">
        <v>9562212</v>
      </c>
      <c r="M32" s="12"/>
      <c r="N32" s="4"/>
    </row>
    <row r="33" spans="1:14" s="6" customFormat="1" x14ac:dyDescent="0.25">
      <c r="A33" s="252" t="s">
        <v>437</v>
      </c>
      <c r="B33" s="293" t="s">
        <v>134</v>
      </c>
      <c r="C33" s="252"/>
      <c r="D33" s="292">
        <v>0.3</v>
      </c>
      <c r="E33" s="256">
        <f t="shared" si="0"/>
        <v>0</v>
      </c>
      <c r="F33" s="256"/>
      <c r="G33" s="15">
        <f t="shared" si="1"/>
        <v>0</v>
      </c>
      <c r="H33" s="253">
        <v>5585042</v>
      </c>
      <c r="I33" s="262" t="s">
        <v>135</v>
      </c>
      <c r="J33" s="253" t="s">
        <v>80</v>
      </c>
      <c r="K33" s="296" t="s">
        <v>81</v>
      </c>
      <c r="L33" s="253">
        <v>92768880</v>
      </c>
      <c r="M33" s="252"/>
      <c r="N33" s="4"/>
    </row>
    <row r="34" spans="1:14" s="6" customFormat="1" x14ac:dyDescent="0.25">
      <c r="A34" s="69" t="s">
        <v>436</v>
      </c>
      <c r="B34" s="70" t="s">
        <v>136</v>
      </c>
      <c r="C34" s="69">
        <v>20</v>
      </c>
      <c r="D34" s="14">
        <v>0.3</v>
      </c>
      <c r="E34" s="15">
        <f t="shared" si="0"/>
        <v>6</v>
      </c>
      <c r="F34" s="15"/>
      <c r="G34" s="15">
        <f t="shared" si="1"/>
        <v>6</v>
      </c>
      <c r="H34" s="16">
        <v>24361971</v>
      </c>
      <c r="I34" s="17" t="s">
        <v>137</v>
      </c>
      <c r="J34" s="16" t="s">
        <v>80</v>
      </c>
      <c r="K34" s="185" t="s">
        <v>81</v>
      </c>
      <c r="L34" s="16">
        <v>93384540</v>
      </c>
      <c r="M34" s="269"/>
      <c r="N34" s="4"/>
    </row>
    <row r="35" spans="1:14" s="6" customFormat="1" x14ac:dyDescent="0.25">
      <c r="A35" s="69" t="s">
        <v>435</v>
      </c>
      <c r="B35" s="70" t="s">
        <v>138</v>
      </c>
      <c r="C35" s="69">
        <v>145.69999999999999</v>
      </c>
      <c r="D35" s="14">
        <v>0.3</v>
      </c>
      <c r="E35" s="15">
        <f t="shared" si="0"/>
        <v>43.709999999999994</v>
      </c>
      <c r="F35" s="15"/>
      <c r="G35" s="15">
        <f t="shared" si="1"/>
        <v>43.709999999999994</v>
      </c>
      <c r="H35" s="32">
        <v>19928115</v>
      </c>
      <c r="I35" s="17" t="s">
        <v>139</v>
      </c>
      <c r="J35" s="32" t="s">
        <v>73</v>
      </c>
      <c r="K35" s="32" t="s">
        <v>74</v>
      </c>
      <c r="L35" s="16">
        <v>94606075</v>
      </c>
      <c r="M35" s="33"/>
      <c r="N35" s="4"/>
    </row>
    <row r="36" spans="1:14" s="6" customFormat="1" x14ac:dyDescent="0.25">
      <c r="A36" s="69" t="s">
        <v>434</v>
      </c>
      <c r="B36" s="70" t="s">
        <v>140</v>
      </c>
      <c r="C36" s="69">
        <v>34.1</v>
      </c>
      <c r="D36" s="14">
        <v>0.3</v>
      </c>
      <c r="E36" s="15">
        <f t="shared" ref="E36:E67" si="2">C36*D36</f>
        <v>10.23</v>
      </c>
      <c r="F36" s="15"/>
      <c r="G36" s="15">
        <f t="shared" si="1"/>
        <v>10.23</v>
      </c>
      <c r="H36" s="16">
        <v>2092081</v>
      </c>
      <c r="I36" s="17" t="s">
        <v>141</v>
      </c>
      <c r="J36" s="16" t="s">
        <v>73</v>
      </c>
      <c r="K36" s="32" t="s">
        <v>74</v>
      </c>
      <c r="L36" s="16">
        <v>92565542</v>
      </c>
      <c r="M36" s="12"/>
      <c r="N36" s="4"/>
    </row>
    <row r="37" spans="1:14" s="6" customFormat="1" x14ac:dyDescent="0.25">
      <c r="A37" s="69" t="s">
        <v>433</v>
      </c>
      <c r="B37" s="70" t="s">
        <v>142</v>
      </c>
      <c r="C37" s="69">
        <v>28</v>
      </c>
      <c r="D37" s="14">
        <v>0.3</v>
      </c>
      <c r="E37" s="15">
        <f t="shared" si="2"/>
        <v>8.4</v>
      </c>
      <c r="F37" s="15"/>
      <c r="G37" s="15">
        <f t="shared" si="1"/>
        <v>8.4</v>
      </c>
      <c r="H37" s="16">
        <v>12073906</v>
      </c>
      <c r="I37" s="17" t="s">
        <v>143</v>
      </c>
      <c r="J37" s="16" t="s">
        <v>90</v>
      </c>
      <c r="K37" s="29" t="s">
        <v>91</v>
      </c>
      <c r="L37" s="16">
        <v>95851127</v>
      </c>
      <c r="M37" s="12"/>
      <c r="N37" s="4"/>
    </row>
    <row r="38" spans="1:14" s="6" customFormat="1" x14ac:dyDescent="0.25">
      <c r="A38" s="252" t="s">
        <v>432</v>
      </c>
      <c r="B38" s="293" t="s">
        <v>144</v>
      </c>
      <c r="C38" s="252"/>
      <c r="D38" s="292">
        <v>0.3</v>
      </c>
      <c r="E38" s="256">
        <f t="shared" si="2"/>
        <v>0</v>
      </c>
      <c r="F38" s="256"/>
      <c r="G38" s="15">
        <f t="shared" si="1"/>
        <v>0</v>
      </c>
      <c r="H38" s="253">
        <v>21944623</v>
      </c>
      <c r="I38" s="262" t="s">
        <v>145</v>
      </c>
      <c r="J38" s="253" t="s">
        <v>73</v>
      </c>
      <c r="K38" s="257" t="s">
        <v>74</v>
      </c>
      <c r="L38" s="253">
        <v>96622170</v>
      </c>
      <c r="M38" s="252"/>
      <c r="N38" s="4"/>
    </row>
    <row r="39" spans="1:14" s="6" customFormat="1" x14ac:dyDescent="0.25">
      <c r="A39" s="69" t="s">
        <v>431</v>
      </c>
      <c r="B39" s="70" t="s">
        <v>146</v>
      </c>
      <c r="C39" s="69">
        <v>6.5</v>
      </c>
      <c r="D39" s="14">
        <v>0.3</v>
      </c>
      <c r="E39" s="15">
        <f t="shared" si="2"/>
        <v>1.95</v>
      </c>
      <c r="F39" s="15"/>
      <c r="G39" s="15">
        <f t="shared" si="1"/>
        <v>1.95</v>
      </c>
      <c r="H39" s="16">
        <v>1389397</v>
      </c>
      <c r="I39" s="17" t="s">
        <v>147</v>
      </c>
      <c r="J39" s="16" t="s">
        <v>73</v>
      </c>
      <c r="K39" s="32" t="s">
        <v>74</v>
      </c>
      <c r="L39" s="16">
        <v>99282044</v>
      </c>
      <c r="M39" s="12"/>
      <c r="N39" s="4"/>
    </row>
    <row r="40" spans="1:14" s="6" customFormat="1" x14ac:dyDescent="0.25">
      <c r="A40" s="69" t="s">
        <v>430</v>
      </c>
      <c r="B40" s="70" t="s">
        <v>35</v>
      </c>
      <c r="C40" s="69">
        <v>11</v>
      </c>
      <c r="D40" s="14">
        <v>0.3</v>
      </c>
      <c r="E40" s="15">
        <f t="shared" si="2"/>
        <v>3.3</v>
      </c>
      <c r="F40" s="15"/>
      <c r="G40" s="15">
        <f t="shared" si="1"/>
        <v>3.3</v>
      </c>
      <c r="H40" s="16">
        <v>25021829</v>
      </c>
      <c r="I40" s="17" t="s">
        <v>148</v>
      </c>
      <c r="J40" s="16" t="s">
        <v>73</v>
      </c>
      <c r="K40" s="32" t="s">
        <v>74</v>
      </c>
      <c r="L40" s="16">
        <v>93383987</v>
      </c>
      <c r="M40" s="12"/>
      <c r="N40" s="4"/>
    </row>
    <row r="41" spans="1:14" s="6" customFormat="1" x14ac:dyDescent="0.25">
      <c r="A41" s="69" t="s">
        <v>429</v>
      </c>
      <c r="B41" s="70" t="s">
        <v>149</v>
      </c>
      <c r="C41" s="69">
        <v>9.9</v>
      </c>
      <c r="D41" s="14">
        <v>0.3</v>
      </c>
      <c r="E41" s="15">
        <f t="shared" si="2"/>
        <v>2.97</v>
      </c>
      <c r="F41" s="15"/>
      <c r="G41" s="15">
        <f t="shared" si="1"/>
        <v>2.97</v>
      </c>
      <c r="H41" s="16">
        <v>1499316</v>
      </c>
      <c r="I41" s="17" t="s">
        <v>150</v>
      </c>
      <c r="J41" s="16" t="s">
        <v>90</v>
      </c>
      <c r="K41" s="32" t="s">
        <v>91</v>
      </c>
      <c r="L41" s="16">
        <v>99677197</v>
      </c>
      <c r="M41" s="12"/>
      <c r="N41" s="4"/>
    </row>
    <row r="42" spans="1:14" s="6" customFormat="1" x14ac:dyDescent="0.25">
      <c r="A42" s="18" t="s">
        <v>428</v>
      </c>
      <c r="B42" s="19" t="s">
        <v>151</v>
      </c>
      <c r="C42" s="18"/>
      <c r="D42" s="20">
        <v>0.3</v>
      </c>
      <c r="E42" s="21">
        <f t="shared" si="2"/>
        <v>0</v>
      </c>
      <c r="F42" s="21"/>
      <c r="G42" s="15">
        <f t="shared" si="1"/>
        <v>0</v>
      </c>
      <c r="H42" s="16">
        <v>3018879</v>
      </c>
      <c r="I42" s="17" t="s">
        <v>152</v>
      </c>
      <c r="J42" s="16" t="s">
        <v>80</v>
      </c>
      <c r="K42" s="185" t="s">
        <v>81</v>
      </c>
      <c r="L42" s="16">
        <v>98818754</v>
      </c>
      <c r="M42" s="12"/>
      <c r="N42" s="4"/>
    </row>
    <row r="43" spans="1:14" s="6" customFormat="1" x14ac:dyDescent="0.25">
      <c r="A43" s="18" t="s">
        <v>427</v>
      </c>
      <c r="B43" s="19" t="s">
        <v>153</v>
      </c>
      <c r="C43" s="18"/>
      <c r="D43" s="20">
        <v>0.3</v>
      </c>
      <c r="E43" s="21">
        <f t="shared" si="2"/>
        <v>0</v>
      </c>
      <c r="F43" s="21"/>
      <c r="G43" s="15">
        <f t="shared" si="1"/>
        <v>0</v>
      </c>
      <c r="H43" s="16">
        <v>1485446</v>
      </c>
      <c r="I43" s="17" t="s">
        <v>154</v>
      </c>
      <c r="J43" s="16" t="s">
        <v>18</v>
      </c>
      <c r="K43" s="32" t="s">
        <v>19</v>
      </c>
      <c r="L43" s="16">
        <v>99747558</v>
      </c>
      <c r="M43" s="32" t="s">
        <v>22</v>
      </c>
      <c r="N43" s="4"/>
    </row>
    <row r="44" spans="1:14" x14ac:dyDescent="0.25">
      <c r="A44" s="18" t="s">
        <v>426</v>
      </c>
      <c r="B44" s="19" t="s">
        <v>155</v>
      </c>
      <c r="C44" s="18"/>
      <c r="D44" s="20">
        <v>0.3</v>
      </c>
      <c r="E44" s="21">
        <f t="shared" si="2"/>
        <v>0</v>
      </c>
      <c r="F44" s="21"/>
      <c r="G44" s="15">
        <f t="shared" si="1"/>
        <v>0</v>
      </c>
      <c r="H44" s="78">
        <v>23180515</v>
      </c>
      <c r="I44" s="183" t="s">
        <v>156</v>
      </c>
      <c r="J44" s="78" t="s">
        <v>73</v>
      </c>
      <c r="K44" s="79" t="s">
        <v>74</v>
      </c>
      <c r="L44" s="78">
        <v>95931303</v>
      </c>
      <c r="M44" s="12" t="s">
        <v>22</v>
      </c>
    </row>
    <row r="45" spans="1:14" s="6" customFormat="1" x14ac:dyDescent="0.25">
      <c r="A45" s="69" t="s">
        <v>425</v>
      </c>
      <c r="B45" s="70" t="s">
        <v>157</v>
      </c>
      <c r="C45" s="69">
        <v>24</v>
      </c>
      <c r="D45" s="14">
        <v>0.3</v>
      </c>
      <c r="E45" s="15">
        <f t="shared" si="2"/>
        <v>7.1999999999999993</v>
      </c>
      <c r="F45" s="15"/>
      <c r="G45" s="15">
        <f t="shared" si="1"/>
        <v>7.1999999999999993</v>
      </c>
      <c r="H45" s="16">
        <v>20133638</v>
      </c>
      <c r="I45" s="17" t="s">
        <v>158</v>
      </c>
      <c r="J45" s="16" t="s">
        <v>76</v>
      </c>
      <c r="K45" s="182" t="s">
        <v>77</v>
      </c>
      <c r="L45" s="16">
        <v>92802502</v>
      </c>
      <c r="M45" s="12" t="s">
        <v>22</v>
      </c>
      <c r="N45" s="4"/>
    </row>
    <row r="46" spans="1:14" s="6" customFormat="1" x14ac:dyDescent="0.25">
      <c r="A46" s="18" t="s">
        <v>424</v>
      </c>
      <c r="B46" s="19" t="s">
        <v>159</v>
      </c>
      <c r="C46" s="18"/>
      <c r="D46" s="20">
        <v>0.3</v>
      </c>
      <c r="E46" s="21">
        <f t="shared" si="2"/>
        <v>0</v>
      </c>
      <c r="F46" s="21"/>
      <c r="G46" s="15">
        <f t="shared" si="1"/>
        <v>0</v>
      </c>
      <c r="H46" s="16">
        <v>13271226</v>
      </c>
      <c r="I46" s="17" t="s">
        <v>160</v>
      </c>
      <c r="J46" s="16" t="s">
        <v>73</v>
      </c>
      <c r="K46" s="32" t="s">
        <v>74</v>
      </c>
      <c r="L46" s="16">
        <v>92231129</v>
      </c>
      <c r="M46" s="12" t="s">
        <v>22</v>
      </c>
      <c r="N46" s="4"/>
    </row>
    <row r="47" spans="1:14" s="6" customFormat="1" x14ac:dyDescent="0.25">
      <c r="A47" s="18" t="s">
        <v>423</v>
      </c>
      <c r="B47" s="19" t="s">
        <v>161</v>
      </c>
      <c r="C47" s="18"/>
      <c r="D47" s="20">
        <v>0.3</v>
      </c>
      <c r="E47" s="21">
        <f t="shared" si="2"/>
        <v>0</v>
      </c>
      <c r="F47" s="21"/>
      <c r="G47" s="15">
        <f t="shared" si="1"/>
        <v>0</v>
      </c>
      <c r="H47" s="16">
        <v>828714</v>
      </c>
      <c r="I47" s="17" t="s">
        <v>162</v>
      </c>
      <c r="J47" s="16" t="s">
        <v>94</v>
      </c>
      <c r="K47" s="182" t="s">
        <v>95</v>
      </c>
      <c r="L47" s="16">
        <v>99007372</v>
      </c>
      <c r="M47" s="12" t="s">
        <v>22</v>
      </c>
      <c r="N47" s="4"/>
    </row>
    <row r="48" spans="1:14" s="6" customFormat="1" x14ac:dyDescent="0.25">
      <c r="A48" s="69" t="s">
        <v>422</v>
      </c>
      <c r="B48" s="70" t="s">
        <v>163</v>
      </c>
      <c r="C48" s="69">
        <v>20</v>
      </c>
      <c r="D48" s="14">
        <v>0.3</v>
      </c>
      <c r="E48" s="15">
        <f t="shared" si="2"/>
        <v>6</v>
      </c>
      <c r="F48" s="15"/>
      <c r="G48" s="15">
        <f t="shared" si="1"/>
        <v>6</v>
      </c>
      <c r="H48" s="16">
        <v>5086</v>
      </c>
      <c r="I48" s="17" t="s">
        <v>164</v>
      </c>
      <c r="J48" s="16" t="s">
        <v>94</v>
      </c>
      <c r="K48" s="182" t="s">
        <v>95</v>
      </c>
      <c r="L48" s="16">
        <v>99499787</v>
      </c>
      <c r="M48" s="12"/>
      <c r="N48" s="4"/>
    </row>
    <row r="49" spans="1:14" s="6" customFormat="1" x14ac:dyDescent="0.25">
      <c r="A49" s="18" t="s">
        <v>421</v>
      </c>
      <c r="B49" s="19" t="s">
        <v>165</v>
      </c>
      <c r="C49" s="18"/>
      <c r="D49" s="20">
        <v>0.3</v>
      </c>
      <c r="E49" s="21">
        <f t="shared" si="2"/>
        <v>0</v>
      </c>
      <c r="F49" s="21"/>
      <c r="G49" s="15">
        <f t="shared" si="1"/>
        <v>0</v>
      </c>
      <c r="H49" s="16">
        <v>1282981</v>
      </c>
      <c r="I49" s="17" t="s">
        <v>166</v>
      </c>
      <c r="J49" s="16" t="s">
        <v>80</v>
      </c>
      <c r="K49" s="185" t="s">
        <v>81</v>
      </c>
      <c r="L49" s="16">
        <v>99499053</v>
      </c>
      <c r="M49" s="12"/>
      <c r="N49" s="4"/>
    </row>
    <row r="50" spans="1:14" s="6" customFormat="1" x14ac:dyDescent="0.25">
      <c r="A50" s="18" t="s">
        <v>420</v>
      </c>
      <c r="B50" s="19" t="s">
        <v>167</v>
      </c>
      <c r="C50" s="18"/>
      <c r="D50" s="20">
        <v>0.3</v>
      </c>
      <c r="E50" s="21">
        <f t="shared" si="2"/>
        <v>0</v>
      </c>
      <c r="F50" s="21"/>
      <c r="G50" s="15">
        <f t="shared" si="1"/>
        <v>0</v>
      </c>
      <c r="H50" s="16">
        <v>5949449</v>
      </c>
      <c r="I50" s="17" t="s">
        <v>168</v>
      </c>
      <c r="J50" s="16" t="s">
        <v>80</v>
      </c>
      <c r="K50" s="185" t="s">
        <v>81</v>
      </c>
      <c r="L50" s="16">
        <v>92781944</v>
      </c>
      <c r="M50" s="12"/>
      <c r="N50" s="4"/>
    </row>
    <row r="51" spans="1:14" s="6" customFormat="1" x14ac:dyDescent="0.25">
      <c r="A51" s="18" t="s">
        <v>419</v>
      </c>
      <c r="B51" s="19" t="s">
        <v>169</v>
      </c>
      <c r="C51" s="18"/>
      <c r="D51" s="20">
        <v>0.3</v>
      </c>
      <c r="E51" s="21">
        <f t="shared" si="2"/>
        <v>0</v>
      </c>
      <c r="F51" s="21"/>
      <c r="G51" s="15">
        <f t="shared" si="1"/>
        <v>0</v>
      </c>
      <c r="H51" s="16">
        <v>18629431</v>
      </c>
      <c r="I51" s="17" t="s">
        <v>170</v>
      </c>
      <c r="J51" s="16" t="s">
        <v>73</v>
      </c>
      <c r="K51" s="32" t="s">
        <v>74</v>
      </c>
      <c r="L51" s="16">
        <v>92333700</v>
      </c>
      <c r="M51" s="12"/>
      <c r="N51" s="4"/>
    </row>
    <row r="52" spans="1:14" s="6" customFormat="1" x14ac:dyDescent="0.25">
      <c r="A52" s="18" t="s">
        <v>418</v>
      </c>
      <c r="B52" s="19" t="s">
        <v>171</v>
      </c>
      <c r="C52" s="18"/>
      <c r="D52" s="20">
        <v>0.3</v>
      </c>
      <c r="E52" s="21">
        <f t="shared" si="2"/>
        <v>0</v>
      </c>
      <c r="F52" s="21"/>
      <c r="G52" s="15">
        <f t="shared" si="1"/>
        <v>0</v>
      </c>
      <c r="H52" s="16">
        <v>23212756</v>
      </c>
      <c r="I52" s="17" t="s">
        <v>172</v>
      </c>
      <c r="J52" s="16" t="s">
        <v>94</v>
      </c>
      <c r="K52" s="182" t="s">
        <v>95</v>
      </c>
      <c r="L52" s="16">
        <v>98509729</v>
      </c>
      <c r="M52" s="12"/>
      <c r="N52" s="4"/>
    </row>
    <row r="53" spans="1:14" s="6" customFormat="1" x14ac:dyDescent="0.25">
      <c r="A53" s="69" t="s">
        <v>417</v>
      </c>
      <c r="B53" s="70" t="s">
        <v>173</v>
      </c>
      <c r="C53" s="69">
        <v>60.2</v>
      </c>
      <c r="D53" s="14">
        <v>0.3</v>
      </c>
      <c r="E53" s="15">
        <f t="shared" si="2"/>
        <v>18.059999999999999</v>
      </c>
      <c r="F53" s="15"/>
      <c r="G53" s="15">
        <f t="shared" si="1"/>
        <v>18.059999999999999</v>
      </c>
      <c r="H53" s="16">
        <v>9097024</v>
      </c>
      <c r="I53" s="17" t="s">
        <v>174</v>
      </c>
      <c r="J53" s="16" t="s">
        <v>18</v>
      </c>
      <c r="K53" s="32" t="s">
        <v>19</v>
      </c>
      <c r="L53" s="16">
        <v>95401775</v>
      </c>
      <c r="M53" s="12"/>
      <c r="N53" s="4"/>
    </row>
    <row r="54" spans="1:14" s="6" customFormat="1" x14ac:dyDescent="0.25">
      <c r="A54" s="69" t="s">
        <v>416</v>
      </c>
      <c r="B54" s="70" t="s">
        <v>54</v>
      </c>
      <c r="C54" s="69">
        <v>47.5</v>
      </c>
      <c r="D54" s="14">
        <v>0.3</v>
      </c>
      <c r="E54" s="15">
        <f t="shared" si="2"/>
        <v>14.25</v>
      </c>
      <c r="F54" s="15"/>
      <c r="G54" s="15">
        <f t="shared" si="1"/>
        <v>14.25</v>
      </c>
      <c r="H54" s="16">
        <v>6073815</v>
      </c>
      <c r="I54" s="17" t="s">
        <v>175</v>
      </c>
      <c r="J54" s="16" t="s">
        <v>18</v>
      </c>
      <c r="K54" s="32" t="s">
        <v>19</v>
      </c>
      <c r="L54" s="16">
        <v>98780007</v>
      </c>
      <c r="M54" s="12"/>
      <c r="N54" s="4"/>
    </row>
    <row r="55" spans="1:14" s="6" customFormat="1" x14ac:dyDescent="0.25">
      <c r="A55" s="69" t="s">
        <v>415</v>
      </c>
      <c r="B55" s="70" t="s">
        <v>56</v>
      </c>
      <c r="C55" s="69">
        <v>22.5</v>
      </c>
      <c r="D55" s="14">
        <v>0.3</v>
      </c>
      <c r="E55" s="15">
        <f t="shared" si="2"/>
        <v>6.75</v>
      </c>
      <c r="F55" s="15"/>
      <c r="G55" s="15">
        <f t="shared" si="1"/>
        <v>6.75</v>
      </c>
      <c r="H55" s="16">
        <v>20987274</v>
      </c>
      <c r="I55" s="17" t="s">
        <v>176</v>
      </c>
      <c r="J55" s="16" t="s">
        <v>73</v>
      </c>
      <c r="K55" s="32" t="s">
        <v>74</v>
      </c>
      <c r="L55" s="16">
        <v>92526652</v>
      </c>
      <c r="M55" s="110">
        <v>45170</v>
      </c>
      <c r="N55" s="4"/>
    </row>
    <row r="56" spans="1:14" s="6" customFormat="1" x14ac:dyDescent="0.25">
      <c r="A56" s="12" t="s">
        <v>414</v>
      </c>
      <c r="B56" s="13" t="s">
        <v>177</v>
      </c>
      <c r="C56" s="12">
        <v>15.8</v>
      </c>
      <c r="D56" s="14">
        <v>0.3</v>
      </c>
      <c r="E56" s="15">
        <f t="shared" si="2"/>
        <v>4.74</v>
      </c>
      <c r="F56" s="15"/>
      <c r="G56" s="15">
        <f t="shared" si="1"/>
        <v>4.74</v>
      </c>
      <c r="H56" s="16">
        <v>21910635</v>
      </c>
      <c r="I56" s="17" t="s">
        <v>178</v>
      </c>
      <c r="J56" s="16" t="s">
        <v>18</v>
      </c>
      <c r="K56" s="32" t="s">
        <v>19</v>
      </c>
      <c r="L56" s="16">
        <v>92934362</v>
      </c>
      <c r="M56" s="16" t="s">
        <v>22</v>
      </c>
      <c r="N56" s="4"/>
    </row>
    <row r="57" spans="1:14" s="6" customFormat="1" x14ac:dyDescent="0.25">
      <c r="A57" s="12" t="s">
        <v>413</v>
      </c>
      <c r="B57" s="13" t="s">
        <v>179</v>
      </c>
      <c r="C57" s="12">
        <v>30.5</v>
      </c>
      <c r="D57" s="14">
        <v>0.3</v>
      </c>
      <c r="E57" s="15">
        <f t="shared" si="2"/>
        <v>9.15</v>
      </c>
      <c r="F57" s="15"/>
      <c r="G57" s="15">
        <f t="shared" si="1"/>
        <v>9.15</v>
      </c>
      <c r="H57" s="16">
        <v>6502761</v>
      </c>
      <c r="I57" s="17" t="s">
        <v>180</v>
      </c>
      <c r="J57" s="16" t="s">
        <v>18</v>
      </c>
      <c r="K57" s="32" t="s">
        <v>19</v>
      </c>
      <c r="L57" s="16">
        <v>98033332</v>
      </c>
      <c r="M57" s="16" t="s">
        <v>22</v>
      </c>
      <c r="N57" s="4"/>
    </row>
    <row r="58" spans="1:14" s="6" customFormat="1" x14ac:dyDescent="0.25">
      <c r="A58" s="18">
        <v>2658</v>
      </c>
      <c r="B58" s="19" t="s">
        <v>181</v>
      </c>
      <c r="C58" s="18"/>
      <c r="D58" s="20">
        <v>0.3</v>
      </c>
      <c r="E58" s="21">
        <f t="shared" si="2"/>
        <v>0</v>
      </c>
      <c r="F58" s="21"/>
      <c r="G58" s="15">
        <f t="shared" si="1"/>
        <v>0</v>
      </c>
      <c r="H58" s="16">
        <v>6726168</v>
      </c>
      <c r="I58" s="17" t="s">
        <v>182</v>
      </c>
      <c r="J58" s="16" t="s">
        <v>73</v>
      </c>
      <c r="K58" s="32" t="s">
        <v>74</v>
      </c>
      <c r="L58" s="16"/>
      <c r="M58" s="16"/>
      <c r="N58" s="4"/>
    </row>
    <row r="59" spans="1:14" s="6" customFormat="1" x14ac:dyDescent="0.25">
      <c r="A59" s="12">
        <v>2659</v>
      </c>
      <c r="B59" s="13" t="s">
        <v>183</v>
      </c>
      <c r="C59" s="12">
        <v>13</v>
      </c>
      <c r="D59" s="14">
        <v>0.3</v>
      </c>
      <c r="E59" s="15">
        <f t="shared" si="2"/>
        <v>3.9</v>
      </c>
      <c r="F59" s="15"/>
      <c r="G59" s="15">
        <f t="shared" si="1"/>
        <v>3.9</v>
      </c>
      <c r="H59" s="16">
        <v>5796837</v>
      </c>
      <c r="I59" s="17" t="s">
        <v>184</v>
      </c>
      <c r="J59" s="16" t="s">
        <v>18</v>
      </c>
      <c r="K59" s="32" t="s">
        <v>19</v>
      </c>
      <c r="L59" s="16"/>
      <c r="M59" s="16"/>
      <c r="N59" s="4"/>
    </row>
    <row r="60" spans="1:14" s="6" customFormat="1" x14ac:dyDescent="0.25">
      <c r="A60" s="12" t="s">
        <v>412</v>
      </c>
      <c r="B60" s="13" t="s">
        <v>185</v>
      </c>
      <c r="C60" s="12">
        <v>27.5</v>
      </c>
      <c r="D60" s="14">
        <v>0.3</v>
      </c>
      <c r="E60" s="15">
        <f t="shared" si="2"/>
        <v>8.25</v>
      </c>
      <c r="F60" s="15"/>
      <c r="G60" s="15">
        <f t="shared" si="1"/>
        <v>8.25</v>
      </c>
      <c r="H60" s="16">
        <v>7250691</v>
      </c>
      <c r="I60" s="17" t="s">
        <v>186</v>
      </c>
      <c r="J60" s="16" t="s">
        <v>73</v>
      </c>
      <c r="K60" s="32" t="s">
        <v>74</v>
      </c>
      <c r="L60" s="16"/>
      <c r="M60" s="16"/>
      <c r="N60" s="4"/>
    </row>
    <row r="61" spans="1:14" s="6" customFormat="1" x14ac:dyDescent="0.25">
      <c r="A61" s="18" t="s">
        <v>411</v>
      </c>
      <c r="B61" s="19" t="s">
        <v>187</v>
      </c>
      <c r="C61" s="18"/>
      <c r="D61" s="20">
        <v>0.3</v>
      </c>
      <c r="E61" s="21">
        <f t="shared" si="2"/>
        <v>0</v>
      </c>
      <c r="F61" s="21"/>
      <c r="G61" s="15">
        <f t="shared" si="1"/>
        <v>0</v>
      </c>
      <c r="H61" s="16">
        <v>24935198</v>
      </c>
      <c r="I61" s="17" t="s">
        <v>188</v>
      </c>
      <c r="J61" s="32" t="s">
        <v>73</v>
      </c>
      <c r="K61" s="32" t="s">
        <v>74</v>
      </c>
      <c r="L61" s="16">
        <v>99101900</v>
      </c>
      <c r="M61" s="12"/>
      <c r="N61" s="4"/>
    </row>
    <row r="62" spans="1:14" s="6" customFormat="1" x14ac:dyDescent="0.25">
      <c r="A62" s="12" t="s">
        <v>410</v>
      </c>
      <c r="B62" s="13" t="s">
        <v>189</v>
      </c>
      <c r="C62" s="69">
        <v>99.2</v>
      </c>
      <c r="D62" s="14">
        <v>0.3</v>
      </c>
      <c r="E62" s="15">
        <f t="shared" si="2"/>
        <v>29.759999999999998</v>
      </c>
      <c r="F62" s="15"/>
      <c r="G62" s="15">
        <f t="shared" si="1"/>
        <v>29.759999999999998</v>
      </c>
      <c r="H62" s="16">
        <v>2931011</v>
      </c>
      <c r="I62" s="17" t="s">
        <v>190</v>
      </c>
      <c r="J62" s="16" t="s">
        <v>73</v>
      </c>
      <c r="K62" s="32" t="s">
        <v>74</v>
      </c>
      <c r="L62" s="16">
        <v>92997279</v>
      </c>
      <c r="M62" s="16" t="s">
        <v>22</v>
      </c>
      <c r="N62" s="4"/>
    </row>
    <row r="63" spans="1:14" s="6" customFormat="1" x14ac:dyDescent="0.25">
      <c r="A63" s="69" t="s">
        <v>409</v>
      </c>
      <c r="B63" s="70" t="s">
        <v>191</v>
      </c>
      <c r="C63" s="69">
        <v>34.1</v>
      </c>
      <c r="D63" s="14">
        <v>0.3</v>
      </c>
      <c r="E63" s="15">
        <f t="shared" si="2"/>
        <v>10.23</v>
      </c>
      <c r="F63" s="15"/>
      <c r="G63" s="15">
        <f t="shared" si="1"/>
        <v>10.23</v>
      </c>
      <c r="H63" s="16">
        <v>568448</v>
      </c>
      <c r="I63" s="17" t="s">
        <v>192</v>
      </c>
      <c r="J63" s="16" t="s">
        <v>73</v>
      </c>
      <c r="K63" s="32" t="s">
        <v>74</v>
      </c>
      <c r="L63" s="16">
        <v>99298847</v>
      </c>
      <c r="M63" s="16"/>
      <c r="N63" s="4"/>
    </row>
    <row r="64" spans="1:14" s="35" customFormat="1" x14ac:dyDescent="0.25">
      <c r="A64" s="69" t="s">
        <v>408</v>
      </c>
      <c r="B64" s="70" t="s">
        <v>194</v>
      </c>
      <c r="C64" s="69">
        <v>98.7</v>
      </c>
      <c r="D64" s="14">
        <v>0.3</v>
      </c>
      <c r="E64" s="15">
        <f t="shared" si="2"/>
        <v>29.61</v>
      </c>
      <c r="F64" s="15"/>
      <c r="G64" s="15">
        <f t="shared" si="1"/>
        <v>29.61</v>
      </c>
      <c r="H64" s="16">
        <v>8467055</v>
      </c>
      <c r="I64" s="17" t="s">
        <v>195</v>
      </c>
      <c r="J64" s="16" t="s">
        <v>73</v>
      </c>
      <c r="K64" s="32" t="s">
        <v>74</v>
      </c>
      <c r="L64" s="16">
        <v>98919778</v>
      </c>
      <c r="M64" s="12"/>
      <c r="N64" s="4"/>
    </row>
    <row r="65" spans="1:14" s="35" customFormat="1" x14ac:dyDescent="0.25">
      <c r="A65" s="69">
        <v>2666</v>
      </c>
      <c r="B65" s="70" t="s">
        <v>196</v>
      </c>
      <c r="C65" s="69">
        <v>140.30000000000001</v>
      </c>
      <c r="D65" s="14">
        <v>0.3</v>
      </c>
      <c r="E65" s="15">
        <f t="shared" si="2"/>
        <v>42.09</v>
      </c>
      <c r="F65" s="15"/>
      <c r="G65" s="15">
        <f t="shared" si="1"/>
        <v>42.09</v>
      </c>
      <c r="H65" s="16">
        <v>23188968</v>
      </c>
      <c r="I65" s="17" t="s">
        <v>197</v>
      </c>
      <c r="J65" s="16" t="s">
        <v>73</v>
      </c>
      <c r="K65" s="32" t="s">
        <v>74</v>
      </c>
      <c r="L65" s="16">
        <v>95058843</v>
      </c>
      <c r="M65" s="12"/>
      <c r="N65" s="4"/>
    </row>
    <row r="66" spans="1:14" s="35" customFormat="1" x14ac:dyDescent="0.25">
      <c r="A66" s="18" t="s">
        <v>407</v>
      </c>
      <c r="B66" s="19" t="s">
        <v>198</v>
      </c>
      <c r="C66" s="18"/>
      <c r="D66" s="20">
        <v>0.3</v>
      </c>
      <c r="E66" s="21">
        <f t="shared" si="2"/>
        <v>0</v>
      </c>
      <c r="F66" s="21"/>
      <c r="G66" s="15">
        <f t="shared" si="1"/>
        <v>0</v>
      </c>
      <c r="H66" s="16">
        <v>210053</v>
      </c>
      <c r="I66" s="17" t="s">
        <v>199</v>
      </c>
      <c r="J66" s="16" t="s">
        <v>18</v>
      </c>
      <c r="K66" s="32" t="s">
        <v>19</v>
      </c>
      <c r="L66" s="16">
        <v>92786724</v>
      </c>
      <c r="M66" s="12"/>
      <c r="N66" s="4"/>
    </row>
    <row r="67" spans="1:14" s="35" customFormat="1" x14ac:dyDescent="0.25">
      <c r="A67" s="69" t="s">
        <v>406</v>
      </c>
      <c r="B67" s="70" t="s">
        <v>200</v>
      </c>
      <c r="C67" s="69">
        <v>36.5</v>
      </c>
      <c r="D67" s="14">
        <v>0.3</v>
      </c>
      <c r="E67" s="15">
        <f t="shared" si="2"/>
        <v>10.95</v>
      </c>
      <c r="F67" s="15"/>
      <c r="G67" s="15">
        <f t="shared" si="1"/>
        <v>10.95</v>
      </c>
      <c r="H67" s="16">
        <v>8542496</v>
      </c>
      <c r="I67" s="17" t="s">
        <v>201</v>
      </c>
      <c r="J67" s="16" t="s">
        <v>73</v>
      </c>
      <c r="K67" s="32" t="s">
        <v>74</v>
      </c>
      <c r="L67" s="16">
        <v>99295329</v>
      </c>
      <c r="M67" s="12"/>
      <c r="N67" s="4"/>
    </row>
    <row r="68" spans="1:14" s="35" customFormat="1" x14ac:dyDescent="0.25">
      <c r="A68" s="69" t="s">
        <v>405</v>
      </c>
      <c r="B68" s="70" t="s">
        <v>202</v>
      </c>
      <c r="C68" s="69">
        <v>23</v>
      </c>
      <c r="D68" s="14">
        <v>0.3</v>
      </c>
      <c r="E68" s="15">
        <f t="shared" ref="E68:E99" si="3">C68*D68</f>
        <v>6.8999999999999995</v>
      </c>
      <c r="F68" s="15"/>
      <c r="G68" s="15">
        <f t="shared" si="1"/>
        <v>6.8999999999999995</v>
      </c>
      <c r="H68" s="16">
        <v>6460241</v>
      </c>
      <c r="I68" s="17" t="s">
        <v>203</v>
      </c>
      <c r="J68" s="16" t="s">
        <v>18</v>
      </c>
      <c r="K68" s="32" t="s">
        <v>19</v>
      </c>
      <c r="L68" s="16">
        <v>92550479</v>
      </c>
      <c r="M68" s="12"/>
      <c r="N68" s="4"/>
    </row>
    <row r="69" spans="1:14" s="35" customFormat="1" x14ac:dyDescent="0.25">
      <c r="A69" s="69" t="s">
        <v>404</v>
      </c>
      <c r="B69" s="70" t="s">
        <v>205</v>
      </c>
      <c r="C69" s="69">
        <v>13</v>
      </c>
      <c r="D69" s="14">
        <v>0.3</v>
      </c>
      <c r="E69" s="15">
        <f t="shared" si="3"/>
        <v>3.9</v>
      </c>
      <c r="F69" s="15"/>
      <c r="G69" s="15">
        <f t="shared" ref="G69:G127" si="4">E69-F69</f>
        <v>3.9</v>
      </c>
      <c r="H69" s="16">
        <v>1481996</v>
      </c>
      <c r="I69" s="17" t="s">
        <v>206</v>
      </c>
      <c r="J69" s="16" t="s">
        <v>94</v>
      </c>
      <c r="K69" s="182" t="s">
        <v>95</v>
      </c>
      <c r="L69" s="16">
        <v>99491404</v>
      </c>
      <c r="M69" s="12"/>
      <c r="N69" s="4"/>
    </row>
    <row r="70" spans="1:14" s="35" customFormat="1" x14ac:dyDescent="0.25">
      <c r="A70" s="69" t="s">
        <v>403</v>
      </c>
      <c r="B70" s="70" t="s">
        <v>207</v>
      </c>
      <c r="C70" s="69">
        <v>28.3</v>
      </c>
      <c r="D70" s="14">
        <v>0.3</v>
      </c>
      <c r="E70" s="15">
        <f t="shared" si="3"/>
        <v>8.49</v>
      </c>
      <c r="F70" s="15"/>
      <c r="G70" s="15">
        <f t="shared" si="4"/>
        <v>8.49</v>
      </c>
      <c r="H70" s="16">
        <v>19595084</v>
      </c>
      <c r="I70" s="17" t="s">
        <v>208</v>
      </c>
      <c r="J70" s="16" t="s">
        <v>73</v>
      </c>
      <c r="K70" s="32" t="s">
        <v>74</v>
      </c>
      <c r="L70" s="16">
        <v>92921404</v>
      </c>
      <c r="M70" s="12"/>
      <c r="N70" s="4"/>
    </row>
    <row r="71" spans="1:14" s="35" customFormat="1" x14ac:dyDescent="0.25">
      <c r="A71" s="69" t="s">
        <v>402</v>
      </c>
      <c r="B71" s="70" t="s">
        <v>209</v>
      </c>
      <c r="C71" s="69">
        <v>13</v>
      </c>
      <c r="D71" s="14">
        <v>0.3</v>
      </c>
      <c r="E71" s="15">
        <f t="shared" si="3"/>
        <v>3.9</v>
      </c>
      <c r="F71" s="15"/>
      <c r="G71" s="15">
        <f t="shared" si="4"/>
        <v>3.9</v>
      </c>
      <c r="H71" s="33">
        <v>21469064</v>
      </c>
      <c r="I71" s="17" t="s">
        <v>210</v>
      </c>
      <c r="J71" s="33" t="s">
        <v>73</v>
      </c>
      <c r="K71" s="184" t="s">
        <v>74</v>
      </c>
      <c r="L71" s="16">
        <v>93316559</v>
      </c>
      <c r="M71" s="12"/>
      <c r="N71" s="4"/>
    </row>
    <row r="72" spans="1:14" s="35" customFormat="1" x14ac:dyDescent="0.25">
      <c r="A72" s="302" t="s">
        <v>401</v>
      </c>
      <c r="B72" s="19" t="s">
        <v>58</v>
      </c>
      <c r="C72" s="18"/>
      <c r="D72" s="20">
        <v>0.3</v>
      </c>
      <c r="E72" s="21">
        <f t="shared" si="3"/>
        <v>0</v>
      </c>
      <c r="F72" s="21"/>
      <c r="G72" s="15">
        <f t="shared" si="4"/>
        <v>0</v>
      </c>
      <c r="H72" s="33">
        <v>8393437</v>
      </c>
      <c r="I72" s="17">
        <v>401002466590016</v>
      </c>
      <c r="J72" s="33" t="s">
        <v>73</v>
      </c>
      <c r="K72" s="184" t="s">
        <v>74</v>
      </c>
      <c r="L72" s="16"/>
      <c r="M72" s="12"/>
      <c r="N72" s="4"/>
    </row>
    <row r="73" spans="1:14" s="6" customFormat="1" x14ac:dyDescent="0.25">
      <c r="A73" s="69" t="s">
        <v>400</v>
      </c>
      <c r="B73" s="70" t="s">
        <v>37</v>
      </c>
      <c r="C73" s="12">
        <v>46.4</v>
      </c>
      <c r="D73" s="14">
        <v>0.3</v>
      </c>
      <c r="E73" s="15">
        <f t="shared" si="3"/>
        <v>13.92</v>
      </c>
      <c r="F73" s="15"/>
      <c r="G73" s="15">
        <f t="shared" si="4"/>
        <v>13.92</v>
      </c>
      <c r="H73" s="16">
        <v>6332118</v>
      </c>
      <c r="I73" s="17" t="s">
        <v>211</v>
      </c>
      <c r="J73" s="16" t="s">
        <v>18</v>
      </c>
      <c r="K73" s="32" t="s">
        <v>19</v>
      </c>
      <c r="L73" s="16">
        <v>98930047</v>
      </c>
      <c r="M73" s="12"/>
      <c r="N73" s="4"/>
    </row>
    <row r="74" spans="1:14" s="6" customFormat="1" x14ac:dyDescent="0.25">
      <c r="A74" s="69" t="s">
        <v>399</v>
      </c>
      <c r="B74" s="70" t="s">
        <v>39</v>
      </c>
      <c r="C74" s="69">
        <v>78.400000000000006</v>
      </c>
      <c r="D74" s="14">
        <v>0.3</v>
      </c>
      <c r="E74" s="15">
        <f t="shared" si="3"/>
        <v>23.52</v>
      </c>
      <c r="F74" s="15"/>
      <c r="G74" s="15">
        <f t="shared" si="4"/>
        <v>23.52</v>
      </c>
      <c r="H74" s="16">
        <v>6332123</v>
      </c>
      <c r="I74" s="17" t="s">
        <v>212</v>
      </c>
      <c r="J74" s="16" t="s">
        <v>73</v>
      </c>
      <c r="K74" s="32" t="s">
        <v>74</v>
      </c>
      <c r="L74" s="16">
        <v>98777808</v>
      </c>
      <c r="M74" s="33"/>
      <c r="N74" s="4"/>
    </row>
    <row r="75" spans="1:14" s="6" customFormat="1" x14ac:dyDescent="0.25">
      <c r="A75" s="12" t="s">
        <v>398</v>
      </c>
      <c r="B75" s="13" t="s">
        <v>59</v>
      </c>
      <c r="C75" s="69">
        <v>30.4</v>
      </c>
      <c r="D75" s="14">
        <v>0.3</v>
      </c>
      <c r="E75" s="15">
        <f t="shared" si="3"/>
        <v>9.1199999999999992</v>
      </c>
      <c r="F75" s="15"/>
      <c r="G75" s="15">
        <f t="shared" si="4"/>
        <v>9.1199999999999992</v>
      </c>
      <c r="H75" s="32">
        <v>568083</v>
      </c>
      <c r="I75" s="17" t="s">
        <v>213</v>
      </c>
      <c r="J75" s="32" t="s">
        <v>76</v>
      </c>
      <c r="K75" s="182" t="s">
        <v>77</v>
      </c>
      <c r="L75" s="16">
        <v>98146666</v>
      </c>
      <c r="M75" s="12"/>
      <c r="N75" s="4"/>
    </row>
    <row r="76" spans="1:14" s="6" customFormat="1" x14ac:dyDescent="0.25">
      <c r="A76" s="18" t="s">
        <v>397</v>
      </c>
      <c r="B76" s="19" t="s">
        <v>214</v>
      </c>
      <c r="C76" s="18"/>
      <c r="D76" s="20">
        <v>0.3</v>
      </c>
      <c r="E76" s="21">
        <f t="shared" si="3"/>
        <v>0</v>
      </c>
      <c r="F76" s="21"/>
      <c r="G76" s="15">
        <f t="shared" si="4"/>
        <v>0</v>
      </c>
      <c r="H76" s="32">
        <v>7031534</v>
      </c>
      <c r="I76" s="17" t="s">
        <v>215</v>
      </c>
      <c r="J76" s="16" t="s">
        <v>73</v>
      </c>
      <c r="K76" s="32" t="s">
        <v>74</v>
      </c>
      <c r="L76" s="16">
        <v>92995115</v>
      </c>
      <c r="M76" s="12"/>
      <c r="N76" s="4"/>
    </row>
    <row r="77" spans="1:14" s="6" customFormat="1" x14ac:dyDescent="0.25">
      <c r="A77" s="69">
        <v>2678</v>
      </c>
      <c r="B77" s="70" t="s">
        <v>216</v>
      </c>
      <c r="C77" s="69">
        <v>66.099999999999994</v>
      </c>
      <c r="D77" s="14">
        <v>0.3</v>
      </c>
      <c r="E77" s="15">
        <f t="shared" si="3"/>
        <v>19.829999999999998</v>
      </c>
      <c r="F77" s="15"/>
      <c r="G77" s="15">
        <f t="shared" si="4"/>
        <v>19.829999999999998</v>
      </c>
      <c r="H77" s="32">
        <v>7211987</v>
      </c>
      <c r="I77" s="17" t="s">
        <v>217</v>
      </c>
      <c r="J77" s="16" t="s">
        <v>73</v>
      </c>
      <c r="K77" s="32" t="s">
        <v>74</v>
      </c>
      <c r="L77" s="16"/>
      <c r="M77" s="12"/>
      <c r="N77" s="4"/>
    </row>
    <row r="78" spans="1:14" s="6" customFormat="1" x14ac:dyDescent="0.25">
      <c r="A78" s="18">
        <v>2680</v>
      </c>
      <c r="B78" s="19" t="s">
        <v>218</v>
      </c>
      <c r="C78" s="18"/>
      <c r="D78" s="20">
        <v>0.3</v>
      </c>
      <c r="E78" s="21">
        <f t="shared" si="3"/>
        <v>0</v>
      </c>
      <c r="F78" s="21"/>
      <c r="G78" s="15">
        <f t="shared" si="4"/>
        <v>0</v>
      </c>
      <c r="H78" s="32">
        <v>553684</v>
      </c>
      <c r="I78" s="17">
        <v>1010125978001</v>
      </c>
      <c r="J78" s="16" t="s">
        <v>80</v>
      </c>
      <c r="K78" s="32" t="s">
        <v>219</v>
      </c>
      <c r="L78" s="16">
        <v>98279480</v>
      </c>
      <c r="M78" s="269"/>
      <c r="N78" s="4"/>
    </row>
    <row r="79" spans="1:14" s="6" customFormat="1" x14ac:dyDescent="0.25">
      <c r="A79" s="18" t="s">
        <v>396</v>
      </c>
      <c r="B79" s="19" t="s">
        <v>61</v>
      </c>
      <c r="C79" s="18"/>
      <c r="D79" s="20">
        <v>0.3</v>
      </c>
      <c r="E79" s="21">
        <f t="shared" si="3"/>
        <v>0</v>
      </c>
      <c r="F79" s="21"/>
      <c r="G79" s="15">
        <f t="shared" si="4"/>
        <v>0</v>
      </c>
      <c r="H79" s="32">
        <v>23172723</v>
      </c>
      <c r="I79" s="17" t="s">
        <v>221</v>
      </c>
      <c r="J79" s="32" t="s">
        <v>73</v>
      </c>
      <c r="K79" s="32" t="s">
        <v>74</v>
      </c>
      <c r="L79" s="16">
        <v>93635099</v>
      </c>
      <c r="M79" s="111"/>
      <c r="N79" s="4"/>
    </row>
    <row r="80" spans="1:14" s="6" customFormat="1" x14ac:dyDescent="0.25">
      <c r="A80" s="69">
        <v>2682</v>
      </c>
      <c r="B80" s="70" t="s">
        <v>222</v>
      </c>
      <c r="C80" s="69">
        <v>189.7</v>
      </c>
      <c r="D80" s="14">
        <v>0.3</v>
      </c>
      <c r="E80" s="15">
        <f t="shared" si="3"/>
        <v>56.91</v>
      </c>
      <c r="F80" s="15"/>
      <c r="G80" s="15">
        <f t="shared" si="4"/>
        <v>56.91</v>
      </c>
      <c r="H80" s="32">
        <v>1356383</v>
      </c>
      <c r="I80" s="17" t="s">
        <v>223</v>
      </c>
      <c r="J80" s="32" t="s">
        <v>80</v>
      </c>
      <c r="K80" s="32" t="s">
        <v>81</v>
      </c>
      <c r="L80" s="16"/>
      <c r="M80" s="111"/>
      <c r="N80" s="4"/>
    </row>
    <row r="81" spans="1:14" x14ac:dyDescent="0.25">
      <c r="A81" s="69" t="s">
        <v>395</v>
      </c>
      <c r="B81" s="70" t="s">
        <v>224</v>
      </c>
      <c r="C81" s="69">
        <v>62.3</v>
      </c>
      <c r="D81" s="14">
        <v>0.3</v>
      </c>
      <c r="E81" s="15">
        <f t="shared" si="3"/>
        <v>18.689999999999998</v>
      </c>
      <c r="F81" s="15"/>
      <c r="G81" s="15">
        <f t="shared" si="4"/>
        <v>18.689999999999998</v>
      </c>
      <c r="H81" s="32">
        <v>5912206</v>
      </c>
      <c r="I81" s="17" t="s">
        <v>225</v>
      </c>
      <c r="J81" s="16" t="s">
        <v>73</v>
      </c>
      <c r="K81" s="32" t="s">
        <v>74</v>
      </c>
      <c r="L81" s="16">
        <v>92704591</v>
      </c>
      <c r="M81" s="111"/>
    </row>
    <row r="82" spans="1:14" s="6" customFormat="1" x14ac:dyDescent="0.25">
      <c r="A82" s="18" t="s">
        <v>394</v>
      </c>
      <c r="B82" s="19" t="s">
        <v>226</v>
      </c>
      <c r="C82" s="18"/>
      <c r="D82" s="20">
        <v>0.3</v>
      </c>
      <c r="E82" s="21">
        <f t="shared" si="3"/>
        <v>0</v>
      </c>
      <c r="F82" s="21"/>
      <c r="G82" s="15">
        <f t="shared" si="4"/>
        <v>0</v>
      </c>
      <c r="H82" s="79">
        <v>4768041</v>
      </c>
      <c r="I82" s="183" t="s">
        <v>227</v>
      </c>
      <c r="J82" s="78" t="s">
        <v>73</v>
      </c>
      <c r="K82" s="79" t="s">
        <v>74</v>
      </c>
      <c r="L82" s="78">
        <v>99697032</v>
      </c>
      <c r="M82" s="271">
        <v>45231</v>
      </c>
      <c r="N82" s="4"/>
    </row>
    <row r="83" spans="1:14" s="6" customFormat="1" x14ac:dyDescent="0.25">
      <c r="A83" s="69" t="s">
        <v>393</v>
      </c>
      <c r="B83" s="70" t="s">
        <v>228</v>
      </c>
      <c r="C83" s="69">
        <v>76.900000000000006</v>
      </c>
      <c r="D83" s="14">
        <v>0.3</v>
      </c>
      <c r="E83" s="15">
        <f t="shared" si="3"/>
        <v>23.07</v>
      </c>
      <c r="F83" s="15"/>
      <c r="G83" s="15">
        <f t="shared" si="4"/>
        <v>23.07</v>
      </c>
      <c r="H83" s="32">
        <v>25026854</v>
      </c>
      <c r="I83" s="17" t="s">
        <v>229</v>
      </c>
      <c r="J83" s="16" t="s">
        <v>18</v>
      </c>
      <c r="K83" s="32" t="s">
        <v>19</v>
      </c>
      <c r="L83" s="16">
        <v>96124005</v>
      </c>
      <c r="M83" s="111"/>
      <c r="N83" s="4"/>
    </row>
    <row r="84" spans="1:14" s="6" customFormat="1" x14ac:dyDescent="0.25">
      <c r="A84" s="69">
        <v>2686</v>
      </c>
      <c r="B84" s="70" t="s">
        <v>230</v>
      </c>
      <c r="C84" s="36">
        <v>23</v>
      </c>
      <c r="D84" s="14">
        <v>0.3</v>
      </c>
      <c r="E84" s="15">
        <f t="shared" si="3"/>
        <v>6.8999999999999995</v>
      </c>
      <c r="F84" s="15"/>
      <c r="G84" s="15">
        <f t="shared" si="4"/>
        <v>6.8999999999999995</v>
      </c>
      <c r="H84" s="32">
        <v>6064295</v>
      </c>
      <c r="I84" s="17" t="s">
        <v>231</v>
      </c>
      <c r="J84" s="16" t="s">
        <v>73</v>
      </c>
      <c r="K84" s="32" t="s">
        <v>74</v>
      </c>
      <c r="L84" s="16"/>
      <c r="M84" s="111"/>
      <c r="N84" s="4"/>
    </row>
    <row r="85" spans="1:14" s="6" customFormat="1" x14ac:dyDescent="0.25">
      <c r="A85" s="18" t="s">
        <v>392</v>
      </c>
      <c r="B85" s="144" t="s">
        <v>62</v>
      </c>
      <c r="C85" s="37"/>
      <c r="D85" s="20">
        <v>0.3</v>
      </c>
      <c r="E85" s="21">
        <f t="shared" si="3"/>
        <v>0</v>
      </c>
      <c r="F85" s="21"/>
      <c r="G85" s="15">
        <f t="shared" si="4"/>
        <v>0</v>
      </c>
      <c r="H85" s="32">
        <v>14175595</v>
      </c>
      <c r="I85" s="17" t="s">
        <v>232</v>
      </c>
      <c r="J85" s="16" t="s">
        <v>76</v>
      </c>
      <c r="K85" s="182" t="s">
        <v>77</v>
      </c>
      <c r="L85" s="16">
        <v>99531669</v>
      </c>
      <c r="M85" s="33" t="s">
        <v>22</v>
      </c>
      <c r="N85" s="4"/>
    </row>
    <row r="86" spans="1:14" s="6" customFormat="1" x14ac:dyDescent="0.25">
      <c r="A86" s="18">
        <v>2688</v>
      </c>
      <c r="B86" s="25" t="s">
        <v>234</v>
      </c>
      <c r="C86" s="37"/>
      <c r="D86" s="20">
        <v>0.3</v>
      </c>
      <c r="E86" s="21">
        <f t="shared" si="3"/>
        <v>0</v>
      </c>
      <c r="F86" s="21"/>
      <c r="G86" s="15">
        <f t="shared" si="4"/>
        <v>0</v>
      </c>
      <c r="H86" s="32">
        <v>18647005</v>
      </c>
      <c r="I86" s="17" t="s">
        <v>235</v>
      </c>
      <c r="J86" s="16" t="s">
        <v>73</v>
      </c>
      <c r="K86" s="32" t="s">
        <v>74</v>
      </c>
      <c r="L86" s="16"/>
      <c r="M86" s="33"/>
      <c r="N86" s="4"/>
    </row>
    <row r="87" spans="1:14" s="6" customFormat="1" x14ac:dyDescent="0.25">
      <c r="A87" s="69">
        <v>2689</v>
      </c>
      <c r="B87" s="16" t="s">
        <v>236</v>
      </c>
      <c r="C87" s="36">
        <v>129.30000000000001</v>
      </c>
      <c r="D87" s="14">
        <v>0.3</v>
      </c>
      <c r="E87" s="15">
        <f t="shared" si="3"/>
        <v>38.79</v>
      </c>
      <c r="F87" s="15"/>
      <c r="G87" s="15">
        <f t="shared" si="4"/>
        <v>38.79</v>
      </c>
      <c r="H87" s="32">
        <v>1527206</v>
      </c>
      <c r="I87" s="17" t="s">
        <v>237</v>
      </c>
      <c r="J87" s="16" t="s">
        <v>73</v>
      </c>
      <c r="K87" s="32" t="s">
        <v>74</v>
      </c>
      <c r="L87" s="16"/>
      <c r="M87" s="33"/>
      <c r="N87" s="4"/>
    </row>
    <row r="88" spans="1:14" s="6" customFormat="1" x14ac:dyDescent="0.25">
      <c r="A88" s="69">
        <v>2690</v>
      </c>
      <c r="B88" s="16" t="s">
        <v>238</v>
      </c>
      <c r="C88" s="36">
        <v>173.9</v>
      </c>
      <c r="D88" s="14">
        <v>0.3</v>
      </c>
      <c r="E88" s="15">
        <f t="shared" si="3"/>
        <v>52.17</v>
      </c>
      <c r="F88" s="15"/>
      <c r="G88" s="15">
        <f t="shared" si="4"/>
        <v>52.17</v>
      </c>
      <c r="H88" s="32">
        <v>7376171</v>
      </c>
      <c r="I88" s="17" t="s">
        <v>239</v>
      </c>
      <c r="J88" s="16" t="s">
        <v>80</v>
      </c>
      <c r="K88" s="32" t="s">
        <v>81</v>
      </c>
      <c r="L88" s="16"/>
      <c r="M88" s="33"/>
      <c r="N88" s="4"/>
    </row>
    <row r="89" spans="1:14" s="6" customFormat="1" x14ac:dyDescent="0.25">
      <c r="A89" s="69">
        <v>2691</v>
      </c>
      <c r="B89" s="16" t="s">
        <v>240</v>
      </c>
      <c r="C89" s="36">
        <v>111.7</v>
      </c>
      <c r="D89" s="14">
        <v>0.3</v>
      </c>
      <c r="E89" s="15">
        <f t="shared" si="3"/>
        <v>33.51</v>
      </c>
      <c r="F89" s="15"/>
      <c r="G89" s="15">
        <f t="shared" si="4"/>
        <v>33.51</v>
      </c>
      <c r="H89" s="32">
        <v>7376203</v>
      </c>
      <c r="I89" s="17" t="s">
        <v>241</v>
      </c>
      <c r="J89" s="16" t="s">
        <v>73</v>
      </c>
      <c r="K89" s="32" t="s">
        <v>74</v>
      </c>
      <c r="L89" s="16"/>
      <c r="M89" s="33"/>
      <c r="N89" s="4"/>
    </row>
    <row r="90" spans="1:14" s="6" customFormat="1" x14ac:dyDescent="0.25">
      <c r="A90" s="69">
        <v>2692</v>
      </c>
      <c r="B90" s="16" t="s">
        <v>243</v>
      </c>
      <c r="C90" s="36">
        <v>39.799999999999997</v>
      </c>
      <c r="D90" s="14">
        <v>0.3</v>
      </c>
      <c r="E90" s="15">
        <f t="shared" si="3"/>
        <v>11.94</v>
      </c>
      <c r="F90" s="15"/>
      <c r="G90" s="15">
        <f t="shared" si="4"/>
        <v>11.94</v>
      </c>
      <c r="H90" s="32">
        <v>626838</v>
      </c>
      <c r="I90" s="17" t="s">
        <v>244</v>
      </c>
      <c r="J90" s="16" t="s">
        <v>73</v>
      </c>
      <c r="K90" s="32" t="s">
        <v>74</v>
      </c>
      <c r="L90" s="16"/>
      <c r="M90" s="33"/>
      <c r="N90" s="4"/>
    </row>
    <row r="91" spans="1:14" s="6" customFormat="1" x14ac:dyDescent="0.25">
      <c r="A91" s="69">
        <v>2693</v>
      </c>
      <c r="B91" s="16" t="s">
        <v>245</v>
      </c>
      <c r="C91" s="36">
        <v>35.799999999999997</v>
      </c>
      <c r="D91" s="14">
        <v>0.3</v>
      </c>
      <c r="E91" s="15">
        <f t="shared" si="3"/>
        <v>10.739999999999998</v>
      </c>
      <c r="F91" s="15"/>
      <c r="G91" s="15">
        <f t="shared" si="4"/>
        <v>10.739999999999998</v>
      </c>
      <c r="H91" s="32">
        <v>20233513</v>
      </c>
      <c r="I91" s="17" t="s">
        <v>246</v>
      </c>
      <c r="J91" s="16" t="s">
        <v>73</v>
      </c>
      <c r="K91" s="32" t="s">
        <v>74</v>
      </c>
      <c r="L91" s="16">
        <v>99669614</v>
      </c>
      <c r="M91" s="33"/>
      <c r="N91" s="4"/>
    </row>
    <row r="92" spans="1:14" s="6" customFormat="1" x14ac:dyDescent="0.25">
      <c r="A92" s="69">
        <v>2694</v>
      </c>
      <c r="B92" s="16" t="s">
        <v>248</v>
      </c>
      <c r="C92" s="36">
        <v>10.7</v>
      </c>
      <c r="D92" s="14">
        <v>0.3</v>
      </c>
      <c r="E92" s="15">
        <f t="shared" si="3"/>
        <v>3.2099999999999995</v>
      </c>
      <c r="F92" s="15"/>
      <c r="G92" s="15">
        <f t="shared" si="4"/>
        <v>3.2099999999999995</v>
      </c>
      <c r="H92" s="32">
        <v>18620904</v>
      </c>
      <c r="I92" s="17" t="s">
        <v>249</v>
      </c>
      <c r="J92" s="16" t="s">
        <v>80</v>
      </c>
      <c r="K92" s="32" t="s">
        <v>81</v>
      </c>
      <c r="L92" s="16">
        <v>98255331</v>
      </c>
      <c r="M92" s="33"/>
      <c r="N92" s="4"/>
    </row>
    <row r="93" spans="1:14" s="6" customFormat="1" x14ac:dyDescent="0.25">
      <c r="A93" s="69">
        <v>2697</v>
      </c>
      <c r="B93" s="16" t="s">
        <v>250</v>
      </c>
      <c r="C93" s="36">
        <v>29.5</v>
      </c>
      <c r="D93" s="14">
        <v>0.3</v>
      </c>
      <c r="E93" s="15">
        <f t="shared" si="3"/>
        <v>8.85</v>
      </c>
      <c r="F93" s="15"/>
      <c r="G93" s="15">
        <f t="shared" si="4"/>
        <v>8.85</v>
      </c>
      <c r="H93" s="32">
        <v>24992357</v>
      </c>
      <c r="I93" s="17" t="s">
        <v>251</v>
      </c>
      <c r="J93" s="16" t="s">
        <v>73</v>
      </c>
      <c r="K93" s="32" t="s">
        <v>74</v>
      </c>
      <c r="L93" s="16">
        <v>96581299</v>
      </c>
      <c r="M93" s="33"/>
      <c r="N93" s="4"/>
    </row>
    <row r="94" spans="1:14" s="6" customFormat="1" x14ac:dyDescent="0.25">
      <c r="A94" s="252">
        <v>2698</v>
      </c>
      <c r="B94" s="253" t="s">
        <v>63</v>
      </c>
      <c r="C94" s="254"/>
      <c r="D94" s="292">
        <v>0.3</v>
      </c>
      <c r="E94" s="256">
        <f t="shared" si="3"/>
        <v>0</v>
      </c>
      <c r="F94" s="256"/>
      <c r="G94" s="15">
        <f t="shared" si="4"/>
        <v>0</v>
      </c>
      <c r="H94" s="257">
        <v>21332246</v>
      </c>
      <c r="I94" s="262" t="s">
        <v>252</v>
      </c>
      <c r="J94" s="253" t="s">
        <v>73</v>
      </c>
      <c r="K94" s="257" t="s">
        <v>74</v>
      </c>
      <c r="L94" s="253">
        <v>98260073</v>
      </c>
      <c r="M94" s="261"/>
      <c r="N94" s="4"/>
    </row>
    <row r="95" spans="1:14" s="6" customFormat="1" x14ac:dyDescent="0.25">
      <c r="A95" s="18">
        <v>2699</v>
      </c>
      <c r="B95" s="25" t="s">
        <v>253</v>
      </c>
      <c r="C95" s="37"/>
      <c r="D95" s="20">
        <v>0.3</v>
      </c>
      <c r="E95" s="21">
        <f t="shared" si="3"/>
        <v>0</v>
      </c>
      <c r="F95" s="21"/>
      <c r="G95" s="15">
        <f t="shared" si="4"/>
        <v>0</v>
      </c>
      <c r="H95" s="32">
        <v>5031003</v>
      </c>
      <c r="I95" s="17">
        <v>1006555153017</v>
      </c>
      <c r="J95" s="16" t="s">
        <v>18</v>
      </c>
      <c r="K95" s="32" t="s">
        <v>19</v>
      </c>
      <c r="L95" s="16">
        <v>98129999</v>
      </c>
      <c r="M95" s="33"/>
      <c r="N95" s="4"/>
    </row>
    <row r="96" spans="1:14" s="6" customFormat="1" x14ac:dyDescent="0.25">
      <c r="A96" s="18">
        <v>2700</v>
      </c>
      <c r="B96" s="25" t="s">
        <v>254</v>
      </c>
      <c r="C96" s="37"/>
      <c r="D96" s="20">
        <v>0.3</v>
      </c>
      <c r="E96" s="21">
        <f t="shared" si="3"/>
        <v>0</v>
      </c>
      <c r="F96" s="21"/>
      <c r="G96" s="15">
        <f t="shared" si="4"/>
        <v>0</v>
      </c>
      <c r="H96" s="32">
        <v>2216024</v>
      </c>
      <c r="I96" s="17" t="s">
        <v>255</v>
      </c>
      <c r="J96" s="16" t="s">
        <v>73</v>
      </c>
      <c r="K96" s="32" t="s">
        <v>74</v>
      </c>
      <c r="L96" s="16">
        <v>99093696</v>
      </c>
      <c r="M96" s="33"/>
      <c r="N96" s="4"/>
    </row>
    <row r="97" spans="1:14" s="6" customFormat="1" x14ac:dyDescent="0.25">
      <c r="A97" s="69">
        <v>2702</v>
      </c>
      <c r="B97" s="16" t="s">
        <v>256</v>
      </c>
      <c r="C97" s="36">
        <v>539.70000000000005</v>
      </c>
      <c r="D97" s="14">
        <v>0.3</v>
      </c>
      <c r="E97" s="15">
        <f t="shared" si="3"/>
        <v>161.91</v>
      </c>
      <c r="F97" s="15"/>
      <c r="G97" s="15">
        <f t="shared" si="4"/>
        <v>161.91</v>
      </c>
      <c r="H97" s="32">
        <v>2045458</v>
      </c>
      <c r="I97" s="17" t="s">
        <v>257</v>
      </c>
      <c r="J97" s="16" t="s">
        <v>80</v>
      </c>
      <c r="K97" s="32" t="s">
        <v>81</v>
      </c>
      <c r="L97" s="16">
        <v>99282287</v>
      </c>
      <c r="M97" s="33"/>
      <c r="N97" s="4"/>
    </row>
    <row r="98" spans="1:14" s="6" customFormat="1" x14ac:dyDescent="0.25">
      <c r="A98" s="69">
        <v>2703</v>
      </c>
      <c r="B98" s="16" t="s">
        <v>258</v>
      </c>
      <c r="C98" s="36">
        <v>7</v>
      </c>
      <c r="D98" s="14">
        <v>0.3</v>
      </c>
      <c r="E98" s="15">
        <f t="shared" si="3"/>
        <v>2.1</v>
      </c>
      <c r="F98" s="15"/>
      <c r="G98" s="15">
        <f t="shared" si="4"/>
        <v>2.1</v>
      </c>
      <c r="H98" s="32">
        <v>652182</v>
      </c>
      <c r="I98" s="17" t="s">
        <v>259</v>
      </c>
      <c r="J98" s="16" t="s">
        <v>73</v>
      </c>
      <c r="K98" s="32" t="s">
        <v>74</v>
      </c>
      <c r="L98" s="16">
        <v>99982977</v>
      </c>
      <c r="M98" s="33"/>
      <c r="N98" s="4"/>
    </row>
    <row r="99" spans="1:14" s="6" customFormat="1" x14ac:dyDescent="0.25">
      <c r="A99" s="69">
        <v>2706</v>
      </c>
      <c r="B99" s="16" t="s">
        <v>260</v>
      </c>
      <c r="C99" s="36">
        <v>14</v>
      </c>
      <c r="D99" s="14">
        <v>0.3</v>
      </c>
      <c r="E99" s="15">
        <f t="shared" si="3"/>
        <v>4.2</v>
      </c>
      <c r="F99" s="15"/>
      <c r="G99" s="15">
        <f t="shared" si="4"/>
        <v>4.2</v>
      </c>
      <c r="H99" s="32">
        <v>23144392</v>
      </c>
      <c r="I99" s="17" t="s">
        <v>261</v>
      </c>
      <c r="J99" s="16" t="s">
        <v>18</v>
      </c>
      <c r="K99" s="32" t="s">
        <v>19</v>
      </c>
      <c r="L99" s="16">
        <v>97216689</v>
      </c>
      <c r="M99" s="33"/>
      <c r="N99" s="4"/>
    </row>
    <row r="100" spans="1:14" s="6" customFormat="1" x14ac:dyDescent="0.25">
      <c r="A100" s="69">
        <v>2707</v>
      </c>
      <c r="B100" s="16" t="s">
        <v>262</v>
      </c>
      <c r="C100" s="36">
        <v>30</v>
      </c>
      <c r="D100" s="14">
        <v>0.3</v>
      </c>
      <c r="E100" s="15">
        <f t="shared" ref="E100:E127" si="5">C100*D100</f>
        <v>9</v>
      </c>
      <c r="F100" s="15"/>
      <c r="G100" s="15">
        <f t="shared" si="4"/>
        <v>9</v>
      </c>
      <c r="H100" s="32">
        <v>7026153</v>
      </c>
      <c r="I100" s="17" t="s">
        <v>263</v>
      </c>
      <c r="J100" s="16" t="s">
        <v>94</v>
      </c>
      <c r="K100" s="32" t="s">
        <v>95</v>
      </c>
      <c r="L100" s="16">
        <v>95333133</v>
      </c>
      <c r="M100" s="33"/>
      <c r="N100" s="4"/>
    </row>
    <row r="101" spans="1:14" s="6" customFormat="1" x14ac:dyDescent="0.25">
      <c r="A101" s="252">
        <v>2708</v>
      </c>
      <c r="B101" s="253" t="s">
        <v>41</v>
      </c>
      <c r="C101" s="254"/>
      <c r="D101" s="292">
        <v>0.3</v>
      </c>
      <c r="E101" s="256">
        <f t="shared" si="5"/>
        <v>0</v>
      </c>
      <c r="F101" s="256"/>
      <c r="G101" s="15">
        <f t="shared" si="4"/>
        <v>0</v>
      </c>
      <c r="H101" s="257">
        <v>426432</v>
      </c>
      <c r="I101" s="262" t="s">
        <v>264</v>
      </c>
      <c r="J101" s="253" t="s">
        <v>80</v>
      </c>
      <c r="K101" s="257" t="s">
        <v>81</v>
      </c>
      <c r="L101" s="253">
        <v>99092959</v>
      </c>
      <c r="M101" s="261"/>
      <c r="N101" s="4"/>
    </row>
    <row r="102" spans="1:14" s="6" customFormat="1" x14ac:dyDescent="0.25">
      <c r="A102" s="69">
        <v>2710</v>
      </c>
      <c r="B102" s="16" t="s">
        <v>265</v>
      </c>
      <c r="C102" s="36">
        <v>14.2</v>
      </c>
      <c r="D102" s="14">
        <v>0.3</v>
      </c>
      <c r="E102" s="15">
        <f t="shared" si="5"/>
        <v>4.26</v>
      </c>
      <c r="F102" s="15"/>
      <c r="G102" s="15">
        <f t="shared" si="4"/>
        <v>4.26</v>
      </c>
      <c r="H102" s="32">
        <v>944469</v>
      </c>
      <c r="I102" s="17" t="s">
        <v>266</v>
      </c>
      <c r="J102" s="16" t="s">
        <v>73</v>
      </c>
      <c r="K102" s="32" t="s">
        <v>74</v>
      </c>
      <c r="L102" s="16"/>
      <c r="M102" s="33"/>
      <c r="N102" s="4"/>
    </row>
    <row r="103" spans="1:14" s="6" customFormat="1" x14ac:dyDescent="0.25">
      <c r="A103" s="69">
        <v>2711</v>
      </c>
      <c r="B103" s="16" t="s">
        <v>267</v>
      </c>
      <c r="C103" s="36">
        <v>30</v>
      </c>
      <c r="D103" s="14">
        <v>0.3</v>
      </c>
      <c r="E103" s="15">
        <f t="shared" si="5"/>
        <v>9</v>
      </c>
      <c r="F103" s="15"/>
      <c r="G103" s="15">
        <f t="shared" si="4"/>
        <v>9</v>
      </c>
      <c r="H103" s="32">
        <v>5775933</v>
      </c>
      <c r="I103" s="17" t="s">
        <v>268</v>
      </c>
      <c r="J103" s="16" t="s">
        <v>80</v>
      </c>
      <c r="K103" s="32" t="s">
        <v>81</v>
      </c>
      <c r="L103" s="16"/>
      <c r="M103" s="33"/>
      <c r="N103" s="4"/>
    </row>
    <row r="104" spans="1:14" s="6" customFormat="1" x14ac:dyDescent="0.25">
      <c r="A104" s="69">
        <v>2712</v>
      </c>
      <c r="B104" s="16" t="s">
        <v>64</v>
      </c>
      <c r="C104" s="36">
        <v>25.5</v>
      </c>
      <c r="D104" s="14">
        <v>0.3</v>
      </c>
      <c r="E104" s="15">
        <f t="shared" si="5"/>
        <v>7.6499999999999995</v>
      </c>
      <c r="F104" s="15"/>
      <c r="G104" s="15">
        <f t="shared" si="4"/>
        <v>7.6499999999999995</v>
      </c>
      <c r="H104" s="32">
        <v>2439264</v>
      </c>
      <c r="I104" s="17" t="s">
        <v>269</v>
      </c>
      <c r="J104" s="16" t="s">
        <v>18</v>
      </c>
      <c r="K104" s="32" t="s">
        <v>19</v>
      </c>
      <c r="L104" s="16">
        <v>91780732</v>
      </c>
      <c r="M104" s="33"/>
      <c r="N104" s="4"/>
    </row>
    <row r="105" spans="1:14" s="6" customFormat="1" x14ac:dyDescent="0.25">
      <c r="A105" s="69">
        <v>2714</v>
      </c>
      <c r="B105" s="16" t="s">
        <v>270</v>
      </c>
      <c r="C105" s="36">
        <v>50.3</v>
      </c>
      <c r="D105" s="14">
        <v>0.3</v>
      </c>
      <c r="E105" s="15">
        <f t="shared" si="5"/>
        <v>15.089999999999998</v>
      </c>
      <c r="F105" s="15"/>
      <c r="G105" s="15">
        <f t="shared" si="4"/>
        <v>15.089999999999998</v>
      </c>
      <c r="H105" s="32">
        <v>18813939</v>
      </c>
      <c r="I105" s="17" t="s">
        <v>271</v>
      </c>
      <c r="J105" s="16" t="s">
        <v>73</v>
      </c>
      <c r="K105" s="32" t="s">
        <v>74</v>
      </c>
      <c r="L105" s="16">
        <v>92903559</v>
      </c>
      <c r="M105" s="33"/>
      <c r="N105" s="4"/>
    </row>
    <row r="106" spans="1:14" s="6" customFormat="1" x14ac:dyDescent="0.25">
      <c r="A106" s="69">
        <v>2715</v>
      </c>
      <c r="B106" s="16" t="s">
        <v>272</v>
      </c>
      <c r="C106" s="36">
        <v>36.5</v>
      </c>
      <c r="D106" s="14">
        <v>0.3</v>
      </c>
      <c r="E106" s="15">
        <f t="shared" si="5"/>
        <v>10.95</v>
      </c>
      <c r="F106" s="15"/>
      <c r="G106" s="15">
        <f t="shared" si="4"/>
        <v>10.95</v>
      </c>
      <c r="H106" s="32">
        <v>5571701</v>
      </c>
      <c r="I106" s="17" t="s">
        <v>273</v>
      </c>
      <c r="J106" s="16" t="s">
        <v>73</v>
      </c>
      <c r="K106" s="32" t="s">
        <v>74</v>
      </c>
      <c r="L106" s="16">
        <v>99773624</v>
      </c>
      <c r="M106" s="33"/>
      <c r="N106" s="4"/>
    </row>
    <row r="107" spans="1:14" s="6" customFormat="1" x14ac:dyDescent="0.25">
      <c r="A107" s="69">
        <v>2716</v>
      </c>
      <c r="B107" s="16" t="s">
        <v>274</v>
      </c>
      <c r="C107" s="36">
        <v>22</v>
      </c>
      <c r="D107" s="14">
        <v>0.3</v>
      </c>
      <c r="E107" s="15">
        <f t="shared" si="5"/>
        <v>6.6</v>
      </c>
      <c r="F107" s="15"/>
      <c r="G107" s="15">
        <f t="shared" si="4"/>
        <v>6.6</v>
      </c>
      <c r="H107" s="32">
        <v>1398299</v>
      </c>
      <c r="I107" s="17" t="s">
        <v>275</v>
      </c>
      <c r="J107" s="16" t="s">
        <v>276</v>
      </c>
      <c r="K107" s="32" t="s">
        <v>81</v>
      </c>
      <c r="L107" s="16">
        <v>99294734</v>
      </c>
      <c r="M107" s="33"/>
      <c r="N107" s="4"/>
    </row>
    <row r="108" spans="1:14" s="6" customFormat="1" x14ac:dyDescent="0.25">
      <c r="A108" s="18">
        <v>2717</v>
      </c>
      <c r="B108" s="25" t="s">
        <v>277</v>
      </c>
      <c r="C108" s="37"/>
      <c r="D108" s="20">
        <v>0.3</v>
      </c>
      <c r="E108" s="21">
        <f t="shared" si="5"/>
        <v>0</v>
      </c>
      <c r="F108" s="21"/>
      <c r="G108" s="15">
        <f t="shared" si="4"/>
        <v>0</v>
      </c>
      <c r="H108" s="32">
        <v>5968087</v>
      </c>
      <c r="I108" s="17" t="s">
        <v>278</v>
      </c>
      <c r="J108" s="16" t="s">
        <v>73</v>
      </c>
      <c r="K108" s="32" t="s">
        <v>74</v>
      </c>
      <c r="L108" s="16">
        <v>91116250</v>
      </c>
      <c r="M108" s="33"/>
      <c r="N108" s="4"/>
    </row>
    <row r="109" spans="1:14" s="6" customFormat="1" x14ac:dyDescent="0.25">
      <c r="A109" s="69">
        <v>2718</v>
      </c>
      <c r="B109" s="16" t="s">
        <v>279</v>
      </c>
      <c r="C109" s="36">
        <v>10.5</v>
      </c>
      <c r="D109" s="14">
        <v>0.3</v>
      </c>
      <c r="E109" s="15">
        <f t="shared" si="5"/>
        <v>3.15</v>
      </c>
      <c r="F109" s="15"/>
      <c r="G109" s="15">
        <f t="shared" si="4"/>
        <v>3.15</v>
      </c>
      <c r="H109" s="32">
        <v>5571729</v>
      </c>
      <c r="I109" s="17" t="s">
        <v>280</v>
      </c>
      <c r="J109" s="16" t="s">
        <v>73</v>
      </c>
      <c r="K109" s="32" t="s">
        <v>74</v>
      </c>
      <c r="L109" s="16">
        <v>99643459</v>
      </c>
      <c r="M109" s="33"/>
      <c r="N109" s="4"/>
    </row>
    <row r="110" spans="1:14" s="6" customFormat="1" x14ac:dyDescent="0.25">
      <c r="A110" s="81">
        <v>2719</v>
      </c>
      <c r="B110" s="16" t="s">
        <v>281</v>
      </c>
      <c r="C110" s="36">
        <v>120.2</v>
      </c>
      <c r="D110" s="14">
        <v>0.3</v>
      </c>
      <c r="E110" s="15">
        <f t="shared" si="5"/>
        <v>36.06</v>
      </c>
      <c r="F110" s="15"/>
      <c r="G110" s="15">
        <f t="shared" si="4"/>
        <v>36.06</v>
      </c>
      <c r="H110" s="32">
        <v>925058</v>
      </c>
      <c r="I110" s="17" t="s">
        <v>282</v>
      </c>
      <c r="J110" s="16" t="s">
        <v>283</v>
      </c>
      <c r="K110" s="32" t="s">
        <v>81</v>
      </c>
      <c r="L110" s="16">
        <v>92656157</v>
      </c>
      <c r="M110" s="33"/>
      <c r="N110" s="4"/>
    </row>
    <row r="111" spans="1:14" s="6" customFormat="1" x14ac:dyDescent="0.25">
      <c r="A111" s="81">
        <v>2721</v>
      </c>
      <c r="B111" s="16" t="s">
        <v>284</v>
      </c>
      <c r="C111" s="12">
        <v>48</v>
      </c>
      <c r="D111" s="14">
        <v>0.3</v>
      </c>
      <c r="E111" s="15">
        <f t="shared" si="5"/>
        <v>14.399999999999999</v>
      </c>
      <c r="F111" s="15"/>
      <c r="G111" s="15">
        <f t="shared" si="4"/>
        <v>14.399999999999999</v>
      </c>
      <c r="H111" s="32">
        <v>7673741</v>
      </c>
      <c r="I111" s="17" t="s">
        <v>285</v>
      </c>
      <c r="J111" s="16" t="s">
        <v>18</v>
      </c>
      <c r="K111" s="32" t="s">
        <v>19</v>
      </c>
      <c r="L111" s="16"/>
      <c r="M111" s="33"/>
      <c r="N111" s="4"/>
    </row>
    <row r="112" spans="1:14" s="6" customFormat="1" x14ac:dyDescent="0.25">
      <c r="A112" s="81" t="s">
        <v>391</v>
      </c>
      <c r="B112" s="70" t="s">
        <v>66</v>
      </c>
      <c r="C112" s="12">
        <v>33.5</v>
      </c>
      <c r="D112" s="14">
        <v>0.3</v>
      </c>
      <c r="E112" s="15">
        <f t="shared" si="5"/>
        <v>10.049999999999999</v>
      </c>
      <c r="F112" s="15"/>
      <c r="G112" s="15">
        <f t="shared" si="4"/>
        <v>10.049999999999999</v>
      </c>
      <c r="H112" s="32">
        <v>675043</v>
      </c>
      <c r="I112" s="17" t="s">
        <v>286</v>
      </c>
      <c r="J112" s="16" t="s">
        <v>80</v>
      </c>
      <c r="K112" s="32" t="s">
        <v>81</v>
      </c>
      <c r="L112" s="16"/>
      <c r="M112" s="33"/>
      <c r="N112" s="4"/>
    </row>
    <row r="113" spans="1:14" s="6" customFormat="1" x14ac:dyDescent="0.25">
      <c r="A113" s="81">
        <v>2724</v>
      </c>
      <c r="B113" s="82" t="s">
        <v>287</v>
      </c>
      <c r="C113" s="12">
        <v>51.7</v>
      </c>
      <c r="D113" s="14">
        <v>0.3</v>
      </c>
      <c r="E113" s="15">
        <f t="shared" si="5"/>
        <v>15.51</v>
      </c>
      <c r="F113" s="15"/>
      <c r="G113" s="15">
        <f t="shared" si="4"/>
        <v>15.51</v>
      </c>
      <c r="H113" s="32">
        <v>272921</v>
      </c>
      <c r="I113" s="17" t="s">
        <v>288</v>
      </c>
      <c r="J113" s="16" t="s">
        <v>73</v>
      </c>
      <c r="K113" s="32" t="s">
        <v>74</v>
      </c>
      <c r="L113" s="16"/>
      <c r="M113" s="33"/>
      <c r="N113" s="4"/>
    </row>
    <row r="114" spans="1:14" s="6" customFormat="1" x14ac:dyDescent="0.25">
      <c r="A114" s="81">
        <v>2725</v>
      </c>
      <c r="B114" s="82" t="s">
        <v>289</v>
      </c>
      <c r="C114" s="12">
        <v>235.1</v>
      </c>
      <c r="D114" s="14">
        <v>0.3</v>
      </c>
      <c r="E114" s="15">
        <f t="shared" si="5"/>
        <v>70.53</v>
      </c>
      <c r="F114" s="15"/>
      <c r="G114" s="15">
        <f t="shared" si="4"/>
        <v>70.53</v>
      </c>
      <c r="H114" s="32">
        <v>21910195</v>
      </c>
      <c r="I114" s="17" t="s">
        <v>290</v>
      </c>
      <c r="J114" s="16" t="s">
        <v>73</v>
      </c>
      <c r="K114" s="32" t="s">
        <v>74</v>
      </c>
      <c r="L114" s="16"/>
      <c r="M114" s="33"/>
      <c r="N114" s="4"/>
    </row>
    <row r="115" spans="1:14" s="6" customFormat="1" x14ac:dyDescent="0.25">
      <c r="A115" s="81">
        <v>2726</v>
      </c>
      <c r="B115" s="82" t="s">
        <v>293</v>
      </c>
      <c r="C115" s="12">
        <v>133.80000000000001</v>
      </c>
      <c r="D115" s="14">
        <v>0.3</v>
      </c>
      <c r="E115" s="15">
        <f t="shared" si="5"/>
        <v>40.14</v>
      </c>
      <c r="F115" s="15"/>
      <c r="G115" s="15">
        <f t="shared" si="4"/>
        <v>40.14</v>
      </c>
      <c r="H115" s="32">
        <v>5932095</v>
      </c>
      <c r="I115" s="17">
        <v>401003983190032</v>
      </c>
      <c r="J115" s="16" t="s">
        <v>73</v>
      </c>
      <c r="K115" s="32" t="s">
        <v>74</v>
      </c>
      <c r="L115" s="16"/>
      <c r="M115" s="33"/>
      <c r="N115" s="4"/>
    </row>
    <row r="116" spans="1:14" s="6" customFormat="1" x14ac:dyDescent="0.25">
      <c r="A116" s="81">
        <v>2727</v>
      </c>
      <c r="B116" s="82" t="s">
        <v>294</v>
      </c>
      <c r="C116" s="12">
        <v>13</v>
      </c>
      <c r="D116" s="14">
        <v>0.3</v>
      </c>
      <c r="E116" s="15">
        <f t="shared" si="5"/>
        <v>3.9</v>
      </c>
      <c r="F116" s="15"/>
      <c r="G116" s="15">
        <f t="shared" si="4"/>
        <v>3.9</v>
      </c>
      <c r="H116" s="32">
        <v>14874655</v>
      </c>
      <c r="I116" s="17">
        <v>250020006381</v>
      </c>
      <c r="J116" s="16" t="s">
        <v>94</v>
      </c>
      <c r="K116" s="32" t="s">
        <v>95</v>
      </c>
      <c r="L116" s="16">
        <v>99580134</v>
      </c>
      <c r="M116" s="33"/>
      <c r="N116" s="4"/>
    </row>
    <row r="117" spans="1:14" s="6" customFormat="1" x14ac:dyDescent="0.25">
      <c r="A117" s="81">
        <v>2728</v>
      </c>
      <c r="B117" s="83" t="s">
        <v>295</v>
      </c>
      <c r="C117" s="12">
        <v>31</v>
      </c>
      <c r="D117" s="14">
        <v>0.3</v>
      </c>
      <c r="E117" s="15">
        <f t="shared" si="5"/>
        <v>9.2999999999999989</v>
      </c>
      <c r="F117" s="15"/>
      <c r="G117" s="15">
        <f t="shared" si="4"/>
        <v>9.2999999999999989</v>
      </c>
      <c r="H117" s="32">
        <v>6300163</v>
      </c>
      <c r="I117" s="17" t="s">
        <v>296</v>
      </c>
      <c r="J117" s="16" t="s">
        <v>73</v>
      </c>
      <c r="K117" s="32" t="s">
        <v>74</v>
      </c>
      <c r="L117" s="16"/>
      <c r="M117" s="33"/>
      <c r="N117" s="4"/>
    </row>
    <row r="118" spans="1:14" s="6" customFormat="1" x14ac:dyDescent="0.25">
      <c r="A118" s="81">
        <v>2729</v>
      </c>
      <c r="B118" s="83" t="s">
        <v>297</v>
      </c>
      <c r="C118" s="12">
        <v>61.8</v>
      </c>
      <c r="D118" s="14">
        <v>0.3</v>
      </c>
      <c r="E118" s="15">
        <f t="shared" si="5"/>
        <v>18.54</v>
      </c>
      <c r="F118" s="15"/>
      <c r="G118" s="15">
        <f t="shared" si="4"/>
        <v>18.54</v>
      </c>
      <c r="H118" s="32">
        <v>21145036</v>
      </c>
      <c r="I118" s="17" t="s">
        <v>298</v>
      </c>
      <c r="J118" s="16" t="s">
        <v>73</v>
      </c>
      <c r="K118" s="32" t="s">
        <v>74</v>
      </c>
      <c r="L118" s="16"/>
      <c r="M118" s="33"/>
      <c r="N118" s="4"/>
    </row>
    <row r="119" spans="1:14" s="6" customFormat="1" x14ac:dyDescent="0.25">
      <c r="A119" s="81">
        <v>2730</v>
      </c>
      <c r="B119" s="40" t="s">
        <v>67</v>
      </c>
      <c r="C119" s="12">
        <v>42</v>
      </c>
      <c r="D119" s="14">
        <v>0.3</v>
      </c>
      <c r="E119" s="15">
        <f t="shared" si="5"/>
        <v>12.6</v>
      </c>
      <c r="F119" s="15"/>
      <c r="G119" s="15">
        <f t="shared" si="4"/>
        <v>12.6</v>
      </c>
      <c r="H119" s="32">
        <v>5138892</v>
      </c>
      <c r="I119" s="17" t="s">
        <v>299</v>
      </c>
      <c r="J119" s="16" t="s">
        <v>73</v>
      </c>
      <c r="K119" s="32" t="s">
        <v>74</v>
      </c>
      <c r="L119" s="16"/>
      <c r="M119" s="33"/>
      <c r="N119" s="4"/>
    </row>
    <row r="120" spans="1:14" s="6" customFormat="1" x14ac:dyDescent="0.25">
      <c r="A120" s="81">
        <v>2731</v>
      </c>
      <c r="B120" s="16" t="s">
        <v>300</v>
      </c>
      <c r="C120" s="12">
        <v>57.5</v>
      </c>
      <c r="D120" s="14">
        <v>0.3</v>
      </c>
      <c r="E120" s="15">
        <f t="shared" si="5"/>
        <v>17.25</v>
      </c>
      <c r="F120" s="15"/>
      <c r="G120" s="15">
        <f t="shared" si="4"/>
        <v>17.25</v>
      </c>
      <c r="H120" s="32">
        <v>3912773</v>
      </c>
      <c r="I120" s="17" t="s">
        <v>301</v>
      </c>
      <c r="J120" s="16" t="s">
        <v>73</v>
      </c>
      <c r="K120" s="32" t="s">
        <v>74</v>
      </c>
      <c r="L120" s="16"/>
      <c r="M120" s="33"/>
      <c r="N120" s="4"/>
    </row>
    <row r="121" spans="1:14" s="6" customFormat="1" x14ac:dyDescent="0.25">
      <c r="A121" s="80">
        <v>2732</v>
      </c>
      <c r="B121" s="19" t="s">
        <v>302</v>
      </c>
      <c r="C121" s="18"/>
      <c r="D121" s="20">
        <v>0.3</v>
      </c>
      <c r="E121" s="21">
        <f t="shared" si="5"/>
        <v>0</v>
      </c>
      <c r="F121" s="21"/>
      <c r="G121" s="15">
        <f t="shared" si="4"/>
        <v>0</v>
      </c>
      <c r="H121" s="32">
        <v>846753</v>
      </c>
      <c r="I121" s="17" t="s">
        <v>303</v>
      </c>
      <c r="J121" s="16" t="s">
        <v>73</v>
      </c>
      <c r="K121" s="32" t="s">
        <v>74</v>
      </c>
      <c r="L121" s="16"/>
      <c r="M121" s="33"/>
      <c r="N121" s="4"/>
    </row>
    <row r="122" spans="1:14" s="6" customFormat="1" x14ac:dyDescent="0.25">
      <c r="A122" s="69">
        <v>2733</v>
      </c>
      <c r="B122" s="16" t="s">
        <v>304</v>
      </c>
      <c r="C122" s="12">
        <v>50.8</v>
      </c>
      <c r="D122" s="14">
        <v>0.3</v>
      </c>
      <c r="E122" s="15">
        <f t="shared" si="5"/>
        <v>15.239999999999998</v>
      </c>
      <c r="F122" s="15"/>
      <c r="G122" s="15">
        <f t="shared" si="4"/>
        <v>15.239999999999998</v>
      </c>
      <c r="H122" s="32">
        <v>20444019</v>
      </c>
      <c r="I122" s="17" t="s">
        <v>305</v>
      </c>
      <c r="J122" s="16" t="s">
        <v>73</v>
      </c>
      <c r="K122" s="32" t="s">
        <v>74</v>
      </c>
      <c r="L122" s="16"/>
      <c r="M122" s="33"/>
      <c r="N122" s="4"/>
    </row>
    <row r="123" spans="1:14" s="6" customFormat="1" x14ac:dyDescent="0.25">
      <c r="A123" s="69">
        <v>2734</v>
      </c>
      <c r="B123" s="16" t="s">
        <v>306</v>
      </c>
      <c r="C123" s="12">
        <v>14</v>
      </c>
      <c r="D123" s="14">
        <v>0.3</v>
      </c>
      <c r="E123" s="15">
        <f t="shared" si="5"/>
        <v>4.2</v>
      </c>
      <c r="F123" s="15"/>
      <c r="G123" s="15">
        <f t="shared" si="4"/>
        <v>4.2</v>
      </c>
      <c r="H123" s="32">
        <v>24187516</v>
      </c>
      <c r="I123" s="17" t="s">
        <v>307</v>
      </c>
      <c r="J123" s="16" t="s">
        <v>90</v>
      </c>
      <c r="K123" s="32" t="s">
        <v>91</v>
      </c>
      <c r="L123" s="16"/>
      <c r="M123" s="33"/>
      <c r="N123" s="4"/>
    </row>
    <row r="124" spans="1:14" s="6" customFormat="1" x14ac:dyDescent="0.25">
      <c r="A124" s="18">
        <v>2736</v>
      </c>
      <c r="B124" s="25" t="s">
        <v>308</v>
      </c>
      <c r="C124" s="18"/>
      <c r="D124" s="20">
        <v>0.3</v>
      </c>
      <c r="E124" s="21">
        <f t="shared" si="5"/>
        <v>0</v>
      </c>
      <c r="F124" s="21"/>
      <c r="G124" s="15">
        <f t="shared" si="4"/>
        <v>0</v>
      </c>
      <c r="H124" s="32">
        <v>4629429</v>
      </c>
      <c r="I124" s="17" t="s">
        <v>309</v>
      </c>
      <c r="J124" s="16" t="s">
        <v>73</v>
      </c>
      <c r="K124" s="32" t="s">
        <v>74</v>
      </c>
      <c r="L124" s="16"/>
      <c r="M124" s="33"/>
      <c r="N124" s="4"/>
    </row>
    <row r="125" spans="1:14" s="6" customFormat="1" x14ac:dyDescent="0.25">
      <c r="A125" s="18">
        <v>2737</v>
      </c>
      <c r="B125" s="25" t="s">
        <v>310</v>
      </c>
      <c r="C125" s="18"/>
      <c r="D125" s="20">
        <v>0.3</v>
      </c>
      <c r="E125" s="21">
        <f t="shared" si="5"/>
        <v>0</v>
      </c>
      <c r="F125" s="21"/>
      <c r="G125" s="15">
        <f t="shared" si="4"/>
        <v>0</v>
      </c>
      <c r="H125" s="32">
        <v>734135</v>
      </c>
      <c r="I125" s="17" t="s">
        <v>311</v>
      </c>
      <c r="J125" s="16" t="s">
        <v>80</v>
      </c>
      <c r="K125" s="32" t="s">
        <v>81</v>
      </c>
      <c r="L125" s="16"/>
      <c r="M125" s="33"/>
      <c r="N125" s="4"/>
    </row>
    <row r="126" spans="1:14" s="6" customFormat="1" x14ac:dyDescent="0.25">
      <c r="A126" s="69">
        <v>2738</v>
      </c>
      <c r="B126" s="16" t="s">
        <v>312</v>
      </c>
      <c r="C126" s="12">
        <v>49.5</v>
      </c>
      <c r="D126" s="14">
        <v>0.3</v>
      </c>
      <c r="E126" s="15">
        <f t="shared" si="5"/>
        <v>14.85</v>
      </c>
      <c r="F126" s="15"/>
      <c r="G126" s="15">
        <f t="shared" si="4"/>
        <v>14.85</v>
      </c>
      <c r="H126" s="32">
        <v>1298606</v>
      </c>
      <c r="I126" s="17" t="s">
        <v>313</v>
      </c>
      <c r="J126" s="16" t="s">
        <v>73</v>
      </c>
      <c r="K126" s="32" t="s">
        <v>74</v>
      </c>
      <c r="L126" s="16"/>
      <c r="M126" s="33"/>
      <c r="N126" s="4"/>
    </row>
    <row r="127" spans="1:14" s="6" customFormat="1" ht="14.25" thickBot="1" x14ac:dyDescent="0.3">
      <c r="A127" s="272">
        <v>2740</v>
      </c>
      <c r="B127" s="273" t="s">
        <v>314</v>
      </c>
      <c r="C127" s="272"/>
      <c r="D127" s="20">
        <v>0.3</v>
      </c>
      <c r="E127" s="274">
        <f t="shared" si="5"/>
        <v>0</v>
      </c>
      <c r="F127" s="274"/>
      <c r="G127" s="15">
        <f t="shared" si="4"/>
        <v>0</v>
      </c>
      <c r="H127" s="290">
        <v>18315397</v>
      </c>
      <c r="I127" s="291">
        <v>401002460790021</v>
      </c>
      <c r="J127" s="288" t="s">
        <v>73</v>
      </c>
      <c r="K127" s="290" t="s">
        <v>74</v>
      </c>
      <c r="L127" s="288">
        <v>94346448</v>
      </c>
      <c r="M127" s="113"/>
      <c r="N127" s="4"/>
    </row>
    <row r="128" spans="1:14" s="6" customFormat="1" ht="14.25" thickBot="1" x14ac:dyDescent="0.3">
      <c r="A128" s="42"/>
      <c r="B128" s="43"/>
      <c r="C128" s="44">
        <f>SUM(C4:C127)</f>
        <v>5428.8000000000011</v>
      </c>
      <c r="D128" s="44">
        <f t="shared" ref="D128:G128" si="6">SUM(D4:D127)</f>
        <v>37.200000000000003</v>
      </c>
      <c r="E128" s="44">
        <f t="shared" si="6"/>
        <v>1628.64</v>
      </c>
      <c r="F128" s="44">
        <f t="shared" si="6"/>
        <v>0</v>
      </c>
      <c r="G128" s="44">
        <f t="shared" si="6"/>
        <v>1628.64</v>
      </c>
      <c r="H128" s="45"/>
      <c r="I128" s="48"/>
      <c r="J128" s="45"/>
      <c r="K128" s="45"/>
      <c r="L128" s="45"/>
      <c r="M128" s="49"/>
      <c r="N128" s="4"/>
    </row>
    <row r="129" spans="1:14" s="6" customFormat="1" x14ac:dyDescent="0.25">
      <c r="A129" s="51"/>
      <c r="B129" s="50"/>
      <c r="C129" s="52"/>
      <c r="D129" s="53"/>
      <c r="E129" s="52"/>
      <c r="F129" s="52"/>
      <c r="G129" s="52"/>
      <c r="H129" s="54"/>
      <c r="I129" s="55"/>
      <c r="J129" s="54"/>
      <c r="K129" s="54"/>
      <c r="L129" s="54"/>
      <c r="M129" s="56"/>
      <c r="N129" s="4"/>
    </row>
    <row r="130" spans="1:14" s="6" customFormat="1" x14ac:dyDescent="0.25">
      <c r="A130" s="57"/>
      <c r="C130" s="58"/>
      <c r="D130" s="58"/>
      <c r="E130" s="58"/>
      <c r="F130" s="58"/>
      <c r="G130" s="58"/>
      <c r="H130" s="59"/>
      <c r="I130" s="60"/>
      <c r="J130" s="59"/>
      <c r="N130" s="4"/>
    </row>
    <row r="131" spans="1:14" x14ac:dyDescent="0.25">
      <c r="D131" s="61" t="s">
        <v>331</v>
      </c>
      <c r="E131" s="306"/>
      <c r="F131" s="306"/>
      <c r="G131" s="306"/>
      <c r="H131" s="306"/>
      <c r="J131" s="307"/>
      <c r="K131" s="307"/>
      <c r="M131" s="65"/>
    </row>
    <row r="132" spans="1:14" s="64" customFormat="1" x14ac:dyDescent="0.25">
      <c r="A132" s="61"/>
      <c r="C132" s="61"/>
      <c r="D132" s="61" t="s">
        <v>44</v>
      </c>
      <c r="E132" s="306"/>
      <c r="F132" s="306"/>
      <c r="G132" s="306"/>
      <c r="H132" s="306"/>
      <c r="I132" s="63"/>
      <c r="J132" s="307"/>
      <c r="K132" s="307"/>
      <c r="M132" s="28"/>
      <c r="N132" s="4"/>
    </row>
    <row r="133" spans="1:14" s="64" customFormat="1" x14ac:dyDescent="0.25">
      <c r="A133" s="61"/>
      <c r="C133" s="61"/>
      <c r="D133" s="28"/>
      <c r="E133" s="62"/>
      <c r="F133" s="62"/>
      <c r="G133" s="62"/>
      <c r="I133" s="63"/>
      <c r="M133" s="28"/>
      <c r="N133" s="4"/>
    </row>
    <row r="134" spans="1:14" s="64" customFormat="1" x14ac:dyDescent="0.25">
      <c r="A134" s="61"/>
      <c r="B134" s="28"/>
      <c r="C134" s="61"/>
      <c r="D134" s="61"/>
      <c r="E134" s="62"/>
      <c r="F134" s="62"/>
      <c r="G134" s="62"/>
      <c r="I134" s="63"/>
      <c r="M134" s="28"/>
      <c r="N134" s="4"/>
    </row>
    <row r="135" spans="1:14" s="64" customFormat="1" x14ac:dyDescent="0.25">
      <c r="A135" s="61"/>
      <c r="B135" s="28"/>
      <c r="C135" s="61"/>
      <c r="D135" s="61"/>
      <c r="E135" s="62"/>
      <c r="F135" s="62"/>
      <c r="G135" s="62"/>
      <c r="I135" s="63"/>
      <c r="M135" s="28"/>
      <c r="N135" s="4"/>
    </row>
    <row r="136" spans="1:14" s="64" customFormat="1" x14ac:dyDescent="0.25">
      <c r="A136" s="61"/>
      <c r="B136" s="28"/>
      <c r="C136" s="68"/>
      <c r="D136" s="61"/>
      <c r="E136" s="68"/>
      <c r="F136" s="68"/>
      <c r="G136" s="68"/>
      <c r="I136" s="63"/>
      <c r="M136" s="28"/>
      <c r="N136" s="4"/>
    </row>
    <row r="137" spans="1:14" s="64" customFormat="1" x14ac:dyDescent="0.25">
      <c r="A137" s="61"/>
      <c r="B137" s="28"/>
      <c r="C137" s="61"/>
      <c r="D137" s="61"/>
      <c r="E137" s="62"/>
      <c r="F137" s="62"/>
      <c r="G137" s="62"/>
      <c r="I137" s="63"/>
      <c r="M137" s="28"/>
      <c r="N137" s="4"/>
    </row>
    <row r="138" spans="1:14" s="64" customFormat="1" x14ac:dyDescent="0.25">
      <c r="A138" s="61"/>
      <c r="B138" s="28"/>
      <c r="C138" s="61"/>
      <c r="D138" s="61"/>
      <c r="E138" s="62"/>
      <c r="F138" s="62"/>
      <c r="G138" s="62"/>
      <c r="I138" s="63"/>
      <c r="M138" s="28"/>
      <c r="N138" s="4"/>
    </row>
    <row r="139" spans="1:14" s="64" customFormat="1" x14ac:dyDescent="0.25">
      <c r="A139" s="61"/>
      <c r="B139" s="28"/>
      <c r="C139" s="61"/>
      <c r="D139" s="61"/>
      <c r="E139" s="62"/>
      <c r="F139" s="62"/>
      <c r="G139" s="62"/>
      <c r="I139" s="63"/>
      <c r="M139" s="28"/>
      <c r="N139" s="4"/>
    </row>
    <row r="140" spans="1:14" s="64" customFormat="1" x14ac:dyDescent="0.25">
      <c r="A140" s="61"/>
      <c r="B140" s="28"/>
      <c r="C140" s="61"/>
      <c r="D140" s="61"/>
      <c r="E140" s="62"/>
      <c r="F140" s="62"/>
      <c r="G140" s="62"/>
      <c r="I140" s="63"/>
      <c r="M140" s="28"/>
      <c r="N140" s="4"/>
    </row>
    <row r="141" spans="1:14" s="64" customFormat="1" x14ac:dyDescent="0.25">
      <c r="A141" s="61"/>
      <c r="B141" s="28"/>
      <c r="C141" s="61"/>
      <c r="D141" s="61"/>
      <c r="E141" s="62"/>
      <c r="F141" s="62"/>
      <c r="G141" s="62"/>
      <c r="I141" s="63"/>
      <c r="M141" s="28"/>
      <c r="N141" s="4"/>
    </row>
    <row r="142" spans="1:14" s="64" customFormat="1" x14ac:dyDescent="0.25">
      <c r="A142" s="61"/>
      <c r="B142" s="28"/>
      <c r="C142" s="61"/>
      <c r="D142" s="61"/>
      <c r="E142" s="62"/>
      <c r="F142" s="62"/>
      <c r="G142" s="62"/>
      <c r="I142" s="63"/>
      <c r="M142" s="28"/>
      <c r="N142" s="4"/>
    </row>
    <row r="143" spans="1:14" s="64" customFormat="1" x14ac:dyDescent="0.25">
      <c r="A143" s="61"/>
      <c r="B143" s="28"/>
      <c r="C143" s="61"/>
      <c r="D143" s="61"/>
      <c r="E143" s="62"/>
      <c r="F143" s="62"/>
      <c r="G143" s="62"/>
      <c r="I143" s="63"/>
      <c r="M143" s="28"/>
      <c r="N143" s="4"/>
    </row>
    <row r="144" spans="1:14" s="64" customFormat="1" x14ac:dyDescent="0.25">
      <c r="A144" s="61"/>
      <c r="B144" s="28"/>
      <c r="C144" s="61"/>
      <c r="D144" s="61"/>
      <c r="E144" s="62"/>
      <c r="F144" s="62"/>
      <c r="G144" s="62"/>
      <c r="I144" s="63"/>
      <c r="M144" s="28"/>
      <c r="N144" s="4"/>
    </row>
    <row r="145" spans="1:14" s="64" customFormat="1" x14ac:dyDescent="0.25">
      <c r="A145" s="61"/>
      <c r="B145" s="28"/>
      <c r="C145" s="61"/>
      <c r="D145" s="61"/>
      <c r="E145" s="62"/>
      <c r="F145" s="62"/>
      <c r="G145" s="62"/>
      <c r="I145" s="63"/>
      <c r="M145" s="28"/>
      <c r="N145" s="4"/>
    </row>
    <row r="146" spans="1:14" s="64" customFormat="1" x14ac:dyDescent="0.25">
      <c r="A146" s="61"/>
      <c r="B146" s="28"/>
      <c r="C146" s="61"/>
      <c r="D146" s="61"/>
      <c r="E146" s="62"/>
      <c r="F146" s="62"/>
      <c r="G146" s="62"/>
      <c r="I146" s="63"/>
      <c r="M146" s="28"/>
      <c r="N146" s="4"/>
    </row>
    <row r="147" spans="1:14" s="64" customFormat="1" x14ac:dyDescent="0.25">
      <c r="A147" s="61"/>
      <c r="B147" s="28"/>
      <c r="C147" s="61"/>
      <c r="D147" s="61"/>
      <c r="E147" s="62"/>
      <c r="F147" s="62"/>
      <c r="G147" s="62"/>
      <c r="I147" s="63"/>
      <c r="M147" s="28"/>
      <c r="N147" s="4"/>
    </row>
    <row r="148" spans="1:14" s="64" customFormat="1" x14ac:dyDescent="0.25">
      <c r="A148" s="61"/>
      <c r="B148" s="28"/>
      <c r="C148" s="61"/>
      <c r="D148" s="61"/>
      <c r="E148" s="62"/>
      <c r="F148" s="62"/>
      <c r="G148" s="62"/>
      <c r="I148" s="63"/>
      <c r="M148" s="28"/>
      <c r="N148" s="4"/>
    </row>
    <row r="149" spans="1:14" s="64" customFormat="1" x14ac:dyDescent="0.25">
      <c r="A149" s="61"/>
      <c r="B149" s="28"/>
      <c r="C149" s="61"/>
      <c r="D149" s="61"/>
      <c r="E149" s="62"/>
      <c r="F149" s="62"/>
      <c r="G149" s="62"/>
      <c r="I149" s="63"/>
      <c r="M149" s="28"/>
      <c r="N149" s="4"/>
    </row>
    <row r="150" spans="1:14" s="64" customFormat="1" x14ac:dyDescent="0.25">
      <c r="A150" s="61"/>
      <c r="B150" s="28"/>
      <c r="C150" s="61"/>
      <c r="D150" s="61"/>
      <c r="E150" s="62"/>
      <c r="F150" s="62"/>
      <c r="G150" s="62"/>
      <c r="I150" s="63"/>
      <c r="M150" s="28"/>
      <c r="N150" s="4"/>
    </row>
    <row r="151" spans="1:14" s="64" customFormat="1" x14ac:dyDescent="0.25">
      <c r="A151" s="61"/>
      <c r="B151" s="28"/>
      <c r="C151" s="61"/>
      <c r="D151" s="61"/>
      <c r="E151" s="62"/>
      <c r="F151" s="62"/>
      <c r="G151" s="62"/>
      <c r="I151" s="63"/>
      <c r="M151" s="28"/>
      <c r="N151" s="4"/>
    </row>
    <row r="152" spans="1:14" s="64" customFormat="1" x14ac:dyDescent="0.25">
      <c r="A152" s="61"/>
      <c r="B152" s="28"/>
      <c r="C152" s="61"/>
      <c r="D152" s="61"/>
      <c r="E152" s="62"/>
      <c r="F152" s="62"/>
      <c r="G152" s="62"/>
      <c r="I152" s="63"/>
      <c r="M152" s="28"/>
      <c r="N152" s="4"/>
    </row>
    <row r="153" spans="1:14" s="64" customFormat="1" x14ac:dyDescent="0.25">
      <c r="A153" s="61"/>
      <c r="B153" s="28"/>
      <c r="C153" s="61"/>
      <c r="D153" s="61"/>
      <c r="E153" s="62"/>
      <c r="F153" s="62"/>
      <c r="G153" s="62"/>
      <c r="I153" s="63"/>
      <c r="M153" s="28"/>
      <c r="N153" s="4"/>
    </row>
    <row r="154" spans="1:14" s="64" customFormat="1" x14ac:dyDescent="0.25">
      <c r="A154" s="61"/>
      <c r="B154" s="28"/>
      <c r="C154" s="61"/>
      <c r="D154" s="61"/>
      <c r="E154" s="62"/>
      <c r="F154" s="62"/>
      <c r="G154" s="62"/>
      <c r="I154" s="63"/>
      <c r="M154" s="28"/>
      <c r="N154" s="4"/>
    </row>
    <row r="155" spans="1:14" s="64" customFormat="1" x14ac:dyDescent="0.25">
      <c r="A155" s="61"/>
      <c r="B155" s="28"/>
      <c r="C155" s="61"/>
      <c r="D155" s="61"/>
      <c r="E155" s="62"/>
      <c r="F155" s="62"/>
      <c r="G155" s="62"/>
      <c r="I155" s="63"/>
      <c r="M155" s="28"/>
      <c r="N155" s="4"/>
    </row>
    <row r="156" spans="1:14" s="64" customFormat="1" x14ac:dyDescent="0.25">
      <c r="A156" s="61"/>
      <c r="B156" s="28"/>
      <c r="C156" s="61"/>
      <c r="D156" s="61"/>
      <c r="E156" s="62"/>
      <c r="F156" s="62"/>
      <c r="G156" s="62"/>
      <c r="I156" s="63"/>
      <c r="M156" s="28"/>
      <c r="N156" s="4"/>
    </row>
    <row r="157" spans="1:14" s="64" customFormat="1" x14ac:dyDescent="0.25">
      <c r="A157" s="61"/>
      <c r="B157" s="28"/>
      <c r="C157" s="61"/>
      <c r="D157" s="61"/>
      <c r="E157" s="62"/>
      <c r="F157" s="62"/>
      <c r="G157" s="62"/>
      <c r="I157" s="63"/>
      <c r="M157" s="28"/>
      <c r="N157" s="4"/>
    </row>
    <row r="158" spans="1:14" s="64" customFormat="1" x14ac:dyDescent="0.25">
      <c r="A158" s="61"/>
      <c r="B158" s="28"/>
      <c r="C158" s="61"/>
      <c r="D158" s="61"/>
      <c r="E158" s="62"/>
      <c r="F158" s="62"/>
      <c r="G158" s="62"/>
      <c r="I158" s="63"/>
      <c r="M158" s="28"/>
      <c r="N158" s="4"/>
    </row>
    <row r="159" spans="1:14" s="64" customFormat="1" x14ac:dyDescent="0.25">
      <c r="A159" s="61"/>
      <c r="B159" s="28"/>
      <c r="C159" s="61"/>
      <c r="D159" s="61"/>
      <c r="E159" s="62"/>
      <c r="F159" s="62"/>
      <c r="G159" s="62"/>
      <c r="I159" s="63"/>
      <c r="M159" s="28"/>
      <c r="N159" s="4"/>
    </row>
    <row r="160" spans="1:14" s="64" customFormat="1" x14ac:dyDescent="0.25">
      <c r="A160" s="61"/>
      <c r="B160" s="28"/>
      <c r="C160" s="61"/>
      <c r="D160" s="61"/>
      <c r="E160" s="62"/>
      <c r="F160" s="62"/>
      <c r="G160" s="62"/>
      <c r="I160" s="63"/>
      <c r="M160" s="28"/>
      <c r="N160" s="4"/>
    </row>
    <row r="161" spans="1:14" s="64" customFormat="1" x14ac:dyDescent="0.25">
      <c r="A161" s="61"/>
      <c r="B161" s="28"/>
      <c r="C161" s="61"/>
      <c r="D161" s="61"/>
      <c r="E161" s="62"/>
      <c r="F161" s="62"/>
      <c r="G161" s="62"/>
      <c r="I161" s="63"/>
      <c r="M161" s="28"/>
      <c r="N161" s="4"/>
    </row>
    <row r="162" spans="1:14" s="64" customFormat="1" x14ac:dyDescent="0.25">
      <c r="A162" s="61"/>
      <c r="B162" s="28"/>
      <c r="C162" s="61"/>
      <c r="D162" s="61"/>
      <c r="E162" s="62"/>
      <c r="F162" s="62"/>
      <c r="G162" s="62"/>
      <c r="I162" s="63"/>
      <c r="M162" s="28"/>
      <c r="N162" s="4"/>
    </row>
    <row r="163" spans="1:14" s="64" customFormat="1" x14ac:dyDescent="0.25">
      <c r="A163" s="61"/>
      <c r="B163" s="28"/>
      <c r="C163" s="61"/>
      <c r="D163" s="61"/>
      <c r="E163" s="62"/>
      <c r="F163" s="62"/>
      <c r="G163" s="62"/>
      <c r="I163" s="63"/>
      <c r="M163" s="28"/>
      <c r="N163" s="4"/>
    </row>
    <row r="164" spans="1:14" s="64" customFormat="1" x14ac:dyDescent="0.25">
      <c r="A164" s="61"/>
      <c r="B164" s="28"/>
      <c r="C164" s="61"/>
      <c r="D164" s="61"/>
      <c r="E164" s="62"/>
      <c r="F164" s="62"/>
      <c r="G164" s="62"/>
      <c r="I164" s="63"/>
      <c r="M164" s="28"/>
      <c r="N164" s="4"/>
    </row>
    <row r="165" spans="1:14" s="64" customFormat="1" x14ac:dyDescent="0.25">
      <c r="A165" s="61"/>
      <c r="B165" s="28"/>
      <c r="C165" s="61"/>
      <c r="D165" s="61"/>
      <c r="E165" s="62"/>
      <c r="F165" s="62"/>
      <c r="G165" s="62"/>
      <c r="I165" s="63"/>
      <c r="M165" s="28"/>
      <c r="N165" s="4"/>
    </row>
  </sheetData>
  <mergeCells count="16">
    <mergeCell ref="E131:H131"/>
    <mergeCell ref="J131:K131"/>
    <mergeCell ref="E132:H132"/>
    <mergeCell ref="J132:K132"/>
    <mergeCell ref="L2:L3"/>
    <mergeCell ref="E2:E3"/>
    <mergeCell ref="H2:H3"/>
    <mergeCell ref="I2:I3"/>
    <mergeCell ref="J2:J3"/>
    <mergeCell ref="K2:K3"/>
    <mergeCell ref="G2:G3"/>
    <mergeCell ref="A2:A3"/>
    <mergeCell ref="B2:B3"/>
    <mergeCell ref="C2:C3"/>
    <mergeCell ref="M2:M3"/>
    <mergeCell ref="D2:D3"/>
  </mergeCells>
  <conditionalFormatting sqref="I16">
    <cfRule type="duplicateValues" dxfId="1" priority="1"/>
  </conditionalFormatting>
  <pageMargins left="0.7" right="0.7" top="0.75" bottom="0.75" header="0.3" footer="0.3"/>
  <pageSetup paperSize="8" scale="51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4EACD-DA08-42F3-B852-01214BF0E030}">
  <dimension ref="A1:M165"/>
  <sheetViews>
    <sheetView tabSelected="1" zoomScaleNormal="100" zoomScaleSheetLayoutView="100" workbookViewId="0">
      <pane xSplit="2" ySplit="3" topLeftCell="C88" activePane="bottomRight" state="frozen"/>
      <selection pane="topRight" activeCell="D1" sqref="D1"/>
      <selection pane="bottomLeft" activeCell="A6" sqref="A6"/>
      <selection pane="bottomRight" activeCell="C1" sqref="C1:C1048576"/>
    </sheetView>
  </sheetViews>
  <sheetFormatPr defaultColWidth="9.140625" defaultRowHeight="13.5" x14ac:dyDescent="0.25"/>
  <cols>
    <col min="1" max="1" width="41.140625" style="61" bestFit="1" customWidth="1"/>
    <col min="2" max="2" width="38.28515625" style="28" customWidth="1"/>
    <col min="3" max="3" width="11.5703125" style="61" bestFit="1" customWidth="1"/>
    <col min="4" max="4" width="12.42578125" style="61" customWidth="1"/>
    <col min="5" max="5" width="12.28515625" style="61" bestFit="1" customWidth="1"/>
    <col min="6" max="7" width="16" style="61" customWidth="1"/>
    <col min="8" max="8" width="12.28515625" style="64" customWidth="1"/>
    <col min="9" max="9" width="21.42578125" style="63" customWidth="1"/>
    <col min="10" max="10" width="20" style="64" customWidth="1"/>
    <col min="11" max="11" width="17.42578125" style="64" customWidth="1"/>
    <col min="12" max="12" width="12" style="64" customWidth="1"/>
    <col min="13" max="13" width="12.7109375" style="4" customWidth="1"/>
    <col min="14" max="16384" width="9.140625" style="28"/>
  </cols>
  <sheetData>
    <row r="1" spans="1:13" s="7" customFormat="1" ht="30" customHeight="1" x14ac:dyDescent="0.25">
      <c r="A1" s="303" t="s">
        <v>468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4"/>
    </row>
    <row r="2" spans="1:13" s="11" customFormat="1" ht="19.5" customHeight="1" x14ac:dyDescent="0.25">
      <c r="A2" s="313" t="s">
        <v>2</v>
      </c>
      <c r="B2" s="308" t="s">
        <v>3</v>
      </c>
      <c r="C2" s="314" t="s">
        <v>4</v>
      </c>
      <c r="D2" s="308" t="s">
        <v>5</v>
      </c>
      <c r="E2" s="308" t="s">
        <v>6</v>
      </c>
      <c r="F2" s="301"/>
      <c r="G2" s="314" t="s">
        <v>31</v>
      </c>
      <c r="H2" s="308" t="s">
        <v>9</v>
      </c>
      <c r="I2" s="308" t="s">
        <v>10</v>
      </c>
      <c r="J2" s="308" t="s">
        <v>11</v>
      </c>
      <c r="K2" s="308" t="s">
        <v>12</v>
      </c>
      <c r="L2" s="308" t="s">
        <v>13</v>
      </c>
      <c r="M2" s="8"/>
    </row>
    <row r="3" spans="1:13" s="11" customFormat="1" ht="26.25" customHeight="1" x14ac:dyDescent="0.25">
      <c r="A3" s="313"/>
      <c r="B3" s="308"/>
      <c r="C3" s="315"/>
      <c r="D3" s="308"/>
      <c r="E3" s="308"/>
      <c r="F3" s="301"/>
      <c r="G3" s="315"/>
      <c r="H3" s="308"/>
      <c r="I3" s="308"/>
      <c r="J3" s="308"/>
      <c r="K3" s="308"/>
      <c r="L3" s="308"/>
      <c r="M3" s="8"/>
    </row>
    <row r="4" spans="1:13" s="6" customFormat="1" x14ac:dyDescent="0.25">
      <c r="A4" s="12" t="s">
        <v>465</v>
      </c>
      <c r="B4" s="13" t="s">
        <v>71</v>
      </c>
      <c r="C4" s="12"/>
      <c r="D4" s="14">
        <v>0.3</v>
      </c>
      <c r="E4" s="15">
        <f t="shared" ref="E4:E35" si="0">C4*D4</f>
        <v>0</v>
      </c>
      <c r="F4" s="15"/>
      <c r="G4" s="15">
        <f>E4-F4</f>
        <v>0</v>
      </c>
      <c r="H4" s="16">
        <v>5744412</v>
      </c>
      <c r="I4" s="17" t="s">
        <v>72</v>
      </c>
      <c r="J4" s="16" t="s">
        <v>73</v>
      </c>
      <c r="K4" s="266" t="s">
        <v>74</v>
      </c>
      <c r="L4" s="16">
        <v>92566993</v>
      </c>
      <c r="M4" s="4"/>
    </row>
    <row r="5" spans="1:13" s="6" customFormat="1" x14ac:dyDescent="0.25">
      <c r="A5" s="12" t="s">
        <v>464</v>
      </c>
      <c r="B5" s="13" t="s">
        <v>46</v>
      </c>
      <c r="C5" s="12">
        <v>109.7</v>
      </c>
      <c r="D5" s="14">
        <v>0.3</v>
      </c>
      <c r="E5" s="15">
        <f t="shared" si="0"/>
        <v>32.909999999999997</v>
      </c>
      <c r="F5" s="15"/>
      <c r="G5" s="15">
        <f t="shared" ref="G5:G68" si="1">E5-F5</f>
        <v>32.909999999999997</v>
      </c>
      <c r="H5" s="16">
        <v>3946807</v>
      </c>
      <c r="I5" s="17" t="s">
        <v>75</v>
      </c>
      <c r="J5" s="16" t="s">
        <v>76</v>
      </c>
      <c r="K5" s="16" t="s">
        <v>77</v>
      </c>
      <c r="L5" s="16">
        <v>99702767</v>
      </c>
      <c r="M5" s="4"/>
    </row>
    <row r="6" spans="1:13" s="6" customFormat="1" x14ac:dyDescent="0.25">
      <c r="A6" s="12" t="s">
        <v>463</v>
      </c>
      <c r="B6" s="13" t="s">
        <v>78</v>
      </c>
      <c r="C6" s="12">
        <v>69.400000000000006</v>
      </c>
      <c r="D6" s="14">
        <v>0.3</v>
      </c>
      <c r="E6" s="15">
        <f t="shared" si="0"/>
        <v>20.82</v>
      </c>
      <c r="F6" s="15"/>
      <c r="G6" s="15">
        <f t="shared" si="1"/>
        <v>20.82</v>
      </c>
      <c r="H6" s="16">
        <v>13974337</v>
      </c>
      <c r="I6" s="17" t="s">
        <v>79</v>
      </c>
      <c r="J6" s="16" t="s">
        <v>80</v>
      </c>
      <c r="K6" s="32" t="s">
        <v>81</v>
      </c>
      <c r="L6" s="16">
        <v>99291110</v>
      </c>
      <c r="M6" s="4"/>
    </row>
    <row r="7" spans="1:13" s="6" customFormat="1" x14ac:dyDescent="0.25">
      <c r="A7" s="12" t="s">
        <v>462</v>
      </c>
      <c r="B7" s="13" t="s">
        <v>82</v>
      </c>
      <c r="C7" s="12">
        <v>108.7</v>
      </c>
      <c r="D7" s="14">
        <v>0.3</v>
      </c>
      <c r="E7" s="15">
        <f t="shared" si="0"/>
        <v>32.61</v>
      </c>
      <c r="F7" s="15"/>
      <c r="G7" s="15">
        <f t="shared" si="1"/>
        <v>32.61</v>
      </c>
      <c r="H7" s="16">
        <v>6488366</v>
      </c>
      <c r="I7" s="17" t="s">
        <v>83</v>
      </c>
      <c r="J7" s="16" t="s">
        <v>73</v>
      </c>
      <c r="K7" s="32" t="s">
        <v>74</v>
      </c>
      <c r="L7" s="16">
        <v>95479797</v>
      </c>
      <c r="M7" s="4"/>
    </row>
    <row r="8" spans="1:13" s="6" customFormat="1" x14ac:dyDescent="0.25">
      <c r="A8" s="18" t="s">
        <v>461</v>
      </c>
      <c r="B8" s="19" t="s">
        <v>84</v>
      </c>
      <c r="C8" s="18"/>
      <c r="D8" s="20">
        <v>0.3</v>
      </c>
      <c r="E8" s="21">
        <f t="shared" si="0"/>
        <v>0</v>
      </c>
      <c r="F8" s="21"/>
      <c r="G8" s="15">
        <f t="shared" si="1"/>
        <v>0</v>
      </c>
      <c r="H8" s="25">
        <v>1233627</v>
      </c>
      <c r="I8" s="17" t="s">
        <v>85</v>
      </c>
      <c r="J8" s="16" t="s">
        <v>73</v>
      </c>
      <c r="K8" s="32" t="s">
        <v>74</v>
      </c>
      <c r="L8" s="16">
        <v>92788274</v>
      </c>
      <c r="M8" s="4"/>
    </row>
    <row r="9" spans="1:13" s="6" customFormat="1" x14ac:dyDescent="0.25">
      <c r="A9" s="12" t="s">
        <v>460</v>
      </c>
      <c r="B9" s="13" t="s">
        <v>87</v>
      </c>
      <c r="C9" s="12"/>
      <c r="D9" s="14">
        <v>0.3</v>
      </c>
      <c r="E9" s="15">
        <f t="shared" si="0"/>
        <v>0</v>
      </c>
      <c r="F9" s="15"/>
      <c r="G9" s="15">
        <f t="shared" si="1"/>
        <v>0</v>
      </c>
      <c r="H9" s="16">
        <v>1248701</v>
      </c>
      <c r="I9" s="17" t="s">
        <v>88</v>
      </c>
      <c r="J9" s="16" t="s">
        <v>73</v>
      </c>
      <c r="K9" s="32" t="s">
        <v>74</v>
      </c>
      <c r="L9" s="16">
        <v>90911500</v>
      </c>
      <c r="M9" s="4"/>
    </row>
    <row r="10" spans="1:13" s="6" customFormat="1" x14ac:dyDescent="0.25">
      <c r="A10" s="12" t="s">
        <v>459</v>
      </c>
      <c r="B10" s="13" t="s">
        <v>47</v>
      </c>
      <c r="C10" s="12">
        <v>76.599999999999994</v>
      </c>
      <c r="D10" s="14">
        <v>0.3</v>
      </c>
      <c r="E10" s="15">
        <f t="shared" si="0"/>
        <v>22.979999999999997</v>
      </c>
      <c r="F10" s="15"/>
      <c r="G10" s="15">
        <f t="shared" si="1"/>
        <v>22.979999999999997</v>
      </c>
      <c r="H10" s="16">
        <v>1183461</v>
      </c>
      <c r="I10" s="17" t="s">
        <v>89</v>
      </c>
      <c r="J10" s="16" t="s">
        <v>90</v>
      </c>
      <c r="K10" s="29" t="s">
        <v>91</v>
      </c>
      <c r="L10" s="16">
        <v>95622123</v>
      </c>
      <c r="M10" s="4"/>
    </row>
    <row r="11" spans="1:13" s="6" customFormat="1" x14ac:dyDescent="0.25">
      <c r="A11" s="12" t="s">
        <v>458</v>
      </c>
      <c r="B11" s="13" t="s">
        <v>92</v>
      </c>
      <c r="C11" s="12">
        <v>72.2</v>
      </c>
      <c r="D11" s="14">
        <v>0.3</v>
      </c>
      <c r="E11" s="15">
        <f t="shared" si="0"/>
        <v>21.66</v>
      </c>
      <c r="F11" s="15"/>
      <c r="G11" s="15">
        <f t="shared" si="1"/>
        <v>21.66</v>
      </c>
      <c r="H11" s="16">
        <v>1348989</v>
      </c>
      <c r="I11" s="17" t="s">
        <v>93</v>
      </c>
      <c r="J11" s="16" t="s">
        <v>94</v>
      </c>
      <c r="K11" s="182" t="s">
        <v>95</v>
      </c>
      <c r="L11" s="16">
        <v>99678203</v>
      </c>
      <c r="M11" s="4"/>
    </row>
    <row r="12" spans="1:13" s="6" customFormat="1" x14ac:dyDescent="0.25">
      <c r="A12" s="12" t="s">
        <v>457</v>
      </c>
      <c r="B12" s="13" t="s">
        <v>96</v>
      </c>
      <c r="C12" s="12">
        <v>238.1</v>
      </c>
      <c r="D12" s="14">
        <v>0.3</v>
      </c>
      <c r="E12" s="15">
        <f t="shared" si="0"/>
        <v>71.429999999999993</v>
      </c>
      <c r="F12" s="15"/>
      <c r="G12" s="15">
        <f t="shared" si="1"/>
        <v>71.429999999999993</v>
      </c>
      <c r="H12" s="16">
        <v>896658</v>
      </c>
      <c r="I12" s="17" t="s">
        <v>97</v>
      </c>
      <c r="J12" s="16" t="s">
        <v>90</v>
      </c>
      <c r="K12" s="29" t="s">
        <v>91</v>
      </c>
      <c r="L12" s="16">
        <v>99831783</v>
      </c>
      <c r="M12" s="4"/>
    </row>
    <row r="13" spans="1:13" s="72" customFormat="1" x14ac:dyDescent="0.25">
      <c r="A13" s="12" t="s">
        <v>456</v>
      </c>
      <c r="B13" s="13" t="s">
        <v>98</v>
      </c>
      <c r="C13" s="12">
        <v>75.2</v>
      </c>
      <c r="D13" s="14">
        <v>0.3</v>
      </c>
      <c r="E13" s="15">
        <f t="shared" si="0"/>
        <v>22.56</v>
      </c>
      <c r="F13" s="15"/>
      <c r="G13" s="15">
        <f t="shared" si="1"/>
        <v>22.56</v>
      </c>
      <c r="H13" s="16">
        <v>2884732</v>
      </c>
      <c r="I13" s="17" t="s">
        <v>99</v>
      </c>
      <c r="J13" s="16" t="s">
        <v>18</v>
      </c>
      <c r="K13" s="32" t="s">
        <v>19</v>
      </c>
      <c r="L13" s="16">
        <v>95878851</v>
      </c>
      <c r="M13" s="4"/>
    </row>
    <row r="14" spans="1:13" s="6" customFormat="1" x14ac:dyDescent="0.25">
      <c r="A14" s="18" t="s">
        <v>455</v>
      </c>
      <c r="B14" s="19" t="s">
        <v>100</v>
      </c>
      <c r="C14" s="18"/>
      <c r="D14" s="20">
        <v>0.3</v>
      </c>
      <c r="E14" s="21">
        <f t="shared" si="0"/>
        <v>0</v>
      </c>
      <c r="F14" s="21"/>
      <c r="G14" s="15">
        <f t="shared" si="1"/>
        <v>0</v>
      </c>
      <c r="H14" s="25">
        <v>1015515</v>
      </c>
      <c r="I14" s="17" t="s">
        <v>101</v>
      </c>
      <c r="J14" s="16" t="s">
        <v>90</v>
      </c>
      <c r="K14" s="29" t="s">
        <v>91</v>
      </c>
      <c r="L14" s="16">
        <v>92350077</v>
      </c>
      <c r="M14" s="4"/>
    </row>
    <row r="15" spans="1:13" s="6" customFormat="1" x14ac:dyDescent="0.25">
      <c r="A15" s="12" t="s">
        <v>454</v>
      </c>
      <c r="B15" s="13" t="s">
        <v>102</v>
      </c>
      <c r="C15" s="12">
        <v>102.5</v>
      </c>
      <c r="D15" s="14">
        <v>0.3</v>
      </c>
      <c r="E15" s="15">
        <f t="shared" si="0"/>
        <v>30.75</v>
      </c>
      <c r="F15" s="15"/>
      <c r="G15" s="15">
        <f t="shared" si="1"/>
        <v>30.75</v>
      </c>
      <c r="H15" s="16">
        <v>1248772</v>
      </c>
      <c r="I15" s="17" t="s">
        <v>103</v>
      </c>
      <c r="J15" s="16" t="s">
        <v>94</v>
      </c>
      <c r="K15" s="182" t="s">
        <v>95</v>
      </c>
      <c r="L15" s="16">
        <v>91102881</v>
      </c>
      <c r="M15" s="4"/>
    </row>
    <row r="16" spans="1:13" x14ac:dyDescent="0.25">
      <c r="A16" s="12" t="s">
        <v>21</v>
      </c>
      <c r="B16" s="13" t="s">
        <v>15</v>
      </c>
      <c r="C16" s="12">
        <v>45.4</v>
      </c>
      <c r="D16" s="14">
        <v>0.3</v>
      </c>
      <c r="E16" s="15">
        <f t="shared" si="0"/>
        <v>13.62</v>
      </c>
      <c r="F16" s="278"/>
      <c r="G16" s="15">
        <f t="shared" si="1"/>
        <v>13.62</v>
      </c>
      <c r="H16" s="117">
        <v>6225617</v>
      </c>
      <c r="I16" s="118" t="s">
        <v>17</v>
      </c>
      <c r="J16" s="16" t="s">
        <v>18</v>
      </c>
      <c r="K16" s="29" t="s">
        <v>19</v>
      </c>
      <c r="L16" s="16">
        <v>98004554</v>
      </c>
    </row>
    <row r="17" spans="1:13" s="6" customFormat="1" x14ac:dyDescent="0.25">
      <c r="A17" s="18" t="s">
        <v>453</v>
      </c>
      <c r="B17" s="19" t="s">
        <v>105</v>
      </c>
      <c r="C17" s="18"/>
      <c r="D17" s="20">
        <v>0.3</v>
      </c>
      <c r="E17" s="21">
        <f t="shared" si="0"/>
        <v>0</v>
      </c>
      <c r="F17" s="21"/>
      <c r="G17" s="15">
        <f t="shared" si="1"/>
        <v>0</v>
      </c>
      <c r="H17" s="18">
        <v>17375838</v>
      </c>
      <c r="I17" s="183" t="s">
        <v>106</v>
      </c>
      <c r="J17" s="78" t="s">
        <v>73</v>
      </c>
      <c r="K17" s="79" t="s">
        <v>74</v>
      </c>
      <c r="L17" s="79">
        <v>95089970</v>
      </c>
      <c r="M17" s="4"/>
    </row>
    <row r="18" spans="1:13" s="6" customFormat="1" x14ac:dyDescent="0.25">
      <c r="A18" s="12" t="s">
        <v>452</v>
      </c>
      <c r="B18" s="13" t="s">
        <v>48</v>
      </c>
      <c r="C18" s="12">
        <v>144.9</v>
      </c>
      <c r="D18" s="14">
        <v>0.3</v>
      </c>
      <c r="E18" s="15">
        <f t="shared" si="0"/>
        <v>43.47</v>
      </c>
      <c r="F18" s="15"/>
      <c r="G18" s="15">
        <f t="shared" si="1"/>
        <v>43.47</v>
      </c>
      <c r="H18" s="16">
        <v>6552811</v>
      </c>
      <c r="I18" s="17" t="s">
        <v>107</v>
      </c>
      <c r="J18" s="16" t="s">
        <v>73</v>
      </c>
      <c r="K18" s="32" t="s">
        <v>74</v>
      </c>
      <c r="L18" s="16">
        <v>99085221</v>
      </c>
      <c r="M18" s="4"/>
    </row>
    <row r="19" spans="1:13" s="6" customFormat="1" x14ac:dyDescent="0.25">
      <c r="A19" s="12" t="s">
        <v>451</v>
      </c>
      <c r="B19" s="13" t="s">
        <v>108</v>
      </c>
      <c r="C19" s="12">
        <v>167.5</v>
      </c>
      <c r="D19" s="14">
        <v>0.3</v>
      </c>
      <c r="E19" s="15">
        <f t="shared" si="0"/>
        <v>50.25</v>
      </c>
      <c r="F19" s="15"/>
      <c r="G19" s="15">
        <f t="shared" si="1"/>
        <v>50.25</v>
      </c>
      <c r="H19" s="16">
        <v>6552839</v>
      </c>
      <c r="I19" s="17" t="s">
        <v>109</v>
      </c>
      <c r="J19" s="16" t="s">
        <v>90</v>
      </c>
      <c r="K19" s="29" t="s">
        <v>91</v>
      </c>
      <c r="L19" s="16">
        <v>92017833</v>
      </c>
      <c r="M19" s="4"/>
    </row>
    <row r="20" spans="1:13" s="6" customFormat="1" x14ac:dyDescent="0.25">
      <c r="A20" s="12" t="s">
        <v>450</v>
      </c>
      <c r="B20" s="13" t="s">
        <v>110</v>
      </c>
      <c r="C20" s="12">
        <v>80.7</v>
      </c>
      <c r="D20" s="14">
        <v>0.3</v>
      </c>
      <c r="E20" s="15">
        <f t="shared" si="0"/>
        <v>24.21</v>
      </c>
      <c r="F20" s="15"/>
      <c r="G20" s="15">
        <f t="shared" si="1"/>
        <v>24.21</v>
      </c>
      <c r="H20" s="16">
        <v>1183437</v>
      </c>
      <c r="I20" s="17" t="s">
        <v>111</v>
      </c>
      <c r="J20" s="16" t="s">
        <v>73</v>
      </c>
      <c r="K20" s="32" t="s">
        <v>74</v>
      </c>
      <c r="L20" s="16">
        <v>92585717</v>
      </c>
      <c r="M20" s="4"/>
    </row>
    <row r="21" spans="1:13" s="6" customFormat="1" x14ac:dyDescent="0.25">
      <c r="A21" s="12" t="s">
        <v>449</v>
      </c>
      <c r="B21" s="13" t="s">
        <v>113</v>
      </c>
      <c r="C21" s="12">
        <v>66.400000000000006</v>
      </c>
      <c r="D21" s="14">
        <v>0.3</v>
      </c>
      <c r="E21" s="15">
        <f t="shared" si="0"/>
        <v>19.920000000000002</v>
      </c>
      <c r="F21" s="15"/>
      <c r="G21" s="15">
        <f t="shared" si="1"/>
        <v>19.920000000000002</v>
      </c>
      <c r="H21" s="16">
        <v>19745547</v>
      </c>
      <c r="I21" s="17" t="s">
        <v>114</v>
      </c>
      <c r="J21" s="16" t="s">
        <v>73</v>
      </c>
      <c r="K21" s="32" t="s">
        <v>74</v>
      </c>
      <c r="L21" s="16">
        <v>98821811</v>
      </c>
      <c r="M21" s="4"/>
    </row>
    <row r="22" spans="1:13" s="6" customFormat="1" x14ac:dyDescent="0.25">
      <c r="A22" s="12" t="s">
        <v>448</v>
      </c>
      <c r="B22" s="13" t="s">
        <v>115</v>
      </c>
      <c r="C22" s="12">
        <v>227.9</v>
      </c>
      <c r="D22" s="14">
        <v>0.3</v>
      </c>
      <c r="E22" s="15">
        <f t="shared" si="0"/>
        <v>68.37</v>
      </c>
      <c r="F22" s="15"/>
      <c r="G22" s="15">
        <f t="shared" si="1"/>
        <v>68.37</v>
      </c>
      <c r="H22" s="16">
        <v>6067343</v>
      </c>
      <c r="I22" s="17" t="s">
        <v>116</v>
      </c>
      <c r="J22" s="16" t="s">
        <v>94</v>
      </c>
      <c r="K22" s="182" t="s">
        <v>95</v>
      </c>
      <c r="L22" s="16">
        <v>91329902</v>
      </c>
      <c r="M22" s="4"/>
    </row>
    <row r="23" spans="1:13" s="6" customFormat="1" x14ac:dyDescent="0.25">
      <c r="A23" s="12" t="s">
        <v>447</v>
      </c>
      <c r="B23" s="13" t="s">
        <v>49</v>
      </c>
      <c r="C23" s="12"/>
      <c r="D23" s="14">
        <v>0.3</v>
      </c>
      <c r="E23" s="15">
        <f t="shared" si="0"/>
        <v>0</v>
      </c>
      <c r="F23" s="15"/>
      <c r="G23" s="15">
        <f t="shared" si="1"/>
        <v>0</v>
      </c>
      <c r="H23" s="16">
        <v>1994004</v>
      </c>
      <c r="I23" s="17" t="s">
        <v>117</v>
      </c>
      <c r="J23" s="16" t="s">
        <v>73</v>
      </c>
      <c r="K23" s="32" t="s">
        <v>74</v>
      </c>
      <c r="L23" s="16">
        <v>99489917</v>
      </c>
      <c r="M23" s="4"/>
    </row>
    <row r="24" spans="1:13" s="6" customFormat="1" x14ac:dyDescent="0.25">
      <c r="A24" s="12" t="s">
        <v>446</v>
      </c>
      <c r="B24" s="13" t="s">
        <v>118</v>
      </c>
      <c r="C24" s="12">
        <v>16.600000000000001</v>
      </c>
      <c r="D24" s="14">
        <v>0.3</v>
      </c>
      <c r="E24" s="15">
        <f t="shared" si="0"/>
        <v>4.9800000000000004</v>
      </c>
      <c r="F24" s="15"/>
      <c r="G24" s="15">
        <f t="shared" si="1"/>
        <v>4.9800000000000004</v>
      </c>
      <c r="H24" s="16">
        <v>3206725</v>
      </c>
      <c r="I24" s="17">
        <v>401002509090012</v>
      </c>
      <c r="J24" s="16" t="s">
        <v>73</v>
      </c>
      <c r="K24" s="32" t="s">
        <v>74</v>
      </c>
      <c r="L24" s="16">
        <v>93325253</v>
      </c>
      <c r="M24" s="4"/>
    </row>
    <row r="25" spans="1:13" x14ac:dyDescent="0.25">
      <c r="A25" s="12" t="s">
        <v>445</v>
      </c>
      <c r="B25" s="13" t="s">
        <v>119</v>
      </c>
      <c r="C25" s="12"/>
      <c r="D25" s="14">
        <v>0.3</v>
      </c>
      <c r="E25" s="15">
        <f t="shared" si="0"/>
        <v>0</v>
      </c>
      <c r="F25" s="15"/>
      <c r="G25" s="15">
        <f t="shared" si="1"/>
        <v>0</v>
      </c>
      <c r="H25" s="16">
        <v>5474204</v>
      </c>
      <c r="I25" s="17" t="s">
        <v>120</v>
      </c>
      <c r="J25" s="16" t="s">
        <v>73</v>
      </c>
      <c r="K25" s="32" t="s">
        <v>74</v>
      </c>
      <c r="L25" s="16">
        <v>92806972</v>
      </c>
    </row>
    <row r="26" spans="1:13" s="6" customFormat="1" x14ac:dyDescent="0.25">
      <c r="A26" s="12" t="s">
        <v>444</v>
      </c>
      <c r="B26" s="13" t="s">
        <v>51</v>
      </c>
      <c r="C26" s="12">
        <v>53.4</v>
      </c>
      <c r="D26" s="14">
        <v>0.3</v>
      </c>
      <c r="E26" s="15">
        <f t="shared" si="0"/>
        <v>16.02</v>
      </c>
      <c r="F26" s="15"/>
      <c r="G26" s="15">
        <f t="shared" si="1"/>
        <v>16.02</v>
      </c>
      <c r="H26" s="16">
        <v>3083395</v>
      </c>
      <c r="I26" s="183" t="s">
        <v>121</v>
      </c>
      <c r="J26" s="78" t="s">
        <v>73</v>
      </c>
      <c r="K26" s="79" t="s">
        <v>74</v>
      </c>
      <c r="L26" s="78">
        <v>99287760</v>
      </c>
      <c r="M26" s="4"/>
    </row>
    <row r="27" spans="1:13" s="6" customFormat="1" x14ac:dyDescent="0.25">
      <c r="A27" s="18" t="s">
        <v>443</v>
      </c>
      <c r="B27" s="19" t="s">
        <v>122</v>
      </c>
      <c r="C27" s="18"/>
      <c r="D27" s="20">
        <v>0.3</v>
      </c>
      <c r="E27" s="21">
        <f t="shared" si="0"/>
        <v>0</v>
      </c>
      <c r="F27" s="21"/>
      <c r="G27" s="15">
        <f t="shared" si="1"/>
        <v>0</v>
      </c>
      <c r="H27" s="25">
        <v>2011348</v>
      </c>
      <c r="I27" s="17" t="s">
        <v>123</v>
      </c>
      <c r="J27" s="16" t="s">
        <v>94</v>
      </c>
      <c r="K27" s="182" t="s">
        <v>95</v>
      </c>
      <c r="L27" s="16">
        <v>98509729</v>
      </c>
      <c r="M27" s="4"/>
    </row>
    <row r="28" spans="1:13" s="6" customFormat="1" x14ac:dyDescent="0.25">
      <c r="A28" s="12" t="s">
        <v>442</v>
      </c>
      <c r="B28" s="13" t="s">
        <v>124</v>
      </c>
      <c r="C28" s="12"/>
      <c r="D28" s="14">
        <v>0.3</v>
      </c>
      <c r="E28" s="15">
        <f t="shared" si="0"/>
        <v>0</v>
      </c>
      <c r="F28" s="15"/>
      <c r="G28" s="15">
        <f t="shared" si="1"/>
        <v>0</v>
      </c>
      <c r="H28" s="16">
        <v>2396272</v>
      </c>
      <c r="I28" s="17" t="s">
        <v>125</v>
      </c>
      <c r="J28" s="16" t="s">
        <v>73</v>
      </c>
      <c r="K28" s="32" t="s">
        <v>74</v>
      </c>
      <c r="L28" s="16">
        <v>990991999</v>
      </c>
      <c r="M28" s="4"/>
    </row>
    <row r="29" spans="1:13" s="6" customFormat="1" x14ac:dyDescent="0.25">
      <c r="A29" s="12" t="s">
        <v>441</v>
      </c>
      <c r="B29" s="13" t="s">
        <v>32</v>
      </c>
      <c r="C29" s="12">
        <v>120.2</v>
      </c>
      <c r="D29" s="14">
        <v>0.3</v>
      </c>
      <c r="E29" s="15">
        <f t="shared" si="0"/>
        <v>36.06</v>
      </c>
      <c r="F29" s="15"/>
      <c r="G29" s="15">
        <f t="shared" si="1"/>
        <v>36.06</v>
      </c>
      <c r="H29" s="16">
        <v>6488371</v>
      </c>
      <c r="I29" s="17" t="s">
        <v>126</v>
      </c>
      <c r="J29" s="16" t="s">
        <v>18</v>
      </c>
      <c r="K29" s="268" t="s">
        <v>19</v>
      </c>
      <c r="L29" s="16">
        <v>99096166</v>
      </c>
      <c r="M29" s="75"/>
    </row>
    <row r="30" spans="1:13" s="6" customFormat="1" x14ac:dyDescent="0.25">
      <c r="A30" s="12" t="s">
        <v>440</v>
      </c>
      <c r="B30" s="13" t="s">
        <v>127</v>
      </c>
      <c r="C30" s="12">
        <v>57.8</v>
      </c>
      <c r="D30" s="14">
        <v>0.3</v>
      </c>
      <c r="E30" s="15">
        <f t="shared" si="0"/>
        <v>17.34</v>
      </c>
      <c r="F30" s="15"/>
      <c r="G30" s="15">
        <f t="shared" si="1"/>
        <v>17.34</v>
      </c>
      <c r="H30" s="16">
        <v>8098813</v>
      </c>
      <c r="I30" s="17" t="s">
        <v>128</v>
      </c>
      <c r="J30" s="16" t="s">
        <v>80</v>
      </c>
      <c r="K30" s="185" t="s">
        <v>81</v>
      </c>
      <c r="L30" s="16">
        <v>98279944</v>
      </c>
      <c r="M30" s="4"/>
    </row>
    <row r="31" spans="1:13" s="6" customFormat="1" x14ac:dyDescent="0.25">
      <c r="A31" s="12" t="s">
        <v>439</v>
      </c>
      <c r="B31" s="13" t="s">
        <v>129</v>
      </c>
      <c r="C31" s="12">
        <v>74.8</v>
      </c>
      <c r="D31" s="14">
        <v>0.3</v>
      </c>
      <c r="E31" s="15">
        <f t="shared" si="0"/>
        <v>22.439999999999998</v>
      </c>
      <c r="F31" s="15"/>
      <c r="G31" s="15">
        <f t="shared" si="1"/>
        <v>22.439999999999998</v>
      </c>
      <c r="H31" s="16">
        <v>931835</v>
      </c>
      <c r="I31" s="17" t="s">
        <v>130</v>
      </c>
      <c r="J31" s="16" t="s">
        <v>73</v>
      </c>
      <c r="K31" s="32" t="s">
        <v>74</v>
      </c>
      <c r="L31" s="16">
        <v>91766175</v>
      </c>
      <c r="M31" s="4"/>
    </row>
    <row r="32" spans="1:13" s="6" customFormat="1" x14ac:dyDescent="0.25">
      <c r="A32" s="12" t="s">
        <v>438</v>
      </c>
      <c r="B32" s="13" t="s">
        <v>53</v>
      </c>
      <c r="C32" s="12">
        <v>91.7</v>
      </c>
      <c r="D32" s="14">
        <v>0.3</v>
      </c>
      <c r="E32" s="15">
        <f t="shared" si="0"/>
        <v>27.51</v>
      </c>
      <c r="F32" s="15"/>
      <c r="G32" s="15">
        <f t="shared" si="1"/>
        <v>27.51</v>
      </c>
      <c r="H32" s="16">
        <v>18395066</v>
      </c>
      <c r="I32" s="17" t="s">
        <v>131</v>
      </c>
      <c r="J32" s="16" t="s">
        <v>132</v>
      </c>
      <c r="K32" s="32" t="s">
        <v>133</v>
      </c>
      <c r="L32" s="16">
        <v>9562212</v>
      </c>
      <c r="M32" s="4"/>
    </row>
    <row r="33" spans="1:13" s="6" customFormat="1" x14ac:dyDescent="0.25">
      <c r="A33" s="252" t="s">
        <v>437</v>
      </c>
      <c r="B33" s="293" t="s">
        <v>134</v>
      </c>
      <c r="C33" s="252"/>
      <c r="D33" s="292">
        <v>0.3</v>
      </c>
      <c r="E33" s="256">
        <f t="shared" si="0"/>
        <v>0</v>
      </c>
      <c r="F33" s="256"/>
      <c r="G33" s="15">
        <f t="shared" si="1"/>
        <v>0</v>
      </c>
      <c r="H33" s="253">
        <v>5585042</v>
      </c>
      <c r="I33" s="262" t="s">
        <v>135</v>
      </c>
      <c r="J33" s="253" t="s">
        <v>80</v>
      </c>
      <c r="K33" s="296" t="s">
        <v>81</v>
      </c>
      <c r="L33" s="253">
        <v>92768880</v>
      </c>
      <c r="M33" s="4"/>
    </row>
    <row r="34" spans="1:13" s="6" customFormat="1" x14ac:dyDescent="0.25">
      <c r="A34" s="69" t="s">
        <v>436</v>
      </c>
      <c r="B34" s="70" t="s">
        <v>136</v>
      </c>
      <c r="C34" s="69">
        <v>101.9</v>
      </c>
      <c r="D34" s="14">
        <v>0.3</v>
      </c>
      <c r="E34" s="15">
        <f t="shared" si="0"/>
        <v>30.57</v>
      </c>
      <c r="F34" s="15"/>
      <c r="G34" s="15">
        <f t="shared" si="1"/>
        <v>30.57</v>
      </c>
      <c r="H34" s="16">
        <v>24361971</v>
      </c>
      <c r="I34" s="17" t="s">
        <v>137</v>
      </c>
      <c r="J34" s="16" t="s">
        <v>80</v>
      </c>
      <c r="K34" s="185" t="s">
        <v>81</v>
      </c>
      <c r="L34" s="16">
        <v>93384540</v>
      </c>
      <c r="M34" s="4"/>
    </row>
    <row r="35" spans="1:13" s="6" customFormat="1" x14ac:dyDescent="0.25">
      <c r="A35" s="69" t="s">
        <v>435</v>
      </c>
      <c r="B35" s="70" t="s">
        <v>138</v>
      </c>
      <c r="C35" s="69">
        <v>101.7</v>
      </c>
      <c r="D35" s="14">
        <v>0.3</v>
      </c>
      <c r="E35" s="15">
        <f t="shared" si="0"/>
        <v>30.509999999999998</v>
      </c>
      <c r="F35" s="15"/>
      <c r="G35" s="15">
        <f t="shared" si="1"/>
        <v>30.509999999999998</v>
      </c>
      <c r="H35" s="32">
        <v>19928115</v>
      </c>
      <c r="I35" s="17" t="s">
        <v>139</v>
      </c>
      <c r="J35" s="32" t="s">
        <v>73</v>
      </c>
      <c r="K35" s="32" t="s">
        <v>74</v>
      </c>
      <c r="L35" s="16">
        <v>94606075</v>
      </c>
      <c r="M35" s="4"/>
    </row>
    <row r="36" spans="1:13" s="6" customFormat="1" x14ac:dyDescent="0.25">
      <c r="A36" s="69" t="s">
        <v>434</v>
      </c>
      <c r="B36" s="70" t="s">
        <v>140</v>
      </c>
      <c r="C36" s="69">
        <v>108.9</v>
      </c>
      <c r="D36" s="14">
        <v>0.3</v>
      </c>
      <c r="E36" s="15">
        <f t="shared" ref="E36:E67" si="2">C36*D36</f>
        <v>32.67</v>
      </c>
      <c r="F36" s="15"/>
      <c r="G36" s="15">
        <f t="shared" si="1"/>
        <v>32.67</v>
      </c>
      <c r="H36" s="16">
        <v>2092081</v>
      </c>
      <c r="I36" s="17" t="s">
        <v>141</v>
      </c>
      <c r="J36" s="16" t="s">
        <v>73</v>
      </c>
      <c r="K36" s="32" t="s">
        <v>74</v>
      </c>
      <c r="L36" s="16">
        <v>92565542</v>
      </c>
      <c r="M36" s="4"/>
    </row>
    <row r="37" spans="1:13" s="6" customFormat="1" x14ac:dyDescent="0.25">
      <c r="A37" s="69" t="s">
        <v>433</v>
      </c>
      <c r="B37" s="13" t="s">
        <v>142</v>
      </c>
      <c r="C37" s="12"/>
      <c r="D37" s="14">
        <v>0.3</v>
      </c>
      <c r="E37" s="15">
        <f t="shared" si="2"/>
        <v>0</v>
      </c>
      <c r="F37" s="15"/>
      <c r="G37" s="15">
        <f t="shared" si="1"/>
        <v>0</v>
      </c>
      <c r="H37" s="16">
        <v>12073906</v>
      </c>
      <c r="I37" s="17" t="s">
        <v>143</v>
      </c>
      <c r="J37" s="16" t="s">
        <v>90</v>
      </c>
      <c r="K37" s="29" t="s">
        <v>91</v>
      </c>
      <c r="L37" s="16">
        <v>95851127</v>
      </c>
      <c r="M37" s="4"/>
    </row>
    <row r="38" spans="1:13" s="6" customFormat="1" x14ac:dyDescent="0.25">
      <c r="A38" s="252" t="s">
        <v>432</v>
      </c>
      <c r="B38" s="293" t="s">
        <v>144</v>
      </c>
      <c r="C38" s="252"/>
      <c r="D38" s="292">
        <v>0.3</v>
      </c>
      <c r="E38" s="256">
        <f t="shared" si="2"/>
        <v>0</v>
      </c>
      <c r="F38" s="256"/>
      <c r="G38" s="15">
        <f t="shared" si="1"/>
        <v>0</v>
      </c>
      <c r="H38" s="253">
        <v>21944623</v>
      </c>
      <c r="I38" s="262" t="s">
        <v>145</v>
      </c>
      <c r="J38" s="253" t="s">
        <v>73</v>
      </c>
      <c r="K38" s="257" t="s">
        <v>74</v>
      </c>
      <c r="L38" s="253">
        <v>96622170</v>
      </c>
      <c r="M38" s="4"/>
    </row>
    <row r="39" spans="1:13" s="6" customFormat="1" x14ac:dyDescent="0.25">
      <c r="A39" s="69" t="s">
        <v>431</v>
      </c>
      <c r="B39" s="70" t="s">
        <v>146</v>
      </c>
      <c r="C39" s="69">
        <v>59.4</v>
      </c>
      <c r="D39" s="14">
        <v>0.3</v>
      </c>
      <c r="E39" s="15">
        <f t="shared" si="2"/>
        <v>17.82</v>
      </c>
      <c r="F39" s="15"/>
      <c r="G39" s="15">
        <f t="shared" si="1"/>
        <v>17.82</v>
      </c>
      <c r="H39" s="16">
        <v>1389397</v>
      </c>
      <c r="I39" s="17" t="s">
        <v>147</v>
      </c>
      <c r="J39" s="16" t="s">
        <v>73</v>
      </c>
      <c r="K39" s="32" t="s">
        <v>74</v>
      </c>
      <c r="L39" s="16">
        <v>99282044</v>
      </c>
      <c r="M39" s="4"/>
    </row>
    <row r="40" spans="1:13" s="6" customFormat="1" x14ac:dyDescent="0.25">
      <c r="A40" s="69" t="s">
        <v>430</v>
      </c>
      <c r="B40" s="70" t="s">
        <v>35</v>
      </c>
      <c r="C40" s="69">
        <v>30.5</v>
      </c>
      <c r="D40" s="14">
        <v>0.3</v>
      </c>
      <c r="E40" s="15">
        <f t="shared" si="2"/>
        <v>9.15</v>
      </c>
      <c r="F40" s="15"/>
      <c r="G40" s="15">
        <f t="shared" si="1"/>
        <v>9.15</v>
      </c>
      <c r="H40" s="16">
        <v>25021829</v>
      </c>
      <c r="I40" s="17" t="s">
        <v>148</v>
      </c>
      <c r="J40" s="16" t="s">
        <v>73</v>
      </c>
      <c r="K40" s="32" t="s">
        <v>74</v>
      </c>
      <c r="L40" s="16">
        <v>93383987</v>
      </c>
      <c r="M40" s="4"/>
    </row>
    <row r="41" spans="1:13" s="6" customFormat="1" x14ac:dyDescent="0.25">
      <c r="A41" s="12" t="s">
        <v>429</v>
      </c>
      <c r="B41" s="13" t="s">
        <v>149</v>
      </c>
      <c r="C41" s="12">
        <v>39.5</v>
      </c>
      <c r="D41" s="14">
        <v>0.3</v>
      </c>
      <c r="E41" s="15">
        <f t="shared" si="2"/>
        <v>11.85</v>
      </c>
      <c r="F41" s="15"/>
      <c r="G41" s="15">
        <f t="shared" si="1"/>
        <v>11.85</v>
      </c>
      <c r="H41" s="16">
        <v>1499316</v>
      </c>
      <c r="I41" s="17" t="s">
        <v>150</v>
      </c>
      <c r="J41" s="16" t="s">
        <v>90</v>
      </c>
      <c r="K41" s="32" t="s">
        <v>91</v>
      </c>
      <c r="L41" s="16">
        <v>99677197</v>
      </c>
      <c r="M41" s="4"/>
    </row>
    <row r="42" spans="1:13" s="6" customFormat="1" x14ac:dyDescent="0.25">
      <c r="A42" s="12" t="s">
        <v>428</v>
      </c>
      <c r="B42" s="13" t="s">
        <v>151</v>
      </c>
      <c r="C42" s="12">
        <v>8.5</v>
      </c>
      <c r="D42" s="14">
        <v>0.3</v>
      </c>
      <c r="E42" s="15">
        <f t="shared" si="2"/>
        <v>2.5499999999999998</v>
      </c>
      <c r="F42" s="15"/>
      <c r="G42" s="15">
        <f t="shared" si="1"/>
        <v>2.5499999999999998</v>
      </c>
      <c r="H42" s="16">
        <v>3018879</v>
      </c>
      <c r="I42" s="17" t="s">
        <v>152</v>
      </c>
      <c r="J42" s="16" t="s">
        <v>80</v>
      </c>
      <c r="K42" s="185" t="s">
        <v>81</v>
      </c>
      <c r="L42" s="16">
        <v>98818754</v>
      </c>
      <c r="M42" s="4"/>
    </row>
    <row r="43" spans="1:13" s="6" customFormat="1" x14ac:dyDescent="0.25">
      <c r="A43" s="18" t="s">
        <v>427</v>
      </c>
      <c r="B43" s="19" t="s">
        <v>153</v>
      </c>
      <c r="C43" s="18"/>
      <c r="D43" s="20">
        <v>0.3</v>
      </c>
      <c r="E43" s="21">
        <f t="shared" si="2"/>
        <v>0</v>
      </c>
      <c r="F43" s="21"/>
      <c r="G43" s="15">
        <f t="shared" si="1"/>
        <v>0</v>
      </c>
      <c r="H43" s="25">
        <v>1485446</v>
      </c>
      <c r="I43" s="17" t="s">
        <v>154</v>
      </c>
      <c r="J43" s="16" t="s">
        <v>18</v>
      </c>
      <c r="K43" s="32" t="s">
        <v>19</v>
      </c>
      <c r="L43" s="16">
        <v>99747558</v>
      </c>
      <c r="M43" s="4"/>
    </row>
    <row r="44" spans="1:13" x14ac:dyDescent="0.25">
      <c r="A44" s="12" t="s">
        <v>426</v>
      </c>
      <c r="B44" s="13" t="s">
        <v>155</v>
      </c>
      <c r="C44" s="12">
        <v>101.2</v>
      </c>
      <c r="D44" s="14">
        <v>0.3</v>
      </c>
      <c r="E44" s="15">
        <f t="shared" si="2"/>
        <v>30.36</v>
      </c>
      <c r="F44" s="15"/>
      <c r="G44" s="15">
        <f t="shared" si="1"/>
        <v>30.36</v>
      </c>
      <c r="H44" s="16">
        <v>23180515</v>
      </c>
      <c r="I44" s="183" t="s">
        <v>156</v>
      </c>
      <c r="J44" s="78" t="s">
        <v>73</v>
      </c>
      <c r="K44" s="79" t="s">
        <v>74</v>
      </c>
      <c r="L44" s="78">
        <v>95931303</v>
      </c>
    </row>
    <row r="45" spans="1:13" s="6" customFormat="1" x14ac:dyDescent="0.25">
      <c r="A45" s="12" t="s">
        <v>425</v>
      </c>
      <c r="B45" s="13" t="s">
        <v>157</v>
      </c>
      <c r="C45" s="12">
        <v>19.899999999999999</v>
      </c>
      <c r="D45" s="14">
        <v>0.3</v>
      </c>
      <c r="E45" s="15">
        <f t="shared" si="2"/>
        <v>5.97</v>
      </c>
      <c r="F45" s="15"/>
      <c r="G45" s="15">
        <f t="shared" si="1"/>
        <v>5.97</v>
      </c>
      <c r="H45" s="16">
        <v>20133638</v>
      </c>
      <c r="I45" s="17" t="s">
        <v>158</v>
      </c>
      <c r="J45" s="16" t="s">
        <v>76</v>
      </c>
      <c r="K45" s="182" t="s">
        <v>77</v>
      </c>
      <c r="L45" s="16">
        <v>92802502</v>
      </c>
      <c r="M45" s="4"/>
    </row>
    <row r="46" spans="1:13" s="6" customFormat="1" x14ac:dyDescent="0.25">
      <c r="A46" s="12" t="s">
        <v>424</v>
      </c>
      <c r="B46" s="13" t="s">
        <v>159</v>
      </c>
      <c r="C46" s="12">
        <v>151.1</v>
      </c>
      <c r="D46" s="14">
        <v>0.3</v>
      </c>
      <c r="E46" s="15">
        <f t="shared" si="2"/>
        <v>45.33</v>
      </c>
      <c r="F46" s="15"/>
      <c r="G46" s="15">
        <f t="shared" si="1"/>
        <v>45.33</v>
      </c>
      <c r="H46" s="16">
        <v>13271226</v>
      </c>
      <c r="I46" s="17" t="s">
        <v>160</v>
      </c>
      <c r="J46" s="16" t="s">
        <v>73</v>
      </c>
      <c r="K46" s="32" t="s">
        <v>74</v>
      </c>
      <c r="L46" s="16">
        <v>92231129</v>
      </c>
      <c r="M46" s="4"/>
    </row>
    <row r="47" spans="1:13" s="6" customFormat="1" x14ac:dyDescent="0.25">
      <c r="A47" s="12" t="s">
        <v>423</v>
      </c>
      <c r="B47" s="13" t="s">
        <v>161</v>
      </c>
      <c r="C47" s="12">
        <v>73.5</v>
      </c>
      <c r="D47" s="14">
        <v>0.3</v>
      </c>
      <c r="E47" s="15">
        <f t="shared" si="2"/>
        <v>22.05</v>
      </c>
      <c r="F47" s="15"/>
      <c r="G47" s="15">
        <f t="shared" si="1"/>
        <v>22.05</v>
      </c>
      <c r="H47" s="16">
        <v>828714</v>
      </c>
      <c r="I47" s="17" t="s">
        <v>162</v>
      </c>
      <c r="J47" s="16" t="s">
        <v>94</v>
      </c>
      <c r="K47" s="182" t="s">
        <v>95</v>
      </c>
      <c r="L47" s="16">
        <v>99007372</v>
      </c>
      <c r="M47" s="4"/>
    </row>
    <row r="48" spans="1:13" s="6" customFormat="1" x14ac:dyDescent="0.25">
      <c r="A48" s="12" t="s">
        <v>422</v>
      </c>
      <c r="B48" s="13" t="s">
        <v>163</v>
      </c>
      <c r="C48" s="12">
        <v>92.4</v>
      </c>
      <c r="D48" s="14">
        <v>0.3</v>
      </c>
      <c r="E48" s="15">
        <f t="shared" si="2"/>
        <v>27.720000000000002</v>
      </c>
      <c r="F48" s="15"/>
      <c r="G48" s="15">
        <f t="shared" si="1"/>
        <v>27.720000000000002</v>
      </c>
      <c r="H48" s="16">
        <v>5086</v>
      </c>
      <c r="I48" s="17" t="s">
        <v>164</v>
      </c>
      <c r="J48" s="16" t="s">
        <v>94</v>
      </c>
      <c r="K48" s="182" t="s">
        <v>95</v>
      </c>
      <c r="L48" s="16">
        <v>99499787</v>
      </c>
      <c r="M48" s="4"/>
    </row>
    <row r="49" spans="1:13" s="6" customFormat="1" x14ac:dyDescent="0.25">
      <c r="A49" s="12" t="s">
        <v>421</v>
      </c>
      <c r="B49" s="13" t="s">
        <v>165</v>
      </c>
      <c r="C49" s="12">
        <v>67.3</v>
      </c>
      <c r="D49" s="14">
        <v>0.3</v>
      </c>
      <c r="E49" s="15">
        <f t="shared" si="2"/>
        <v>20.189999999999998</v>
      </c>
      <c r="F49" s="15"/>
      <c r="G49" s="15">
        <f t="shared" si="1"/>
        <v>20.189999999999998</v>
      </c>
      <c r="H49" s="16">
        <v>1282981</v>
      </c>
      <c r="I49" s="17" t="s">
        <v>166</v>
      </c>
      <c r="J49" s="16" t="s">
        <v>80</v>
      </c>
      <c r="K49" s="185" t="s">
        <v>81</v>
      </c>
      <c r="L49" s="16">
        <v>99499053</v>
      </c>
      <c r="M49" s="4"/>
    </row>
    <row r="50" spans="1:13" s="6" customFormat="1" x14ac:dyDescent="0.25">
      <c r="A50" s="12" t="s">
        <v>420</v>
      </c>
      <c r="B50" s="13" t="s">
        <v>167</v>
      </c>
      <c r="C50" s="12">
        <v>91</v>
      </c>
      <c r="D50" s="14">
        <v>0.3</v>
      </c>
      <c r="E50" s="15">
        <f t="shared" si="2"/>
        <v>27.3</v>
      </c>
      <c r="F50" s="15"/>
      <c r="G50" s="15">
        <f t="shared" si="1"/>
        <v>27.3</v>
      </c>
      <c r="H50" s="16">
        <v>5949449</v>
      </c>
      <c r="I50" s="17" t="s">
        <v>168</v>
      </c>
      <c r="J50" s="16" t="s">
        <v>80</v>
      </c>
      <c r="K50" s="185" t="s">
        <v>81</v>
      </c>
      <c r="L50" s="16">
        <v>92781944</v>
      </c>
      <c r="M50" s="4"/>
    </row>
    <row r="51" spans="1:13" s="6" customFormat="1" x14ac:dyDescent="0.25">
      <c r="A51" s="18" t="s">
        <v>419</v>
      </c>
      <c r="B51" s="19" t="s">
        <v>169</v>
      </c>
      <c r="C51" s="18"/>
      <c r="D51" s="20">
        <v>0.3</v>
      </c>
      <c r="E51" s="21">
        <f t="shared" si="2"/>
        <v>0</v>
      </c>
      <c r="F51" s="21"/>
      <c r="G51" s="15">
        <f t="shared" si="1"/>
        <v>0</v>
      </c>
      <c r="H51" s="25">
        <v>18629431</v>
      </c>
      <c r="I51" s="17" t="s">
        <v>170</v>
      </c>
      <c r="J51" s="16" t="s">
        <v>73</v>
      </c>
      <c r="K51" s="32" t="s">
        <v>74</v>
      </c>
      <c r="L51" s="16">
        <v>92333700</v>
      </c>
      <c r="M51" s="4"/>
    </row>
    <row r="52" spans="1:13" s="6" customFormat="1" x14ac:dyDescent="0.25">
      <c r="A52" s="18" t="s">
        <v>418</v>
      </c>
      <c r="B52" s="19" t="s">
        <v>171</v>
      </c>
      <c r="C52" s="18"/>
      <c r="D52" s="20">
        <v>0.3</v>
      </c>
      <c r="E52" s="21">
        <f t="shared" si="2"/>
        <v>0</v>
      </c>
      <c r="F52" s="21"/>
      <c r="G52" s="15">
        <f t="shared" si="1"/>
        <v>0</v>
      </c>
      <c r="H52" s="25">
        <v>23212756</v>
      </c>
      <c r="I52" s="17" t="s">
        <v>172</v>
      </c>
      <c r="J52" s="16" t="s">
        <v>94</v>
      </c>
      <c r="K52" s="182" t="s">
        <v>95</v>
      </c>
      <c r="L52" s="16">
        <v>98509729</v>
      </c>
      <c r="M52" s="4"/>
    </row>
    <row r="53" spans="1:13" s="6" customFormat="1" x14ac:dyDescent="0.25">
      <c r="A53" s="12" t="s">
        <v>417</v>
      </c>
      <c r="B53" s="13" t="s">
        <v>173</v>
      </c>
      <c r="C53" s="12">
        <v>176.4</v>
      </c>
      <c r="D53" s="14">
        <v>0.3</v>
      </c>
      <c r="E53" s="15">
        <f t="shared" si="2"/>
        <v>52.92</v>
      </c>
      <c r="F53" s="15"/>
      <c r="G53" s="15">
        <f t="shared" si="1"/>
        <v>52.92</v>
      </c>
      <c r="H53" s="16">
        <v>9097024</v>
      </c>
      <c r="I53" s="17" t="s">
        <v>174</v>
      </c>
      <c r="J53" s="16" t="s">
        <v>18</v>
      </c>
      <c r="K53" s="32" t="s">
        <v>19</v>
      </c>
      <c r="L53" s="16">
        <v>95401775</v>
      </c>
      <c r="M53" s="4"/>
    </row>
    <row r="54" spans="1:13" s="6" customFormat="1" x14ac:dyDescent="0.25">
      <c r="A54" s="12" t="s">
        <v>416</v>
      </c>
      <c r="B54" s="13" t="s">
        <v>54</v>
      </c>
      <c r="C54" s="12">
        <v>68</v>
      </c>
      <c r="D54" s="14">
        <v>0.3</v>
      </c>
      <c r="E54" s="15">
        <f t="shared" si="2"/>
        <v>20.399999999999999</v>
      </c>
      <c r="F54" s="15"/>
      <c r="G54" s="15">
        <f t="shared" si="1"/>
        <v>20.399999999999999</v>
      </c>
      <c r="H54" s="16">
        <v>6073815</v>
      </c>
      <c r="I54" s="17" t="s">
        <v>175</v>
      </c>
      <c r="J54" s="16" t="s">
        <v>18</v>
      </c>
      <c r="K54" s="32" t="s">
        <v>19</v>
      </c>
      <c r="L54" s="16">
        <v>98780007</v>
      </c>
      <c r="M54" s="4"/>
    </row>
    <row r="55" spans="1:13" s="6" customFormat="1" x14ac:dyDescent="0.25">
      <c r="A55" s="12" t="s">
        <v>415</v>
      </c>
      <c r="B55" s="13" t="s">
        <v>56</v>
      </c>
      <c r="C55" s="12">
        <v>61.2</v>
      </c>
      <c r="D55" s="14">
        <v>0.3</v>
      </c>
      <c r="E55" s="15">
        <f t="shared" si="2"/>
        <v>18.36</v>
      </c>
      <c r="F55" s="15"/>
      <c r="G55" s="15">
        <f t="shared" si="1"/>
        <v>18.36</v>
      </c>
      <c r="H55" s="16">
        <v>20987274</v>
      </c>
      <c r="I55" s="17" t="s">
        <v>176</v>
      </c>
      <c r="J55" s="16" t="s">
        <v>73</v>
      </c>
      <c r="K55" s="32" t="s">
        <v>74</v>
      </c>
      <c r="L55" s="16">
        <v>92526652</v>
      </c>
      <c r="M55" s="4"/>
    </row>
    <row r="56" spans="1:13" s="6" customFormat="1" x14ac:dyDescent="0.25">
      <c r="A56" s="12" t="s">
        <v>414</v>
      </c>
      <c r="B56" s="13" t="s">
        <v>177</v>
      </c>
      <c r="C56" s="12">
        <v>68.900000000000006</v>
      </c>
      <c r="D56" s="14">
        <v>0.3</v>
      </c>
      <c r="E56" s="15">
        <f t="shared" si="2"/>
        <v>20.67</v>
      </c>
      <c r="F56" s="15"/>
      <c r="G56" s="15">
        <f t="shared" si="1"/>
        <v>20.67</v>
      </c>
      <c r="H56" s="16">
        <v>21910635</v>
      </c>
      <c r="I56" s="17" t="s">
        <v>178</v>
      </c>
      <c r="J56" s="16" t="s">
        <v>18</v>
      </c>
      <c r="K56" s="32" t="s">
        <v>19</v>
      </c>
      <c r="L56" s="16">
        <v>92934362</v>
      </c>
      <c r="M56" s="4"/>
    </row>
    <row r="57" spans="1:13" s="6" customFormat="1" x14ac:dyDescent="0.25">
      <c r="A57" s="12" t="s">
        <v>413</v>
      </c>
      <c r="B57" s="13" t="s">
        <v>179</v>
      </c>
      <c r="C57" s="12">
        <v>44.4</v>
      </c>
      <c r="D57" s="14">
        <v>0.3</v>
      </c>
      <c r="E57" s="15">
        <f t="shared" si="2"/>
        <v>13.319999999999999</v>
      </c>
      <c r="F57" s="15"/>
      <c r="G57" s="15">
        <f t="shared" si="1"/>
        <v>13.319999999999999</v>
      </c>
      <c r="H57" s="16">
        <v>6502761</v>
      </c>
      <c r="I57" s="17" t="s">
        <v>180</v>
      </c>
      <c r="J57" s="16" t="s">
        <v>18</v>
      </c>
      <c r="K57" s="32" t="s">
        <v>19</v>
      </c>
      <c r="L57" s="16">
        <v>98033332</v>
      </c>
      <c r="M57" s="4"/>
    </row>
    <row r="58" spans="1:13" s="6" customFormat="1" x14ac:dyDescent="0.25">
      <c r="A58" s="18">
        <v>2658</v>
      </c>
      <c r="B58" s="19" t="s">
        <v>181</v>
      </c>
      <c r="C58" s="18"/>
      <c r="D58" s="20">
        <v>0.3</v>
      </c>
      <c r="E58" s="21">
        <f t="shared" si="2"/>
        <v>0</v>
      </c>
      <c r="F58" s="21"/>
      <c r="G58" s="15">
        <f t="shared" si="1"/>
        <v>0</v>
      </c>
      <c r="H58" s="25">
        <v>6726168</v>
      </c>
      <c r="I58" s="17" t="s">
        <v>182</v>
      </c>
      <c r="J58" s="16" t="s">
        <v>73</v>
      </c>
      <c r="K58" s="32" t="s">
        <v>74</v>
      </c>
      <c r="L58" s="16"/>
      <c r="M58" s="4"/>
    </row>
    <row r="59" spans="1:13" s="6" customFormat="1" x14ac:dyDescent="0.25">
      <c r="A59" s="12">
        <v>2659</v>
      </c>
      <c r="B59" s="13" t="s">
        <v>183</v>
      </c>
      <c r="C59" s="12">
        <v>84.8</v>
      </c>
      <c r="D59" s="14">
        <v>0.3</v>
      </c>
      <c r="E59" s="15">
        <f t="shared" si="2"/>
        <v>25.439999999999998</v>
      </c>
      <c r="F59" s="15"/>
      <c r="G59" s="15">
        <f t="shared" si="1"/>
        <v>25.439999999999998</v>
      </c>
      <c r="H59" s="16">
        <v>5796837</v>
      </c>
      <c r="I59" s="17" t="s">
        <v>184</v>
      </c>
      <c r="J59" s="16" t="s">
        <v>18</v>
      </c>
      <c r="K59" s="32" t="s">
        <v>19</v>
      </c>
      <c r="L59" s="16"/>
      <c r="M59" s="4"/>
    </row>
    <row r="60" spans="1:13" s="6" customFormat="1" x14ac:dyDescent="0.25">
      <c r="A60" s="12" t="s">
        <v>412</v>
      </c>
      <c r="B60" s="13" t="s">
        <v>185</v>
      </c>
      <c r="C60" s="12">
        <v>85.6</v>
      </c>
      <c r="D60" s="14">
        <v>0.3</v>
      </c>
      <c r="E60" s="15">
        <f t="shared" si="2"/>
        <v>25.679999999999996</v>
      </c>
      <c r="F60" s="15"/>
      <c r="G60" s="15">
        <f t="shared" si="1"/>
        <v>25.679999999999996</v>
      </c>
      <c r="H60" s="16">
        <v>7250691</v>
      </c>
      <c r="I60" s="17" t="s">
        <v>186</v>
      </c>
      <c r="J60" s="16" t="s">
        <v>73</v>
      </c>
      <c r="K60" s="32" t="s">
        <v>74</v>
      </c>
      <c r="L60" s="16"/>
      <c r="M60" s="4"/>
    </row>
    <row r="61" spans="1:13" s="6" customFormat="1" x14ac:dyDescent="0.25">
      <c r="A61" s="18" t="s">
        <v>411</v>
      </c>
      <c r="B61" s="19" t="s">
        <v>187</v>
      </c>
      <c r="C61" s="18"/>
      <c r="D61" s="20">
        <v>0.3</v>
      </c>
      <c r="E61" s="21">
        <f t="shared" si="2"/>
        <v>0</v>
      </c>
      <c r="F61" s="21"/>
      <c r="G61" s="15">
        <f t="shared" si="1"/>
        <v>0</v>
      </c>
      <c r="H61" s="25">
        <v>24935198</v>
      </c>
      <c r="I61" s="17" t="s">
        <v>188</v>
      </c>
      <c r="J61" s="32" t="s">
        <v>73</v>
      </c>
      <c r="K61" s="32" t="s">
        <v>74</v>
      </c>
      <c r="L61" s="16">
        <v>99101900</v>
      </c>
      <c r="M61" s="4"/>
    </row>
    <row r="62" spans="1:13" s="6" customFormat="1" x14ac:dyDescent="0.25">
      <c r="A62" s="12" t="s">
        <v>410</v>
      </c>
      <c r="B62" s="13" t="s">
        <v>189</v>
      </c>
      <c r="C62" s="12">
        <v>102.9</v>
      </c>
      <c r="D62" s="14">
        <v>0.3</v>
      </c>
      <c r="E62" s="15">
        <f t="shared" si="2"/>
        <v>30.87</v>
      </c>
      <c r="F62" s="15"/>
      <c r="G62" s="15">
        <f t="shared" si="1"/>
        <v>30.87</v>
      </c>
      <c r="H62" s="16">
        <v>2931011</v>
      </c>
      <c r="I62" s="17" t="s">
        <v>190</v>
      </c>
      <c r="J62" s="16" t="s">
        <v>73</v>
      </c>
      <c r="K62" s="32" t="s">
        <v>74</v>
      </c>
      <c r="L62" s="16">
        <v>92997279</v>
      </c>
      <c r="M62" s="4"/>
    </row>
    <row r="63" spans="1:13" s="6" customFormat="1" x14ac:dyDescent="0.25">
      <c r="A63" s="12" t="s">
        <v>409</v>
      </c>
      <c r="B63" s="13" t="s">
        <v>191</v>
      </c>
      <c r="C63" s="12">
        <v>189.1</v>
      </c>
      <c r="D63" s="14">
        <v>0.3</v>
      </c>
      <c r="E63" s="15">
        <f t="shared" si="2"/>
        <v>56.73</v>
      </c>
      <c r="F63" s="15"/>
      <c r="G63" s="15">
        <f t="shared" si="1"/>
        <v>56.73</v>
      </c>
      <c r="H63" s="16">
        <v>568448</v>
      </c>
      <c r="I63" s="17" t="s">
        <v>192</v>
      </c>
      <c r="J63" s="16" t="s">
        <v>73</v>
      </c>
      <c r="K63" s="32" t="s">
        <v>74</v>
      </c>
      <c r="L63" s="16">
        <v>99298847</v>
      </c>
      <c r="M63" s="4"/>
    </row>
    <row r="64" spans="1:13" s="35" customFormat="1" x14ac:dyDescent="0.25">
      <c r="A64" s="12" t="s">
        <v>408</v>
      </c>
      <c r="B64" s="13" t="s">
        <v>194</v>
      </c>
      <c r="C64" s="12">
        <v>142.80000000000001</v>
      </c>
      <c r="D64" s="14">
        <v>0.3</v>
      </c>
      <c r="E64" s="15">
        <f t="shared" si="2"/>
        <v>42.84</v>
      </c>
      <c r="F64" s="15"/>
      <c r="G64" s="15">
        <f t="shared" si="1"/>
        <v>42.84</v>
      </c>
      <c r="H64" s="16">
        <v>8467055</v>
      </c>
      <c r="I64" s="17" t="s">
        <v>195</v>
      </c>
      <c r="J64" s="16" t="s">
        <v>73</v>
      </c>
      <c r="K64" s="32" t="s">
        <v>74</v>
      </c>
      <c r="L64" s="16">
        <v>98919778</v>
      </c>
      <c r="M64" s="4"/>
    </row>
    <row r="65" spans="1:13" s="35" customFormat="1" x14ac:dyDescent="0.25">
      <c r="A65" s="12">
        <v>2666</v>
      </c>
      <c r="B65" s="13" t="s">
        <v>196</v>
      </c>
      <c r="C65" s="12">
        <v>119.2</v>
      </c>
      <c r="D65" s="14">
        <v>0.3</v>
      </c>
      <c r="E65" s="15">
        <f t="shared" si="2"/>
        <v>35.76</v>
      </c>
      <c r="F65" s="15"/>
      <c r="G65" s="15">
        <f t="shared" si="1"/>
        <v>35.76</v>
      </c>
      <c r="H65" s="16">
        <v>23188968</v>
      </c>
      <c r="I65" s="17" t="s">
        <v>197</v>
      </c>
      <c r="J65" s="16" t="s">
        <v>73</v>
      </c>
      <c r="K65" s="32" t="s">
        <v>74</v>
      </c>
      <c r="L65" s="16">
        <v>95058843</v>
      </c>
      <c r="M65" s="4"/>
    </row>
    <row r="66" spans="1:13" s="35" customFormat="1" x14ac:dyDescent="0.25">
      <c r="A66" s="12" t="s">
        <v>407</v>
      </c>
      <c r="B66" s="13" t="s">
        <v>198</v>
      </c>
      <c r="C66" s="12">
        <v>52.5</v>
      </c>
      <c r="D66" s="14">
        <v>0.3</v>
      </c>
      <c r="E66" s="15">
        <f t="shared" si="2"/>
        <v>15.75</v>
      </c>
      <c r="F66" s="15"/>
      <c r="G66" s="15">
        <f t="shared" si="1"/>
        <v>15.75</v>
      </c>
      <c r="H66" s="16">
        <v>210053</v>
      </c>
      <c r="I66" s="17" t="s">
        <v>199</v>
      </c>
      <c r="J66" s="16" t="s">
        <v>18</v>
      </c>
      <c r="K66" s="32" t="s">
        <v>19</v>
      </c>
      <c r="L66" s="16">
        <v>92786724</v>
      </c>
      <c r="M66" s="4"/>
    </row>
    <row r="67" spans="1:13" s="35" customFormat="1" x14ac:dyDescent="0.25">
      <c r="A67" s="12" t="s">
        <v>406</v>
      </c>
      <c r="B67" s="13" t="s">
        <v>200</v>
      </c>
      <c r="C67" s="12"/>
      <c r="D67" s="14">
        <v>0.3</v>
      </c>
      <c r="E67" s="15">
        <f t="shared" si="2"/>
        <v>0</v>
      </c>
      <c r="F67" s="15"/>
      <c r="G67" s="15">
        <f t="shared" si="1"/>
        <v>0</v>
      </c>
      <c r="H67" s="16">
        <v>8542496</v>
      </c>
      <c r="I67" s="17" t="s">
        <v>201</v>
      </c>
      <c r="J67" s="16" t="s">
        <v>73</v>
      </c>
      <c r="K67" s="32" t="s">
        <v>74</v>
      </c>
      <c r="L67" s="16">
        <v>99295329</v>
      </c>
      <c r="M67" s="4"/>
    </row>
    <row r="68" spans="1:13" s="35" customFormat="1" x14ac:dyDescent="0.25">
      <c r="A68" s="12" t="s">
        <v>405</v>
      </c>
      <c r="B68" s="13" t="s">
        <v>202</v>
      </c>
      <c r="C68" s="12">
        <v>70.8</v>
      </c>
      <c r="D68" s="14">
        <v>0.3</v>
      </c>
      <c r="E68" s="15">
        <f t="shared" ref="E68:E99" si="3">C68*D68</f>
        <v>21.24</v>
      </c>
      <c r="F68" s="15"/>
      <c r="G68" s="15">
        <f t="shared" si="1"/>
        <v>21.24</v>
      </c>
      <c r="H68" s="16">
        <v>6460241</v>
      </c>
      <c r="I68" s="17" t="s">
        <v>203</v>
      </c>
      <c r="J68" s="16" t="s">
        <v>18</v>
      </c>
      <c r="K68" s="32" t="s">
        <v>19</v>
      </c>
      <c r="L68" s="16">
        <v>92550479</v>
      </c>
      <c r="M68" s="4"/>
    </row>
    <row r="69" spans="1:13" s="35" customFormat="1" x14ac:dyDescent="0.25">
      <c r="A69" s="12" t="s">
        <v>404</v>
      </c>
      <c r="B69" s="13" t="s">
        <v>205</v>
      </c>
      <c r="C69" s="12"/>
      <c r="D69" s="14">
        <v>0.3</v>
      </c>
      <c r="E69" s="15">
        <f t="shared" si="3"/>
        <v>0</v>
      </c>
      <c r="F69" s="15"/>
      <c r="G69" s="15">
        <f t="shared" ref="G69:G127" si="4">E69-F69</f>
        <v>0</v>
      </c>
      <c r="H69" s="16">
        <v>1481996</v>
      </c>
      <c r="I69" s="17" t="s">
        <v>206</v>
      </c>
      <c r="J69" s="16" t="s">
        <v>94</v>
      </c>
      <c r="K69" s="182" t="s">
        <v>95</v>
      </c>
      <c r="L69" s="16">
        <v>99491404</v>
      </c>
      <c r="M69" s="4"/>
    </row>
    <row r="70" spans="1:13" s="35" customFormat="1" x14ac:dyDescent="0.25">
      <c r="A70" s="12" t="s">
        <v>403</v>
      </c>
      <c r="B70" s="13" t="s">
        <v>207</v>
      </c>
      <c r="C70" s="12"/>
      <c r="D70" s="14">
        <v>0.3</v>
      </c>
      <c r="E70" s="15">
        <f t="shared" si="3"/>
        <v>0</v>
      </c>
      <c r="F70" s="15"/>
      <c r="G70" s="15">
        <f t="shared" si="4"/>
        <v>0</v>
      </c>
      <c r="H70" s="16">
        <v>19595084</v>
      </c>
      <c r="I70" s="17" t="s">
        <v>208</v>
      </c>
      <c r="J70" s="16" t="s">
        <v>73</v>
      </c>
      <c r="K70" s="32" t="s">
        <v>74</v>
      </c>
      <c r="L70" s="16">
        <v>92921404</v>
      </c>
      <c r="M70" s="4"/>
    </row>
    <row r="71" spans="1:13" s="35" customFormat="1" x14ac:dyDescent="0.25">
      <c r="A71" s="12" t="s">
        <v>402</v>
      </c>
      <c r="B71" s="13" t="s">
        <v>209</v>
      </c>
      <c r="C71" s="12">
        <v>43.5</v>
      </c>
      <c r="D71" s="14">
        <v>0.3</v>
      </c>
      <c r="E71" s="15">
        <f t="shared" si="3"/>
        <v>13.049999999999999</v>
      </c>
      <c r="F71" s="15"/>
      <c r="G71" s="15">
        <f t="shared" si="4"/>
        <v>13.049999999999999</v>
      </c>
      <c r="H71" s="33">
        <v>21469064</v>
      </c>
      <c r="I71" s="17" t="s">
        <v>210</v>
      </c>
      <c r="J71" s="33" t="s">
        <v>73</v>
      </c>
      <c r="K71" s="184" t="s">
        <v>74</v>
      </c>
      <c r="L71" s="16">
        <v>93316559</v>
      </c>
      <c r="M71" s="4"/>
    </row>
    <row r="72" spans="1:13" s="35" customFormat="1" x14ac:dyDescent="0.25">
      <c r="A72" s="302" t="s">
        <v>401</v>
      </c>
      <c r="B72" s="19" t="s">
        <v>58</v>
      </c>
      <c r="C72" s="18"/>
      <c r="D72" s="20">
        <v>0.3</v>
      </c>
      <c r="E72" s="21">
        <f t="shared" si="3"/>
        <v>0</v>
      </c>
      <c r="F72" s="21"/>
      <c r="G72" s="15">
        <f t="shared" si="4"/>
        <v>0</v>
      </c>
      <c r="H72" s="143">
        <v>8393437</v>
      </c>
      <c r="I72" s="17">
        <v>401002466590016</v>
      </c>
      <c r="J72" s="33" t="s">
        <v>73</v>
      </c>
      <c r="K72" s="184" t="s">
        <v>74</v>
      </c>
      <c r="L72" s="16"/>
      <c r="M72" s="4"/>
    </row>
    <row r="73" spans="1:13" s="6" customFormat="1" x14ac:dyDescent="0.25">
      <c r="A73" s="12" t="s">
        <v>400</v>
      </c>
      <c r="B73" s="13" t="s">
        <v>37</v>
      </c>
      <c r="C73" s="12">
        <v>84.2</v>
      </c>
      <c r="D73" s="14">
        <v>0.3</v>
      </c>
      <c r="E73" s="15">
        <f t="shared" si="3"/>
        <v>25.26</v>
      </c>
      <c r="F73" s="15"/>
      <c r="G73" s="15">
        <f t="shared" si="4"/>
        <v>25.26</v>
      </c>
      <c r="H73" s="16">
        <v>6332118</v>
      </c>
      <c r="I73" s="17" t="s">
        <v>211</v>
      </c>
      <c r="J73" s="16" t="s">
        <v>18</v>
      </c>
      <c r="K73" s="32" t="s">
        <v>19</v>
      </c>
      <c r="L73" s="16">
        <v>98930047</v>
      </c>
      <c r="M73" s="4"/>
    </row>
    <row r="74" spans="1:13" s="6" customFormat="1" x14ac:dyDescent="0.25">
      <c r="A74" s="12" t="s">
        <v>399</v>
      </c>
      <c r="B74" s="13" t="s">
        <v>39</v>
      </c>
      <c r="C74" s="12">
        <v>81.599999999999994</v>
      </c>
      <c r="D74" s="14">
        <v>0.3</v>
      </c>
      <c r="E74" s="15">
        <f t="shared" si="3"/>
        <v>24.479999999999997</v>
      </c>
      <c r="F74" s="15"/>
      <c r="G74" s="15">
        <f t="shared" si="4"/>
        <v>24.479999999999997</v>
      </c>
      <c r="H74" s="16">
        <v>6332123</v>
      </c>
      <c r="I74" s="17" t="s">
        <v>212</v>
      </c>
      <c r="J74" s="16" t="s">
        <v>73</v>
      </c>
      <c r="K74" s="32" t="s">
        <v>74</v>
      </c>
      <c r="L74" s="16">
        <v>98777808</v>
      </c>
      <c r="M74" s="4"/>
    </row>
    <row r="75" spans="1:13" s="6" customFormat="1" x14ac:dyDescent="0.25">
      <c r="A75" s="12" t="s">
        <v>398</v>
      </c>
      <c r="B75" s="13" t="s">
        <v>59</v>
      </c>
      <c r="C75" s="12"/>
      <c r="D75" s="14">
        <v>0.3</v>
      </c>
      <c r="E75" s="15">
        <f t="shared" si="3"/>
        <v>0</v>
      </c>
      <c r="F75" s="15"/>
      <c r="G75" s="15">
        <f t="shared" si="4"/>
        <v>0</v>
      </c>
      <c r="H75" s="32">
        <v>568083</v>
      </c>
      <c r="I75" s="17" t="s">
        <v>213</v>
      </c>
      <c r="J75" s="32" t="s">
        <v>76</v>
      </c>
      <c r="K75" s="182" t="s">
        <v>77</v>
      </c>
      <c r="L75" s="16">
        <v>98146666</v>
      </c>
      <c r="M75" s="4"/>
    </row>
    <row r="76" spans="1:13" s="6" customFormat="1" x14ac:dyDescent="0.25">
      <c r="A76" s="12" t="s">
        <v>397</v>
      </c>
      <c r="B76" s="13" t="s">
        <v>214</v>
      </c>
      <c r="C76" s="12">
        <v>66.5</v>
      </c>
      <c r="D76" s="14">
        <v>0.3</v>
      </c>
      <c r="E76" s="15">
        <f t="shared" si="3"/>
        <v>19.95</v>
      </c>
      <c r="F76" s="15"/>
      <c r="G76" s="15">
        <f t="shared" si="4"/>
        <v>19.95</v>
      </c>
      <c r="H76" s="32">
        <v>7031534</v>
      </c>
      <c r="I76" s="17" t="s">
        <v>215</v>
      </c>
      <c r="J76" s="16" t="s">
        <v>73</v>
      </c>
      <c r="K76" s="32" t="s">
        <v>74</v>
      </c>
      <c r="L76" s="16">
        <v>92995115</v>
      </c>
      <c r="M76" s="4"/>
    </row>
    <row r="77" spans="1:13" s="6" customFormat="1" x14ac:dyDescent="0.25">
      <c r="A77" s="12">
        <v>2678</v>
      </c>
      <c r="B77" s="13" t="s">
        <v>216</v>
      </c>
      <c r="C77" s="12">
        <v>141.4</v>
      </c>
      <c r="D77" s="14">
        <v>0.3</v>
      </c>
      <c r="E77" s="15">
        <f t="shared" si="3"/>
        <v>42.42</v>
      </c>
      <c r="F77" s="15"/>
      <c r="G77" s="15">
        <f t="shared" si="4"/>
        <v>42.42</v>
      </c>
      <c r="H77" s="32">
        <v>7211987</v>
      </c>
      <c r="I77" s="17" t="s">
        <v>217</v>
      </c>
      <c r="J77" s="16" t="s">
        <v>73</v>
      </c>
      <c r="K77" s="32" t="s">
        <v>74</v>
      </c>
      <c r="L77" s="16"/>
      <c r="M77" s="4"/>
    </row>
    <row r="78" spans="1:13" s="6" customFormat="1" x14ac:dyDescent="0.25">
      <c r="A78" s="18">
        <v>2680</v>
      </c>
      <c r="B78" s="19" t="s">
        <v>218</v>
      </c>
      <c r="C78" s="18"/>
      <c r="D78" s="20">
        <v>0.3</v>
      </c>
      <c r="E78" s="21">
        <f t="shared" si="3"/>
        <v>0</v>
      </c>
      <c r="F78" s="21"/>
      <c r="G78" s="15">
        <f t="shared" si="4"/>
        <v>0</v>
      </c>
      <c r="H78" s="30">
        <v>553684</v>
      </c>
      <c r="I78" s="17">
        <v>1010125978001</v>
      </c>
      <c r="J78" s="16" t="s">
        <v>80</v>
      </c>
      <c r="K78" s="32" t="s">
        <v>219</v>
      </c>
      <c r="L78" s="16">
        <v>98279480</v>
      </c>
      <c r="M78" s="4"/>
    </row>
    <row r="79" spans="1:13" s="6" customFormat="1" x14ac:dyDescent="0.25">
      <c r="A79" s="18" t="s">
        <v>396</v>
      </c>
      <c r="B79" s="19" t="s">
        <v>61</v>
      </c>
      <c r="C79" s="18"/>
      <c r="D79" s="20">
        <v>0.3</v>
      </c>
      <c r="E79" s="21">
        <f t="shared" si="3"/>
        <v>0</v>
      </c>
      <c r="F79" s="21"/>
      <c r="G79" s="15">
        <f t="shared" si="4"/>
        <v>0</v>
      </c>
      <c r="H79" s="30">
        <v>23172723</v>
      </c>
      <c r="I79" s="17" t="s">
        <v>221</v>
      </c>
      <c r="J79" s="32" t="s">
        <v>73</v>
      </c>
      <c r="K79" s="32" t="s">
        <v>74</v>
      </c>
      <c r="L79" s="16">
        <v>93635099</v>
      </c>
      <c r="M79" s="4"/>
    </row>
    <row r="80" spans="1:13" s="6" customFormat="1" x14ac:dyDescent="0.25">
      <c r="A80" s="12">
        <v>2682</v>
      </c>
      <c r="B80" s="13" t="s">
        <v>222</v>
      </c>
      <c r="C80" s="12">
        <v>108.2</v>
      </c>
      <c r="D80" s="14">
        <v>0.3</v>
      </c>
      <c r="E80" s="15">
        <f t="shared" si="3"/>
        <v>32.46</v>
      </c>
      <c r="F80" s="15"/>
      <c r="G80" s="15">
        <f t="shared" si="4"/>
        <v>32.46</v>
      </c>
      <c r="H80" s="32">
        <v>1356383</v>
      </c>
      <c r="I80" s="17" t="s">
        <v>223</v>
      </c>
      <c r="J80" s="32" t="s">
        <v>80</v>
      </c>
      <c r="K80" s="32" t="s">
        <v>81</v>
      </c>
      <c r="L80" s="16"/>
      <c r="M80" s="4"/>
    </row>
    <row r="81" spans="1:13" x14ac:dyDescent="0.25">
      <c r="A81" s="12" t="s">
        <v>395</v>
      </c>
      <c r="B81" s="13" t="s">
        <v>224</v>
      </c>
      <c r="C81" s="12">
        <v>178.9</v>
      </c>
      <c r="D81" s="14">
        <v>0.3</v>
      </c>
      <c r="E81" s="15">
        <f t="shared" si="3"/>
        <v>53.67</v>
      </c>
      <c r="F81" s="15"/>
      <c r="G81" s="15">
        <f t="shared" si="4"/>
        <v>53.67</v>
      </c>
      <c r="H81" s="32">
        <v>5912206</v>
      </c>
      <c r="I81" s="17" t="s">
        <v>225</v>
      </c>
      <c r="J81" s="16" t="s">
        <v>73</v>
      </c>
      <c r="K81" s="32" t="s">
        <v>74</v>
      </c>
      <c r="L81" s="16">
        <v>92704591</v>
      </c>
    </row>
    <row r="82" spans="1:13" s="6" customFormat="1" x14ac:dyDescent="0.25">
      <c r="A82" s="18" t="s">
        <v>394</v>
      </c>
      <c r="B82" s="19" t="s">
        <v>226</v>
      </c>
      <c r="C82" s="18"/>
      <c r="D82" s="20">
        <v>0.3</v>
      </c>
      <c r="E82" s="21">
        <f t="shared" si="3"/>
        <v>0</v>
      </c>
      <c r="F82" s="21"/>
      <c r="G82" s="15">
        <f t="shared" si="4"/>
        <v>0</v>
      </c>
      <c r="H82" s="30">
        <v>4768041</v>
      </c>
      <c r="I82" s="183" t="s">
        <v>227</v>
      </c>
      <c r="J82" s="78" t="s">
        <v>73</v>
      </c>
      <c r="K82" s="79" t="s">
        <v>74</v>
      </c>
      <c r="L82" s="78">
        <v>99697032</v>
      </c>
      <c r="M82" s="4"/>
    </row>
    <row r="83" spans="1:13" s="6" customFormat="1" x14ac:dyDescent="0.25">
      <c r="A83" s="12" t="s">
        <v>393</v>
      </c>
      <c r="B83" s="13" t="s">
        <v>228</v>
      </c>
      <c r="C83" s="12">
        <v>19.899999999999999</v>
      </c>
      <c r="D83" s="14">
        <v>0.3</v>
      </c>
      <c r="E83" s="15">
        <f t="shared" si="3"/>
        <v>5.97</v>
      </c>
      <c r="F83" s="15"/>
      <c r="G83" s="15">
        <f t="shared" si="4"/>
        <v>5.97</v>
      </c>
      <c r="H83" s="32">
        <v>25026854</v>
      </c>
      <c r="I83" s="17" t="s">
        <v>229</v>
      </c>
      <c r="J83" s="16" t="s">
        <v>18</v>
      </c>
      <c r="K83" s="32" t="s">
        <v>19</v>
      </c>
      <c r="L83" s="16">
        <v>96124005</v>
      </c>
      <c r="M83" s="4"/>
    </row>
    <row r="84" spans="1:13" s="6" customFormat="1" x14ac:dyDescent="0.25">
      <c r="A84" s="12">
        <v>2686</v>
      </c>
      <c r="B84" s="13" t="s">
        <v>230</v>
      </c>
      <c r="C84" s="36"/>
      <c r="D84" s="14">
        <v>0.3</v>
      </c>
      <c r="E84" s="15">
        <f t="shared" si="3"/>
        <v>0</v>
      </c>
      <c r="F84" s="15"/>
      <c r="G84" s="15">
        <f t="shared" si="4"/>
        <v>0</v>
      </c>
      <c r="H84" s="32">
        <v>6064295</v>
      </c>
      <c r="I84" s="17" t="s">
        <v>231</v>
      </c>
      <c r="J84" s="16" t="s">
        <v>73</v>
      </c>
      <c r="K84" s="32" t="s">
        <v>74</v>
      </c>
      <c r="L84" s="16"/>
      <c r="M84" s="4"/>
    </row>
    <row r="85" spans="1:13" s="6" customFormat="1" x14ac:dyDescent="0.25">
      <c r="A85" s="12" t="s">
        <v>392</v>
      </c>
      <c r="B85" s="112" t="s">
        <v>62</v>
      </c>
      <c r="C85" s="36">
        <v>27.2</v>
      </c>
      <c r="D85" s="14">
        <v>0.3</v>
      </c>
      <c r="E85" s="15">
        <f t="shared" si="3"/>
        <v>8.16</v>
      </c>
      <c r="F85" s="15"/>
      <c r="G85" s="15">
        <f t="shared" si="4"/>
        <v>8.16</v>
      </c>
      <c r="H85" s="32">
        <v>14175595</v>
      </c>
      <c r="I85" s="17" t="s">
        <v>232</v>
      </c>
      <c r="J85" s="16" t="s">
        <v>76</v>
      </c>
      <c r="K85" s="182" t="s">
        <v>77</v>
      </c>
      <c r="L85" s="16">
        <v>99531669</v>
      </c>
      <c r="M85" s="4"/>
    </row>
    <row r="86" spans="1:13" s="6" customFormat="1" x14ac:dyDescent="0.25">
      <c r="A86" s="18">
        <v>2688</v>
      </c>
      <c r="B86" s="25" t="s">
        <v>234</v>
      </c>
      <c r="C86" s="37"/>
      <c r="D86" s="20">
        <v>0.3</v>
      </c>
      <c r="E86" s="21">
        <f t="shared" si="3"/>
        <v>0</v>
      </c>
      <c r="F86" s="21"/>
      <c r="G86" s="15">
        <f t="shared" si="4"/>
        <v>0</v>
      </c>
      <c r="H86" s="30">
        <v>18647005</v>
      </c>
      <c r="I86" s="17" t="s">
        <v>235</v>
      </c>
      <c r="J86" s="16" t="s">
        <v>73</v>
      </c>
      <c r="K86" s="32" t="s">
        <v>74</v>
      </c>
      <c r="L86" s="16"/>
      <c r="M86" s="4"/>
    </row>
    <row r="87" spans="1:13" s="6" customFormat="1" x14ac:dyDescent="0.25">
      <c r="A87" s="12">
        <v>2689</v>
      </c>
      <c r="B87" s="16" t="s">
        <v>236</v>
      </c>
      <c r="C87" s="36">
        <v>63.2</v>
      </c>
      <c r="D87" s="14">
        <v>0.3</v>
      </c>
      <c r="E87" s="15">
        <f t="shared" si="3"/>
        <v>18.96</v>
      </c>
      <c r="F87" s="15"/>
      <c r="G87" s="15">
        <f t="shared" si="4"/>
        <v>18.96</v>
      </c>
      <c r="H87" s="32">
        <v>1527206</v>
      </c>
      <c r="I87" s="17" t="s">
        <v>237</v>
      </c>
      <c r="J87" s="16" t="s">
        <v>73</v>
      </c>
      <c r="K87" s="32" t="s">
        <v>74</v>
      </c>
      <c r="L87" s="16"/>
      <c r="M87" s="4"/>
    </row>
    <row r="88" spans="1:13" s="6" customFormat="1" x14ac:dyDescent="0.25">
      <c r="A88" s="12">
        <v>2690</v>
      </c>
      <c r="B88" s="16" t="s">
        <v>238</v>
      </c>
      <c r="C88" s="36">
        <v>100.1</v>
      </c>
      <c r="D88" s="14">
        <v>0.3</v>
      </c>
      <c r="E88" s="15">
        <f t="shared" si="3"/>
        <v>30.029999999999998</v>
      </c>
      <c r="F88" s="15"/>
      <c r="G88" s="15">
        <f t="shared" si="4"/>
        <v>30.029999999999998</v>
      </c>
      <c r="H88" s="32">
        <v>7376171</v>
      </c>
      <c r="I88" s="17" t="s">
        <v>239</v>
      </c>
      <c r="J88" s="16" t="s">
        <v>80</v>
      </c>
      <c r="K88" s="32" t="s">
        <v>81</v>
      </c>
      <c r="L88" s="16"/>
      <c r="M88" s="4"/>
    </row>
    <row r="89" spans="1:13" s="6" customFormat="1" x14ac:dyDescent="0.25">
      <c r="A89" s="12">
        <v>2691</v>
      </c>
      <c r="B89" s="16" t="s">
        <v>240</v>
      </c>
      <c r="C89" s="36">
        <v>63.5</v>
      </c>
      <c r="D89" s="14">
        <v>0.3</v>
      </c>
      <c r="E89" s="15">
        <f t="shared" si="3"/>
        <v>19.05</v>
      </c>
      <c r="F89" s="15"/>
      <c r="G89" s="15">
        <f t="shared" si="4"/>
        <v>19.05</v>
      </c>
      <c r="H89" s="32">
        <v>7376203</v>
      </c>
      <c r="I89" s="17" t="s">
        <v>241</v>
      </c>
      <c r="J89" s="16" t="s">
        <v>73</v>
      </c>
      <c r="K89" s="32" t="s">
        <v>74</v>
      </c>
      <c r="L89" s="16"/>
      <c r="M89" s="4"/>
    </row>
    <row r="90" spans="1:13" s="6" customFormat="1" x14ac:dyDescent="0.25">
      <c r="A90" s="12">
        <v>2692</v>
      </c>
      <c r="B90" s="16" t="s">
        <v>243</v>
      </c>
      <c r="C90" s="36">
        <v>61.1</v>
      </c>
      <c r="D90" s="14">
        <v>0.3</v>
      </c>
      <c r="E90" s="15">
        <f t="shared" si="3"/>
        <v>18.329999999999998</v>
      </c>
      <c r="F90" s="15"/>
      <c r="G90" s="15">
        <f t="shared" si="4"/>
        <v>18.329999999999998</v>
      </c>
      <c r="H90" s="32">
        <v>626838</v>
      </c>
      <c r="I90" s="17" t="s">
        <v>244</v>
      </c>
      <c r="J90" s="16" t="s">
        <v>73</v>
      </c>
      <c r="K90" s="32" t="s">
        <v>74</v>
      </c>
      <c r="L90" s="16"/>
      <c r="M90" s="4"/>
    </row>
    <row r="91" spans="1:13" s="6" customFormat="1" x14ac:dyDescent="0.25">
      <c r="A91" s="12">
        <v>2693</v>
      </c>
      <c r="B91" s="16" t="s">
        <v>245</v>
      </c>
      <c r="C91" s="36">
        <v>47.4</v>
      </c>
      <c r="D91" s="14">
        <v>0.3</v>
      </c>
      <c r="E91" s="15">
        <f t="shared" si="3"/>
        <v>14.219999999999999</v>
      </c>
      <c r="F91" s="15"/>
      <c r="G91" s="15">
        <f t="shared" si="4"/>
        <v>14.219999999999999</v>
      </c>
      <c r="H91" s="32">
        <v>20233513</v>
      </c>
      <c r="I91" s="17" t="s">
        <v>246</v>
      </c>
      <c r="J91" s="16" t="s">
        <v>73</v>
      </c>
      <c r="K91" s="32" t="s">
        <v>74</v>
      </c>
      <c r="L91" s="16">
        <v>99669614</v>
      </c>
      <c r="M91" s="4"/>
    </row>
    <row r="92" spans="1:13" s="6" customFormat="1" x14ac:dyDescent="0.25">
      <c r="A92" s="69">
        <v>2694</v>
      </c>
      <c r="B92" s="16" t="s">
        <v>248</v>
      </c>
      <c r="C92" s="36">
        <v>1</v>
      </c>
      <c r="D92" s="14">
        <v>0.3</v>
      </c>
      <c r="E92" s="15">
        <f t="shared" si="3"/>
        <v>0.3</v>
      </c>
      <c r="F92" s="15"/>
      <c r="G92" s="15">
        <f t="shared" si="4"/>
        <v>0.3</v>
      </c>
      <c r="H92" s="32">
        <v>18620904</v>
      </c>
      <c r="I92" s="17" t="s">
        <v>249</v>
      </c>
      <c r="J92" s="16" t="s">
        <v>80</v>
      </c>
      <c r="K92" s="32" t="s">
        <v>81</v>
      </c>
      <c r="L92" s="16">
        <v>98255331</v>
      </c>
      <c r="M92" s="4"/>
    </row>
    <row r="93" spans="1:13" s="6" customFormat="1" x14ac:dyDescent="0.25">
      <c r="A93" s="69">
        <v>2697</v>
      </c>
      <c r="B93" s="16" t="s">
        <v>250</v>
      </c>
      <c r="C93" s="36">
        <v>31.1</v>
      </c>
      <c r="D93" s="14">
        <v>0.3</v>
      </c>
      <c r="E93" s="15">
        <f t="shared" si="3"/>
        <v>9.33</v>
      </c>
      <c r="F93" s="15"/>
      <c r="G93" s="15">
        <f t="shared" si="4"/>
        <v>9.33</v>
      </c>
      <c r="H93" s="32">
        <v>24992357</v>
      </c>
      <c r="I93" s="17" t="s">
        <v>251</v>
      </c>
      <c r="J93" s="16" t="s">
        <v>73</v>
      </c>
      <c r="K93" s="32" t="s">
        <v>74</v>
      </c>
      <c r="L93" s="16">
        <v>96581299</v>
      </c>
      <c r="M93" s="4"/>
    </row>
    <row r="94" spans="1:13" s="6" customFormat="1" x14ac:dyDescent="0.25">
      <c r="A94" s="252">
        <v>2698</v>
      </c>
      <c r="B94" s="253" t="s">
        <v>63</v>
      </c>
      <c r="C94" s="254"/>
      <c r="D94" s="292">
        <v>0.3</v>
      </c>
      <c r="E94" s="256">
        <f t="shared" si="3"/>
        <v>0</v>
      </c>
      <c r="F94" s="256"/>
      <c r="G94" s="15">
        <f t="shared" si="4"/>
        <v>0</v>
      </c>
      <c r="H94" s="257">
        <v>21332246</v>
      </c>
      <c r="I94" s="262" t="s">
        <v>252</v>
      </c>
      <c r="J94" s="253" t="s">
        <v>73</v>
      </c>
      <c r="K94" s="257" t="s">
        <v>74</v>
      </c>
      <c r="L94" s="253">
        <v>98260073</v>
      </c>
      <c r="M94" s="4"/>
    </row>
    <row r="95" spans="1:13" s="6" customFormat="1" x14ac:dyDescent="0.25">
      <c r="A95" s="18">
        <v>2699</v>
      </c>
      <c r="B95" s="25" t="s">
        <v>253</v>
      </c>
      <c r="C95" s="37"/>
      <c r="D95" s="20">
        <v>0.3</v>
      </c>
      <c r="E95" s="21">
        <f t="shared" si="3"/>
        <v>0</v>
      </c>
      <c r="F95" s="21"/>
      <c r="G95" s="15">
        <f t="shared" si="4"/>
        <v>0</v>
      </c>
      <c r="H95" s="30">
        <v>5031003</v>
      </c>
      <c r="I95" s="17">
        <v>1006555153017</v>
      </c>
      <c r="J95" s="16" t="s">
        <v>18</v>
      </c>
      <c r="K95" s="32" t="s">
        <v>19</v>
      </c>
      <c r="L95" s="16">
        <v>98129999</v>
      </c>
      <c r="M95" s="4"/>
    </row>
    <row r="96" spans="1:13" s="6" customFormat="1" x14ac:dyDescent="0.25">
      <c r="A96" s="18">
        <v>2700</v>
      </c>
      <c r="B96" s="25" t="s">
        <v>254</v>
      </c>
      <c r="C96" s="37"/>
      <c r="D96" s="20">
        <v>0.3</v>
      </c>
      <c r="E96" s="21">
        <f t="shared" si="3"/>
        <v>0</v>
      </c>
      <c r="F96" s="21"/>
      <c r="G96" s="15">
        <f t="shared" si="4"/>
        <v>0</v>
      </c>
      <c r="H96" s="30">
        <v>2216024</v>
      </c>
      <c r="I96" s="17" t="s">
        <v>255</v>
      </c>
      <c r="J96" s="16" t="s">
        <v>73</v>
      </c>
      <c r="K96" s="32" t="s">
        <v>74</v>
      </c>
      <c r="L96" s="16">
        <v>99093696</v>
      </c>
      <c r="M96" s="4"/>
    </row>
    <row r="97" spans="1:13" s="6" customFormat="1" x14ac:dyDescent="0.25">
      <c r="A97" s="12">
        <v>2702</v>
      </c>
      <c r="B97" s="16" t="s">
        <v>256</v>
      </c>
      <c r="C97" s="36">
        <v>315.7</v>
      </c>
      <c r="D97" s="14">
        <v>0.3</v>
      </c>
      <c r="E97" s="15">
        <f t="shared" si="3"/>
        <v>94.71</v>
      </c>
      <c r="F97" s="15"/>
      <c r="G97" s="15">
        <f t="shared" si="4"/>
        <v>94.71</v>
      </c>
      <c r="H97" s="32">
        <v>2045458</v>
      </c>
      <c r="I97" s="17" t="s">
        <v>257</v>
      </c>
      <c r="J97" s="16" t="s">
        <v>80</v>
      </c>
      <c r="K97" s="32" t="s">
        <v>81</v>
      </c>
      <c r="L97" s="16">
        <v>99282287</v>
      </c>
      <c r="M97" s="4"/>
    </row>
    <row r="98" spans="1:13" s="6" customFormat="1" x14ac:dyDescent="0.25">
      <c r="A98" s="12">
        <v>2703</v>
      </c>
      <c r="B98" s="16" t="s">
        <v>258</v>
      </c>
      <c r="C98" s="36">
        <v>47.2</v>
      </c>
      <c r="D98" s="14">
        <v>0.3</v>
      </c>
      <c r="E98" s="15">
        <f t="shared" si="3"/>
        <v>14.16</v>
      </c>
      <c r="F98" s="15"/>
      <c r="G98" s="15">
        <f t="shared" si="4"/>
        <v>14.16</v>
      </c>
      <c r="H98" s="32">
        <v>652182</v>
      </c>
      <c r="I98" s="17" t="s">
        <v>259</v>
      </c>
      <c r="J98" s="16" t="s">
        <v>73</v>
      </c>
      <c r="K98" s="32" t="s">
        <v>74</v>
      </c>
      <c r="L98" s="16">
        <v>99982977</v>
      </c>
      <c r="M98" s="4"/>
    </row>
    <row r="99" spans="1:13" s="6" customFormat="1" x14ac:dyDescent="0.25">
      <c r="A99" s="12">
        <v>2706</v>
      </c>
      <c r="B99" s="16" t="s">
        <v>260</v>
      </c>
      <c r="C99" s="36"/>
      <c r="D99" s="14">
        <v>0.3</v>
      </c>
      <c r="E99" s="15">
        <f t="shared" si="3"/>
        <v>0</v>
      </c>
      <c r="F99" s="15"/>
      <c r="G99" s="15">
        <f t="shared" si="4"/>
        <v>0</v>
      </c>
      <c r="H99" s="32">
        <v>23144392</v>
      </c>
      <c r="I99" s="17" t="s">
        <v>261</v>
      </c>
      <c r="J99" s="16" t="s">
        <v>18</v>
      </c>
      <c r="K99" s="32" t="s">
        <v>19</v>
      </c>
      <c r="L99" s="16">
        <v>97216689</v>
      </c>
      <c r="M99" s="4"/>
    </row>
    <row r="100" spans="1:13" s="6" customFormat="1" x14ac:dyDescent="0.25">
      <c r="A100" s="69">
        <v>2707</v>
      </c>
      <c r="B100" s="16" t="s">
        <v>262</v>
      </c>
      <c r="C100" s="36">
        <v>137.80000000000001</v>
      </c>
      <c r="D100" s="14">
        <v>0.3</v>
      </c>
      <c r="E100" s="15">
        <f t="shared" ref="E100:E127" si="5">C100*D100</f>
        <v>41.34</v>
      </c>
      <c r="F100" s="15"/>
      <c r="G100" s="15">
        <f t="shared" si="4"/>
        <v>41.34</v>
      </c>
      <c r="H100" s="32">
        <v>7026153</v>
      </c>
      <c r="I100" s="17" t="s">
        <v>263</v>
      </c>
      <c r="J100" s="16" t="s">
        <v>94</v>
      </c>
      <c r="K100" s="32" t="s">
        <v>95</v>
      </c>
      <c r="L100" s="16">
        <v>95333133</v>
      </c>
      <c r="M100" s="4"/>
    </row>
    <row r="101" spans="1:13" s="6" customFormat="1" x14ac:dyDescent="0.25">
      <c r="A101" s="252">
        <v>2708</v>
      </c>
      <c r="B101" s="253" t="s">
        <v>41</v>
      </c>
      <c r="C101" s="254"/>
      <c r="D101" s="292">
        <v>0.3</v>
      </c>
      <c r="E101" s="256">
        <f t="shared" si="5"/>
        <v>0</v>
      </c>
      <c r="F101" s="256"/>
      <c r="G101" s="15">
        <f t="shared" si="4"/>
        <v>0</v>
      </c>
      <c r="H101" s="257">
        <v>426432</v>
      </c>
      <c r="I101" s="262" t="s">
        <v>264</v>
      </c>
      <c r="J101" s="253" t="s">
        <v>80</v>
      </c>
      <c r="K101" s="257" t="s">
        <v>81</v>
      </c>
      <c r="L101" s="253">
        <v>99092959</v>
      </c>
      <c r="M101" s="4"/>
    </row>
    <row r="102" spans="1:13" s="6" customFormat="1" x14ac:dyDescent="0.25">
      <c r="A102" s="69">
        <v>2710</v>
      </c>
      <c r="B102" s="16" t="s">
        <v>265</v>
      </c>
      <c r="C102" s="36">
        <v>87.4</v>
      </c>
      <c r="D102" s="14">
        <v>0.3</v>
      </c>
      <c r="E102" s="15">
        <f t="shared" si="5"/>
        <v>26.220000000000002</v>
      </c>
      <c r="F102" s="15"/>
      <c r="G102" s="15">
        <f t="shared" si="4"/>
        <v>26.220000000000002</v>
      </c>
      <c r="H102" s="32">
        <v>944469</v>
      </c>
      <c r="I102" s="17" t="s">
        <v>266</v>
      </c>
      <c r="J102" s="16" t="s">
        <v>73</v>
      </c>
      <c r="K102" s="32" t="s">
        <v>74</v>
      </c>
      <c r="L102" s="16"/>
      <c r="M102" s="4"/>
    </row>
    <row r="103" spans="1:13" s="6" customFormat="1" x14ac:dyDescent="0.25">
      <c r="A103" s="69">
        <v>2711</v>
      </c>
      <c r="B103" s="16" t="s">
        <v>267</v>
      </c>
      <c r="C103" s="36"/>
      <c r="D103" s="14">
        <v>0.3</v>
      </c>
      <c r="E103" s="15">
        <f t="shared" si="5"/>
        <v>0</v>
      </c>
      <c r="F103" s="15"/>
      <c r="G103" s="15">
        <f t="shared" si="4"/>
        <v>0</v>
      </c>
      <c r="H103" s="32">
        <v>5775933</v>
      </c>
      <c r="I103" s="17" t="s">
        <v>268</v>
      </c>
      <c r="J103" s="16" t="s">
        <v>80</v>
      </c>
      <c r="K103" s="32" t="s">
        <v>81</v>
      </c>
      <c r="L103" s="16"/>
      <c r="M103" s="4"/>
    </row>
    <row r="104" spans="1:13" s="6" customFormat="1" x14ac:dyDescent="0.25">
      <c r="A104" s="69">
        <v>2712</v>
      </c>
      <c r="B104" s="16" t="s">
        <v>64</v>
      </c>
      <c r="C104" s="36">
        <v>72.400000000000006</v>
      </c>
      <c r="D104" s="14">
        <v>0.3</v>
      </c>
      <c r="E104" s="15">
        <f t="shared" si="5"/>
        <v>21.720000000000002</v>
      </c>
      <c r="F104" s="15"/>
      <c r="G104" s="15">
        <f t="shared" si="4"/>
        <v>21.720000000000002</v>
      </c>
      <c r="H104" s="32">
        <v>2439264</v>
      </c>
      <c r="I104" s="17" t="s">
        <v>269</v>
      </c>
      <c r="J104" s="16" t="s">
        <v>18</v>
      </c>
      <c r="K104" s="32" t="s">
        <v>19</v>
      </c>
      <c r="L104" s="16">
        <v>91780732</v>
      </c>
      <c r="M104" s="4"/>
    </row>
    <row r="105" spans="1:13" s="6" customFormat="1" x14ac:dyDescent="0.25">
      <c r="A105" s="69">
        <v>2714</v>
      </c>
      <c r="B105" s="16" t="s">
        <v>270</v>
      </c>
      <c r="C105" s="36">
        <v>74.2</v>
      </c>
      <c r="D105" s="14">
        <v>0.3</v>
      </c>
      <c r="E105" s="15">
        <f t="shared" si="5"/>
        <v>22.26</v>
      </c>
      <c r="F105" s="15"/>
      <c r="G105" s="15">
        <f t="shared" si="4"/>
        <v>22.26</v>
      </c>
      <c r="H105" s="32">
        <v>18813939</v>
      </c>
      <c r="I105" s="17" t="s">
        <v>271</v>
      </c>
      <c r="J105" s="16" t="s">
        <v>73</v>
      </c>
      <c r="K105" s="32" t="s">
        <v>74</v>
      </c>
      <c r="L105" s="16">
        <v>92903559</v>
      </c>
      <c r="M105" s="4"/>
    </row>
    <row r="106" spans="1:13" s="6" customFormat="1" x14ac:dyDescent="0.25">
      <c r="A106" s="12">
        <v>2715</v>
      </c>
      <c r="B106" s="16" t="s">
        <v>272</v>
      </c>
      <c r="C106" s="36">
        <v>59.6</v>
      </c>
      <c r="D106" s="14">
        <v>0.3</v>
      </c>
      <c r="E106" s="15">
        <f t="shared" si="5"/>
        <v>17.88</v>
      </c>
      <c r="F106" s="15"/>
      <c r="G106" s="15">
        <f t="shared" si="4"/>
        <v>17.88</v>
      </c>
      <c r="H106" s="32">
        <v>5571701</v>
      </c>
      <c r="I106" s="17" t="s">
        <v>273</v>
      </c>
      <c r="J106" s="16" t="s">
        <v>73</v>
      </c>
      <c r="K106" s="32" t="s">
        <v>74</v>
      </c>
      <c r="L106" s="16">
        <v>99773624</v>
      </c>
      <c r="M106" s="4"/>
    </row>
    <row r="107" spans="1:13" s="6" customFormat="1" x14ac:dyDescent="0.25">
      <c r="A107" s="12">
        <v>2716</v>
      </c>
      <c r="B107" s="16" t="s">
        <v>274</v>
      </c>
      <c r="C107" s="36">
        <v>64.599999999999994</v>
      </c>
      <c r="D107" s="14">
        <v>0.3</v>
      </c>
      <c r="E107" s="15">
        <f t="shared" si="5"/>
        <v>19.38</v>
      </c>
      <c r="F107" s="15"/>
      <c r="G107" s="15">
        <f t="shared" si="4"/>
        <v>19.38</v>
      </c>
      <c r="H107" s="32">
        <v>1398299</v>
      </c>
      <c r="I107" s="17" t="s">
        <v>275</v>
      </c>
      <c r="J107" s="16" t="s">
        <v>276</v>
      </c>
      <c r="K107" s="32" t="s">
        <v>81</v>
      </c>
      <c r="L107" s="16">
        <v>99294734</v>
      </c>
      <c r="M107" s="4"/>
    </row>
    <row r="108" spans="1:13" s="6" customFormat="1" x14ac:dyDescent="0.25">
      <c r="A108" s="12">
        <v>2717</v>
      </c>
      <c r="B108" s="16" t="s">
        <v>277</v>
      </c>
      <c r="C108" s="36">
        <v>47.7</v>
      </c>
      <c r="D108" s="14">
        <v>0.3</v>
      </c>
      <c r="E108" s="15">
        <f t="shared" si="5"/>
        <v>14.31</v>
      </c>
      <c r="F108" s="15"/>
      <c r="G108" s="15">
        <f t="shared" si="4"/>
        <v>14.31</v>
      </c>
      <c r="H108" s="32">
        <v>5968087</v>
      </c>
      <c r="I108" s="17" t="s">
        <v>278</v>
      </c>
      <c r="J108" s="16" t="s">
        <v>73</v>
      </c>
      <c r="K108" s="32" t="s">
        <v>74</v>
      </c>
      <c r="L108" s="16">
        <v>91116250</v>
      </c>
      <c r="M108" s="4"/>
    </row>
    <row r="109" spans="1:13" s="6" customFormat="1" x14ac:dyDescent="0.25">
      <c r="A109" s="12">
        <v>2718</v>
      </c>
      <c r="B109" s="16" t="s">
        <v>279</v>
      </c>
      <c r="C109" s="36">
        <v>45.1</v>
      </c>
      <c r="D109" s="14">
        <v>0.3</v>
      </c>
      <c r="E109" s="15">
        <f t="shared" si="5"/>
        <v>13.53</v>
      </c>
      <c r="F109" s="15"/>
      <c r="G109" s="15">
        <f t="shared" si="4"/>
        <v>13.53</v>
      </c>
      <c r="H109" s="32">
        <v>5571729</v>
      </c>
      <c r="I109" s="17" t="s">
        <v>280</v>
      </c>
      <c r="J109" s="16" t="s">
        <v>73</v>
      </c>
      <c r="K109" s="32" t="s">
        <v>74</v>
      </c>
      <c r="L109" s="16">
        <v>99643459</v>
      </c>
      <c r="M109" s="4"/>
    </row>
    <row r="110" spans="1:13" s="6" customFormat="1" x14ac:dyDescent="0.25">
      <c r="A110" s="39">
        <v>2719</v>
      </c>
      <c r="B110" s="16" t="s">
        <v>281</v>
      </c>
      <c r="C110" s="36">
        <v>141</v>
      </c>
      <c r="D110" s="14">
        <v>0.3</v>
      </c>
      <c r="E110" s="15">
        <f t="shared" si="5"/>
        <v>42.3</v>
      </c>
      <c r="F110" s="15"/>
      <c r="G110" s="15">
        <f t="shared" si="4"/>
        <v>42.3</v>
      </c>
      <c r="H110" s="32">
        <v>925058</v>
      </c>
      <c r="I110" s="17" t="s">
        <v>282</v>
      </c>
      <c r="J110" s="16" t="s">
        <v>283</v>
      </c>
      <c r="K110" s="32" t="s">
        <v>81</v>
      </c>
      <c r="L110" s="16">
        <v>92656157</v>
      </c>
      <c r="M110" s="4"/>
    </row>
    <row r="111" spans="1:13" s="6" customFormat="1" x14ac:dyDescent="0.25">
      <c r="A111" s="39">
        <v>2721</v>
      </c>
      <c r="B111" s="16" t="s">
        <v>284</v>
      </c>
      <c r="C111" s="12">
        <v>118.8</v>
      </c>
      <c r="D111" s="14">
        <v>0.3</v>
      </c>
      <c r="E111" s="15">
        <f t="shared" si="5"/>
        <v>35.64</v>
      </c>
      <c r="F111" s="15"/>
      <c r="G111" s="15">
        <f t="shared" si="4"/>
        <v>35.64</v>
      </c>
      <c r="H111" s="32">
        <v>7673741</v>
      </c>
      <c r="I111" s="17" t="s">
        <v>285</v>
      </c>
      <c r="J111" s="16" t="s">
        <v>18</v>
      </c>
      <c r="K111" s="32" t="s">
        <v>19</v>
      </c>
      <c r="L111" s="16"/>
      <c r="M111" s="4"/>
    </row>
    <row r="112" spans="1:13" s="6" customFormat="1" x14ac:dyDescent="0.25">
      <c r="A112" s="39" t="s">
        <v>391</v>
      </c>
      <c r="B112" s="13" t="s">
        <v>66</v>
      </c>
      <c r="C112" s="12">
        <v>8.1999999999999993</v>
      </c>
      <c r="D112" s="14">
        <v>0.3</v>
      </c>
      <c r="E112" s="15">
        <f t="shared" si="5"/>
        <v>2.4599999999999995</v>
      </c>
      <c r="F112" s="15"/>
      <c r="G112" s="15">
        <f t="shared" si="4"/>
        <v>2.4599999999999995</v>
      </c>
      <c r="H112" s="32">
        <v>675043</v>
      </c>
      <c r="I112" s="17" t="s">
        <v>286</v>
      </c>
      <c r="J112" s="16" t="s">
        <v>80</v>
      </c>
      <c r="K112" s="32" t="s">
        <v>81</v>
      </c>
      <c r="L112" s="16"/>
      <c r="M112" s="4"/>
    </row>
    <row r="113" spans="1:13" s="6" customFormat="1" x14ac:dyDescent="0.25">
      <c r="A113" s="39">
        <v>2724</v>
      </c>
      <c r="B113" s="40" t="s">
        <v>287</v>
      </c>
      <c r="C113" s="12"/>
      <c r="D113" s="14">
        <v>0.3</v>
      </c>
      <c r="E113" s="15">
        <f t="shared" si="5"/>
        <v>0</v>
      </c>
      <c r="F113" s="15"/>
      <c r="G113" s="15">
        <f t="shared" si="4"/>
        <v>0</v>
      </c>
      <c r="H113" s="32">
        <v>272921</v>
      </c>
      <c r="I113" s="17" t="s">
        <v>288</v>
      </c>
      <c r="J113" s="16" t="s">
        <v>73</v>
      </c>
      <c r="K113" s="32" t="s">
        <v>74</v>
      </c>
      <c r="L113" s="16"/>
      <c r="M113" s="4"/>
    </row>
    <row r="114" spans="1:13" s="6" customFormat="1" x14ac:dyDescent="0.25">
      <c r="A114" s="39">
        <v>2725</v>
      </c>
      <c r="B114" s="40" t="s">
        <v>289</v>
      </c>
      <c r="C114" s="12">
        <v>156.30000000000001</v>
      </c>
      <c r="D114" s="14">
        <v>0.3</v>
      </c>
      <c r="E114" s="15">
        <f t="shared" si="5"/>
        <v>46.89</v>
      </c>
      <c r="F114" s="15"/>
      <c r="G114" s="15">
        <f t="shared" si="4"/>
        <v>46.89</v>
      </c>
      <c r="H114" s="32">
        <v>21910195</v>
      </c>
      <c r="I114" s="17" t="s">
        <v>290</v>
      </c>
      <c r="J114" s="16" t="s">
        <v>73</v>
      </c>
      <c r="K114" s="32" t="s">
        <v>74</v>
      </c>
      <c r="L114" s="16"/>
      <c r="M114" s="4"/>
    </row>
    <row r="115" spans="1:13" s="6" customFormat="1" x14ac:dyDescent="0.25">
      <c r="A115" s="39">
        <v>2726</v>
      </c>
      <c r="B115" s="40" t="s">
        <v>293</v>
      </c>
      <c r="C115" s="12">
        <v>92.5</v>
      </c>
      <c r="D115" s="14">
        <v>0.3</v>
      </c>
      <c r="E115" s="15">
        <f t="shared" si="5"/>
        <v>27.75</v>
      </c>
      <c r="F115" s="15"/>
      <c r="G115" s="15">
        <f t="shared" si="4"/>
        <v>27.75</v>
      </c>
      <c r="H115" s="32">
        <v>5932095</v>
      </c>
      <c r="I115" s="17">
        <v>401003983190032</v>
      </c>
      <c r="J115" s="16" t="s">
        <v>73</v>
      </c>
      <c r="K115" s="32" t="s">
        <v>74</v>
      </c>
      <c r="L115" s="16"/>
      <c r="M115" s="4"/>
    </row>
    <row r="116" spans="1:13" s="6" customFormat="1" x14ac:dyDescent="0.25">
      <c r="A116" s="39">
        <v>2727</v>
      </c>
      <c r="B116" s="40" t="s">
        <v>294</v>
      </c>
      <c r="C116" s="12">
        <v>68.7</v>
      </c>
      <c r="D116" s="14">
        <v>0.3</v>
      </c>
      <c r="E116" s="15">
        <f t="shared" si="5"/>
        <v>20.61</v>
      </c>
      <c r="F116" s="15"/>
      <c r="G116" s="15">
        <f t="shared" si="4"/>
        <v>20.61</v>
      </c>
      <c r="H116" s="32">
        <v>14874655</v>
      </c>
      <c r="I116" s="17">
        <v>250020006381</v>
      </c>
      <c r="J116" s="16" t="s">
        <v>94</v>
      </c>
      <c r="K116" s="32" t="s">
        <v>95</v>
      </c>
      <c r="L116" s="16">
        <v>99580134</v>
      </c>
      <c r="M116" s="4"/>
    </row>
    <row r="117" spans="1:13" s="6" customFormat="1" x14ac:dyDescent="0.25">
      <c r="A117" s="39">
        <v>2728</v>
      </c>
      <c r="B117" s="286" t="s">
        <v>295</v>
      </c>
      <c r="C117" s="12"/>
      <c r="D117" s="14">
        <v>0.3</v>
      </c>
      <c r="E117" s="15">
        <f t="shared" si="5"/>
        <v>0</v>
      </c>
      <c r="F117" s="15"/>
      <c r="G117" s="15">
        <f t="shared" si="4"/>
        <v>0</v>
      </c>
      <c r="H117" s="32">
        <v>6300163</v>
      </c>
      <c r="I117" s="17" t="s">
        <v>296</v>
      </c>
      <c r="J117" s="16" t="s">
        <v>73</v>
      </c>
      <c r="K117" s="32" t="s">
        <v>74</v>
      </c>
      <c r="L117" s="16"/>
      <c r="M117" s="4"/>
    </row>
    <row r="118" spans="1:13" s="6" customFormat="1" x14ac:dyDescent="0.25">
      <c r="A118" s="39">
        <v>2729</v>
      </c>
      <c r="B118" s="286" t="s">
        <v>297</v>
      </c>
      <c r="C118" s="12">
        <v>79.400000000000006</v>
      </c>
      <c r="D118" s="14">
        <v>0.3</v>
      </c>
      <c r="E118" s="15">
        <f t="shared" si="5"/>
        <v>23.82</v>
      </c>
      <c r="F118" s="15"/>
      <c r="G118" s="15">
        <f t="shared" si="4"/>
        <v>23.82</v>
      </c>
      <c r="H118" s="32">
        <v>21145036</v>
      </c>
      <c r="I118" s="17" t="s">
        <v>298</v>
      </c>
      <c r="J118" s="16" t="s">
        <v>73</v>
      </c>
      <c r="K118" s="32" t="s">
        <v>74</v>
      </c>
      <c r="L118" s="16"/>
      <c r="M118" s="4"/>
    </row>
    <row r="119" spans="1:13" s="6" customFormat="1" x14ac:dyDescent="0.25">
      <c r="A119" s="39">
        <v>2730</v>
      </c>
      <c r="B119" s="40" t="s">
        <v>67</v>
      </c>
      <c r="C119" s="12"/>
      <c r="D119" s="14">
        <v>0.3</v>
      </c>
      <c r="E119" s="15">
        <f t="shared" si="5"/>
        <v>0</v>
      </c>
      <c r="F119" s="15"/>
      <c r="G119" s="15">
        <f t="shared" si="4"/>
        <v>0</v>
      </c>
      <c r="H119" s="32">
        <v>5138892</v>
      </c>
      <c r="I119" s="17" t="s">
        <v>299</v>
      </c>
      <c r="J119" s="16" t="s">
        <v>73</v>
      </c>
      <c r="K119" s="32" t="s">
        <v>74</v>
      </c>
      <c r="L119" s="16"/>
      <c r="M119" s="4"/>
    </row>
    <row r="120" spans="1:13" s="6" customFormat="1" x14ac:dyDescent="0.25">
      <c r="A120" s="39">
        <v>2731</v>
      </c>
      <c r="B120" s="16" t="s">
        <v>300</v>
      </c>
      <c r="C120" s="12">
        <v>62.9</v>
      </c>
      <c r="D120" s="14">
        <v>0.3</v>
      </c>
      <c r="E120" s="15">
        <f t="shared" si="5"/>
        <v>18.869999999999997</v>
      </c>
      <c r="F120" s="15"/>
      <c r="G120" s="15">
        <f t="shared" si="4"/>
        <v>18.869999999999997</v>
      </c>
      <c r="H120" s="32">
        <v>3912773</v>
      </c>
      <c r="I120" s="17" t="s">
        <v>301</v>
      </c>
      <c r="J120" s="16" t="s">
        <v>73</v>
      </c>
      <c r="K120" s="32" t="s">
        <v>74</v>
      </c>
      <c r="L120" s="16"/>
      <c r="M120" s="4"/>
    </row>
    <row r="121" spans="1:13" s="6" customFormat="1" x14ac:dyDescent="0.25">
      <c r="A121" s="80">
        <v>2732</v>
      </c>
      <c r="B121" s="19" t="s">
        <v>302</v>
      </c>
      <c r="C121" s="18"/>
      <c r="D121" s="20">
        <v>0.3</v>
      </c>
      <c r="E121" s="21">
        <f t="shared" si="5"/>
        <v>0</v>
      </c>
      <c r="F121" s="21"/>
      <c r="G121" s="15">
        <f t="shared" si="4"/>
        <v>0</v>
      </c>
      <c r="H121" s="30">
        <v>846753</v>
      </c>
      <c r="I121" s="17" t="s">
        <v>303</v>
      </c>
      <c r="J121" s="16" t="s">
        <v>73</v>
      </c>
      <c r="K121" s="32" t="s">
        <v>74</v>
      </c>
      <c r="L121" s="16"/>
      <c r="M121" s="4"/>
    </row>
    <row r="122" spans="1:13" s="6" customFormat="1" x14ac:dyDescent="0.25">
      <c r="A122" s="12">
        <v>2733</v>
      </c>
      <c r="B122" s="16" t="s">
        <v>304</v>
      </c>
      <c r="C122" s="12"/>
      <c r="D122" s="14">
        <v>0.3</v>
      </c>
      <c r="E122" s="15">
        <f t="shared" si="5"/>
        <v>0</v>
      </c>
      <c r="F122" s="15"/>
      <c r="G122" s="15">
        <f t="shared" si="4"/>
        <v>0</v>
      </c>
      <c r="H122" s="32">
        <v>20444019</v>
      </c>
      <c r="I122" s="17" t="s">
        <v>305</v>
      </c>
      <c r="J122" s="16" t="s">
        <v>73</v>
      </c>
      <c r="K122" s="32" t="s">
        <v>74</v>
      </c>
      <c r="L122" s="16"/>
      <c r="M122" s="4"/>
    </row>
    <row r="123" spans="1:13" s="6" customFormat="1" x14ac:dyDescent="0.25">
      <c r="A123" s="12">
        <v>2734</v>
      </c>
      <c r="B123" s="16" t="s">
        <v>306</v>
      </c>
      <c r="C123" s="12"/>
      <c r="D123" s="14">
        <v>0.3</v>
      </c>
      <c r="E123" s="15">
        <f t="shared" si="5"/>
        <v>0</v>
      </c>
      <c r="F123" s="15"/>
      <c r="G123" s="15">
        <f t="shared" si="4"/>
        <v>0</v>
      </c>
      <c r="H123" s="32">
        <v>24187516</v>
      </c>
      <c r="I123" s="17" t="s">
        <v>307</v>
      </c>
      <c r="J123" s="16" t="s">
        <v>90</v>
      </c>
      <c r="K123" s="32" t="s">
        <v>91</v>
      </c>
      <c r="L123" s="16"/>
      <c r="M123" s="4"/>
    </row>
    <row r="124" spans="1:13" s="6" customFormat="1" x14ac:dyDescent="0.25">
      <c r="A124" s="18">
        <v>2736</v>
      </c>
      <c r="B124" s="25" t="s">
        <v>308</v>
      </c>
      <c r="C124" s="18"/>
      <c r="D124" s="20">
        <v>0.3</v>
      </c>
      <c r="E124" s="21">
        <f t="shared" si="5"/>
        <v>0</v>
      </c>
      <c r="F124" s="21"/>
      <c r="G124" s="15">
        <f t="shared" si="4"/>
        <v>0</v>
      </c>
      <c r="H124" s="30">
        <v>4629429</v>
      </c>
      <c r="I124" s="17" t="s">
        <v>309</v>
      </c>
      <c r="J124" s="16" t="s">
        <v>73</v>
      </c>
      <c r="K124" s="32" t="s">
        <v>74</v>
      </c>
      <c r="L124" s="16"/>
      <c r="M124" s="4"/>
    </row>
    <row r="125" spans="1:13" s="6" customFormat="1" x14ac:dyDescent="0.25">
      <c r="A125" s="12">
        <v>2737</v>
      </c>
      <c r="B125" s="16" t="s">
        <v>310</v>
      </c>
      <c r="C125" s="12">
        <v>58.1</v>
      </c>
      <c r="D125" s="14">
        <v>0.3</v>
      </c>
      <c r="E125" s="15">
        <f t="shared" si="5"/>
        <v>17.43</v>
      </c>
      <c r="F125" s="15"/>
      <c r="G125" s="15">
        <f t="shared" si="4"/>
        <v>17.43</v>
      </c>
      <c r="H125" s="32">
        <v>734135</v>
      </c>
      <c r="I125" s="17" t="s">
        <v>311</v>
      </c>
      <c r="J125" s="16" t="s">
        <v>80</v>
      </c>
      <c r="K125" s="32" t="s">
        <v>81</v>
      </c>
      <c r="L125" s="16"/>
      <c r="M125" s="4"/>
    </row>
    <row r="126" spans="1:13" s="6" customFormat="1" x14ac:dyDescent="0.25">
      <c r="A126" s="12">
        <v>2738</v>
      </c>
      <c r="B126" s="16" t="s">
        <v>312</v>
      </c>
      <c r="C126" s="12">
        <v>63</v>
      </c>
      <c r="D126" s="14">
        <v>0.3</v>
      </c>
      <c r="E126" s="15">
        <f t="shared" si="5"/>
        <v>18.899999999999999</v>
      </c>
      <c r="F126" s="15"/>
      <c r="G126" s="15">
        <f t="shared" si="4"/>
        <v>18.899999999999999</v>
      </c>
      <c r="H126" s="32">
        <v>1298606</v>
      </c>
      <c r="I126" s="17" t="s">
        <v>313</v>
      </c>
      <c r="J126" s="16" t="s">
        <v>73</v>
      </c>
      <c r="K126" s="32" t="s">
        <v>74</v>
      </c>
      <c r="L126" s="16"/>
      <c r="M126" s="4"/>
    </row>
    <row r="127" spans="1:13" s="6" customFormat="1" x14ac:dyDescent="0.25">
      <c r="A127" s="287">
        <v>2740</v>
      </c>
      <c r="B127" s="288" t="s">
        <v>314</v>
      </c>
      <c r="C127" s="287">
        <v>164.4</v>
      </c>
      <c r="D127" s="14">
        <v>0.3</v>
      </c>
      <c r="E127" s="289">
        <f t="shared" si="5"/>
        <v>49.32</v>
      </c>
      <c r="F127" s="289"/>
      <c r="G127" s="15">
        <f t="shared" si="4"/>
        <v>49.32</v>
      </c>
      <c r="H127" s="290">
        <v>18315397</v>
      </c>
      <c r="I127" s="291">
        <v>401002460790021</v>
      </c>
      <c r="J127" s="288" t="s">
        <v>73</v>
      </c>
      <c r="K127" s="290" t="s">
        <v>74</v>
      </c>
      <c r="L127" s="288">
        <v>94346448</v>
      </c>
      <c r="M127" s="4"/>
    </row>
    <row r="128" spans="1:13" s="6" customFormat="1" ht="14.25" thickBot="1" x14ac:dyDescent="0.3">
      <c r="A128" s="42"/>
      <c r="B128" s="43"/>
      <c r="C128" s="44">
        <f>SUM(C4:C127)</f>
        <v>7396.9</v>
      </c>
      <c r="D128" s="45"/>
      <c r="E128" s="46">
        <f>SUM(E4:E127)</f>
        <v>2219.0700000000002</v>
      </c>
      <c r="F128" s="46">
        <f t="shared" ref="F128:G128" si="6">SUM(F4:F127)</f>
        <v>0</v>
      </c>
      <c r="G128" s="46">
        <f t="shared" si="6"/>
        <v>2219.0700000000002</v>
      </c>
      <c r="H128" s="45"/>
      <c r="I128" s="48"/>
      <c r="J128" s="45"/>
      <c r="K128" s="45"/>
      <c r="L128" s="45"/>
      <c r="M128" s="4"/>
    </row>
    <row r="129" spans="1:13" s="6" customFormat="1" x14ac:dyDescent="0.25">
      <c r="A129" s="51"/>
      <c r="B129" s="50"/>
      <c r="C129" s="52"/>
      <c r="D129" s="53"/>
      <c r="E129" s="52"/>
      <c r="F129" s="52"/>
      <c r="G129" s="52"/>
      <c r="H129" s="54"/>
      <c r="I129" s="55"/>
      <c r="J129" s="54"/>
      <c r="K129" s="54"/>
      <c r="L129" s="54"/>
      <c r="M129" s="4"/>
    </row>
    <row r="130" spans="1:13" s="6" customFormat="1" x14ac:dyDescent="0.25">
      <c r="A130" s="57"/>
      <c r="C130" s="58"/>
      <c r="D130" s="58"/>
      <c r="E130" s="58"/>
      <c r="F130" s="58"/>
      <c r="G130" s="58"/>
      <c r="H130" s="59"/>
      <c r="I130" s="60"/>
      <c r="J130" s="59"/>
      <c r="M130" s="4"/>
    </row>
    <row r="131" spans="1:13" x14ac:dyDescent="0.25">
      <c r="D131" s="61" t="s">
        <v>331</v>
      </c>
      <c r="E131" s="306"/>
      <c r="F131" s="306"/>
      <c r="G131" s="306"/>
      <c r="H131" s="306"/>
      <c r="J131" s="307"/>
      <c r="K131" s="307"/>
    </row>
    <row r="132" spans="1:13" s="64" customFormat="1" x14ac:dyDescent="0.25">
      <c r="A132" s="61"/>
      <c r="C132" s="61"/>
      <c r="D132" s="61" t="s">
        <v>44</v>
      </c>
      <c r="E132" s="306"/>
      <c r="F132" s="306"/>
      <c r="G132" s="306"/>
      <c r="H132" s="306"/>
      <c r="I132" s="63"/>
      <c r="J132" s="307"/>
      <c r="K132" s="307"/>
      <c r="M132" s="4"/>
    </row>
    <row r="133" spans="1:13" s="64" customFormat="1" x14ac:dyDescent="0.25">
      <c r="A133" s="61"/>
      <c r="C133" s="61"/>
      <c r="D133" s="28"/>
      <c r="E133" s="62"/>
      <c r="F133" s="62"/>
      <c r="G133" s="62"/>
      <c r="I133" s="63"/>
      <c r="M133" s="4"/>
    </row>
    <row r="134" spans="1:13" s="64" customFormat="1" x14ac:dyDescent="0.25">
      <c r="A134" s="61"/>
      <c r="B134" s="28"/>
      <c r="C134" s="61"/>
      <c r="D134" s="61"/>
      <c r="E134" s="62"/>
      <c r="F134" s="62"/>
      <c r="G134" s="62"/>
      <c r="I134" s="63"/>
      <c r="M134" s="4"/>
    </row>
    <row r="135" spans="1:13" s="64" customFormat="1" x14ac:dyDescent="0.25">
      <c r="A135" s="61"/>
      <c r="B135" s="28"/>
      <c r="C135" s="61"/>
      <c r="D135" s="61"/>
      <c r="E135" s="62"/>
      <c r="F135" s="62"/>
      <c r="G135" s="62"/>
      <c r="I135" s="63"/>
      <c r="M135" s="4"/>
    </row>
    <row r="136" spans="1:13" s="64" customFormat="1" x14ac:dyDescent="0.25">
      <c r="A136" s="61"/>
      <c r="B136" s="28"/>
      <c r="C136" s="68"/>
      <c r="D136" s="61"/>
      <c r="E136" s="68"/>
      <c r="F136" s="68"/>
      <c r="G136" s="68"/>
      <c r="I136" s="63"/>
      <c r="M136" s="4"/>
    </row>
    <row r="137" spans="1:13" s="64" customFormat="1" x14ac:dyDescent="0.25">
      <c r="A137" s="61"/>
      <c r="B137" s="28"/>
      <c r="C137" s="61"/>
      <c r="D137" s="61"/>
      <c r="E137" s="62"/>
      <c r="F137" s="62"/>
      <c r="G137" s="62"/>
      <c r="I137" s="63"/>
      <c r="M137" s="4"/>
    </row>
    <row r="138" spans="1:13" s="64" customFormat="1" x14ac:dyDescent="0.25">
      <c r="A138" s="61"/>
      <c r="B138" s="28"/>
      <c r="C138" s="61"/>
      <c r="D138" s="61"/>
      <c r="E138" s="62"/>
      <c r="F138" s="62"/>
      <c r="G138" s="62"/>
      <c r="I138" s="63"/>
      <c r="M138" s="4"/>
    </row>
    <row r="139" spans="1:13" s="64" customFormat="1" x14ac:dyDescent="0.25">
      <c r="A139" s="61"/>
      <c r="B139" s="28"/>
      <c r="C139" s="61"/>
      <c r="D139" s="61"/>
      <c r="E139" s="62"/>
      <c r="F139" s="62"/>
      <c r="G139" s="62"/>
      <c r="I139" s="63"/>
      <c r="M139" s="4"/>
    </row>
    <row r="140" spans="1:13" s="64" customFormat="1" x14ac:dyDescent="0.25">
      <c r="A140" s="61"/>
      <c r="B140" s="28"/>
      <c r="C140" s="61"/>
      <c r="D140" s="61"/>
      <c r="E140" s="62"/>
      <c r="F140" s="62"/>
      <c r="G140" s="62"/>
      <c r="I140" s="63"/>
      <c r="M140" s="4"/>
    </row>
    <row r="141" spans="1:13" s="64" customFormat="1" x14ac:dyDescent="0.25">
      <c r="A141" s="61"/>
      <c r="B141" s="28"/>
      <c r="C141" s="61"/>
      <c r="D141" s="61"/>
      <c r="E141" s="62"/>
      <c r="F141" s="62"/>
      <c r="G141" s="62"/>
      <c r="I141" s="63"/>
      <c r="M141" s="4"/>
    </row>
    <row r="142" spans="1:13" s="64" customFormat="1" x14ac:dyDescent="0.25">
      <c r="A142" s="61"/>
      <c r="B142" s="28"/>
      <c r="C142" s="61"/>
      <c r="D142" s="61"/>
      <c r="E142" s="62"/>
      <c r="F142" s="62"/>
      <c r="G142" s="62"/>
      <c r="I142" s="63"/>
      <c r="M142" s="4"/>
    </row>
    <row r="143" spans="1:13" s="64" customFormat="1" x14ac:dyDescent="0.25">
      <c r="A143" s="61"/>
      <c r="B143" s="28"/>
      <c r="C143" s="61"/>
      <c r="D143" s="61"/>
      <c r="E143" s="62"/>
      <c r="F143" s="62"/>
      <c r="G143" s="62"/>
      <c r="I143" s="63"/>
      <c r="M143" s="4"/>
    </row>
    <row r="144" spans="1:13" s="64" customFormat="1" x14ac:dyDescent="0.25">
      <c r="A144" s="61"/>
      <c r="B144" s="28"/>
      <c r="C144" s="61"/>
      <c r="D144" s="61"/>
      <c r="E144" s="62"/>
      <c r="F144" s="62"/>
      <c r="G144" s="62"/>
      <c r="I144" s="63"/>
      <c r="M144" s="4"/>
    </row>
    <row r="145" spans="1:13" s="64" customFormat="1" x14ac:dyDescent="0.25">
      <c r="A145" s="61"/>
      <c r="B145" s="28"/>
      <c r="C145" s="61"/>
      <c r="D145" s="61"/>
      <c r="E145" s="62"/>
      <c r="F145" s="62"/>
      <c r="G145" s="62"/>
      <c r="I145" s="63"/>
      <c r="M145" s="4"/>
    </row>
    <row r="146" spans="1:13" s="64" customFormat="1" x14ac:dyDescent="0.25">
      <c r="A146" s="61"/>
      <c r="B146" s="28"/>
      <c r="C146" s="61"/>
      <c r="D146" s="61"/>
      <c r="E146" s="62"/>
      <c r="F146" s="62"/>
      <c r="G146" s="62"/>
      <c r="I146" s="63"/>
      <c r="M146" s="4"/>
    </row>
    <row r="147" spans="1:13" s="64" customFormat="1" x14ac:dyDescent="0.25">
      <c r="A147" s="61"/>
      <c r="B147" s="28"/>
      <c r="C147" s="61"/>
      <c r="D147" s="61"/>
      <c r="E147" s="62"/>
      <c r="F147" s="62"/>
      <c r="G147" s="62"/>
      <c r="I147" s="63"/>
      <c r="M147" s="4"/>
    </row>
    <row r="148" spans="1:13" s="64" customFormat="1" x14ac:dyDescent="0.25">
      <c r="A148" s="61"/>
      <c r="B148" s="28"/>
      <c r="C148" s="61"/>
      <c r="D148" s="61"/>
      <c r="E148" s="62"/>
      <c r="F148" s="62"/>
      <c r="G148" s="62"/>
      <c r="I148" s="63"/>
      <c r="M148" s="4"/>
    </row>
    <row r="149" spans="1:13" s="64" customFormat="1" x14ac:dyDescent="0.25">
      <c r="A149" s="61"/>
      <c r="B149" s="28"/>
      <c r="C149" s="61"/>
      <c r="D149" s="61"/>
      <c r="E149" s="62"/>
      <c r="F149" s="62"/>
      <c r="G149" s="62"/>
      <c r="I149" s="63"/>
      <c r="M149" s="4"/>
    </row>
    <row r="150" spans="1:13" s="64" customFormat="1" x14ac:dyDescent="0.25">
      <c r="A150" s="61"/>
      <c r="B150" s="28"/>
      <c r="C150" s="61"/>
      <c r="D150" s="61"/>
      <c r="E150" s="62"/>
      <c r="F150" s="62"/>
      <c r="G150" s="62"/>
      <c r="I150" s="63"/>
      <c r="M150" s="4"/>
    </row>
    <row r="151" spans="1:13" s="64" customFormat="1" x14ac:dyDescent="0.25">
      <c r="A151" s="61"/>
      <c r="B151" s="28"/>
      <c r="C151" s="61"/>
      <c r="D151" s="61"/>
      <c r="E151" s="62"/>
      <c r="F151" s="62"/>
      <c r="G151" s="62"/>
      <c r="I151" s="63"/>
      <c r="M151" s="4"/>
    </row>
    <row r="152" spans="1:13" s="64" customFormat="1" x14ac:dyDescent="0.25">
      <c r="A152" s="61"/>
      <c r="B152" s="28"/>
      <c r="C152" s="61"/>
      <c r="D152" s="61"/>
      <c r="E152" s="62"/>
      <c r="F152" s="62"/>
      <c r="G152" s="62"/>
      <c r="I152" s="63"/>
      <c r="M152" s="4"/>
    </row>
    <row r="153" spans="1:13" s="64" customFormat="1" x14ac:dyDescent="0.25">
      <c r="A153" s="61"/>
      <c r="B153" s="28"/>
      <c r="C153" s="61"/>
      <c r="D153" s="61"/>
      <c r="E153" s="62"/>
      <c r="F153" s="62"/>
      <c r="G153" s="62"/>
      <c r="I153" s="63"/>
      <c r="M153" s="4"/>
    </row>
    <row r="154" spans="1:13" s="64" customFormat="1" x14ac:dyDescent="0.25">
      <c r="A154" s="61"/>
      <c r="B154" s="28"/>
      <c r="C154" s="61"/>
      <c r="D154" s="61"/>
      <c r="E154" s="62"/>
      <c r="F154" s="62"/>
      <c r="G154" s="62"/>
      <c r="I154" s="63"/>
      <c r="M154" s="4"/>
    </row>
    <row r="155" spans="1:13" s="64" customFormat="1" x14ac:dyDescent="0.25">
      <c r="A155" s="61"/>
      <c r="B155" s="28"/>
      <c r="C155" s="61"/>
      <c r="D155" s="61"/>
      <c r="E155" s="62"/>
      <c r="F155" s="62"/>
      <c r="G155" s="62"/>
      <c r="I155" s="63"/>
      <c r="M155" s="4"/>
    </row>
    <row r="156" spans="1:13" s="64" customFormat="1" x14ac:dyDescent="0.25">
      <c r="A156" s="61"/>
      <c r="B156" s="28"/>
      <c r="C156" s="61"/>
      <c r="D156" s="61"/>
      <c r="E156" s="62"/>
      <c r="F156" s="62"/>
      <c r="G156" s="62"/>
      <c r="I156" s="63"/>
      <c r="M156" s="4"/>
    </row>
    <row r="157" spans="1:13" s="64" customFormat="1" x14ac:dyDescent="0.25">
      <c r="A157" s="61"/>
      <c r="B157" s="28"/>
      <c r="C157" s="61"/>
      <c r="D157" s="61"/>
      <c r="E157" s="62"/>
      <c r="F157" s="62"/>
      <c r="G157" s="62"/>
      <c r="I157" s="63"/>
      <c r="M157" s="4"/>
    </row>
    <row r="158" spans="1:13" s="64" customFormat="1" x14ac:dyDescent="0.25">
      <c r="A158" s="61"/>
      <c r="B158" s="28"/>
      <c r="C158" s="61"/>
      <c r="D158" s="61"/>
      <c r="E158" s="62"/>
      <c r="F158" s="62"/>
      <c r="G158" s="62"/>
      <c r="I158" s="63"/>
      <c r="M158" s="4"/>
    </row>
    <row r="159" spans="1:13" s="64" customFormat="1" x14ac:dyDescent="0.25">
      <c r="A159" s="61"/>
      <c r="B159" s="28"/>
      <c r="C159" s="61"/>
      <c r="D159" s="61"/>
      <c r="E159" s="62"/>
      <c r="F159" s="62"/>
      <c r="G159" s="62"/>
      <c r="I159" s="63"/>
      <c r="M159" s="4"/>
    </row>
    <row r="160" spans="1:13" s="64" customFormat="1" x14ac:dyDescent="0.25">
      <c r="A160" s="61"/>
      <c r="B160" s="28"/>
      <c r="C160" s="61"/>
      <c r="D160" s="61"/>
      <c r="E160" s="62"/>
      <c r="F160" s="62"/>
      <c r="G160" s="62"/>
      <c r="I160" s="63"/>
      <c r="M160" s="4"/>
    </row>
    <row r="161" spans="1:13" s="64" customFormat="1" x14ac:dyDescent="0.25">
      <c r="A161" s="61"/>
      <c r="B161" s="28"/>
      <c r="C161" s="61"/>
      <c r="D161" s="61"/>
      <c r="E161" s="62"/>
      <c r="F161" s="62"/>
      <c r="G161" s="62"/>
      <c r="I161" s="63"/>
      <c r="M161" s="4"/>
    </row>
    <row r="162" spans="1:13" s="64" customFormat="1" x14ac:dyDescent="0.25">
      <c r="A162" s="61"/>
      <c r="B162" s="28"/>
      <c r="C162" s="61"/>
      <c r="D162" s="61"/>
      <c r="E162" s="62"/>
      <c r="F162" s="62"/>
      <c r="G162" s="62"/>
      <c r="I162" s="63"/>
      <c r="M162" s="4"/>
    </row>
    <row r="163" spans="1:13" s="64" customFormat="1" x14ac:dyDescent="0.25">
      <c r="A163" s="61"/>
      <c r="B163" s="28"/>
      <c r="C163" s="61"/>
      <c r="D163" s="61"/>
      <c r="E163" s="62"/>
      <c r="F163" s="62"/>
      <c r="G163" s="62"/>
      <c r="I163" s="63"/>
      <c r="M163" s="4"/>
    </row>
    <row r="164" spans="1:13" s="64" customFormat="1" x14ac:dyDescent="0.25">
      <c r="A164" s="61"/>
      <c r="B164" s="28"/>
      <c r="C164" s="61"/>
      <c r="D164" s="61"/>
      <c r="E164" s="62"/>
      <c r="F164" s="62"/>
      <c r="G164" s="62"/>
      <c r="I164" s="63"/>
      <c r="M164" s="4"/>
    </row>
    <row r="165" spans="1:13" s="64" customFormat="1" x14ac:dyDescent="0.25">
      <c r="A165" s="61"/>
      <c r="B165" s="28"/>
      <c r="C165" s="61"/>
      <c r="D165" s="61"/>
      <c r="E165" s="62"/>
      <c r="F165" s="62"/>
      <c r="G165" s="62"/>
      <c r="I165" s="63"/>
      <c r="M165" s="4"/>
    </row>
  </sheetData>
  <mergeCells count="15">
    <mergeCell ref="E132:H132"/>
    <mergeCell ref="J132:K132"/>
    <mergeCell ref="L2:L3"/>
    <mergeCell ref="D2:D3"/>
    <mergeCell ref="E2:E3"/>
    <mergeCell ref="H2:H3"/>
    <mergeCell ref="I2:I3"/>
    <mergeCell ref="J2:J3"/>
    <mergeCell ref="K2:K3"/>
    <mergeCell ref="G2:G3"/>
    <mergeCell ref="A2:A3"/>
    <mergeCell ref="B2:B3"/>
    <mergeCell ref="C2:C3"/>
    <mergeCell ref="E131:H131"/>
    <mergeCell ref="J131:K131"/>
  </mergeCells>
  <conditionalFormatting sqref="I16">
    <cfRule type="duplicateValues" dxfId="0" priority="1"/>
  </conditionalFormatting>
  <pageMargins left="0.7" right="0.7" top="0.75" bottom="0.75" header="0.3" footer="0.3"/>
  <pageSetup paperSize="8" scale="51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33F77-8557-4DEE-B3A3-E01F68F8EEE5}">
  <dimension ref="A2:E9"/>
  <sheetViews>
    <sheetView workbookViewId="0">
      <selection activeCell="C11" sqref="C11"/>
    </sheetView>
  </sheetViews>
  <sheetFormatPr defaultRowHeight="15" x14ac:dyDescent="0.25"/>
  <cols>
    <col min="1" max="1" width="22" bestFit="1" customWidth="1"/>
    <col min="2" max="2" width="17" bestFit="1" customWidth="1"/>
    <col min="3" max="3" width="26" bestFit="1" customWidth="1"/>
    <col min="4" max="4" width="10.5703125" bestFit="1" customWidth="1"/>
    <col min="5" max="5" width="23.85546875" bestFit="1" customWidth="1"/>
  </cols>
  <sheetData>
    <row r="2" spans="1:5" ht="26.25" x14ac:dyDescent="0.4">
      <c r="A2" s="321" t="s">
        <v>332</v>
      </c>
      <c r="B2" s="321"/>
      <c r="C2" s="321"/>
      <c r="D2" s="321"/>
      <c r="E2" s="321"/>
    </row>
    <row r="3" spans="1:5" ht="24" x14ac:dyDescent="0.4">
      <c r="A3" s="1" t="s">
        <v>333</v>
      </c>
      <c r="B3" s="1" t="s">
        <v>334</v>
      </c>
      <c r="C3" s="1" t="s">
        <v>335</v>
      </c>
      <c r="D3" s="1" t="s">
        <v>336</v>
      </c>
      <c r="E3" s="1" t="s">
        <v>337</v>
      </c>
    </row>
    <row r="4" spans="1:5" ht="24" x14ac:dyDescent="0.4">
      <c r="A4" s="1" t="s">
        <v>338</v>
      </c>
      <c r="B4" s="1">
        <v>50</v>
      </c>
      <c r="C4" s="3">
        <v>6.45</v>
      </c>
      <c r="D4" s="2">
        <v>0.4</v>
      </c>
      <c r="E4" s="2">
        <v>6.05</v>
      </c>
    </row>
    <row r="5" spans="1:5" ht="24" x14ac:dyDescent="0.4">
      <c r="A5" s="1" t="s">
        <v>338</v>
      </c>
      <c r="B5" s="1">
        <v>40</v>
      </c>
      <c r="C5" s="3">
        <v>5.16</v>
      </c>
      <c r="D5" s="2">
        <v>0.4</v>
      </c>
      <c r="E5" s="2">
        <v>4.76</v>
      </c>
    </row>
    <row r="6" spans="1:5" ht="24" x14ac:dyDescent="0.4">
      <c r="A6" s="1" t="s">
        <v>339</v>
      </c>
      <c r="B6" s="1">
        <v>40</v>
      </c>
      <c r="C6" s="3">
        <v>5</v>
      </c>
      <c r="D6" s="2">
        <v>0.4</v>
      </c>
      <c r="E6" s="2">
        <v>4.5999999999999996</v>
      </c>
    </row>
    <row r="7" spans="1:5" ht="24" x14ac:dyDescent="0.4">
      <c r="A7" s="1" t="s">
        <v>340</v>
      </c>
      <c r="B7" s="1">
        <v>50</v>
      </c>
      <c r="C7" s="3">
        <v>7.1</v>
      </c>
      <c r="D7" s="2">
        <v>0.5</v>
      </c>
      <c r="E7" s="2">
        <v>6.6</v>
      </c>
    </row>
    <row r="8" spans="1:5" ht="24" x14ac:dyDescent="0.4">
      <c r="A8" s="1" t="s">
        <v>340</v>
      </c>
      <c r="B8" s="1">
        <v>40</v>
      </c>
      <c r="C8" s="3">
        <v>5.7</v>
      </c>
      <c r="D8" s="2">
        <v>0.5</v>
      </c>
      <c r="E8" s="2">
        <v>5.2</v>
      </c>
    </row>
    <row r="9" spans="1:5" ht="24" x14ac:dyDescent="0.4">
      <c r="A9" s="1" t="s">
        <v>341</v>
      </c>
      <c r="B9" s="1">
        <v>50</v>
      </c>
      <c r="C9" s="3">
        <v>7.6</v>
      </c>
      <c r="D9" s="2">
        <v>0.5</v>
      </c>
      <c r="E9" s="2">
        <v>7.1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14</vt:i4>
      </vt:variant>
    </vt:vector>
  </HeadingPairs>
  <TitlesOfParts>
    <vt:vector size="29" baseType="lpstr">
      <vt:lpstr>center-April</vt:lpstr>
      <vt:lpstr>center-05</vt:lpstr>
      <vt:lpstr>center-06</vt:lpstr>
      <vt:lpstr>center-July</vt:lpstr>
      <vt:lpstr>center-Aug</vt:lpstr>
      <vt:lpstr>Center-Sept</vt:lpstr>
      <vt:lpstr>center-oct</vt:lpstr>
      <vt:lpstr>Center-Nov</vt:lpstr>
      <vt:lpstr>center-dec</vt:lpstr>
      <vt:lpstr>Aug 25</vt:lpstr>
      <vt:lpstr>SEP-25</vt:lpstr>
      <vt:lpstr>oct25</vt:lpstr>
      <vt:lpstr>nov-25</vt:lpstr>
      <vt:lpstr>Dec-25</vt:lpstr>
      <vt:lpstr>ONLD price</vt:lpstr>
      <vt:lpstr>'Aug 25'!Print_Area</vt:lpstr>
      <vt:lpstr>'center-05'!Print_Area</vt:lpstr>
      <vt:lpstr>'center-06'!Print_Area</vt:lpstr>
      <vt:lpstr>'center-April'!Print_Area</vt:lpstr>
      <vt:lpstr>'center-Aug'!Print_Area</vt:lpstr>
      <vt:lpstr>'center-dec'!Print_Area</vt:lpstr>
      <vt:lpstr>'center-July'!Print_Area</vt:lpstr>
      <vt:lpstr>'Center-Nov'!Print_Area</vt:lpstr>
      <vt:lpstr>'center-oct'!Print_Area</vt:lpstr>
      <vt:lpstr>'Center-Sept'!Print_Area</vt:lpstr>
      <vt:lpstr>'Dec-25'!Print_Area</vt:lpstr>
      <vt:lpstr>'nov-25'!Print_Area</vt:lpstr>
      <vt:lpstr>'oct25'!Print_Area</vt:lpstr>
      <vt:lpstr>'SEP-25'!Print_Area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 Morroj dairy co</dc:creator>
  <cp:keywords/>
  <dc:description/>
  <cp:lastModifiedBy>YASIR KASHOOB</cp:lastModifiedBy>
  <cp:revision/>
  <cp:lastPrinted>2026-01-01T06:51:58Z</cp:lastPrinted>
  <dcterms:created xsi:type="dcterms:W3CDTF">2024-07-24T14:41:30Z</dcterms:created>
  <dcterms:modified xsi:type="dcterms:W3CDTF">2026-01-11T05:52:35Z</dcterms:modified>
  <cp:category/>
  <cp:contentStatus/>
</cp:coreProperties>
</file>