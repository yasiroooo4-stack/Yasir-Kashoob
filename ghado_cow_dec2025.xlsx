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38" documentId="13_ncr:1_{927772A2-B6E4-422D-A99A-DD1190710F66}" xr6:coauthVersionLast="47" xr6:coauthVersionMax="47" xr10:uidLastSave="{751AFF44-6C4E-4C88-BCAB-339BF9C5792E}"/>
  <bookViews>
    <workbookView xWindow="-120" yWindow="-120" windowWidth="29040" windowHeight="15720" tabRatio="787" firstSheet="11" activeTab="15" xr2:uid="{98B979DE-0370-4696-AEB9-509298284302}"/>
  </bookViews>
  <sheets>
    <sheet name="center-April" sheetId="7" state="hidden" r:id="rId1"/>
    <sheet name="05-24" sheetId="12" state="hidden" r:id="rId2"/>
    <sheet name="center-June" sheetId="9" state="hidden" r:id="rId3"/>
    <sheet name="center-July" sheetId="13" state="hidden" r:id="rId4"/>
    <sheet name="center-Aug" sheetId="14" state="hidden" r:id="rId5"/>
    <sheet name="Center-Sept" sheetId="15" state="hidden" r:id="rId6"/>
    <sheet name="Center-oct" sheetId="16" state="hidden" r:id="rId7"/>
    <sheet name="Center-Nov" sheetId="17" state="hidden" r:id="rId8"/>
    <sheet name="center-dec" sheetId="18" state="hidden" r:id="rId9"/>
    <sheet name="Purcahse Request" sheetId="1" state="hidden" r:id="rId10"/>
    <sheet name="Farmer Document" sheetId="3" state="hidden" r:id="rId11"/>
    <sheet name="Aug 25" sheetId="28" r:id="rId12"/>
    <sheet name="SEP-25" sheetId="29" r:id="rId13"/>
    <sheet name="oct25" sheetId="30" r:id="rId14"/>
    <sheet name="nov-25" sheetId="31" r:id="rId15"/>
    <sheet name="Dec-25" sheetId="32" r:id="rId16"/>
    <sheet name="ONLD price" sheetId="2" state="hidden" r:id="rId17"/>
  </sheets>
  <externalReferences>
    <externalReference r:id="rId18"/>
  </externalReferences>
  <definedNames>
    <definedName name="_xlnm._FilterDatabase" localSheetId="1" hidden="1">'05-24'!$A$2:$J$6</definedName>
    <definedName name="_xlnm._FilterDatabase" localSheetId="11" hidden="1">'Aug 25'!$A$2:$M$48</definedName>
    <definedName name="_xlnm._FilterDatabase" localSheetId="0" hidden="1">'center-April'!$A$2:$N$6</definedName>
    <definedName name="_xlnm._FilterDatabase" localSheetId="4" hidden="1">'center-Aug'!$A$2:$J$48</definedName>
    <definedName name="_xlnm._FilterDatabase" localSheetId="3" hidden="1">'center-July'!$A$2:$K$47</definedName>
    <definedName name="_xlnm._FilterDatabase" localSheetId="2" hidden="1">'center-June'!$A$2:$J$15</definedName>
    <definedName name="_xlnm._FilterDatabase" localSheetId="5" hidden="1">'Center-Sept'!$B$2:$O$48</definedName>
    <definedName name="_xlnm._FilterDatabase" localSheetId="12" hidden="1">'SEP-25'!$A$2:$X$3</definedName>
    <definedName name="_xlnm.Print_Area" localSheetId="11">'Aug 25'!$A$1:$M$48</definedName>
    <definedName name="_xlnm.Print_Area" localSheetId="4">'center-Aug'!$A$1:$J$50</definedName>
    <definedName name="_xlnm.Print_Area" localSheetId="8">'center-dec'!$A$1:$O$54</definedName>
    <definedName name="_xlnm.Print_Area" localSheetId="3">'center-July'!$A$1:$K$54</definedName>
    <definedName name="_xlnm.Print_Area" localSheetId="2">'center-June'!$A$1:$J$22</definedName>
    <definedName name="_xlnm.Print_Area" localSheetId="7">'Center-Nov'!$A$1:$O$54</definedName>
    <definedName name="_xlnm.Print_Area" localSheetId="6">'Center-oct'!$A$1:$O$52</definedName>
    <definedName name="_xlnm.Print_Area" localSheetId="5">'Center-Sept'!$A$1:$O$54</definedName>
    <definedName name="_xlnm.Print_Area" localSheetId="10">'Farmer Document'!$A$1:$D$41</definedName>
    <definedName name="_xlnm.Print_Area" localSheetId="13">'oct25'!$A$1:$M$48</definedName>
    <definedName name="_xlnm.Print_Area" localSheetId="9">'Purcahse Request'!$A$1:$E$38</definedName>
    <definedName name="_xlnm.Print_Area" localSheetId="12">'SEP-25'!$A$1:$M$48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2" l="1"/>
  <c r="G9" i="32"/>
  <c r="G12" i="32"/>
  <c r="G14" i="32"/>
  <c r="G21" i="32"/>
  <c r="G22" i="32"/>
  <c r="G23" i="32"/>
  <c r="G24" i="32"/>
  <c r="G25" i="32"/>
  <c r="G26" i="32"/>
  <c r="G27" i="32"/>
  <c r="G28" i="32"/>
  <c r="G32" i="32"/>
  <c r="G37" i="32"/>
  <c r="G40" i="32"/>
  <c r="G44" i="32"/>
  <c r="G45" i="32"/>
  <c r="G46" i="32"/>
  <c r="G47" i="32"/>
  <c r="F48" i="32"/>
  <c r="E4" i="32"/>
  <c r="G4" i="32" s="1"/>
  <c r="E5" i="32"/>
  <c r="G5" i="32" s="1"/>
  <c r="E6" i="32"/>
  <c r="G6" i="32" s="1"/>
  <c r="E7" i="32"/>
  <c r="G7" i="32" s="1"/>
  <c r="E8" i="32"/>
  <c r="E9" i="32"/>
  <c r="E10" i="32"/>
  <c r="G10" i="32" s="1"/>
  <c r="E11" i="32"/>
  <c r="G11" i="32" s="1"/>
  <c r="E12" i="32"/>
  <c r="E13" i="32"/>
  <c r="G13" i="32" s="1"/>
  <c r="E14" i="32"/>
  <c r="E15" i="32"/>
  <c r="G15" i="32" s="1"/>
  <c r="E16" i="32"/>
  <c r="G16" i="32" s="1"/>
  <c r="E17" i="32"/>
  <c r="G17" i="32" s="1"/>
  <c r="E18" i="32"/>
  <c r="G18" i="32" s="1"/>
  <c r="E19" i="32"/>
  <c r="G19" i="32" s="1"/>
  <c r="E20" i="32"/>
  <c r="G20" i="32" s="1"/>
  <c r="E21" i="32"/>
  <c r="E22" i="32"/>
  <c r="E23" i="32"/>
  <c r="E24" i="32"/>
  <c r="E25" i="32"/>
  <c r="E26" i="32"/>
  <c r="E27" i="32"/>
  <c r="E28" i="32"/>
  <c r="E29" i="32"/>
  <c r="G29" i="32" s="1"/>
  <c r="E30" i="32"/>
  <c r="G30" i="32" s="1"/>
  <c r="E31" i="32"/>
  <c r="G31" i="32" s="1"/>
  <c r="E32" i="32"/>
  <c r="E33" i="32"/>
  <c r="G33" i="32" s="1"/>
  <c r="E34" i="32"/>
  <c r="G34" i="32" s="1"/>
  <c r="E35" i="32"/>
  <c r="G35" i="32" s="1"/>
  <c r="E36" i="32"/>
  <c r="G36" i="32" s="1"/>
  <c r="E37" i="32"/>
  <c r="E38" i="32"/>
  <c r="G38" i="32" s="1"/>
  <c r="E39" i="32"/>
  <c r="G39" i="32" s="1"/>
  <c r="E40" i="32"/>
  <c r="E41" i="32"/>
  <c r="G41" i="32" s="1"/>
  <c r="E42" i="32"/>
  <c r="G42" i="32" s="1"/>
  <c r="E43" i="32"/>
  <c r="G43" i="32" s="1"/>
  <c r="E44" i="32"/>
  <c r="E45" i="32"/>
  <c r="E46" i="32"/>
  <c r="E47" i="32"/>
  <c r="C48" i="32"/>
  <c r="G48" i="32" l="1"/>
  <c r="E48" i="32"/>
  <c r="F48" i="31"/>
  <c r="F18" i="29"/>
  <c r="F28" i="29" l="1"/>
  <c r="F4" i="30"/>
  <c r="E4" i="31"/>
  <c r="G4" i="31" s="1"/>
  <c r="E5" i="31"/>
  <c r="G5" i="31" s="1"/>
  <c r="E6" i="31"/>
  <c r="G6" i="31" s="1"/>
  <c r="E7" i="31"/>
  <c r="G7" i="31" s="1"/>
  <c r="E8" i="31"/>
  <c r="G8" i="31" s="1"/>
  <c r="E9" i="31"/>
  <c r="G9" i="31" s="1"/>
  <c r="E10" i="31"/>
  <c r="G10" i="31" s="1"/>
  <c r="E11" i="31"/>
  <c r="G11" i="31" s="1"/>
  <c r="E12" i="31"/>
  <c r="G12" i="31" s="1"/>
  <c r="E13" i="31"/>
  <c r="G13" i="31" s="1"/>
  <c r="E14" i="31"/>
  <c r="G14" i="31" s="1"/>
  <c r="E15" i="31"/>
  <c r="G15" i="31" s="1"/>
  <c r="E16" i="31"/>
  <c r="G16" i="31" s="1"/>
  <c r="E17" i="31"/>
  <c r="G17" i="31" s="1"/>
  <c r="E18" i="31"/>
  <c r="G18" i="31" s="1"/>
  <c r="E19" i="31"/>
  <c r="G19" i="31" s="1"/>
  <c r="E20" i="31"/>
  <c r="G20" i="31" s="1"/>
  <c r="E21" i="31"/>
  <c r="G21" i="31" s="1"/>
  <c r="E22" i="31"/>
  <c r="G22" i="31" s="1"/>
  <c r="E23" i="31"/>
  <c r="G23" i="31" s="1"/>
  <c r="E24" i="31"/>
  <c r="G24" i="31" s="1"/>
  <c r="E25" i="31"/>
  <c r="G25" i="31" s="1"/>
  <c r="E26" i="31"/>
  <c r="G26" i="31" s="1"/>
  <c r="E27" i="31"/>
  <c r="G27" i="31" s="1"/>
  <c r="E28" i="31"/>
  <c r="G28" i="31" s="1"/>
  <c r="E29" i="31"/>
  <c r="G29" i="31" s="1"/>
  <c r="E30" i="31"/>
  <c r="G30" i="31" s="1"/>
  <c r="E31" i="31"/>
  <c r="G31" i="31" s="1"/>
  <c r="E32" i="31"/>
  <c r="G32" i="31" s="1"/>
  <c r="E33" i="31"/>
  <c r="G33" i="31" s="1"/>
  <c r="E34" i="31"/>
  <c r="G34" i="31" s="1"/>
  <c r="E35" i="31"/>
  <c r="G35" i="31" s="1"/>
  <c r="E36" i="31"/>
  <c r="G36" i="31" s="1"/>
  <c r="E37" i="31"/>
  <c r="G37" i="31" s="1"/>
  <c r="E38" i="31"/>
  <c r="G38" i="31" s="1"/>
  <c r="E39" i="31"/>
  <c r="G39" i="31" s="1"/>
  <c r="E40" i="31"/>
  <c r="G40" i="31" s="1"/>
  <c r="E41" i="31"/>
  <c r="G41" i="31" s="1"/>
  <c r="E42" i="31"/>
  <c r="G42" i="31" s="1"/>
  <c r="E43" i="31"/>
  <c r="G43" i="31" s="1"/>
  <c r="E44" i="31"/>
  <c r="G44" i="31" s="1"/>
  <c r="E45" i="31"/>
  <c r="G45" i="31" s="1"/>
  <c r="E46" i="31"/>
  <c r="G46" i="31" s="1"/>
  <c r="E47" i="31"/>
  <c r="G47" i="31" s="1"/>
  <c r="C48" i="31"/>
  <c r="G48" i="31" l="1"/>
  <c r="E48" i="31"/>
  <c r="F20" i="29" l="1"/>
  <c r="F37" i="29" l="1"/>
  <c r="F6" i="29"/>
  <c r="F7" i="29"/>
  <c r="F21" i="30" l="1"/>
  <c r="F42" i="30"/>
  <c r="F42" i="29"/>
  <c r="F4" i="29"/>
  <c r="F40" i="28"/>
  <c r="F38" i="29"/>
  <c r="F25" i="29"/>
  <c r="F46" i="29"/>
  <c r="F35" i="29"/>
  <c r="F9" i="29"/>
  <c r="F39" i="29"/>
  <c r="F47" i="29" l="1"/>
  <c r="F21" i="28" l="1"/>
  <c r="F8" i="29"/>
  <c r="F44" i="29" l="1"/>
  <c r="F37" i="28"/>
  <c r="F31" i="29"/>
  <c r="E4" i="30" l="1"/>
  <c r="G4" i="30"/>
  <c r="E5" i="30"/>
  <c r="G5" i="30" s="1"/>
  <c r="E6" i="30"/>
  <c r="G6" i="30" s="1"/>
  <c r="E7" i="30"/>
  <c r="G7" i="30" s="1"/>
  <c r="E8" i="30"/>
  <c r="F8" i="30" s="1"/>
  <c r="F48" i="30" s="1"/>
  <c r="E9" i="30"/>
  <c r="G9" i="30"/>
  <c r="E10" i="30"/>
  <c r="G10" i="30" s="1"/>
  <c r="E11" i="30"/>
  <c r="G11" i="30"/>
  <c r="E12" i="30"/>
  <c r="G12" i="30" s="1"/>
  <c r="E13" i="30"/>
  <c r="G13" i="30" s="1"/>
  <c r="E14" i="30"/>
  <c r="G14" i="30" s="1"/>
  <c r="E15" i="30"/>
  <c r="G15" i="30"/>
  <c r="E16" i="30"/>
  <c r="G16" i="30" s="1"/>
  <c r="E17" i="30"/>
  <c r="G17" i="30"/>
  <c r="E18" i="30"/>
  <c r="G18" i="30" s="1"/>
  <c r="E19" i="30"/>
  <c r="G19" i="30"/>
  <c r="E20" i="30"/>
  <c r="G20" i="30"/>
  <c r="E21" i="30"/>
  <c r="G21" i="30" s="1"/>
  <c r="E22" i="30"/>
  <c r="G22" i="30"/>
  <c r="E23" i="30"/>
  <c r="G23" i="30"/>
  <c r="E24" i="30"/>
  <c r="G24" i="30" s="1"/>
  <c r="E25" i="30"/>
  <c r="G25" i="30"/>
  <c r="E26" i="30"/>
  <c r="G26" i="30"/>
  <c r="E27" i="30"/>
  <c r="G27" i="30"/>
  <c r="E28" i="30"/>
  <c r="G28" i="30"/>
  <c r="E29" i="30"/>
  <c r="G29" i="30"/>
  <c r="E30" i="30"/>
  <c r="G30" i="30"/>
  <c r="E31" i="30"/>
  <c r="G31" i="30"/>
  <c r="E32" i="30"/>
  <c r="G32" i="30"/>
  <c r="E33" i="30"/>
  <c r="G33" i="30"/>
  <c r="E34" i="30"/>
  <c r="G34" i="30"/>
  <c r="E35" i="30"/>
  <c r="G35" i="30"/>
  <c r="E36" i="30"/>
  <c r="G36" i="30"/>
  <c r="E37" i="30"/>
  <c r="G37" i="30"/>
  <c r="E38" i="30"/>
  <c r="G38" i="30"/>
  <c r="E39" i="30"/>
  <c r="G39" i="30" s="1"/>
  <c r="E40" i="30"/>
  <c r="G40" i="30"/>
  <c r="E41" i="30"/>
  <c r="G41" i="30"/>
  <c r="E42" i="30"/>
  <c r="G42" i="30"/>
  <c r="E43" i="30"/>
  <c r="G43" i="30"/>
  <c r="E44" i="30"/>
  <c r="G44" i="30"/>
  <c r="E45" i="30"/>
  <c r="G45" i="30"/>
  <c r="E46" i="30"/>
  <c r="G46" i="30"/>
  <c r="E47" i="30"/>
  <c r="G47" i="30"/>
  <c r="C48" i="30"/>
  <c r="G8" i="30" l="1"/>
  <c r="G48" i="30" s="1"/>
  <c r="E48" i="30"/>
  <c r="F7" i="28" l="1"/>
  <c r="F18" i="28"/>
  <c r="F47" i="28"/>
  <c r="F35" i="28"/>
  <c r="F42" i="28"/>
  <c r="F31" i="28"/>
  <c r="F46" i="28"/>
  <c r="F16" i="28" l="1"/>
  <c r="F8" i="28" l="1"/>
  <c r="F9" i="28" l="1"/>
  <c r="F4" i="28" l="1"/>
  <c r="E4" i="29" l="1"/>
  <c r="E5" i="29"/>
  <c r="G5" i="29" s="1"/>
  <c r="E6" i="29"/>
  <c r="G6" i="29" s="1"/>
  <c r="E7" i="29"/>
  <c r="G7" i="29" s="1"/>
  <c r="E8" i="29"/>
  <c r="G8" i="29" s="1"/>
  <c r="E9" i="29"/>
  <c r="G9" i="29" s="1"/>
  <c r="E10" i="29"/>
  <c r="G10" i="29" s="1"/>
  <c r="E11" i="29"/>
  <c r="G11" i="29" s="1"/>
  <c r="E12" i="29"/>
  <c r="G12" i="29" s="1"/>
  <c r="E13" i="29"/>
  <c r="G13" i="29" s="1"/>
  <c r="E14" i="29"/>
  <c r="G14" i="29" s="1"/>
  <c r="E15" i="29"/>
  <c r="G15" i="29" s="1"/>
  <c r="E16" i="29"/>
  <c r="E17" i="29"/>
  <c r="G17" i="29" s="1"/>
  <c r="E18" i="29"/>
  <c r="G18" i="29" s="1"/>
  <c r="E19" i="29"/>
  <c r="G19" i="29" s="1"/>
  <c r="E20" i="29"/>
  <c r="G20" i="29" s="1"/>
  <c r="E21" i="29"/>
  <c r="E22" i="29"/>
  <c r="G22" i="29" s="1"/>
  <c r="E23" i="29"/>
  <c r="G23" i="29" s="1"/>
  <c r="E24" i="29"/>
  <c r="G24" i="29" s="1"/>
  <c r="E25" i="29"/>
  <c r="G25" i="29" s="1"/>
  <c r="E26" i="29"/>
  <c r="G26" i="29" s="1"/>
  <c r="E27" i="29"/>
  <c r="G27" i="29" s="1"/>
  <c r="E28" i="29"/>
  <c r="G28" i="29" s="1"/>
  <c r="E29" i="29"/>
  <c r="G29" i="29" s="1"/>
  <c r="E30" i="29"/>
  <c r="G30" i="29" s="1"/>
  <c r="E31" i="29"/>
  <c r="G31" i="29" s="1"/>
  <c r="E32" i="29"/>
  <c r="G32" i="29" s="1"/>
  <c r="E33" i="29"/>
  <c r="G33" i="29" s="1"/>
  <c r="E34" i="29"/>
  <c r="G34" i="29" s="1"/>
  <c r="E35" i="29"/>
  <c r="G35" i="29" s="1"/>
  <c r="E36" i="29"/>
  <c r="G36" i="29" s="1"/>
  <c r="E37" i="29"/>
  <c r="G37" i="29" s="1"/>
  <c r="E38" i="29"/>
  <c r="G38" i="29" s="1"/>
  <c r="E39" i="29"/>
  <c r="G39" i="29" s="1"/>
  <c r="E40" i="29"/>
  <c r="E41" i="29"/>
  <c r="G41" i="29" s="1"/>
  <c r="E42" i="29"/>
  <c r="G42" i="29" s="1"/>
  <c r="E43" i="29"/>
  <c r="G43" i="29" s="1"/>
  <c r="E44" i="29"/>
  <c r="G44" i="29" s="1"/>
  <c r="E45" i="29"/>
  <c r="G45" i="29" s="1"/>
  <c r="E46" i="29"/>
  <c r="G46" i="29" s="1"/>
  <c r="E47" i="29"/>
  <c r="G47" i="29" s="1"/>
  <c r="C48" i="29"/>
  <c r="F21" i="29" l="1"/>
  <c r="G21" i="29"/>
  <c r="F40" i="29"/>
  <c r="G40" i="29"/>
  <c r="F16" i="29"/>
  <c r="F48" i="29" s="1"/>
  <c r="G16" i="29"/>
  <c r="G4" i="29"/>
  <c r="E48" i="29"/>
  <c r="C48" i="28"/>
  <c r="E47" i="28"/>
  <c r="G47" i="28" s="1"/>
  <c r="E46" i="28"/>
  <c r="G46" i="28" s="1"/>
  <c r="E45" i="28"/>
  <c r="G45" i="28" s="1"/>
  <c r="E44" i="28"/>
  <c r="E43" i="28"/>
  <c r="G43" i="28" s="1"/>
  <c r="E42" i="28"/>
  <c r="G42" i="28" s="1"/>
  <c r="E41" i="28"/>
  <c r="G41" i="28" s="1"/>
  <c r="E40" i="28"/>
  <c r="G40" i="28" s="1"/>
  <c r="E39" i="28"/>
  <c r="F39" i="28" s="1"/>
  <c r="E38" i="28"/>
  <c r="F38" i="28" s="1"/>
  <c r="E37" i="28"/>
  <c r="G37" i="28" s="1"/>
  <c r="E36" i="28"/>
  <c r="G36" i="28" s="1"/>
  <c r="E35" i="28"/>
  <c r="G35" i="28" s="1"/>
  <c r="E34" i="28"/>
  <c r="G34" i="28" s="1"/>
  <c r="E33" i="28"/>
  <c r="G33" i="28" s="1"/>
  <c r="E32" i="28"/>
  <c r="G32" i="28" s="1"/>
  <c r="E31" i="28"/>
  <c r="G31" i="28" s="1"/>
  <c r="E30" i="28"/>
  <c r="G30" i="28" s="1"/>
  <c r="E29" i="28"/>
  <c r="G29" i="28" s="1"/>
  <c r="E28" i="28"/>
  <c r="F28" i="28" s="1"/>
  <c r="E27" i="28"/>
  <c r="G27" i="28" s="1"/>
  <c r="E26" i="28"/>
  <c r="G26" i="28" s="1"/>
  <c r="E25" i="28"/>
  <c r="F25" i="28" s="1"/>
  <c r="E24" i="28"/>
  <c r="G24" i="28" s="1"/>
  <c r="E23" i="28"/>
  <c r="G23" i="28" s="1"/>
  <c r="E22" i="28"/>
  <c r="G22" i="28" s="1"/>
  <c r="E21" i="28"/>
  <c r="G21" i="28" s="1"/>
  <c r="E20" i="28"/>
  <c r="F20" i="28" s="1"/>
  <c r="E19" i="28"/>
  <c r="G19" i="28" s="1"/>
  <c r="E18" i="28"/>
  <c r="G18" i="28" s="1"/>
  <c r="E17" i="28"/>
  <c r="G17" i="28" s="1"/>
  <c r="E16" i="28"/>
  <c r="G16" i="28" s="1"/>
  <c r="E15" i="28"/>
  <c r="G15" i="28" s="1"/>
  <c r="E14" i="28"/>
  <c r="G14" i="28" s="1"/>
  <c r="E13" i="28"/>
  <c r="G13" i="28" s="1"/>
  <c r="E12" i="28"/>
  <c r="G12" i="28" s="1"/>
  <c r="E11" i="28"/>
  <c r="G11" i="28" s="1"/>
  <c r="E10" i="28"/>
  <c r="G10" i="28" s="1"/>
  <c r="E9" i="28"/>
  <c r="G9" i="28" s="1"/>
  <c r="E8" i="28"/>
  <c r="G8" i="28" s="1"/>
  <c r="E7" i="28"/>
  <c r="G7" i="28" s="1"/>
  <c r="E6" i="28"/>
  <c r="F6" i="28" s="1"/>
  <c r="E5" i="28"/>
  <c r="G5" i="28" s="1"/>
  <c r="E4" i="28"/>
  <c r="G4" i="28" s="1"/>
  <c r="G48" i="29" l="1"/>
  <c r="F44" i="28"/>
  <c r="G44" i="28" s="1"/>
  <c r="G28" i="28"/>
  <c r="G25" i="28"/>
  <c r="F48" i="28"/>
  <c r="G39" i="28"/>
  <c r="G38" i="28"/>
  <c r="G6" i="28"/>
  <c r="G20" i="28"/>
  <c r="G48" i="28" s="1"/>
  <c r="E48" i="28"/>
  <c r="F22" i="1" l="1"/>
  <c r="H22" i="1"/>
  <c r="B14" i="1"/>
  <c r="H21" i="1" l="1"/>
  <c r="F21" i="1" l="1"/>
  <c r="B16" i="1"/>
  <c r="H19" i="1" l="1"/>
  <c r="H20" i="1"/>
  <c r="F20" i="1" l="1"/>
  <c r="F19" i="1" l="1"/>
  <c r="F24" i="1" s="1"/>
  <c r="D48" i="18" l="1"/>
  <c r="F47" i="18"/>
  <c r="F46" i="18"/>
  <c r="G46" i="18" s="1"/>
  <c r="F45" i="18"/>
  <c r="F44" i="18"/>
  <c r="F43" i="18"/>
  <c r="G43" i="18" s="1"/>
  <c r="F42" i="18"/>
  <c r="F41" i="18"/>
  <c r="G41" i="18" s="1"/>
  <c r="F40" i="18"/>
  <c r="F39" i="18"/>
  <c r="H38" i="18"/>
  <c r="F38" i="18"/>
  <c r="G38" i="18" s="1"/>
  <c r="F37" i="18"/>
  <c r="F36" i="18"/>
  <c r="F35" i="18"/>
  <c r="G35" i="18" s="1"/>
  <c r="F34" i="18"/>
  <c r="F33" i="18"/>
  <c r="G33" i="18" s="1"/>
  <c r="F32" i="18"/>
  <c r="F31" i="18"/>
  <c r="F30" i="18"/>
  <c r="G30" i="18" s="1"/>
  <c r="F29" i="18"/>
  <c r="F28" i="18"/>
  <c r="F27" i="18"/>
  <c r="F26" i="18"/>
  <c r="F25" i="18"/>
  <c r="G25" i="18" s="1"/>
  <c r="F24" i="18"/>
  <c r="F23" i="18"/>
  <c r="F22" i="18"/>
  <c r="G22" i="18" s="1"/>
  <c r="F21" i="18"/>
  <c r="F20" i="18"/>
  <c r="F19" i="18"/>
  <c r="F18" i="18"/>
  <c r="F17" i="18"/>
  <c r="F16" i="18"/>
  <c r="G16" i="18" s="1"/>
  <c r="F15" i="18"/>
  <c r="F14" i="18"/>
  <c r="F13" i="18"/>
  <c r="G13" i="18" s="1"/>
  <c r="F12" i="18"/>
  <c r="G12" i="18" s="1"/>
  <c r="F11" i="18"/>
  <c r="F10" i="18"/>
  <c r="F9" i="18"/>
  <c r="G9" i="18" s="1"/>
  <c r="F8" i="18"/>
  <c r="G8" i="18" s="1"/>
  <c r="F7" i="18"/>
  <c r="F6" i="18"/>
  <c r="F5" i="18"/>
  <c r="F4" i="18"/>
  <c r="G15" i="18" l="1"/>
  <c r="H15" i="18" s="1"/>
  <c r="G27" i="18"/>
  <c r="H27" i="18" s="1"/>
  <c r="H41" i="18"/>
  <c r="G26" i="18"/>
  <c r="H26" i="18" s="1"/>
  <c r="G40" i="18"/>
  <c r="H40" i="18" s="1"/>
  <c r="G17" i="18"/>
  <c r="H17" i="18" s="1"/>
  <c r="G7" i="18"/>
  <c r="H7" i="18" s="1"/>
  <c r="G44" i="18"/>
  <c r="H44" i="18" s="1"/>
  <c r="H25" i="18"/>
  <c r="H16" i="18"/>
  <c r="G42" i="18"/>
  <c r="H42" i="18" s="1"/>
  <c r="G20" i="18"/>
  <c r="H20" i="18" s="1"/>
  <c r="G45" i="18"/>
  <c r="H45" i="18" s="1"/>
  <c r="G14" i="18"/>
  <c r="H14" i="18" s="1"/>
  <c r="G28" i="18"/>
  <c r="H28" i="18" s="1"/>
  <c r="G19" i="18"/>
  <c r="H19" i="18" s="1"/>
  <c r="H8" i="18"/>
  <c r="G34" i="18"/>
  <c r="H34" i="18" s="1"/>
  <c r="H13" i="18"/>
  <c r="G39" i="18"/>
  <c r="H39" i="18" s="1"/>
  <c r="G29" i="18"/>
  <c r="H29" i="18" s="1"/>
  <c r="G18" i="18"/>
  <c r="H18" i="18" s="1"/>
  <c r="H43" i="18"/>
  <c r="G21" i="18"/>
  <c r="H21" i="18" s="1"/>
  <c r="H46" i="18"/>
  <c r="G37" i="18"/>
  <c r="H37" i="18" s="1"/>
  <c r="F48" i="18"/>
  <c r="G4" i="18"/>
  <c r="H5" i="18"/>
  <c r="G5" i="18"/>
  <c r="G6" i="18"/>
  <c r="H6" i="18" s="1"/>
  <c r="G31" i="18"/>
  <c r="H31" i="18" s="1"/>
  <c r="G32" i="18"/>
  <c r="H32" i="18" s="1"/>
  <c r="G10" i="18"/>
  <c r="H10" i="18" s="1"/>
  <c r="G23" i="18"/>
  <c r="H23" i="18" s="1"/>
  <c r="H35" i="18"/>
  <c r="G47" i="18"/>
  <c r="H47" i="18" s="1"/>
  <c r="H30" i="18"/>
  <c r="H33" i="18"/>
  <c r="G11" i="18"/>
  <c r="H11" i="18" s="1"/>
  <c r="H22" i="18"/>
  <c r="H12" i="18"/>
  <c r="G24" i="18"/>
  <c r="H24" i="18" s="1"/>
  <c r="G36" i="18"/>
  <c r="H36" i="18" s="1"/>
  <c r="H9" i="18"/>
  <c r="G48" i="18" l="1"/>
  <c r="H4" i="18"/>
  <c r="H48" i="18" s="1"/>
  <c r="G27" i="14"/>
  <c r="G5" i="7" l="1"/>
  <c r="G8" i="9"/>
  <c r="G6" i="9"/>
  <c r="G32" i="14" l="1"/>
  <c r="G4" i="7"/>
  <c r="G37" i="14" l="1"/>
  <c r="G45" i="14"/>
  <c r="G10" i="9"/>
  <c r="B14" i="3" l="1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D48" i="17"/>
  <c r="G32" i="17" l="1"/>
  <c r="H32" i="17"/>
  <c r="G16" i="17"/>
  <c r="H16" i="17"/>
  <c r="G33" i="17"/>
  <c r="H33" i="17" s="1"/>
  <c r="G47" i="17"/>
  <c r="H47" i="17"/>
  <c r="G46" i="17"/>
  <c r="H46" i="17"/>
  <c r="G29" i="17"/>
  <c r="H29" i="17"/>
  <c r="G28" i="17"/>
  <c r="H28" i="17"/>
  <c r="G27" i="17"/>
  <c r="H27" i="17" s="1"/>
  <c r="G10" i="17"/>
  <c r="H10" i="17"/>
  <c r="G39" i="17"/>
  <c r="H39" i="17"/>
  <c r="G17" i="17"/>
  <c r="H17" i="17"/>
  <c r="G31" i="17"/>
  <c r="H31" i="17"/>
  <c r="G14" i="17"/>
  <c r="H14" i="17"/>
  <c r="G12" i="17"/>
  <c r="H12" i="17" s="1"/>
  <c r="G26" i="17"/>
  <c r="H26" i="17"/>
  <c r="G41" i="17"/>
  <c r="H41" i="17"/>
  <c r="G8" i="17"/>
  <c r="H8" i="17"/>
  <c r="G5" i="17"/>
  <c r="H5" i="17"/>
  <c r="G15" i="17"/>
  <c r="H15" i="17"/>
  <c r="G13" i="17"/>
  <c r="H13" i="17"/>
  <c r="G11" i="17"/>
  <c r="H11" i="17"/>
  <c r="G9" i="17"/>
  <c r="H9" i="17"/>
  <c r="G40" i="17"/>
  <c r="H40" i="17"/>
  <c r="G7" i="17"/>
  <c r="H7" i="17"/>
  <c r="G22" i="17"/>
  <c r="H22" i="17"/>
  <c r="G37" i="17"/>
  <c r="H37" i="17"/>
  <c r="G36" i="17"/>
  <c r="H36" i="17"/>
  <c r="G20" i="17"/>
  <c r="H20" i="17"/>
  <c r="G4" i="17"/>
  <c r="H4" i="17"/>
  <c r="G30" i="17"/>
  <c r="H30" i="17" s="1"/>
  <c r="G45" i="17"/>
  <c r="H45" i="17"/>
  <c r="G44" i="17"/>
  <c r="H44" i="17"/>
  <c r="G43" i="17"/>
  <c r="H43" i="17"/>
  <c r="G42" i="17"/>
  <c r="H42" i="17"/>
  <c r="G25" i="17"/>
  <c r="H25" i="17"/>
  <c r="G24" i="17"/>
  <c r="H24" i="17"/>
  <c r="G23" i="17"/>
  <c r="H23" i="17"/>
  <c r="G38" i="17"/>
  <c r="H38" i="17"/>
  <c r="G6" i="17"/>
  <c r="H6" i="17"/>
  <c r="G21" i="17"/>
  <c r="B16" i="3" s="1"/>
  <c r="G35" i="17"/>
  <c r="H35" i="17"/>
  <c r="G19" i="17"/>
  <c r="H19" i="17"/>
  <c r="G34" i="17"/>
  <c r="H34" i="17" s="1"/>
  <c r="G18" i="17"/>
  <c r="H18" i="17"/>
  <c r="F48" i="17"/>
  <c r="G20" i="14"/>
  <c r="H21" i="17" l="1"/>
  <c r="H48" i="17" s="1"/>
  <c r="G48" i="17"/>
  <c r="G41" i="14"/>
  <c r="G30" i="14"/>
  <c r="G44" i="13" l="1"/>
  <c r="G20" i="15"/>
  <c r="G11" i="9" l="1"/>
  <c r="F4" i="16"/>
  <c r="F5" i="16"/>
  <c r="F6" i="16"/>
  <c r="F7" i="16"/>
  <c r="F8" i="16"/>
  <c r="F9" i="16"/>
  <c r="F10" i="16"/>
  <c r="G10" i="16" s="1"/>
  <c r="H10" i="16"/>
  <c r="F11" i="16"/>
  <c r="G11" i="16" s="1"/>
  <c r="H11" i="16" s="1"/>
  <c r="F12" i="16"/>
  <c r="F13" i="16"/>
  <c r="F14" i="16"/>
  <c r="G14" i="16" s="1"/>
  <c r="H14" i="16" s="1"/>
  <c r="F15" i="16"/>
  <c r="F16" i="16"/>
  <c r="F17" i="16"/>
  <c r="G17" i="16" s="1"/>
  <c r="H17" i="16"/>
  <c r="F18" i="16"/>
  <c r="G18" i="16" s="1"/>
  <c r="F19" i="16"/>
  <c r="G19" i="16" s="1"/>
  <c r="H19" i="16"/>
  <c r="F20" i="16"/>
  <c r="G20" i="16" s="1"/>
  <c r="H20" i="16"/>
  <c r="F21" i="16"/>
  <c r="F22" i="16"/>
  <c r="G22" i="16" s="1"/>
  <c r="H22" i="16"/>
  <c r="F23" i="16"/>
  <c r="F24" i="16"/>
  <c r="F25" i="16"/>
  <c r="F26" i="16"/>
  <c r="G26" i="16" s="1"/>
  <c r="F27" i="16"/>
  <c r="F28" i="16"/>
  <c r="F29" i="16"/>
  <c r="F30" i="16"/>
  <c r="F31" i="16"/>
  <c r="F32" i="16"/>
  <c r="F33" i="16"/>
  <c r="F34" i="16"/>
  <c r="G34" i="16" s="1"/>
  <c r="H34" i="16" s="1"/>
  <c r="F35" i="16"/>
  <c r="F36" i="16"/>
  <c r="F37" i="16"/>
  <c r="G37" i="16" s="1"/>
  <c r="H37" i="16" s="1"/>
  <c r="F38" i="16"/>
  <c r="G38" i="16" s="1"/>
  <c r="H38" i="16"/>
  <c r="F39" i="16"/>
  <c r="G39" i="16" s="1"/>
  <c r="F40" i="16"/>
  <c r="G40" i="16" s="1"/>
  <c r="H40" i="16"/>
  <c r="F41" i="16"/>
  <c r="F42" i="16"/>
  <c r="F43" i="16"/>
  <c r="G43" i="16" s="1"/>
  <c r="H43" i="16"/>
  <c r="F44" i="16"/>
  <c r="F45" i="16"/>
  <c r="F46" i="16"/>
  <c r="F47" i="16"/>
  <c r="D48" i="16"/>
  <c r="G21" i="16" l="1"/>
  <c r="H21" i="16" s="1"/>
  <c r="G36" i="16"/>
  <c r="H36" i="16" s="1"/>
  <c r="G35" i="16"/>
  <c r="H35" i="16" s="1"/>
  <c r="G9" i="16"/>
  <c r="G8" i="16"/>
  <c r="H8" i="16" s="1"/>
  <c r="G13" i="16"/>
  <c r="H13" i="16" s="1"/>
  <c r="G46" i="16"/>
  <c r="H46" i="16" s="1"/>
  <c r="G42" i="16"/>
  <c r="H42" i="16" s="1"/>
  <c r="G31" i="16"/>
  <c r="H31" i="16" s="1"/>
  <c r="G41" i="16"/>
  <c r="H41" i="16" s="1"/>
  <c r="G30" i="16"/>
  <c r="H30" i="16" s="1"/>
  <c r="H18" i="16"/>
  <c r="G7" i="16"/>
  <c r="H7" i="16" s="1"/>
  <c r="G44" i="16"/>
  <c r="H44" i="16" s="1"/>
  <c r="G29" i="16"/>
  <c r="H29" i="16" s="1"/>
  <c r="G6" i="16"/>
  <c r="H6" i="16" s="1"/>
  <c r="H47" i="16"/>
  <c r="G47" i="16"/>
  <c r="G33" i="16"/>
  <c r="H33" i="16" s="1"/>
  <c r="G32" i="16"/>
  <c r="H32" i="16" s="1"/>
  <c r="G28" i="16"/>
  <c r="H28" i="16" s="1"/>
  <c r="G5" i="16"/>
  <c r="H5" i="16" s="1"/>
  <c r="G15" i="16"/>
  <c r="H15" i="16" s="1"/>
  <c r="G24" i="16"/>
  <c r="H24" i="16" s="1"/>
  <c r="G12" i="16"/>
  <c r="H12" i="16" s="1"/>
  <c r="H45" i="16"/>
  <c r="G45" i="16"/>
  <c r="H39" i="16"/>
  <c r="G27" i="16"/>
  <c r="H27" i="16" s="1"/>
  <c r="G4" i="16"/>
  <c r="H4" i="16" s="1"/>
  <c r="G25" i="16"/>
  <c r="H25" i="16" s="1"/>
  <c r="G23" i="16"/>
  <c r="H23" i="16" s="1"/>
  <c r="H26" i="16"/>
  <c r="G16" i="16"/>
  <c r="H16" i="16" s="1"/>
  <c r="F48" i="16"/>
  <c r="H9" i="16"/>
  <c r="G48" i="16" l="1"/>
  <c r="H48" i="16"/>
  <c r="G18" i="15"/>
  <c r="G5" i="12"/>
  <c r="G12" i="14" l="1"/>
  <c r="G8" i="14" l="1"/>
  <c r="G16" i="14"/>
  <c r="G9" i="9"/>
  <c r="G13" i="9"/>
  <c r="G29" i="14"/>
  <c r="G38" i="14" l="1"/>
  <c r="G42" i="13"/>
  <c r="G8" i="13"/>
  <c r="G18" i="13"/>
  <c r="G20" i="13"/>
  <c r="G7" i="14"/>
  <c r="G39" i="13"/>
  <c r="D48" i="15" l="1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H20" i="15" s="1"/>
  <c r="F19" i="15"/>
  <c r="F18" i="15"/>
  <c r="H18" i="15" s="1"/>
  <c r="F17" i="15"/>
  <c r="F16" i="15"/>
  <c r="F15" i="15"/>
  <c r="F14" i="15"/>
  <c r="F13" i="15"/>
  <c r="F12" i="15"/>
  <c r="F11" i="15"/>
  <c r="F10" i="15"/>
  <c r="F9" i="15"/>
  <c r="G9" i="15" s="1"/>
  <c r="F8" i="15"/>
  <c r="F7" i="15"/>
  <c r="F6" i="15"/>
  <c r="F5" i="15"/>
  <c r="F4" i="15"/>
  <c r="G22" i="15" l="1"/>
  <c r="H22" i="15" s="1"/>
  <c r="H24" i="15"/>
  <c r="G24" i="15"/>
  <c r="G27" i="15"/>
  <c r="H27" i="15" s="1"/>
  <c r="G34" i="15"/>
  <c r="H34" i="15" s="1"/>
  <c r="G37" i="15"/>
  <c r="H37" i="15" s="1"/>
  <c r="G19" i="15"/>
  <c r="H19" i="15" s="1"/>
  <c r="G36" i="15"/>
  <c r="H36" i="15" s="1"/>
  <c r="G7" i="15"/>
  <c r="H7" i="15" s="1"/>
  <c r="G26" i="15"/>
  <c r="H26" i="15" s="1"/>
  <c r="H43" i="15"/>
  <c r="G43" i="15"/>
  <c r="G12" i="15"/>
  <c r="H12" i="15" s="1"/>
  <c r="G28" i="15"/>
  <c r="H28" i="15" s="1"/>
  <c r="G13" i="15"/>
  <c r="H13" i="15" s="1"/>
  <c r="G29" i="15"/>
  <c r="H29" i="15" s="1"/>
  <c r="G45" i="15"/>
  <c r="H45" i="15" s="1"/>
  <c r="G17" i="15"/>
  <c r="H17" i="15" s="1"/>
  <c r="G35" i="15"/>
  <c r="H35" i="15" s="1"/>
  <c r="H5" i="15"/>
  <c r="G5" i="15"/>
  <c r="G23" i="15"/>
  <c r="H23" i="15" s="1"/>
  <c r="G41" i="15"/>
  <c r="H41" i="15" s="1"/>
  <c r="G46" i="15"/>
  <c r="H46" i="15" s="1"/>
  <c r="H33" i="15"/>
  <c r="G33" i="15"/>
  <c r="H4" i="15"/>
  <c r="G4" i="15"/>
  <c r="G48" i="15" s="1"/>
  <c r="G21" i="15"/>
  <c r="H21" i="15" s="1"/>
  <c r="G39" i="15"/>
  <c r="H39" i="15" s="1"/>
  <c r="H40" i="15"/>
  <c r="G40" i="15"/>
  <c r="G42" i="15"/>
  <c r="H42" i="15" s="1"/>
  <c r="G31" i="15"/>
  <c r="H31" i="15" s="1"/>
  <c r="H47" i="15"/>
  <c r="G47" i="15"/>
  <c r="G6" i="15"/>
  <c r="H6" i="15" s="1"/>
  <c r="G38" i="15"/>
  <c r="H38" i="15" s="1"/>
  <c r="G8" i="15"/>
  <c r="H8" i="15" s="1"/>
  <c r="G25" i="15"/>
  <c r="H25" i="15" s="1"/>
  <c r="H10" i="15"/>
  <c r="G10" i="15"/>
  <c r="G11" i="15"/>
  <c r="H11" i="15" s="1"/>
  <c r="G14" i="15"/>
  <c r="H14" i="15" s="1"/>
  <c r="G30" i="15"/>
  <c r="H30" i="15" s="1"/>
  <c r="G15" i="15"/>
  <c r="H15" i="15" s="1"/>
  <c r="G16" i="15"/>
  <c r="H16" i="15" s="1"/>
  <c r="G32" i="15"/>
  <c r="H32" i="15" s="1"/>
  <c r="G44" i="15"/>
  <c r="H44" i="15" s="1"/>
  <c r="H9" i="15"/>
  <c r="F48" i="15"/>
  <c r="G7" i="9"/>
  <c r="G4" i="12"/>
  <c r="G30" i="13"/>
  <c r="H48" i="15" l="1"/>
  <c r="G4" i="9"/>
  <c r="G14" i="9" l="1"/>
  <c r="G12" i="9" l="1"/>
  <c r="G16" i="13" l="1"/>
  <c r="D47" i="14"/>
  <c r="F46" i="14"/>
  <c r="G46" i="14" s="1"/>
  <c r="F45" i="14"/>
  <c r="H45" i="14" s="1"/>
  <c r="F44" i="14"/>
  <c r="F43" i="14"/>
  <c r="F42" i="14"/>
  <c r="F41" i="14"/>
  <c r="H41" i="14" s="1"/>
  <c r="F40" i="14"/>
  <c r="F39" i="14"/>
  <c r="G39" i="14" s="1"/>
  <c r="F38" i="14"/>
  <c r="H38" i="14" s="1"/>
  <c r="F37" i="14"/>
  <c r="H37" i="14" s="1"/>
  <c r="F36" i="14"/>
  <c r="F35" i="14"/>
  <c r="F34" i="14"/>
  <c r="F33" i="14"/>
  <c r="F32" i="14"/>
  <c r="H32" i="14" s="1"/>
  <c r="F31" i="14"/>
  <c r="F30" i="14"/>
  <c r="H30" i="14" s="1"/>
  <c r="F29" i="14"/>
  <c r="H29" i="14" s="1"/>
  <c r="F28" i="14"/>
  <c r="F27" i="14"/>
  <c r="H27" i="14" s="1"/>
  <c r="F26" i="14"/>
  <c r="G26" i="14" s="1"/>
  <c r="F25" i="14"/>
  <c r="F24" i="14"/>
  <c r="H24" i="14" s="1"/>
  <c r="F23" i="14"/>
  <c r="F22" i="14"/>
  <c r="F21" i="14"/>
  <c r="F20" i="14"/>
  <c r="H20" i="14" s="1"/>
  <c r="F19" i="14"/>
  <c r="F18" i="14"/>
  <c r="G18" i="14" s="1"/>
  <c r="F17" i="14"/>
  <c r="F16" i="14"/>
  <c r="H16" i="14" s="1"/>
  <c r="F15" i="14"/>
  <c r="F14" i="14"/>
  <c r="F13" i="14"/>
  <c r="F12" i="14"/>
  <c r="H12" i="14" s="1"/>
  <c r="F11" i="14"/>
  <c r="F10" i="14"/>
  <c r="F9" i="14"/>
  <c r="G9" i="14" s="1"/>
  <c r="F8" i="14"/>
  <c r="H8" i="14" s="1"/>
  <c r="F7" i="14"/>
  <c r="H7" i="14" s="1"/>
  <c r="F6" i="14"/>
  <c r="F5" i="14"/>
  <c r="F4" i="14"/>
  <c r="G40" i="14" l="1"/>
  <c r="H40" i="14" s="1"/>
  <c r="G35" i="14"/>
  <c r="H35" i="14" s="1"/>
  <c r="G34" i="14"/>
  <c r="H34" i="14" s="1"/>
  <c r="G5" i="14"/>
  <c r="H5" i="14" s="1"/>
  <c r="H28" i="14"/>
  <c r="G28" i="14"/>
  <c r="G44" i="14"/>
  <c r="H44" i="14" s="1"/>
  <c r="G17" i="14"/>
  <c r="H17" i="14" s="1"/>
  <c r="G19" i="14"/>
  <c r="H19" i="14" s="1"/>
  <c r="G21" i="14"/>
  <c r="H21" i="14" s="1"/>
  <c r="G22" i="14"/>
  <c r="H22" i="14" s="1"/>
  <c r="G13" i="14"/>
  <c r="H13" i="14" s="1"/>
  <c r="G36" i="14"/>
  <c r="H36" i="14" s="1"/>
  <c r="G6" i="14"/>
  <c r="H6" i="14" s="1"/>
  <c r="G42" i="14"/>
  <c r="H42" i="14" s="1"/>
  <c r="G14" i="14"/>
  <c r="H14" i="14" s="1"/>
  <c r="G33" i="14"/>
  <c r="H33" i="14" s="1"/>
  <c r="G23" i="14"/>
  <c r="H23" i="14" s="1"/>
  <c r="G11" i="14"/>
  <c r="H11" i="14" s="1"/>
  <c r="G15" i="14"/>
  <c r="H15" i="14" s="1"/>
  <c r="G31" i="14"/>
  <c r="H31" i="14" s="1"/>
  <c r="G10" i="14"/>
  <c r="H10" i="14" s="1"/>
  <c r="G25" i="14"/>
  <c r="H25" i="14" s="1"/>
  <c r="G4" i="14"/>
  <c r="G48" i="14" s="1"/>
  <c r="G43" i="14"/>
  <c r="H43" i="14" s="1"/>
  <c r="G47" i="14"/>
  <c r="G49" i="14" s="1"/>
  <c r="H49" i="14" s="1"/>
  <c r="H26" i="14"/>
  <c r="H46" i="14"/>
  <c r="H18" i="14"/>
  <c r="H39" i="14"/>
  <c r="H9" i="14"/>
  <c r="F47" i="14"/>
  <c r="H4" i="14" l="1"/>
  <c r="H47" i="14"/>
  <c r="D47" i="13" l="1"/>
  <c r="F46" i="13"/>
  <c r="F45" i="13"/>
  <c r="F44" i="13"/>
  <c r="H44" i="13" s="1"/>
  <c r="F43" i="13"/>
  <c r="F42" i="13"/>
  <c r="H42" i="13" s="1"/>
  <c r="F41" i="13"/>
  <c r="G41" i="13" s="1"/>
  <c r="F40" i="13"/>
  <c r="F39" i="13"/>
  <c r="H39" i="13" s="1"/>
  <c r="F38" i="13"/>
  <c r="F37" i="13"/>
  <c r="F36" i="13"/>
  <c r="F35" i="13"/>
  <c r="G35" i="13" s="1"/>
  <c r="F34" i="13"/>
  <c r="F33" i="13"/>
  <c r="F32" i="13"/>
  <c r="F31" i="13"/>
  <c r="F30" i="13"/>
  <c r="H30" i="13" s="1"/>
  <c r="F29" i="13"/>
  <c r="F28" i="13"/>
  <c r="F27" i="13"/>
  <c r="F26" i="13"/>
  <c r="F25" i="13"/>
  <c r="H25" i="13" s="1"/>
  <c r="F24" i="13"/>
  <c r="F23" i="13"/>
  <c r="F22" i="13"/>
  <c r="F21" i="13"/>
  <c r="F20" i="13"/>
  <c r="H20" i="13" s="1"/>
  <c r="F19" i="13"/>
  <c r="F18" i="13"/>
  <c r="H18" i="13" s="1"/>
  <c r="F17" i="13"/>
  <c r="F16" i="13"/>
  <c r="H16" i="13" s="1"/>
  <c r="F15" i="13"/>
  <c r="F14" i="13"/>
  <c r="F13" i="13"/>
  <c r="F12" i="13"/>
  <c r="F11" i="13"/>
  <c r="F10" i="13"/>
  <c r="F9" i="13"/>
  <c r="F8" i="13"/>
  <c r="H8" i="13" s="1"/>
  <c r="F7" i="13"/>
  <c r="F6" i="13"/>
  <c r="F5" i="13"/>
  <c r="F4" i="13"/>
  <c r="G4" i="13" s="1"/>
  <c r="G43" i="13" l="1"/>
  <c r="H43" i="13" s="1"/>
  <c r="G22" i="13"/>
  <c r="H22" i="13" s="1"/>
  <c r="G21" i="13"/>
  <c r="H21" i="13" s="1"/>
  <c r="G7" i="13"/>
  <c r="H7" i="13" s="1"/>
  <c r="G24" i="13"/>
  <c r="H24" i="13" s="1"/>
  <c r="G40" i="13"/>
  <c r="H40" i="13" s="1"/>
  <c r="H41" i="13"/>
  <c r="G17" i="13"/>
  <c r="H17" i="13" s="1"/>
  <c r="G19" i="13"/>
  <c r="H19" i="13" s="1"/>
  <c r="G37" i="13"/>
  <c r="H37" i="13" s="1"/>
  <c r="G23" i="13"/>
  <c r="H23" i="13" s="1"/>
  <c r="G10" i="13"/>
  <c r="H10" i="13" s="1"/>
  <c r="G26" i="13"/>
  <c r="H26" i="13" s="1"/>
  <c r="G11" i="13"/>
  <c r="H11" i="13" s="1"/>
  <c r="G27" i="13"/>
  <c r="H27" i="13" s="1"/>
  <c r="G12" i="13"/>
  <c r="H12" i="13" s="1"/>
  <c r="G28" i="13"/>
  <c r="H28" i="13" s="1"/>
  <c r="G13" i="13"/>
  <c r="H13" i="13" s="1"/>
  <c r="G29" i="13"/>
  <c r="H29" i="13" s="1"/>
  <c r="G36" i="13"/>
  <c r="H36" i="13" s="1"/>
  <c r="G6" i="13"/>
  <c r="H6" i="13" s="1"/>
  <c r="G14" i="13"/>
  <c r="H14" i="13" s="1"/>
  <c r="G45" i="13"/>
  <c r="H45" i="13" s="1"/>
  <c r="G46" i="13"/>
  <c r="H46" i="13" s="1"/>
  <c r="G5" i="13"/>
  <c r="H5" i="13" s="1"/>
  <c r="G38" i="13"/>
  <c r="H38" i="13" s="1"/>
  <c r="G15" i="13"/>
  <c r="H15" i="13" s="1"/>
  <c r="G31" i="13"/>
  <c r="H31" i="13" s="1"/>
  <c r="G32" i="13"/>
  <c r="H32" i="13" s="1"/>
  <c r="G33" i="13"/>
  <c r="H33" i="13" s="1"/>
  <c r="G34" i="13"/>
  <c r="H34" i="13" s="1"/>
  <c r="F47" i="13"/>
  <c r="G9" i="13"/>
  <c r="H35" i="13"/>
  <c r="H4" i="13"/>
  <c r="H9" i="13" l="1"/>
  <c r="H47" i="13" s="1"/>
  <c r="G47" i="13"/>
  <c r="F9" i="12" l="1"/>
  <c r="F8" i="12"/>
  <c r="D6" i="12"/>
  <c r="F5" i="12"/>
  <c r="H5" i="12" s="1"/>
  <c r="F4" i="12"/>
  <c r="H4" i="12" s="1"/>
  <c r="F6" i="12" l="1"/>
  <c r="F10" i="12"/>
  <c r="F11" i="12" s="1"/>
  <c r="G6" i="12" l="1"/>
  <c r="H6" i="12"/>
  <c r="D15" i="9" l="1"/>
  <c r="F14" i="9"/>
  <c r="H14" i="9" s="1"/>
  <c r="F13" i="9"/>
  <c r="H13" i="9" s="1"/>
  <c r="F12" i="9"/>
  <c r="F11" i="9"/>
  <c r="H11" i="9" s="1"/>
  <c r="F10" i="9"/>
  <c r="H10" i="9" s="1"/>
  <c r="F9" i="9"/>
  <c r="H9" i="9" s="1"/>
  <c r="F8" i="9"/>
  <c r="H8" i="9" s="1"/>
  <c r="F7" i="9"/>
  <c r="H7" i="9" s="1"/>
  <c r="F6" i="9"/>
  <c r="H6" i="9" s="1"/>
  <c r="F5" i="9"/>
  <c r="F4" i="9"/>
  <c r="H4" i="9" s="1"/>
  <c r="G5" i="9" l="1"/>
  <c r="H5" i="9" s="1"/>
  <c r="H12" i="9"/>
  <c r="F19" i="9"/>
  <c r="F15" i="9"/>
  <c r="G15" i="9" l="1"/>
  <c r="D6" i="7"/>
  <c r="Y5" i="7"/>
  <c r="W5" i="7"/>
  <c r="U5" i="7"/>
  <c r="S5" i="7"/>
  <c r="Q5" i="7"/>
  <c r="F5" i="7"/>
  <c r="H5" i="7" s="1"/>
  <c r="Y4" i="7"/>
  <c r="W4" i="7"/>
  <c r="U4" i="7"/>
  <c r="S4" i="7"/>
  <c r="Q4" i="7"/>
  <c r="F4" i="7"/>
  <c r="H4" i="7" s="1"/>
  <c r="H15" i="9" l="1"/>
  <c r="F6" i="7"/>
  <c r="G6" i="7"/>
  <c r="H6" i="7" l="1"/>
  <c r="D20" i="3" l="1"/>
  <c r="D21" i="3"/>
  <c r="D22" i="3"/>
  <c r="D23" i="3"/>
  <c r="D24" i="3"/>
  <c r="D25" i="3"/>
  <c r="D19" i="3"/>
  <c r="E15" i="1" l="1"/>
  <c r="E25" i="1" l="1"/>
  <c r="E24" i="1"/>
  <c r="D15" i="3" l="1"/>
  <c r="E23" i="1"/>
  <c r="E19" i="1"/>
  <c r="E20" i="1"/>
  <c r="E21" i="1"/>
  <c r="E22" i="1"/>
  <c r="E26" i="1" l="1"/>
  <c r="F26" i="1" s="1"/>
</calcChain>
</file>

<file path=xl/sharedStrings.xml><?xml version="1.0" encoding="utf-8"?>
<sst xmlns="http://schemas.openxmlformats.org/spreadsheetml/2006/main" count="2088" uniqueCount="227">
  <si>
    <t>Milk Chilling Centre(Ghado) - Monthly Cow Milk Procurement Report 01-04-2024 TO30-04.2024</t>
  </si>
  <si>
    <t>SR. NO.</t>
  </si>
  <si>
    <t>Farmer Code</t>
  </si>
  <si>
    <t>Farmer Name</t>
  </si>
  <si>
    <t>Total Quantity Supplied(Lits)</t>
  </si>
  <si>
    <t>Cow Milk Price/Lit(OMR)</t>
  </si>
  <si>
    <t>Total  Value Milk (OMR)</t>
  </si>
  <si>
    <t>Paid</t>
  </si>
  <si>
    <t>Balance</t>
  </si>
  <si>
    <t>ID No:</t>
  </si>
  <si>
    <t>Account No</t>
  </si>
  <si>
    <t>Bank Name</t>
  </si>
  <si>
    <t>IFSC Code</t>
  </si>
  <si>
    <t>Phone No:</t>
  </si>
  <si>
    <t>Remark</t>
  </si>
  <si>
    <t>Ali Masoud Salem Baitsaid</t>
  </si>
  <si>
    <t>0397003875270017</t>
  </si>
  <si>
    <t>BANK MUSCAT</t>
  </si>
  <si>
    <t>BMUSOMRX</t>
  </si>
  <si>
    <t>12-08-2024-feeds</t>
  </si>
  <si>
    <t>Mohammed Ali Nassib Kikab Al Shahri</t>
  </si>
  <si>
    <t>0439003719840022</t>
  </si>
  <si>
    <t>13-08-24-feeds</t>
  </si>
  <si>
    <t xml:space="preserve"> </t>
  </si>
  <si>
    <t>Said Al Bahanata</t>
  </si>
  <si>
    <t>DGM</t>
  </si>
  <si>
    <t>Milk Chilling Centre(Ghado) - Monthly Cow Milk Procurement Report 01-05-2024 TO31-05.2024</t>
  </si>
  <si>
    <t>Muslim Ali Said Hat AlShehri</t>
  </si>
  <si>
    <t>16-09-2024</t>
  </si>
  <si>
    <t>Masoud Mahad Masoud Baitsaid</t>
  </si>
  <si>
    <t>Milk Chilling Centre(Ghado) - Monthly Cow Milk Procurement Report 01-06-2024 TO 30-06.2024</t>
  </si>
  <si>
    <t>ALI MUSTAHIL MUBARAK ASAT AL SHIHRI</t>
  </si>
  <si>
    <t>18-09-2024</t>
  </si>
  <si>
    <t>Hamid Mohammed Zidi Bait said</t>
  </si>
  <si>
    <t xml:space="preserve">4.675 DCF </t>
  </si>
  <si>
    <t>Ahmed Said Mohammed Alash AlKathiri</t>
  </si>
  <si>
    <t>Ahmed Suhail Ahmed Alash AlKathiri</t>
  </si>
  <si>
    <t>23-09-2024</t>
  </si>
  <si>
    <t>Muslim Suhail Salem Baitsaid</t>
  </si>
  <si>
    <t>Ahmed Salem Ali Kikab AlShehri</t>
  </si>
  <si>
    <t>Said Muhaisin Nassib Kikab AlShehri</t>
  </si>
  <si>
    <t>30-09-2024</t>
  </si>
  <si>
    <t>Salem Ali Said Kikab AlShehri</t>
  </si>
  <si>
    <t>Abdellah Masoud Said Al Shihri</t>
  </si>
  <si>
    <t>Said Ahmed Said kikab Al shahri</t>
  </si>
  <si>
    <t>Said Ali Ahmed Amor Jid</t>
  </si>
  <si>
    <t>Milk Chilling Centre(Ghado) - Monthly Cow Milk Procurement Report 01-07-2024 TO 31-07.2024</t>
  </si>
  <si>
    <t>Ahmed Ajham Omar Aghrib AlShehri</t>
  </si>
  <si>
    <t>Salem Ahmed Said Majdah AlKathiri</t>
  </si>
  <si>
    <t>Ali Muhaisin Mohammed Humdi Al Saiari</t>
  </si>
  <si>
    <t>DCF FEED</t>
  </si>
  <si>
    <t>Hassan said jman alhalai</t>
  </si>
  <si>
    <t>Mohammed Rajab Ali Al Mashikhi</t>
  </si>
  <si>
    <t>Muslim Ahmed Muslim AlKathiri</t>
  </si>
  <si>
    <t>Masoud Salim Said Baitsaid</t>
  </si>
  <si>
    <t>Salem Ali Masoud Baitsaid</t>
  </si>
  <si>
    <t>Amer Bakhit Sohil Baitsaid</t>
  </si>
  <si>
    <t>Said Ahmed Ali Baitsaid</t>
  </si>
  <si>
    <t>Mahad Suhail Mahad Baitsaid</t>
  </si>
  <si>
    <t>Mohammed Ali Said Al Nubi Al Kathiri</t>
  </si>
  <si>
    <t>Salim Said Ali Bait said</t>
  </si>
  <si>
    <t>Ahmed Salem Zayed Baitsaid</t>
  </si>
  <si>
    <t>Salem Amer Said Baitsaid</t>
  </si>
  <si>
    <t>Paid 16-10-2024</t>
  </si>
  <si>
    <t xml:space="preserve">Ahmed Zaidi Mahroos Baitsaid </t>
  </si>
  <si>
    <t>Said Salem Said Asout AlShehri</t>
  </si>
  <si>
    <t>BT 10-12-2024</t>
  </si>
  <si>
    <t>Suhail Ali Said AlKathiri</t>
  </si>
  <si>
    <t>Omar Bakhit Ahmed Al Hilali</t>
  </si>
  <si>
    <t>Ali Said Zaidi Baitsaid</t>
  </si>
  <si>
    <t>Salim Ahmed Tamman Baitsaid</t>
  </si>
  <si>
    <t>Muslim Mohammed Hassan Alash AlKathiri</t>
  </si>
  <si>
    <t>Ali Masoud Awad Kikab AlShehri</t>
  </si>
  <si>
    <t>Ahmed Abdullah Ali Al Kathiri</t>
  </si>
  <si>
    <t>2-012-24</t>
  </si>
  <si>
    <t>Musallam Salim Ahmed Har Al Kathiri</t>
  </si>
  <si>
    <t>Said Mohamed Said Muslem Al Kathiri</t>
  </si>
  <si>
    <t>SAID MOHAMMED SAID AL HILALI</t>
  </si>
  <si>
    <t>updated on 06-04-2024</t>
  </si>
  <si>
    <t>SALIM ALI AHMED SHDAR ALKATHIRI</t>
  </si>
  <si>
    <t>Bank Transfer-04-11-24</t>
  </si>
  <si>
    <t>Milk Chilling Centre(Ghado) - Monthly Cow Milk Procurement Report 01-08-2024 TO 31-08.2024</t>
  </si>
  <si>
    <t>Transfer9-1-25</t>
  </si>
  <si>
    <t>cancelled PR-358</t>
  </si>
  <si>
    <t>Transfer 8-1-2025</t>
  </si>
  <si>
    <t>27-01-25-dcf</t>
  </si>
  <si>
    <t>SALIM ALI MAHTOUQ AL SHIHRI</t>
  </si>
  <si>
    <t>Milk Chilling Centre(Ghado) - Monthly Cow Milk Procurement Report 01-09-2024 TO 30-09.2024</t>
  </si>
  <si>
    <t>1006237426001</t>
  </si>
  <si>
    <t>NBO</t>
  </si>
  <si>
    <t>NBOMOMRX</t>
  </si>
  <si>
    <t>0406003267180024</t>
  </si>
  <si>
    <t>0397003789920017</t>
  </si>
  <si>
    <t>01010120857001</t>
  </si>
  <si>
    <t>BANK DHOFAR</t>
  </si>
  <si>
    <t>BDOFOMRU</t>
  </si>
  <si>
    <t>01010281105001</t>
  </si>
  <si>
    <t>250097615001</t>
  </si>
  <si>
    <t>HSBC</t>
  </si>
  <si>
    <t>BBMEOMRX</t>
  </si>
  <si>
    <t>DCF feed</t>
  </si>
  <si>
    <t>0401003274570034</t>
  </si>
  <si>
    <t>01011435284001</t>
  </si>
  <si>
    <t>01010853216001</t>
  </si>
  <si>
    <t>0397003857450019</t>
  </si>
  <si>
    <t>0406003431390019</t>
  </si>
  <si>
    <t>01010407288003</t>
  </si>
  <si>
    <t>0401026589890018</t>
  </si>
  <si>
    <t>01011207102001</t>
  </si>
  <si>
    <t>0204003564210038</t>
  </si>
  <si>
    <t>Bank Muscat</t>
  </si>
  <si>
    <t>0439003370920023</t>
  </si>
  <si>
    <t>0406003373420026</t>
  </si>
  <si>
    <t>01013045567001</t>
  </si>
  <si>
    <t>3109378368700</t>
  </si>
  <si>
    <t>OAB</t>
  </si>
  <si>
    <t>OMABOMRU</t>
  </si>
  <si>
    <t>0406003474800016</t>
  </si>
  <si>
    <t>0396003246310013</t>
  </si>
  <si>
    <t>01010940683001</t>
  </si>
  <si>
    <t>0406003153460019</t>
  </si>
  <si>
    <t>01010123044001</t>
  </si>
  <si>
    <t>0406015165020012</t>
  </si>
  <si>
    <t>1023260068017</t>
  </si>
  <si>
    <t>01040280343001</t>
  </si>
  <si>
    <t>0397003883150015</t>
  </si>
  <si>
    <t>0500067548104002</t>
  </si>
  <si>
    <t>alizz Islamic Bank</t>
  </si>
  <si>
    <t>IZZBOMRU</t>
  </si>
  <si>
    <t>01041074963001</t>
  </si>
  <si>
    <t>0439061391880013</t>
  </si>
  <si>
    <t>10600349647017</t>
  </si>
  <si>
    <t>0397021600910017</t>
  </si>
  <si>
    <t>01010850137001</t>
  </si>
  <si>
    <t>0406018263680011</t>
  </si>
  <si>
    <t>01011030152001</t>
  </si>
  <si>
    <t>0406051045320019</t>
  </si>
  <si>
    <t>0426061663830011</t>
  </si>
  <si>
    <t>0406003301170017</t>
  </si>
  <si>
    <t>0439015807570025</t>
  </si>
  <si>
    <t>Milk Chilling Centre(Ghado) - Monthly Cow Milk Procurement Report 01-10-2024 TO 31-10.2024</t>
  </si>
  <si>
    <t xml:space="preserve">    </t>
  </si>
  <si>
    <t>01011109062001</t>
  </si>
  <si>
    <t>0397050056020018</t>
  </si>
  <si>
    <t>Milk Chilling Centre(Ghado) - Monthly Cow Milk Procurement Report 01-11-2024 TO 30-11-2024</t>
  </si>
  <si>
    <t>dcf-28-01-25</t>
  </si>
  <si>
    <t>AL MOROOJ DAIRY CO SAOC</t>
  </si>
  <si>
    <t>CR NO:1249988</t>
  </si>
  <si>
    <t>P.O BOX: 1385,PC-211</t>
  </si>
  <si>
    <t>VAT:OM1100091687</t>
  </si>
  <si>
    <t>SALALAH, SULTANATE OF OMAN</t>
  </si>
  <si>
    <t>PURCHASE REQUEST</t>
  </si>
  <si>
    <t>PR Ref:</t>
  </si>
  <si>
    <t>PR Date:</t>
  </si>
  <si>
    <t>Farmer ID</t>
  </si>
  <si>
    <t>أسم المنتج  / Product</t>
  </si>
  <si>
    <t>الوزن بالكيلوا / Weight</t>
  </si>
  <si>
    <t>السعر / Price</t>
  </si>
  <si>
    <t>الكمية / Quantity</t>
  </si>
  <si>
    <t>إجمالي المبلغ / Total</t>
  </si>
  <si>
    <t>مراعي ظفار 
Marai Dhofar</t>
  </si>
  <si>
    <t>.</t>
  </si>
  <si>
    <t xml:space="preserve">العلف الكامل
Whole Feed </t>
  </si>
  <si>
    <t>التسمين السريع
 Rapid Growth</t>
  </si>
  <si>
    <t>Totall</t>
  </si>
  <si>
    <t>التسمين السريع
Rapid Growth</t>
  </si>
  <si>
    <t>-</t>
  </si>
  <si>
    <t>نخالة القمح
Wheat Bran</t>
  </si>
  <si>
    <t xml:space="preserve">علف ادرار الحليب
Milk-producing Feed </t>
  </si>
  <si>
    <t>Month</t>
  </si>
  <si>
    <t>الإجمالي / Total</t>
  </si>
  <si>
    <t>شركة المروج للألبان</t>
  </si>
  <si>
    <t>Al Morooj Dairy Co</t>
  </si>
  <si>
    <t>email id: feeds@almoroojdairy.om</t>
  </si>
  <si>
    <t>Tel: +96 23202611,23294248</t>
  </si>
  <si>
    <t>PR Date</t>
  </si>
  <si>
    <t>SL</t>
  </si>
  <si>
    <t xml:space="preserve">Remark: </t>
  </si>
  <si>
    <t>ملاحظة:</t>
  </si>
  <si>
    <t>1.The customer are agreed to transfer the full feeds as per the purchase request signed</t>
  </si>
  <si>
    <t>1- أنا العميل الموقع أدناه موافق على شحن الكمية الموضحة في طلب الشراء بالكامل</t>
  </si>
  <si>
    <t>2.All the farmer should bring the ID copy. Without ID proof, feeds will not issue</t>
  </si>
  <si>
    <t>2- على جميع المربين احضار نسخة من البطاقة الشخصية , بدون البطاقة الشخصية لن يتم صرف الاعلاف</t>
  </si>
  <si>
    <t>توقيع العميل</t>
  </si>
  <si>
    <t>Customer Signature</t>
  </si>
  <si>
    <t xml:space="preserve">أسعار الاعلاف </t>
  </si>
  <si>
    <t xml:space="preserve">أسم المنتج </t>
  </si>
  <si>
    <t>الوزن بالكيلوا</t>
  </si>
  <si>
    <t xml:space="preserve">القيمه بالريال العماني </t>
  </si>
  <si>
    <t xml:space="preserve">تخفيض </t>
  </si>
  <si>
    <t>السعر بعد التخفيض</t>
  </si>
  <si>
    <t xml:space="preserve">مراعي ظفار </t>
  </si>
  <si>
    <t xml:space="preserve">العلف الكامل </t>
  </si>
  <si>
    <t>التسمين السريع</t>
  </si>
  <si>
    <t>علف ادرار الحليب</t>
  </si>
  <si>
    <t>11-2-256</t>
  </si>
  <si>
    <t>13-2-25</t>
  </si>
  <si>
    <t>Milk Chilling Centre(Ghado) - Monthly Cow Milk Procurement Report 01-12-2024 TO 31-12-2024</t>
  </si>
  <si>
    <t>18-2-25</t>
  </si>
  <si>
    <t>18-12-25</t>
  </si>
  <si>
    <t>1139.75 deduct form 01-25</t>
  </si>
  <si>
    <t>402-dfi</t>
  </si>
  <si>
    <t>20-2-25</t>
  </si>
  <si>
    <t>.250 will deduct from jan 25</t>
  </si>
  <si>
    <t>25-2-25</t>
  </si>
  <si>
    <t>0406022111070053</t>
  </si>
  <si>
    <t>Said Ali Said kikab Al shahri</t>
  </si>
  <si>
    <t>updated</t>
  </si>
  <si>
    <t>Milk Chilling Centre(Ghado) - Monthly Cow Milk Procurement Report 01-08-2025 TO 31-08-2025</t>
  </si>
  <si>
    <t>14-10-25</t>
  </si>
  <si>
    <t>19-10-2025</t>
  </si>
  <si>
    <t>20-10-2025</t>
  </si>
  <si>
    <t>22-10-25</t>
  </si>
  <si>
    <t>22-10-2025</t>
  </si>
  <si>
    <t>27-10-25</t>
  </si>
  <si>
    <t>BT 28-10-2025</t>
  </si>
  <si>
    <t>30-10-2025</t>
  </si>
  <si>
    <t>17-11-25</t>
  </si>
  <si>
    <t>Milk Chilling Centre(Ghado) - Monthly Cow Milk Procurement Report 01-10-2025 TO 31-10-2025</t>
  </si>
  <si>
    <t>20-11-25</t>
  </si>
  <si>
    <t>BT-11-12-2025</t>
  </si>
  <si>
    <t>16-12-25</t>
  </si>
  <si>
    <t>23-12-25</t>
  </si>
  <si>
    <t>Milk Chilling Centre(Ghado) - Monthly Cow Milk Procurement Report 01-11-2025 TO 30-11-2025</t>
  </si>
  <si>
    <t>24-12-25</t>
  </si>
  <si>
    <t>31-12-25</t>
  </si>
  <si>
    <t>Milk Chilling Centre(Ghado) - Monthly Cow Milk Procurement Report 01-12-2025 TO 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</si>
</sst>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dd\-mm\-yyyy;@"/>
    <numFmt numFmtId="166" formatCode="_(* #,##0.000_);_(* \(#,##0.000\);_(* &quot;-&quot;??_);_(@_)"/>
    <numFmt numFmtId="167" formatCode="_ * #,##0.0_ ;_ * \-#,##0.0_ ;_ * &quot;-&quot;??_ ;_ @_ "/>
    <numFmt numFmtId="168" formatCode="#,##0.000"/>
    <numFmt numFmtId="169" formatCode="[$-409]d\-mmm\-yy;@"/>
  </numFmts>
  <fonts count="3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rgb="FFFF0000"/>
      <name val="Aptos Narrow"/>
      <family val="2"/>
      <scheme val="minor"/>
    </font>
    <font>
      <b/>
      <sz val="18"/>
      <color rgb="FF0070C0"/>
      <name val="Times New Roman"/>
      <family val="1"/>
    </font>
    <font>
      <b/>
      <sz val="12"/>
      <name val="Aptos Narrow"/>
      <family val="2"/>
      <scheme val="minor"/>
    </font>
    <font>
      <b/>
      <u val="doubleAccounting"/>
      <sz val="14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rgb="FFFFFF00"/>
      <name val="Aptos Narrow"/>
      <family val="2"/>
      <scheme val="minor"/>
    </font>
    <font>
      <b/>
      <sz val="18"/>
      <color rgb="FFFFFF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8"/>
      <color theme="1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92D050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theme="8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rgb="FF00B0F0"/>
      </bottom>
      <diagonal/>
    </border>
    <border>
      <left/>
      <right/>
      <top style="thin">
        <color auto="1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B0F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64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4" fillId="5" borderId="1" xfId="0" applyFont="1" applyFill="1" applyBorder="1" applyAlignment="1">
      <alignment horizontal="left" wrapText="1"/>
    </xf>
    <xf numFmtId="166" fontId="1" fillId="2" borderId="1" xfId="1" applyNumberFormat="1" applyFont="1" applyFill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5" xfId="0" applyFont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0" fillId="0" borderId="5" xfId="0" applyBorder="1"/>
    <xf numFmtId="0" fontId="8" fillId="0" borderId="0" xfId="0" applyFont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0" fontId="4" fillId="5" borderId="0" xfId="0" applyFont="1" applyFill="1"/>
    <xf numFmtId="0" fontId="0" fillId="0" borderId="0" xfId="0" applyAlignment="1">
      <alignment horizontal="center"/>
    </xf>
    <xf numFmtId="0" fontId="4" fillId="5" borderId="0" xfId="0" applyFont="1" applyFill="1" applyAlignment="1">
      <alignment horizontal="left"/>
    </xf>
    <xf numFmtId="0" fontId="8" fillId="0" borderId="1" xfId="0" applyFont="1" applyBorder="1" applyAlignment="1">
      <alignment horizontal="center"/>
    </xf>
    <xf numFmtId="0" fontId="1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164" fontId="14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167" fontId="6" fillId="6" borderId="1" xfId="1" applyNumberFormat="1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horizontal="center"/>
    </xf>
    <xf numFmtId="168" fontId="6" fillId="6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1" fontId="6" fillId="5" borderId="1" xfId="0" quotePrefix="1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left"/>
    </xf>
    <xf numFmtId="0" fontId="7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67" fontId="6" fillId="3" borderId="1" xfId="1" applyNumberFormat="1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7" fontId="6" fillId="6" borderId="1" xfId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5" borderId="0" xfId="0" applyFont="1" applyFill="1"/>
    <xf numFmtId="4" fontId="6" fillId="3" borderId="1" xfId="1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/>
    </xf>
    <xf numFmtId="4" fontId="6" fillId="6" borderId="1" xfId="1" applyNumberFormat="1" applyFont="1" applyFill="1" applyBorder="1" applyAlignment="1">
      <alignment horizontal="right" vertical="center"/>
    </xf>
    <xf numFmtId="1" fontId="6" fillId="5" borderId="2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7" fillId="6" borderId="11" xfId="0" applyFont="1" applyFill="1" applyBorder="1"/>
    <xf numFmtId="0" fontId="7" fillId="6" borderId="12" xfId="0" applyFont="1" applyFill="1" applyBorder="1"/>
    <xf numFmtId="167" fontId="6" fillId="6" borderId="12" xfId="1" applyNumberFormat="1" applyFont="1" applyFill="1" applyBorder="1" applyAlignment="1">
      <alignment horizontal="center" vertical="center"/>
    </xf>
    <xf numFmtId="43" fontId="7" fillId="6" borderId="12" xfId="1" applyFont="1" applyFill="1" applyBorder="1" applyAlignment="1"/>
    <xf numFmtId="1" fontId="7" fillId="6" borderId="12" xfId="0" applyNumberFormat="1" applyFont="1" applyFill="1" applyBorder="1"/>
    <xf numFmtId="0" fontId="7" fillId="6" borderId="12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7" fontId="7" fillId="0" borderId="0" xfId="1" applyNumberFormat="1" applyFont="1" applyAlignment="1">
      <alignment horizontal="center"/>
    </xf>
    <xf numFmtId="1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43" fontId="7" fillId="6" borderId="1" xfId="1" applyFont="1" applyFill="1" applyBorder="1" applyAlignment="1"/>
    <xf numFmtId="167" fontId="6" fillId="6" borderId="1" xfId="1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1" fontId="16" fillId="5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164" fontId="24" fillId="5" borderId="0" xfId="0" applyNumberFormat="1" applyFont="1" applyFill="1" applyAlignment="1">
      <alignment horizontal="center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1" fillId="5" borderId="1" xfId="0" applyFont="1" applyFill="1" applyBorder="1" applyAlignment="1">
      <alignment horizontal="center"/>
    </xf>
    <xf numFmtId="167" fontId="6" fillId="5" borderId="1" xfId="1" applyNumberFormat="1" applyFont="1" applyFill="1" applyBorder="1" applyAlignment="1">
      <alignment horizontal="left" vertical="center"/>
    </xf>
    <xf numFmtId="168" fontId="6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6" fillId="0" borderId="0" xfId="0" applyFont="1"/>
    <xf numFmtId="0" fontId="6" fillId="3" borderId="1" xfId="0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left"/>
    </xf>
    <xf numFmtId="167" fontId="6" fillId="9" borderId="1" xfId="1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center"/>
    </xf>
    <xf numFmtId="168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14" fontId="6" fillId="9" borderId="1" xfId="0" applyNumberFormat="1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left" vertical="center"/>
    </xf>
    <xf numFmtId="167" fontId="6" fillId="10" borderId="1" xfId="1" applyNumberFormat="1" applyFont="1" applyFill="1" applyBorder="1" applyAlignment="1">
      <alignment horizontal="left" vertical="center"/>
    </xf>
    <xf numFmtId="164" fontId="6" fillId="10" borderId="1" xfId="0" applyNumberFormat="1" applyFont="1" applyFill="1" applyBorder="1" applyAlignment="1">
      <alignment horizontal="center"/>
    </xf>
    <xf numFmtId="168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/>
    </xf>
    <xf numFmtId="14" fontId="6" fillId="8" borderId="1" xfId="0" applyNumberFormat="1" applyFont="1" applyFill="1" applyBorder="1" applyAlignment="1">
      <alignment horizontal="center"/>
    </xf>
    <xf numFmtId="14" fontId="7" fillId="6" borderId="1" xfId="0" applyNumberFormat="1" applyFont="1" applyFill="1" applyBorder="1" applyAlignment="1">
      <alignment horizontal="center"/>
    </xf>
    <xf numFmtId="14" fontId="7" fillId="0" borderId="0" xfId="0" applyNumberFormat="1" applyFont="1" applyAlignment="1">
      <alignment horizontal="right"/>
    </xf>
    <xf numFmtId="14" fontId="7" fillId="0" borderId="0" xfId="0" applyNumberFormat="1" applyFont="1"/>
    <xf numFmtId="1" fontId="6" fillId="3" borderId="1" xfId="0" applyNumberFormat="1" applyFont="1" applyFill="1" applyBorder="1" applyAlignment="1">
      <alignment horizontal="left" vertical="center"/>
    </xf>
    <xf numFmtId="167" fontId="6" fillId="3" borderId="1" xfId="1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left" vertical="center"/>
    </xf>
    <xf numFmtId="4" fontId="6" fillId="11" borderId="1" xfId="1" applyNumberFormat="1" applyFont="1" applyFill="1" applyBorder="1" applyAlignment="1">
      <alignment horizontal="right" vertical="center"/>
    </xf>
    <xf numFmtId="164" fontId="6" fillId="11" borderId="1" xfId="0" applyNumberFormat="1" applyFont="1" applyFill="1" applyBorder="1" applyAlignment="1">
      <alignment horizontal="center"/>
    </xf>
    <xf numFmtId="168" fontId="6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0" xfId="0" applyFont="1" applyFill="1"/>
    <xf numFmtId="14" fontId="6" fillId="11" borderId="1" xfId="0" applyNumberFormat="1" applyFont="1" applyFill="1" applyBorder="1" applyAlignment="1">
      <alignment horizontal="center" vertical="center" wrapText="1"/>
    </xf>
    <xf numFmtId="168" fontId="6" fillId="12" borderId="1" xfId="0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left"/>
    </xf>
    <xf numFmtId="167" fontId="6" fillId="11" borderId="1" xfId="1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/>
    </xf>
    <xf numFmtId="14" fontId="6" fillId="11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left"/>
    </xf>
    <xf numFmtId="14" fontId="7" fillId="5" borderId="0" xfId="0" applyNumberFormat="1" applyFont="1" applyFill="1"/>
    <xf numFmtId="168" fontId="7" fillId="0" borderId="0" xfId="0" applyNumberFormat="1" applyFont="1"/>
    <xf numFmtId="0" fontId="7" fillId="3" borderId="0" xfId="0" applyFont="1" applyFill="1"/>
    <xf numFmtId="1" fontId="6" fillId="0" borderId="1" xfId="0" quotePrefix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" fontId="6" fillId="5" borderId="1" xfId="1" quotePrefix="1" applyNumberFormat="1" applyFont="1" applyFill="1" applyBorder="1" applyAlignment="1">
      <alignment horizontal="left"/>
    </xf>
    <xf numFmtId="0" fontId="27" fillId="5" borderId="1" xfId="2" quotePrefix="1" applyFont="1" applyFill="1" applyBorder="1" applyAlignment="1">
      <alignment horizontal="left"/>
    </xf>
    <xf numFmtId="0" fontId="27" fillId="5" borderId="1" xfId="2" applyFont="1" applyFill="1" applyBorder="1" applyAlignment="1">
      <alignment horizontal="left"/>
    </xf>
    <xf numFmtId="1" fontId="6" fillId="5" borderId="1" xfId="0" quotePrefix="1" applyNumberFormat="1" applyFont="1" applyFill="1" applyBorder="1" applyAlignment="1">
      <alignment horizontal="left" vertical="center"/>
    </xf>
    <xf numFmtId="0" fontId="6" fillId="7" borderId="1" xfId="0" applyFont="1" applyFill="1" applyBorder="1"/>
    <xf numFmtId="0" fontId="28" fillId="5" borderId="1" xfId="2" quotePrefix="1" applyFont="1" applyFill="1" applyBorder="1" applyAlignment="1">
      <alignment horizontal="left"/>
    </xf>
    <xf numFmtId="1" fontId="7" fillId="6" borderId="1" xfId="0" applyNumberFormat="1" applyFont="1" applyFill="1" applyBorder="1"/>
    <xf numFmtId="0" fontId="7" fillId="6" borderId="1" xfId="0" applyFont="1" applyFill="1" applyBorder="1" applyAlignment="1">
      <alignment horizontal="left"/>
    </xf>
    <xf numFmtId="0" fontId="23" fillId="0" borderId="0" xfId="0" applyFont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" fontId="6" fillId="3" borderId="1" xfId="0" quotePrefix="1" applyNumberFormat="1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6" fillId="13" borderId="1" xfId="0" applyFont="1" applyFill="1" applyBorder="1"/>
    <xf numFmtId="1" fontId="6" fillId="3" borderId="1" xfId="0" applyNumberFormat="1" applyFont="1" applyFill="1" applyBorder="1" applyAlignment="1">
      <alignment horizontal="center"/>
    </xf>
    <xf numFmtId="1" fontId="6" fillId="10" borderId="1" xfId="0" quotePrefix="1" applyNumberFormat="1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0" fontId="6" fillId="3" borderId="1" xfId="0" applyFont="1" applyFill="1" applyBorder="1"/>
    <xf numFmtId="14" fontId="7" fillId="3" borderId="0" xfId="0" applyNumberFormat="1" applyFont="1" applyFill="1"/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 vertical="center"/>
    </xf>
    <xf numFmtId="4" fontId="6" fillId="9" borderId="1" xfId="1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0" xfId="0" applyFont="1" applyFill="1"/>
    <xf numFmtId="165" fontId="6" fillId="3" borderId="1" xfId="0" applyNumberFormat="1" applyFont="1" applyFill="1" applyBorder="1" applyAlignment="1">
      <alignment horizontal="center" vertical="center" wrapText="1"/>
    </xf>
    <xf numFmtId="167" fontId="6" fillId="12" borderId="1" xfId="1" applyNumberFormat="1" applyFont="1" applyFill="1" applyBorder="1" applyAlignment="1">
      <alignment horizontal="left" vertical="center"/>
    </xf>
    <xf numFmtId="167" fontId="6" fillId="12" borderId="1" xfId="1" applyNumberFormat="1" applyFont="1" applyFill="1" applyBorder="1" applyAlignment="1">
      <alignment horizontal="center" vertical="center"/>
    </xf>
    <xf numFmtId="4" fontId="6" fillId="12" borderId="1" xfId="1" applyNumberFormat="1" applyFont="1" applyFill="1" applyBorder="1" applyAlignment="1">
      <alignment horizontal="right" vertical="center"/>
    </xf>
    <xf numFmtId="167" fontId="6" fillId="12" borderId="1" xfId="1" applyNumberFormat="1" applyFont="1" applyFill="1" applyBorder="1" applyAlignment="1">
      <alignment vertical="center"/>
    </xf>
    <xf numFmtId="0" fontId="30" fillId="0" borderId="0" xfId="3" applyFont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left" vertical="center"/>
    </xf>
    <xf numFmtId="167" fontId="6" fillId="15" borderId="1" xfId="1" applyNumberFormat="1" applyFont="1" applyFill="1" applyBorder="1" applyAlignment="1">
      <alignment horizontal="left" vertical="center"/>
    </xf>
    <xf numFmtId="164" fontId="6" fillId="15" borderId="1" xfId="0" applyNumberFormat="1" applyFont="1" applyFill="1" applyBorder="1" applyAlignment="1">
      <alignment horizontal="center"/>
    </xf>
    <xf numFmtId="168" fontId="6" fillId="15" borderId="1" xfId="0" applyNumberFormat="1" applyFont="1" applyFill="1" applyBorder="1" applyAlignment="1">
      <alignment horizontal="center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5" borderId="0" xfId="0" applyFont="1" applyFill="1"/>
    <xf numFmtId="14" fontId="6" fillId="15" borderId="1" xfId="0" applyNumberFormat="1" applyFont="1" applyFill="1" applyBorder="1" applyAlignment="1">
      <alignment horizontal="center" vertical="center" wrapText="1"/>
    </xf>
    <xf numFmtId="167" fontId="6" fillId="15" borderId="1" xfId="1" applyNumberFormat="1" applyFont="1" applyFill="1" applyBorder="1" applyAlignment="1">
      <alignment vertical="center"/>
    </xf>
    <xf numFmtId="9" fontId="7" fillId="0" borderId="0" xfId="4" applyFont="1"/>
    <xf numFmtId="1" fontId="6" fillId="5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left"/>
    </xf>
    <xf numFmtId="1" fontId="6" fillId="10" borderId="1" xfId="1" quotePrefix="1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center"/>
    </xf>
    <xf numFmtId="14" fontId="6" fillId="10" borderId="1" xfId="0" applyNumberFormat="1" applyFont="1" applyFill="1" applyBorder="1" applyAlignment="1">
      <alignment horizontal="center"/>
    </xf>
    <xf numFmtId="167" fontId="6" fillId="3" borderId="1" xfId="1" applyNumberFormat="1" applyFont="1" applyFill="1" applyBorder="1" applyAlignment="1">
      <alignment vertical="center"/>
    </xf>
    <xf numFmtId="1" fontId="6" fillId="3" borderId="1" xfId="0" quotePrefix="1" applyNumberFormat="1" applyFont="1" applyFill="1" applyBorder="1" applyAlignment="1">
      <alignment horizontal="left" vertical="center"/>
    </xf>
    <xf numFmtId="0" fontId="6" fillId="5" borderId="1" xfId="0" applyFont="1" applyFill="1" applyBorder="1"/>
    <xf numFmtId="0" fontId="7" fillId="10" borderId="0" xfId="0" applyFont="1" applyFill="1"/>
    <xf numFmtId="0" fontId="32" fillId="0" borderId="0" xfId="0" applyFont="1" applyAlignment="1">
      <alignment vertical="center"/>
    </xf>
    <xf numFmtId="14" fontId="7" fillId="10" borderId="0" xfId="0" applyNumberFormat="1" applyFont="1" applyFill="1"/>
    <xf numFmtId="1" fontId="6" fillId="10" borderId="1" xfId="0" quotePrefix="1" applyNumberFormat="1" applyFont="1" applyFill="1" applyBorder="1" applyAlignment="1">
      <alignment horizontal="left" vertical="center"/>
    </xf>
    <xf numFmtId="167" fontId="6" fillId="10" borderId="1" xfId="1" applyNumberFormat="1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4" fontId="6" fillId="10" borderId="1" xfId="1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horizontal="left"/>
    </xf>
    <xf numFmtId="167" fontId="6" fillId="10" borderId="1" xfId="1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6" fillId="10" borderId="1" xfId="0" applyFont="1" applyFill="1" applyBorder="1"/>
    <xf numFmtId="1" fontId="6" fillId="10" borderId="1" xfId="0" applyNumberFormat="1" applyFont="1" applyFill="1" applyBorder="1" applyAlignment="1">
      <alignment horizontal="left" vertical="center"/>
    </xf>
    <xf numFmtId="1" fontId="6" fillId="11" borderId="1" xfId="0" applyNumberFormat="1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7" fillId="10" borderId="0" xfId="0" quotePrefix="1" applyFont="1" applyFill="1"/>
    <xf numFmtId="169" fontId="6" fillId="10" borderId="1" xfId="0" applyNumberFormat="1" applyFont="1" applyFill="1" applyBorder="1" applyAlignment="1">
      <alignment horizontal="center"/>
    </xf>
    <xf numFmtId="0" fontId="31" fillId="10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wrapText="1" readingOrder="2"/>
    </xf>
    <xf numFmtId="0" fontId="3" fillId="3" borderId="1" xfId="0" applyFont="1" applyFill="1" applyBorder="1" applyAlignment="1">
      <alignment horizontal="center"/>
    </xf>
    <xf numFmtId="0" fontId="6" fillId="12" borderId="14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</cellXfs>
  <cellStyles count="5">
    <cellStyle name="Comma" xfId="1" builtinId="3"/>
    <cellStyle name="Explanatory Text" xfId="2" builtinId="53"/>
    <cellStyle name="Hyperlink" xfId="3" builtinId="8"/>
    <cellStyle name="Normal" xfId="0" builtinId="0"/>
    <cellStyle name="Percent" xfId="4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7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123826</xdr:rowOff>
    </xdr:from>
    <xdr:to>
      <xdr:col>0</xdr:col>
      <xdr:colOff>883047</xdr:colOff>
      <xdr:row>7</xdr:row>
      <xdr:rowOff>195787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AA021-F37C-964E-5BAC-B92AC493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5326"/>
          <a:ext cx="883047" cy="9292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85355</xdr:colOff>
      <xdr:row>5</xdr:row>
      <xdr:rowOff>93334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5ACE8-0ABF-48C1-97A0-B55C0D22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5422" cy="1028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3a7e7557f033fa8/Farmer/2024/Bank%20Payment/paid%20-2024/05%20-%202024/ghado%20COW%201.5.2024%20TO%2031.5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Payment -Bank"/>
      <sheetName val="Decimals "/>
      <sheetName val="Feeds Issued"/>
      <sheetName val="05-01-2024"/>
    </sheetNames>
    <sheetDataSet>
      <sheetData sheetId="0">
        <row r="32">
          <cell r="F32">
            <v>13280.200000000003</v>
          </cell>
        </row>
      </sheetData>
      <sheetData sheetId="1">
        <row r="9">
          <cell r="H9">
            <v>11.024999999999977</v>
          </cell>
        </row>
      </sheetData>
      <sheetData sheetId="2">
        <row r="19">
          <cell r="G19">
            <v>4160.1500000000005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C836-6B47-4532-8309-59BE1064CF0E}">
  <sheetPr codeName="Sheet4"/>
  <dimension ref="A1:Y13"/>
  <sheetViews>
    <sheetView workbookViewId="0">
      <selection activeCell="G6" sqref="G6"/>
    </sheetView>
  </sheetViews>
  <sheetFormatPr defaultColWidth="9" defaultRowHeight="15.75" x14ac:dyDescent="0.25"/>
  <cols>
    <col min="1" max="1" width="5.5703125" style="7" customWidth="1"/>
    <col min="2" max="2" width="11.28515625" style="7" customWidth="1"/>
    <col min="3" max="3" width="42.140625" style="7" customWidth="1"/>
    <col min="4" max="4" width="14.28515625" style="80" customWidth="1"/>
    <col min="5" max="5" width="17.85546875" style="7" customWidth="1"/>
    <col min="6" max="6" width="24.7109375" style="7" bestFit="1" customWidth="1"/>
    <col min="7" max="7" width="13.42578125" style="7" customWidth="1"/>
    <col min="8" max="8" width="11.28515625" style="7" bestFit="1" customWidth="1"/>
    <col min="9" max="9" width="12.7109375" style="7" bestFit="1" customWidth="1"/>
    <col min="10" max="10" width="22.7109375" style="81" customWidth="1"/>
    <col min="11" max="11" width="16.7109375" style="82" customWidth="1"/>
    <col min="12" max="12" width="14.7109375" style="7" bestFit="1" customWidth="1"/>
    <col min="13" max="13" width="13.28515625" style="83" customWidth="1"/>
    <col min="14" max="14" width="16.7109375" style="83" customWidth="1"/>
    <col min="15" max="15" width="11.5703125" style="7" bestFit="1" customWidth="1"/>
    <col min="16" max="17" width="9" style="7"/>
    <col min="18" max="18" width="42.140625" style="7" bestFit="1" customWidth="1"/>
    <col min="19" max="19" width="15.85546875" style="7" customWidth="1"/>
    <col min="20" max="21" width="9" style="7"/>
    <col min="22" max="22" width="19.5703125" style="7" bestFit="1" customWidth="1"/>
    <col min="23" max="23" width="17.5703125" style="7" bestFit="1" customWidth="1"/>
    <col min="24" max="24" width="13.28515625" style="7" bestFit="1" customWidth="1"/>
    <col min="25" max="16384" width="9" style="7"/>
  </cols>
  <sheetData>
    <row r="1" spans="1:25" ht="16.5" thickBot="1" x14ac:dyDescent="0.3">
      <c r="A1" s="235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38"/>
    </row>
    <row r="2" spans="1:25" ht="15.75" customHeight="1" x14ac:dyDescent="0.25">
      <c r="A2" s="237" t="s">
        <v>1</v>
      </c>
      <c r="B2" s="237" t="s">
        <v>2</v>
      </c>
      <c r="C2" s="237" t="s">
        <v>3</v>
      </c>
      <c r="D2" s="239" t="s">
        <v>4</v>
      </c>
      <c r="E2" s="237" t="s">
        <v>5</v>
      </c>
      <c r="F2" s="237" t="s">
        <v>6</v>
      </c>
      <c r="G2" s="237" t="s">
        <v>7</v>
      </c>
      <c r="H2" s="237" t="s">
        <v>8</v>
      </c>
      <c r="I2" s="237" t="s">
        <v>9</v>
      </c>
      <c r="J2" s="237" t="s">
        <v>10</v>
      </c>
      <c r="K2" s="241" t="s">
        <v>11</v>
      </c>
      <c r="L2" s="237" t="s">
        <v>12</v>
      </c>
      <c r="M2" s="243" t="s">
        <v>13</v>
      </c>
      <c r="N2" s="234" t="s">
        <v>14</v>
      </c>
      <c r="P2" s="7" t="s">
        <v>2</v>
      </c>
      <c r="R2" s="7" t="s">
        <v>3</v>
      </c>
      <c r="T2" s="7" t="s">
        <v>9</v>
      </c>
      <c r="V2" s="7" t="s">
        <v>10</v>
      </c>
      <c r="X2" s="7" t="s">
        <v>12</v>
      </c>
    </row>
    <row r="3" spans="1:25" x14ac:dyDescent="0.25">
      <c r="A3" s="238"/>
      <c r="B3" s="238"/>
      <c r="C3" s="238"/>
      <c r="D3" s="240"/>
      <c r="E3" s="238"/>
      <c r="F3" s="238"/>
      <c r="G3" s="238"/>
      <c r="H3" s="238"/>
      <c r="I3" s="238"/>
      <c r="J3" s="238"/>
      <c r="K3" s="242"/>
      <c r="L3" s="238"/>
      <c r="M3" s="244"/>
      <c r="N3" s="234"/>
    </row>
    <row r="4" spans="1:25" x14ac:dyDescent="0.25">
      <c r="A4" s="40">
        <v>25</v>
      </c>
      <c r="B4" s="100">
        <v>1362</v>
      </c>
      <c r="C4" s="42" t="s">
        <v>15</v>
      </c>
      <c r="D4" s="101">
        <v>2336</v>
      </c>
      <c r="E4" s="44">
        <v>0.25</v>
      </c>
      <c r="F4" s="57">
        <f t="shared" ref="F4:F5" si="0">SUM(D4*E4)</f>
        <v>584</v>
      </c>
      <c r="G4" s="57">
        <f>582+2</f>
        <v>584</v>
      </c>
      <c r="H4" s="57">
        <f t="shared" ref="H4:H5" si="1">F4-G4</f>
        <v>0</v>
      </c>
      <c r="I4" s="46">
        <v>2429041</v>
      </c>
      <c r="J4" s="52" t="s">
        <v>16</v>
      </c>
      <c r="K4" s="48" t="s">
        <v>17</v>
      </c>
      <c r="L4" s="49" t="s">
        <v>18</v>
      </c>
      <c r="M4" s="50">
        <v>93663694</v>
      </c>
      <c r="N4" s="70" t="s">
        <v>19</v>
      </c>
      <c r="O4" s="130">
        <v>45691</v>
      </c>
      <c r="P4" s="7">
        <v>1362</v>
      </c>
      <c r="Q4" s="7" t="b">
        <f t="shared" ref="Q4:Q5" si="2">P4=B4</f>
        <v>1</v>
      </c>
      <c r="R4" s="7" t="s">
        <v>15</v>
      </c>
      <c r="S4" s="7" t="b">
        <f t="shared" ref="S4:S5" si="3">R4=C4</f>
        <v>1</v>
      </c>
      <c r="T4" s="7">
        <v>2429041</v>
      </c>
      <c r="U4" s="7" t="b">
        <f t="shared" ref="U4:U5" si="4">T4=I4</f>
        <v>1</v>
      </c>
      <c r="V4" s="7" t="s">
        <v>16</v>
      </c>
      <c r="W4" s="7" t="b">
        <f t="shared" ref="W4:W5" si="5">V4=J4</f>
        <v>1</v>
      </c>
      <c r="X4" s="7" t="s">
        <v>18</v>
      </c>
      <c r="Y4" s="7" t="b">
        <f t="shared" ref="Y4:Y5" si="6">X4=L4</f>
        <v>1</v>
      </c>
    </row>
    <row r="5" spans="1:25" ht="16.5" thickBot="1" x14ac:dyDescent="0.3">
      <c r="A5" s="40">
        <v>29</v>
      </c>
      <c r="B5" s="103">
        <v>1370</v>
      </c>
      <c r="C5" s="52" t="s">
        <v>20</v>
      </c>
      <c r="D5" s="101">
        <v>1635.9</v>
      </c>
      <c r="E5" s="44">
        <v>0.25</v>
      </c>
      <c r="F5" s="102">
        <f t="shared" si="0"/>
        <v>408.97500000000002</v>
      </c>
      <c r="G5" s="102">
        <f>408.85+0.125</f>
        <v>408.97500000000002</v>
      </c>
      <c r="H5" s="102">
        <f t="shared" si="1"/>
        <v>0</v>
      </c>
      <c r="I5" s="42">
        <v>14431965</v>
      </c>
      <c r="J5" s="47" t="s">
        <v>21</v>
      </c>
      <c r="K5" s="48" t="s">
        <v>17</v>
      </c>
      <c r="L5" s="49" t="s">
        <v>18</v>
      </c>
      <c r="M5" s="69">
        <v>99693775</v>
      </c>
      <c r="N5" s="70" t="s">
        <v>22</v>
      </c>
      <c r="P5" s="7">
        <v>1370</v>
      </c>
      <c r="Q5" s="7" t="b">
        <f t="shared" si="2"/>
        <v>1</v>
      </c>
      <c r="R5" s="7" t="s">
        <v>20</v>
      </c>
      <c r="S5" s="7" t="b">
        <f t="shared" si="3"/>
        <v>1</v>
      </c>
      <c r="T5" s="7">
        <v>14431965</v>
      </c>
      <c r="U5" s="7" t="b">
        <f t="shared" si="4"/>
        <v>1</v>
      </c>
      <c r="V5" s="7" t="s">
        <v>21</v>
      </c>
      <c r="W5" s="7" t="b">
        <f t="shared" si="5"/>
        <v>1</v>
      </c>
      <c r="X5" s="7" t="s">
        <v>18</v>
      </c>
      <c r="Y5" s="7" t="b">
        <f t="shared" si="6"/>
        <v>1</v>
      </c>
    </row>
    <row r="6" spans="1:25" ht="16.5" thickBot="1" x14ac:dyDescent="0.3">
      <c r="A6" s="72"/>
      <c r="B6" s="73"/>
      <c r="C6" s="73"/>
      <c r="D6" s="74">
        <f>SUM(D4:D5)</f>
        <v>3971.9</v>
      </c>
      <c r="E6" s="75"/>
      <c r="F6" s="45">
        <f>SUM(F4:F5)</f>
        <v>992.97500000000002</v>
      </c>
      <c r="G6" s="45">
        <f>SUM(G4:G5)</f>
        <v>992.97500000000002</v>
      </c>
      <c r="H6" s="45">
        <f>SUM(H4:H5)</f>
        <v>0</v>
      </c>
      <c r="I6" s="73"/>
      <c r="J6" s="76"/>
      <c r="K6" s="77"/>
      <c r="L6" s="73"/>
      <c r="M6" s="78"/>
      <c r="N6" s="79"/>
    </row>
    <row r="8" spans="1:25" x14ac:dyDescent="0.25">
      <c r="V8" s="7" t="s">
        <v>23</v>
      </c>
    </row>
    <row r="9" spans="1:25" x14ac:dyDescent="0.25">
      <c r="P9" s="7" t="s">
        <v>23</v>
      </c>
    </row>
    <row r="12" spans="1:25" x14ac:dyDescent="0.25">
      <c r="V12" s="7" t="s">
        <v>24</v>
      </c>
    </row>
    <row r="13" spans="1:25" x14ac:dyDescent="0.25">
      <c r="V13" s="7" t="s">
        <v>25</v>
      </c>
    </row>
  </sheetData>
  <autoFilter ref="A2:N6" xr:uid="{7591C836-6B47-4532-8309-59BE1064CF0E}"/>
  <mergeCells count="15">
    <mergeCell ref="N2:N3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43A2-D541-40F4-9EB1-33DDDE6EDCE8}">
  <sheetPr>
    <pageSetUpPr fitToPage="1"/>
  </sheetPr>
  <dimension ref="A1:K11"/>
  <sheetViews>
    <sheetView workbookViewId="0">
      <selection activeCell="C32" sqref="C32"/>
    </sheetView>
  </sheetViews>
  <sheetFormatPr defaultColWidth="9" defaultRowHeight="15.75" x14ac:dyDescent="0.25"/>
  <cols>
    <col min="1" max="1" width="5.5703125" style="7" customWidth="1"/>
    <col min="2" max="2" width="11.28515625" style="7" customWidth="1"/>
    <col min="3" max="3" width="42.140625" style="7" customWidth="1"/>
    <col min="4" max="4" width="14.28515625" style="80" customWidth="1"/>
    <col min="5" max="5" width="17.85546875" style="7" customWidth="1"/>
    <col min="6" max="6" width="24.7109375" style="7" bestFit="1" customWidth="1"/>
    <col min="7" max="7" width="11.5703125" style="7" customWidth="1"/>
    <col min="8" max="8" width="11.28515625" style="7" bestFit="1" customWidth="1"/>
    <col min="9" max="9" width="12.7109375" style="7" bestFit="1" customWidth="1"/>
    <col min="10" max="10" width="16.7109375" style="83" customWidth="1"/>
    <col min="11" max="11" width="11.5703125" style="7" bestFit="1" customWidth="1"/>
    <col min="12" max="16384" width="9" style="7"/>
  </cols>
  <sheetData>
    <row r="1" spans="1:11" ht="16.5" thickBot="1" x14ac:dyDescent="0.3">
      <c r="A1" s="235" t="s">
        <v>26</v>
      </c>
      <c r="B1" s="236"/>
      <c r="C1" s="236"/>
      <c r="D1" s="236"/>
      <c r="E1" s="236"/>
      <c r="F1" s="236"/>
      <c r="G1" s="236"/>
      <c r="H1" s="236"/>
      <c r="I1" s="236"/>
      <c r="J1" s="38"/>
    </row>
    <row r="2" spans="1:11" ht="15.75" customHeight="1" x14ac:dyDescent="0.25">
      <c r="A2" s="237" t="s">
        <v>1</v>
      </c>
      <c r="B2" s="237" t="s">
        <v>2</v>
      </c>
      <c r="C2" s="237" t="s">
        <v>3</v>
      </c>
      <c r="D2" s="239" t="s">
        <v>4</v>
      </c>
      <c r="E2" s="237" t="s">
        <v>5</v>
      </c>
      <c r="F2" s="237" t="s">
        <v>6</v>
      </c>
      <c r="G2" s="237" t="s">
        <v>7</v>
      </c>
      <c r="H2" s="237" t="s">
        <v>8</v>
      </c>
      <c r="I2" s="237" t="s">
        <v>9</v>
      </c>
      <c r="J2" s="234" t="s">
        <v>14</v>
      </c>
    </row>
    <row r="3" spans="1:11" x14ac:dyDescent="0.25">
      <c r="A3" s="238"/>
      <c r="B3" s="238"/>
      <c r="C3" s="238"/>
      <c r="D3" s="240"/>
      <c r="E3" s="238"/>
      <c r="F3" s="238"/>
      <c r="G3" s="238"/>
      <c r="H3" s="238"/>
      <c r="I3" s="238"/>
      <c r="J3" s="234"/>
    </row>
    <row r="4" spans="1:11" x14ac:dyDescent="0.25">
      <c r="A4" s="40">
        <v>5</v>
      </c>
      <c r="B4" s="41">
        <v>1086</v>
      </c>
      <c r="C4" s="42" t="s">
        <v>27</v>
      </c>
      <c r="D4" s="62">
        <v>1033.8</v>
      </c>
      <c r="E4" s="44">
        <v>0.25</v>
      </c>
      <c r="F4" s="57">
        <f t="shared" ref="F4:F5" si="0">SUM(D4*E4)</f>
        <v>258.45</v>
      </c>
      <c r="G4" s="57">
        <f>257.825+0.625</f>
        <v>258.45</v>
      </c>
      <c r="H4" s="57">
        <f t="shared" ref="H4:H5" si="1">F4-G4</f>
        <v>0</v>
      </c>
      <c r="I4" s="46">
        <v>2379573</v>
      </c>
      <c r="J4" s="60" t="s">
        <v>28</v>
      </c>
      <c r="K4" s="130">
        <v>45607</v>
      </c>
    </row>
    <row r="5" spans="1:11" ht="16.5" thickBot="1" x14ac:dyDescent="0.3">
      <c r="A5" s="53">
        <v>18</v>
      </c>
      <c r="B5" s="84">
        <v>1343</v>
      </c>
      <c r="C5" s="54" t="s">
        <v>29</v>
      </c>
      <c r="D5" s="55">
        <v>923.8</v>
      </c>
      <c r="E5" s="56">
        <v>0.25</v>
      </c>
      <c r="F5" s="57">
        <f t="shared" si="0"/>
        <v>230.95</v>
      </c>
      <c r="G5" s="57">
        <f>227.15+3.8</f>
        <v>230.95000000000002</v>
      </c>
      <c r="H5" s="57">
        <f t="shared" si="1"/>
        <v>0</v>
      </c>
      <c r="I5" s="58">
        <v>5160297</v>
      </c>
      <c r="J5" s="91">
        <v>45540</v>
      </c>
      <c r="K5" s="130">
        <v>45657</v>
      </c>
    </row>
    <row r="6" spans="1:11" ht="16.5" thickBot="1" x14ac:dyDescent="0.3">
      <c r="A6" s="72"/>
      <c r="B6" s="73"/>
      <c r="C6" s="73"/>
      <c r="D6" s="74">
        <f>SUM(D4:D5)</f>
        <v>1957.6</v>
      </c>
      <c r="E6" s="75"/>
      <c r="F6" s="45">
        <f>SUM(F4:F5)</f>
        <v>489.4</v>
      </c>
      <c r="G6" s="106">
        <f>SUM(G4:G5)</f>
        <v>489.4</v>
      </c>
      <c r="H6" s="106">
        <f>SUM(H4:H5)</f>
        <v>0</v>
      </c>
      <c r="I6" s="73"/>
      <c r="J6" s="79"/>
    </row>
    <row r="8" spans="1:11" x14ac:dyDescent="0.25">
      <c r="F8" s="7">
        <f>'[1]Feeds Issued'!G19</f>
        <v>4160.1500000000005</v>
      </c>
    </row>
    <row r="9" spans="1:11" x14ac:dyDescent="0.25">
      <c r="F9" s="7">
        <f>'[1]Final Payment -Bank'!F32</f>
        <v>13280.200000000003</v>
      </c>
    </row>
    <row r="10" spans="1:11" x14ac:dyDescent="0.25">
      <c r="F10" s="7">
        <f>SUM(F8:F9)</f>
        <v>17440.350000000002</v>
      </c>
    </row>
    <row r="11" spans="1:11" x14ac:dyDescent="0.25">
      <c r="F11" s="7">
        <f>F10+'[1]Decimals '!H9</f>
        <v>17451.375000000004</v>
      </c>
    </row>
  </sheetData>
  <autoFilter ref="A2:J6" xr:uid="{58FA43A2-D541-40F4-9EB1-33DDDE6EDCE8}"/>
  <mergeCells count="11">
    <mergeCell ref="J2:J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scale="3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93DA-555C-46BF-87E1-7DA5F4FCB6BC}">
  <sheetPr filterMode="1"/>
  <dimension ref="A1:K22"/>
  <sheetViews>
    <sheetView view="pageBreakPreview" zoomScale="106" zoomScaleNormal="96" zoomScaleSheetLayoutView="106" workbookViewId="0">
      <pane xSplit="3" ySplit="3" topLeftCell="D6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2.140625" style="7" customWidth="1"/>
    <col min="10" max="10" width="14.5703125" style="83" customWidth="1"/>
    <col min="11" max="11" width="12.28515625" style="7" bestFit="1" customWidth="1"/>
    <col min="12" max="16384" width="9" style="7"/>
  </cols>
  <sheetData>
    <row r="1" spans="1:11" x14ac:dyDescent="0.25">
      <c r="A1" s="246" t="s">
        <v>30</v>
      </c>
      <c r="B1" s="246"/>
      <c r="C1" s="246"/>
      <c r="D1" s="246"/>
      <c r="E1" s="246"/>
      <c r="F1" s="246"/>
      <c r="G1" s="246"/>
      <c r="H1" s="246"/>
      <c r="I1" s="246"/>
      <c r="J1" s="39"/>
    </row>
    <row r="2" spans="1:11" ht="15.75" customHeight="1" x14ac:dyDescent="0.25">
      <c r="A2" s="247" t="s">
        <v>1</v>
      </c>
      <c r="B2" s="247" t="s">
        <v>2</v>
      </c>
      <c r="C2" s="247" t="s">
        <v>3</v>
      </c>
      <c r="D2" s="247" t="s">
        <v>4</v>
      </c>
      <c r="E2" s="247" t="s">
        <v>5</v>
      </c>
      <c r="F2" s="247" t="s">
        <v>6</v>
      </c>
      <c r="G2" s="92"/>
      <c r="H2" s="92"/>
      <c r="I2" s="247" t="s">
        <v>9</v>
      </c>
      <c r="J2" s="245" t="s">
        <v>14</v>
      </c>
    </row>
    <row r="3" spans="1:11" x14ac:dyDescent="0.25">
      <c r="A3" s="247"/>
      <c r="B3" s="247"/>
      <c r="C3" s="247"/>
      <c r="D3" s="247"/>
      <c r="E3" s="247"/>
      <c r="F3" s="247"/>
      <c r="G3" s="92"/>
      <c r="H3" s="92"/>
      <c r="I3" s="247"/>
      <c r="J3" s="245"/>
    </row>
    <row r="4" spans="1:11" hidden="1" x14ac:dyDescent="0.25">
      <c r="A4" s="85">
        <v>1</v>
      </c>
      <c r="B4" s="41">
        <v>1071</v>
      </c>
      <c r="C4" s="42" t="s">
        <v>31</v>
      </c>
      <c r="D4" s="101">
        <v>561.79999999999995</v>
      </c>
      <c r="E4" s="44">
        <v>0.25</v>
      </c>
      <c r="F4" s="57">
        <f t="shared" ref="F4:F14" si="0">SUM(D4*E4)</f>
        <v>140.44999999999999</v>
      </c>
      <c r="G4" s="57">
        <f>137.525+2.925</f>
        <v>140.45000000000002</v>
      </c>
      <c r="H4" s="57">
        <f t="shared" ref="H4:H14" si="1">F4-G4</f>
        <v>0</v>
      </c>
      <c r="I4" s="46">
        <v>390741</v>
      </c>
      <c r="J4" s="51" t="s">
        <v>32</v>
      </c>
      <c r="K4" s="130">
        <v>45602</v>
      </c>
    </row>
    <row r="5" spans="1:11" hidden="1" x14ac:dyDescent="0.25">
      <c r="A5" s="85">
        <v>2</v>
      </c>
      <c r="B5" s="41">
        <v>1123</v>
      </c>
      <c r="C5" s="42" t="s">
        <v>33</v>
      </c>
      <c r="D5" s="101">
        <v>1105.5</v>
      </c>
      <c r="E5" s="44">
        <v>0.25</v>
      </c>
      <c r="F5" s="102">
        <f t="shared" si="0"/>
        <v>276.375</v>
      </c>
      <c r="G5" s="102">
        <f>F5</f>
        <v>276.375</v>
      </c>
      <c r="H5" s="143">
        <f t="shared" si="1"/>
        <v>0</v>
      </c>
      <c r="I5" s="46">
        <v>655141</v>
      </c>
      <c r="J5" s="116">
        <v>45391</v>
      </c>
      <c r="K5" s="7" t="s">
        <v>34</v>
      </c>
    </row>
    <row r="6" spans="1:11" x14ac:dyDescent="0.25">
      <c r="A6" s="85">
        <v>3</v>
      </c>
      <c r="B6" s="41">
        <v>1308</v>
      </c>
      <c r="C6" s="42" t="s">
        <v>35</v>
      </c>
      <c r="D6" s="101">
        <v>569.9</v>
      </c>
      <c r="E6" s="44">
        <v>0.25</v>
      </c>
      <c r="F6" s="102">
        <f t="shared" si="0"/>
        <v>142.47499999999999</v>
      </c>
      <c r="G6" s="102">
        <f>141.025+1.45</f>
        <v>142.47499999999999</v>
      </c>
      <c r="H6" s="143">
        <f t="shared" si="1"/>
        <v>0</v>
      </c>
      <c r="I6" s="46">
        <v>6225641</v>
      </c>
      <c r="J6" s="116">
        <v>45567</v>
      </c>
    </row>
    <row r="7" spans="1:11" s="65" customFormat="1" ht="15" hidden="1" customHeight="1" x14ac:dyDescent="0.25">
      <c r="A7" s="85">
        <v>4</v>
      </c>
      <c r="B7" s="41">
        <v>1340</v>
      </c>
      <c r="C7" s="46" t="s">
        <v>36</v>
      </c>
      <c r="D7" s="101">
        <v>1093.4000000000001</v>
      </c>
      <c r="E7" s="44">
        <v>0.25</v>
      </c>
      <c r="F7" s="57">
        <f t="shared" si="0"/>
        <v>273.35000000000002</v>
      </c>
      <c r="G7" s="57">
        <f>271.575+1.775</f>
        <v>273.34999999999997</v>
      </c>
      <c r="H7" s="57">
        <f t="shared" si="1"/>
        <v>0</v>
      </c>
      <c r="I7" s="51">
        <v>7279274</v>
      </c>
      <c r="J7" s="51" t="s">
        <v>37</v>
      </c>
      <c r="K7" s="152">
        <v>45607</v>
      </c>
    </row>
    <row r="8" spans="1:11" x14ac:dyDescent="0.25">
      <c r="A8" s="85">
        <v>5</v>
      </c>
      <c r="B8" s="41">
        <v>1349</v>
      </c>
      <c r="C8" s="42" t="s">
        <v>38</v>
      </c>
      <c r="D8" s="101">
        <v>1980.8</v>
      </c>
      <c r="E8" s="44">
        <v>0.25</v>
      </c>
      <c r="F8" s="102">
        <f t="shared" si="0"/>
        <v>495.2</v>
      </c>
      <c r="G8" s="102">
        <f>492.8+2.4</f>
        <v>495.2</v>
      </c>
      <c r="H8" s="143">
        <f t="shared" si="1"/>
        <v>0</v>
      </c>
      <c r="I8" s="46">
        <v>7128679</v>
      </c>
      <c r="J8" s="51" t="s">
        <v>28</v>
      </c>
    </row>
    <row r="9" spans="1:11" hidden="1" x14ac:dyDescent="0.25">
      <c r="A9" s="85">
        <v>6</v>
      </c>
      <c r="B9" s="41">
        <v>1366</v>
      </c>
      <c r="C9" s="42" t="s">
        <v>39</v>
      </c>
      <c r="D9" s="101">
        <v>2156</v>
      </c>
      <c r="E9" s="44">
        <v>0.25</v>
      </c>
      <c r="F9" s="57">
        <f t="shared" si="0"/>
        <v>539</v>
      </c>
      <c r="G9" s="57">
        <f>535.375+3.625</f>
        <v>539</v>
      </c>
      <c r="H9" s="57">
        <f t="shared" si="1"/>
        <v>0</v>
      </c>
      <c r="I9" s="46">
        <v>8318385</v>
      </c>
      <c r="J9" s="51" t="s">
        <v>28</v>
      </c>
      <c r="K9" s="130">
        <v>45644</v>
      </c>
    </row>
    <row r="10" spans="1:11" x14ac:dyDescent="0.25">
      <c r="A10" s="85">
        <v>7</v>
      </c>
      <c r="B10" s="61">
        <v>1371</v>
      </c>
      <c r="C10" s="52" t="s">
        <v>40</v>
      </c>
      <c r="D10" s="101">
        <v>1623.9</v>
      </c>
      <c r="E10" s="44">
        <v>0.25</v>
      </c>
      <c r="F10" s="57">
        <f t="shared" si="0"/>
        <v>405.97500000000002</v>
      </c>
      <c r="G10" s="57">
        <f>404.625+1.35</f>
        <v>405.97500000000002</v>
      </c>
      <c r="H10" s="57">
        <f t="shared" si="1"/>
        <v>0</v>
      </c>
      <c r="I10" s="42">
        <v>990755</v>
      </c>
      <c r="J10" s="70" t="s">
        <v>41</v>
      </c>
      <c r="K10" s="130">
        <v>45677</v>
      </c>
    </row>
    <row r="11" spans="1:11" x14ac:dyDescent="0.25">
      <c r="A11" s="85">
        <v>8</v>
      </c>
      <c r="B11" s="61">
        <v>1378</v>
      </c>
      <c r="C11" s="52" t="s">
        <v>42</v>
      </c>
      <c r="D11" s="101">
        <v>1877.4</v>
      </c>
      <c r="E11" s="44">
        <v>0.25</v>
      </c>
      <c r="F11" s="57">
        <f t="shared" si="0"/>
        <v>469.35</v>
      </c>
      <c r="G11" s="57">
        <f>466.225+3.125</f>
        <v>469.35</v>
      </c>
      <c r="H11" s="57">
        <f t="shared" si="1"/>
        <v>0</v>
      </c>
      <c r="I11" s="48">
        <v>5996404</v>
      </c>
      <c r="J11" s="70" t="s">
        <v>41</v>
      </c>
      <c r="K11" s="130">
        <v>45658</v>
      </c>
    </row>
    <row r="12" spans="1:11" s="65" customFormat="1" hidden="1" x14ac:dyDescent="0.25">
      <c r="A12" s="85">
        <v>9</v>
      </c>
      <c r="B12" s="61">
        <v>1381</v>
      </c>
      <c r="C12" s="52" t="s">
        <v>43</v>
      </c>
      <c r="D12" s="101">
        <v>1098.3</v>
      </c>
      <c r="E12" s="44">
        <v>0.25</v>
      </c>
      <c r="F12" s="102">
        <f t="shared" si="0"/>
        <v>274.57499999999999</v>
      </c>
      <c r="G12" s="102">
        <f>274.3+0.275</f>
        <v>274.57499999999999</v>
      </c>
      <c r="H12" s="143">
        <f t="shared" si="1"/>
        <v>0</v>
      </c>
      <c r="I12" s="48">
        <v>19847623</v>
      </c>
      <c r="J12" s="126">
        <v>45581</v>
      </c>
      <c r="K12" s="152">
        <v>45600</v>
      </c>
    </row>
    <row r="13" spans="1:11" s="65" customFormat="1" hidden="1" x14ac:dyDescent="0.25">
      <c r="A13" s="85">
        <v>10</v>
      </c>
      <c r="B13" s="41">
        <v>1390</v>
      </c>
      <c r="C13" s="42" t="s">
        <v>44</v>
      </c>
      <c r="D13" s="101">
        <v>550.9</v>
      </c>
      <c r="E13" s="44">
        <v>0.25</v>
      </c>
      <c r="F13" s="57">
        <f t="shared" si="0"/>
        <v>137.72499999999999</v>
      </c>
      <c r="G13" s="57">
        <f>137.6+0.125</f>
        <v>137.72499999999999</v>
      </c>
      <c r="H13" s="57">
        <f t="shared" si="1"/>
        <v>0</v>
      </c>
      <c r="I13" s="46">
        <v>13826903</v>
      </c>
      <c r="J13" s="51" t="s">
        <v>37</v>
      </c>
      <c r="K13" s="152">
        <v>45637</v>
      </c>
    </row>
    <row r="14" spans="1:11" s="65" customFormat="1" hidden="1" x14ac:dyDescent="0.25">
      <c r="A14" s="85">
        <v>11</v>
      </c>
      <c r="B14" s="61">
        <v>1393</v>
      </c>
      <c r="C14" s="52" t="s">
        <v>45</v>
      </c>
      <c r="D14" s="101">
        <v>559</v>
      </c>
      <c r="E14" s="44">
        <v>0.25</v>
      </c>
      <c r="F14" s="57">
        <f t="shared" si="0"/>
        <v>139.75</v>
      </c>
      <c r="G14" s="57">
        <f>136.2+3.55</f>
        <v>139.75</v>
      </c>
      <c r="H14" s="57">
        <f t="shared" si="1"/>
        <v>0</v>
      </c>
      <c r="I14" s="48">
        <v>1650389</v>
      </c>
      <c r="J14" s="70" t="s">
        <v>28</v>
      </c>
      <c r="K14" s="152">
        <v>45601</v>
      </c>
    </row>
    <row r="15" spans="1:11" x14ac:dyDescent="0.25">
      <c r="A15" s="86"/>
      <c r="B15" s="86"/>
      <c r="C15" s="86"/>
      <c r="D15" s="88">
        <f>SUM(D4:D14)</f>
        <v>13176.899999999998</v>
      </c>
      <c r="E15" s="87"/>
      <c r="F15" s="45">
        <f>SUM(F4:F14)</f>
        <v>3294.2249999999995</v>
      </c>
      <c r="G15" s="45">
        <f>SUM(G4:G14)</f>
        <v>3294.2249999999999</v>
      </c>
      <c r="H15" s="143">
        <f>SUM(H4:H14)</f>
        <v>0</v>
      </c>
      <c r="I15" s="86"/>
      <c r="J15" s="79"/>
    </row>
    <row r="18" spans="2:10" x14ac:dyDescent="0.25">
      <c r="B18" s="83"/>
      <c r="C18" s="83"/>
      <c r="D18" s="7"/>
      <c r="J18" s="7"/>
    </row>
    <row r="19" spans="2:10" x14ac:dyDescent="0.25">
      <c r="B19" s="83"/>
      <c r="C19" s="83"/>
      <c r="D19" s="7"/>
      <c r="F19" s="153">
        <f>F12-274.3</f>
        <v>0.27499999999997726</v>
      </c>
      <c r="J19" s="7"/>
    </row>
    <row r="20" spans="2:10" x14ac:dyDescent="0.25">
      <c r="B20" s="83"/>
      <c r="C20" s="83"/>
      <c r="D20" s="7"/>
      <c r="J20" s="7"/>
    </row>
    <row r="21" spans="2:10" x14ac:dyDescent="0.25">
      <c r="B21" s="83"/>
      <c r="C21" s="83"/>
      <c r="D21" s="7"/>
      <c r="J21" s="7"/>
    </row>
    <row r="22" spans="2:10" x14ac:dyDescent="0.25">
      <c r="B22" s="83"/>
      <c r="C22" s="83"/>
      <c r="D22" s="7"/>
      <c r="J22" s="7"/>
    </row>
  </sheetData>
  <autoFilter ref="A2:J15" xr:uid="{9FB393DA-555C-46BF-87E1-7DA5F4FCB6BC}">
    <filterColumn colId="7">
      <filters blank="1">
        <filter val="1.350"/>
        <filter val="1.450"/>
        <filter val="2.400"/>
        <filter val="3.125"/>
        <filter val="8.325"/>
      </filters>
    </filterColumn>
  </autoFilter>
  <mergeCells count="9">
    <mergeCell ref="J2:J3"/>
    <mergeCell ref="A1:I1"/>
    <mergeCell ref="A2:A3"/>
    <mergeCell ref="B2:B3"/>
    <mergeCell ref="C2:C3"/>
    <mergeCell ref="D2:D3"/>
    <mergeCell ref="E2:E3"/>
    <mergeCell ref="F2:F3"/>
    <mergeCell ref="I2:I3"/>
  </mergeCells>
  <pageMargins left="0.7" right="0.7" top="0.75" bottom="0.75" header="0.3" footer="0.3"/>
  <pageSetup paperSize="8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7D74-0FD7-46AB-9E8F-4ED5298D30F2}">
  <dimension ref="A1:K54"/>
  <sheetViews>
    <sheetView view="pageBreakPreview" zoomScale="96" zoomScaleNormal="96" zoomScaleSheetLayoutView="96" workbookViewId="0">
      <pane xSplit="3" ySplit="3" topLeftCell="D25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2.140625" style="7" customWidth="1"/>
    <col min="10" max="10" width="14.5703125" style="129" customWidth="1"/>
    <col min="11" max="11" width="11.5703125" style="7" bestFit="1" customWidth="1"/>
    <col min="12" max="16384" width="9" style="7"/>
  </cols>
  <sheetData>
    <row r="1" spans="1:11" x14ac:dyDescent="0.25">
      <c r="A1" s="246" t="s">
        <v>46</v>
      </c>
      <c r="B1" s="246"/>
      <c r="C1" s="246"/>
      <c r="D1" s="246"/>
      <c r="E1" s="246"/>
      <c r="F1" s="246"/>
      <c r="G1" s="246"/>
      <c r="H1" s="246"/>
      <c r="I1" s="246"/>
      <c r="J1" s="115"/>
    </row>
    <row r="2" spans="1:11" ht="15.75" customHeight="1" x14ac:dyDescent="0.25">
      <c r="A2" s="247" t="s">
        <v>1</v>
      </c>
      <c r="B2" s="247" t="s">
        <v>2</v>
      </c>
      <c r="C2" s="247" t="s">
        <v>3</v>
      </c>
      <c r="D2" s="247" t="s">
        <v>4</v>
      </c>
      <c r="E2" s="247" t="s">
        <v>5</v>
      </c>
      <c r="F2" s="247" t="s">
        <v>6</v>
      </c>
      <c r="G2" s="247" t="s">
        <v>7</v>
      </c>
      <c r="H2" s="247" t="s">
        <v>8</v>
      </c>
      <c r="I2" s="247" t="s">
        <v>9</v>
      </c>
      <c r="J2" s="248" t="s">
        <v>14</v>
      </c>
    </row>
    <row r="3" spans="1:11" x14ac:dyDescent="0.25">
      <c r="A3" s="247"/>
      <c r="B3" s="247"/>
      <c r="C3" s="247"/>
      <c r="D3" s="247"/>
      <c r="E3" s="247"/>
      <c r="F3" s="247"/>
      <c r="G3" s="247"/>
      <c r="H3" s="247"/>
      <c r="I3" s="247"/>
      <c r="J3" s="248"/>
    </row>
    <row r="4" spans="1:11" x14ac:dyDescent="0.25">
      <c r="A4" s="85">
        <v>1</v>
      </c>
      <c r="B4" s="41">
        <v>1010</v>
      </c>
      <c r="C4" s="42" t="s">
        <v>47</v>
      </c>
      <c r="D4" s="43">
        <v>1922.8</v>
      </c>
      <c r="E4" s="44">
        <v>0.25</v>
      </c>
      <c r="F4" s="45">
        <f t="shared" ref="F4:F44" si="0">SUM(D4*E4)</f>
        <v>480.7</v>
      </c>
      <c r="G4" s="45">
        <f>F4</f>
        <v>480.7</v>
      </c>
      <c r="H4" s="45">
        <f>F4-G4</f>
        <v>0</v>
      </c>
      <c r="I4" s="46">
        <v>315313</v>
      </c>
      <c r="J4" s="116"/>
    </row>
    <row r="5" spans="1:11" x14ac:dyDescent="0.25">
      <c r="A5" s="85">
        <v>2</v>
      </c>
      <c r="B5" s="41">
        <v>1038</v>
      </c>
      <c r="C5" s="42" t="s">
        <v>48</v>
      </c>
      <c r="D5" s="43">
        <v>2056.8000000000002</v>
      </c>
      <c r="E5" s="44">
        <v>0.25</v>
      </c>
      <c r="F5" s="45">
        <f t="shared" si="0"/>
        <v>514.20000000000005</v>
      </c>
      <c r="G5" s="45">
        <f t="shared" ref="G5:G6" si="1">F5</f>
        <v>514.20000000000005</v>
      </c>
      <c r="H5" s="45">
        <f t="shared" ref="H5:H46" si="2">F5-G5</f>
        <v>0</v>
      </c>
      <c r="I5" s="46">
        <v>5247837</v>
      </c>
      <c r="J5" s="116"/>
    </row>
    <row r="6" spans="1:11" x14ac:dyDescent="0.25">
      <c r="A6" s="85">
        <v>3</v>
      </c>
      <c r="B6" s="41">
        <v>1065</v>
      </c>
      <c r="C6" s="42" t="s">
        <v>49</v>
      </c>
      <c r="D6" s="43">
        <v>638.29999999999995</v>
      </c>
      <c r="E6" s="44">
        <v>0.25</v>
      </c>
      <c r="F6" s="45">
        <f t="shared" si="0"/>
        <v>159.57499999999999</v>
      </c>
      <c r="G6" s="45">
        <f t="shared" si="1"/>
        <v>159.57499999999999</v>
      </c>
      <c r="H6" s="45">
        <f t="shared" si="2"/>
        <v>0</v>
      </c>
      <c r="I6" s="46">
        <v>1276058</v>
      </c>
      <c r="J6" s="116"/>
    </row>
    <row r="7" spans="1:11" x14ac:dyDescent="0.25">
      <c r="A7" s="90">
        <v>4</v>
      </c>
      <c r="B7" s="84">
        <v>1071</v>
      </c>
      <c r="C7" s="54" t="s">
        <v>31</v>
      </c>
      <c r="D7" s="55">
        <v>665</v>
      </c>
      <c r="E7" s="56">
        <v>0.25</v>
      </c>
      <c r="F7" s="57">
        <f t="shared" si="0"/>
        <v>166.25</v>
      </c>
      <c r="G7" s="57">
        <f>F7</f>
        <v>166.25</v>
      </c>
      <c r="H7" s="57">
        <f t="shared" si="2"/>
        <v>0</v>
      </c>
      <c r="I7" s="58">
        <v>390741</v>
      </c>
      <c r="J7" s="91">
        <v>45602</v>
      </c>
    </row>
    <row r="8" spans="1:11" x14ac:dyDescent="0.25">
      <c r="A8" s="90">
        <v>5</v>
      </c>
      <c r="B8" s="84">
        <v>1086</v>
      </c>
      <c r="C8" s="54" t="s">
        <v>27</v>
      </c>
      <c r="D8" s="55">
        <v>1286</v>
      </c>
      <c r="E8" s="56">
        <v>0.25</v>
      </c>
      <c r="F8" s="57">
        <f t="shared" si="0"/>
        <v>321.5</v>
      </c>
      <c r="G8" s="57">
        <f>317.325+4.175</f>
        <v>321.5</v>
      </c>
      <c r="H8" s="57">
        <f t="shared" si="2"/>
        <v>0</v>
      </c>
      <c r="I8" s="58">
        <v>2379573</v>
      </c>
      <c r="J8" s="116">
        <v>45607</v>
      </c>
      <c r="K8" s="130">
        <v>45628</v>
      </c>
    </row>
    <row r="9" spans="1:11" x14ac:dyDescent="0.25">
      <c r="A9" s="117">
        <v>6</v>
      </c>
      <c r="B9" s="118">
        <v>1123</v>
      </c>
      <c r="C9" s="119" t="s">
        <v>33</v>
      </c>
      <c r="D9" s="120">
        <v>1340.2</v>
      </c>
      <c r="E9" s="121">
        <v>0.25</v>
      </c>
      <c r="F9" s="122">
        <f t="shared" si="0"/>
        <v>335.05</v>
      </c>
      <c r="G9" s="122">
        <f>F9</f>
        <v>335.05</v>
      </c>
      <c r="H9" s="122">
        <f t="shared" si="2"/>
        <v>0</v>
      </c>
      <c r="I9" s="123">
        <v>655141</v>
      </c>
      <c r="J9" s="124" t="s">
        <v>50</v>
      </c>
    </row>
    <row r="10" spans="1:11" x14ac:dyDescent="0.25">
      <c r="A10" s="85">
        <v>7</v>
      </c>
      <c r="B10" s="61">
        <v>1130</v>
      </c>
      <c r="C10" s="52" t="s">
        <v>51</v>
      </c>
      <c r="D10" s="62">
        <v>1286.2</v>
      </c>
      <c r="E10" s="44">
        <v>0.25</v>
      </c>
      <c r="F10" s="45">
        <f t="shared" si="0"/>
        <v>321.55</v>
      </c>
      <c r="G10" s="45">
        <f>F10</f>
        <v>321.55</v>
      </c>
      <c r="H10" s="45">
        <f t="shared" si="2"/>
        <v>0</v>
      </c>
      <c r="I10" s="63">
        <v>5485645</v>
      </c>
      <c r="J10" s="125"/>
    </row>
    <row r="11" spans="1:11" x14ac:dyDescent="0.25">
      <c r="A11" s="85">
        <v>8</v>
      </c>
      <c r="B11" s="41">
        <v>1152</v>
      </c>
      <c r="C11" s="42" t="s">
        <v>52</v>
      </c>
      <c r="D11" s="62">
        <v>1833.4</v>
      </c>
      <c r="E11" s="44">
        <v>0.25</v>
      </c>
      <c r="F11" s="45">
        <f t="shared" si="0"/>
        <v>458.35</v>
      </c>
      <c r="G11" s="45">
        <f t="shared" ref="G11:G15" si="3">F11</f>
        <v>458.35</v>
      </c>
      <c r="H11" s="45">
        <f t="shared" si="2"/>
        <v>0</v>
      </c>
      <c r="I11" s="46">
        <v>5254327</v>
      </c>
      <c r="J11" s="116"/>
    </row>
    <row r="12" spans="1:11" x14ac:dyDescent="0.25">
      <c r="A12" s="85">
        <v>9</v>
      </c>
      <c r="B12" s="41">
        <v>1200</v>
      </c>
      <c r="C12" s="42" t="s">
        <v>53</v>
      </c>
      <c r="D12" s="62">
        <v>319</v>
      </c>
      <c r="E12" s="44">
        <v>0.25</v>
      </c>
      <c r="F12" s="45">
        <f t="shared" si="0"/>
        <v>79.75</v>
      </c>
      <c r="G12" s="45">
        <f t="shared" si="3"/>
        <v>79.75</v>
      </c>
      <c r="H12" s="45">
        <f t="shared" si="2"/>
        <v>0</v>
      </c>
      <c r="I12" s="46">
        <v>7287174</v>
      </c>
      <c r="J12" s="116"/>
    </row>
    <row r="13" spans="1:11" x14ac:dyDescent="0.25">
      <c r="A13" s="85">
        <v>10</v>
      </c>
      <c r="B13" s="41">
        <v>1276</v>
      </c>
      <c r="C13" s="42" t="s">
        <v>54</v>
      </c>
      <c r="D13" s="62">
        <v>649.5</v>
      </c>
      <c r="E13" s="44">
        <v>0.25</v>
      </c>
      <c r="F13" s="45">
        <f t="shared" si="0"/>
        <v>162.375</v>
      </c>
      <c r="G13" s="45">
        <f t="shared" si="3"/>
        <v>162.375</v>
      </c>
      <c r="H13" s="45">
        <f t="shared" si="2"/>
        <v>0</v>
      </c>
      <c r="I13" s="46">
        <v>334495</v>
      </c>
      <c r="J13" s="116"/>
    </row>
    <row r="14" spans="1:11" x14ac:dyDescent="0.25">
      <c r="A14" s="85">
        <v>11</v>
      </c>
      <c r="B14" s="41">
        <v>1281</v>
      </c>
      <c r="C14" s="42" t="s">
        <v>55</v>
      </c>
      <c r="D14" s="62">
        <v>1856.5</v>
      </c>
      <c r="E14" s="44">
        <v>0.25</v>
      </c>
      <c r="F14" s="45">
        <f t="shared" si="0"/>
        <v>464.125</v>
      </c>
      <c r="G14" s="45">
        <f t="shared" si="3"/>
        <v>464.125</v>
      </c>
      <c r="H14" s="45">
        <f t="shared" si="2"/>
        <v>0</v>
      </c>
      <c r="I14" s="46">
        <v>6310986</v>
      </c>
      <c r="J14" s="116"/>
    </row>
    <row r="15" spans="1:11" x14ac:dyDescent="0.25">
      <c r="A15" s="85">
        <v>12</v>
      </c>
      <c r="B15" s="41">
        <v>1308</v>
      </c>
      <c r="C15" s="42" t="s">
        <v>35</v>
      </c>
      <c r="D15" s="62">
        <v>654</v>
      </c>
      <c r="E15" s="44">
        <v>0.25</v>
      </c>
      <c r="F15" s="45">
        <f t="shared" si="0"/>
        <v>163.5</v>
      </c>
      <c r="G15" s="45">
        <f t="shared" si="3"/>
        <v>163.5</v>
      </c>
      <c r="H15" s="45">
        <f t="shared" si="2"/>
        <v>0</v>
      </c>
      <c r="I15" s="46">
        <v>6225641</v>
      </c>
      <c r="J15" s="116"/>
    </row>
    <row r="16" spans="1:11" x14ac:dyDescent="0.25">
      <c r="A16" s="90">
        <v>13</v>
      </c>
      <c r="B16" s="84">
        <v>1337</v>
      </c>
      <c r="C16" s="54" t="s">
        <v>56</v>
      </c>
      <c r="D16" s="55">
        <v>469.3</v>
      </c>
      <c r="E16" s="56">
        <v>0.25</v>
      </c>
      <c r="F16" s="57">
        <f t="shared" si="0"/>
        <v>117.325</v>
      </c>
      <c r="G16" s="57">
        <f>114.875+2.45</f>
        <v>117.325</v>
      </c>
      <c r="H16" s="57">
        <f t="shared" si="2"/>
        <v>0</v>
      </c>
      <c r="I16" s="58">
        <v>6719626</v>
      </c>
      <c r="J16" s="91">
        <v>45580</v>
      </c>
      <c r="K16" s="130">
        <v>45601</v>
      </c>
    </row>
    <row r="17" spans="1:11" s="65" customFormat="1" ht="15" customHeight="1" x14ac:dyDescent="0.25">
      <c r="A17" s="85">
        <v>14</v>
      </c>
      <c r="B17" s="41">
        <v>1339</v>
      </c>
      <c r="C17" s="42" t="s">
        <v>57</v>
      </c>
      <c r="D17" s="62">
        <v>5181.8</v>
      </c>
      <c r="E17" s="44">
        <v>0.25</v>
      </c>
      <c r="F17" s="45">
        <f t="shared" si="0"/>
        <v>1295.45</v>
      </c>
      <c r="G17" s="45">
        <f>F17</f>
        <v>1295.45</v>
      </c>
      <c r="H17" s="45">
        <f t="shared" si="2"/>
        <v>0</v>
      </c>
      <c r="I17" s="46">
        <v>3090574</v>
      </c>
      <c r="J17" s="116"/>
    </row>
    <row r="18" spans="1:11" s="65" customFormat="1" ht="15" customHeight="1" x14ac:dyDescent="0.25">
      <c r="A18" s="90">
        <v>15</v>
      </c>
      <c r="B18" s="84">
        <v>1340</v>
      </c>
      <c r="C18" s="58" t="s">
        <v>36</v>
      </c>
      <c r="D18" s="55">
        <v>994.2</v>
      </c>
      <c r="E18" s="56">
        <v>0.25</v>
      </c>
      <c r="F18" s="57">
        <f t="shared" si="0"/>
        <v>248.55</v>
      </c>
      <c r="G18" s="57">
        <f>248.475+0.075</f>
        <v>248.54999999999998</v>
      </c>
      <c r="H18" s="57">
        <f t="shared" si="2"/>
        <v>0</v>
      </c>
      <c r="I18" s="60">
        <v>7279274</v>
      </c>
      <c r="J18" s="91">
        <v>45607</v>
      </c>
      <c r="K18" s="177">
        <v>45628</v>
      </c>
    </row>
    <row r="19" spans="1:11" x14ac:dyDescent="0.25">
      <c r="A19" s="85">
        <v>16</v>
      </c>
      <c r="B19" s="41">
        <v>1341</v>
      </c>
      <c r="C19" s="42" t="s">
        <v>58</v>
      </c>
      <c r="D19" s="62">
        <v>1403.6</v>
      </c>
      <c r="E19" s="44">
        <v>0.25</v>
      </c>
      <c r="F19" s="45">
        <f t="shared" si="0"/>
        <v>350.9</v>
      </c>
      <c r="G19" s="45">
        <f>F19</f>
        <v>350.9</v>
      </c>
      <c r="H19" s="45">
        <f t="shared" si="2"/>
        <v>0</v>
      </c>
      <c r="I19" s="46">
        <v>15977579</v>
      </c>
      <c r="J19" s="116"/>
    </row>
    <row r="20" spans="1:11" x14ac:dyDescent="0.25">
      <c r="A20" s="90">
        <v>17</v>
      </c>
      <c r="B20" s="84">
        <v>1342</v>
      </c>
      <c r="C20" s="54" t="s">
        <v>59</v>
      </c>
      <c r="D20" s="66">
        <v>176.3</v>
      </c>
      <c r="E20" s="56">
        <v>0.25</v>
      </c>
      <c r="F20" s="57">
        <f t="shared" si="0"/>
        <v>44.075000000000003</v>
      </c>
      <c r="G20" s="57">
        <f>40.875+3.2</f>
        <v>44.075000000000003</v>
      </c>
      <c r="H20" s="57">
        <f t="shared" si="2"/>
        <v>0</v>
      </c>
      <c r="I20" s="58">
        <v>13950469</v>
      </c>
      <c r="J20" s="91">
        <v>45567</v>
      </c>
      <c r="K20" s="130">
        <v>45628</v>
      </c>
    </row>
    <row r="21" spans="1:11" x14ac:dyDescent="0.25">
      <c r="A21" s="85">
        <v>18</v>
      </c>
      <c r="B21" s="41">
        <v>1343</v>
      </c>
      <c r="C21" s="42" t="s">
        <v>29</v>
      </c>
      <c r="D21" s="62">
        <v>1138.3</v>
      </c>
      <c r="E21" s="44">
        <v>0.25</v>
      </c>
      <c r="F21" s="45">
        <f t="shared" si="0"/>
        <v>284.57499999999999</v>
      </c>
      <c r="G21" s="45">
        <f>F21</f>
        <v>284.57499999999999</v>
      </c>
      <c r="H21" s="45">
        <f t="shared" si="2"/>
        <v>0</v>
      </c>
      <c r="I21" s="46">
        <v>5160297</v>
      </c>
      <c r="J21" s="116"/>
    </row>
    <row r="22" spans="1:11" x14ac:dyDescent="0.25">
      <c r="A22" s="85">
        <v>19</v>
      </c>
      <c r="B22" s="41">
        <v>1345</v>
      </c>
      <c r="C22" s="63" t="s">
        <v>60</v>
      </c>
      <c r="D22" s="62">
        <v>6189</v>
      </c>
      <c r="E22" s="67">
        <v>0.25</v>
      </c>
      <c r="F22" s="45">
        <f>SUM(D22*E22)</f>
        <v>1547.25</v>
      </c>
      <c r="G22" s="45">
        <f t="shared" ref="G22:G24" si="4">F22</f>
        <v>1547.25</v>
      </c>
      <c r="H22" s="45">
        <f t="shared" si="2"/>
        <v>0</v>
      </c>
      <c r="I22" s="63">
        <v>10578952</v>
      </c>
      <c r="J22" s="125"/>
    </row>
    <row r="23" spans="1:11" x14ac:dyDescent="0.25">
      <c r="A23" s="85">
        <v>20</v>
      </c>
      <c r="B23" s="41">
        <v>1349</v>
      </c>
      <c r="C23" s="42" t="s">
        <v>38</v>
      </c>
      <c r="D23" s="62">
        <v>1940.4</v>
      </c>
      <c r="E23" s="44">
        <v>0.25</v>
      </c>
      <c r="F23" s="45">
        <f t="shared" si="0"/>
        <v>485.1</v>
      </c>
      <c r="G23" s="45">
        <f t="shared" si="4"/>
        <v>485.1</v>
      </c>
      <c r="H23" s="45">
        <f t="shared" si="2"/>
        <v>0</v>
      </c>
      <c r="I23" s="46">
        <v>7128679</v>
      </c>
      <c r="J23" s="116"/>
    </row>
    <row r="24" spans="1:11" x14ac:dyDescent="0.25">
      <c r="A24" s="85">
        <v>21</v>
      </c>
      <c r="B24" s="41">
        <v>1350</v>
      </c>
      <c r="C24" s="42" t="s">
        <v>61</v>
      </c>
      <c r="D24" s="62">
        <v>4342.7</v>
      </c>
      <c r="E24" s="44">
        <v>0.25</v>
      </c>
      <c r="F24" s="45">
        <f t="shared" si="0"/>
        <v>1085.675</v>
      </c>
      <c r="G24" s="45">
        <f t="shared" si="4"/>
        <v>1085.675</v>
      </c>
      <c r="H24" s="45">
        <f t="shared" si="2"/>
        <v>0</v>
      </c>
      <c r="I24" s="46">
        <v>6752017</v>
      </c>
      <c r="J24" s="116"/>
    </row>
    <row r="25" spans="1:11" s="141" customFormat="1" ht="31.5" x14ac:dyDescent="0.25">
      <c r="A25" s="134">
        <v>22</v>
      </c>
      <c r="B25" s="135">
        <v>1353</v>
      </c>
      <c r="C25" s="136" t="s">
        <v>62</v>
      </c>
      <c r="D25" s="137">
        <v>5938.8</v>
      </c>
      <c r="E25" s="138">
        <v>0.25</v>
      </c>
      <c r="F25" s="139">
        <f t="shared" si="0"/>
        <v>1484.7</v>
      </c>
      <c r="G25" s="139">
        <v>1484.7</v>
      </c>
      <c r="H25" s="139">
        <f t="shared" si="2"/>
        <v>0</v>
      </c>
      <c r="I25" s="140">
        <v>5217694</v>
      </c>
      <c r="J25" s="142" t="s">
        <v>63</v>
      </c>
    </row>
    <row r="26" spans="1:11" x14ac:dyDescent="0.25">
      <c r="A26" s="85">
        <v>23</v>
      </c>
      <c r="B26" s="41">
        <v>1355</v>
      </c>
      <c r="C26" s="42" t="s">
        <v>64</v>
      </c>
      <c r="D26" s="62">
        <v>2262.3000000000002</v>
      </c>
      <c r="E26" s="44">
        <v>0.25</v>
      </c>
      <c r="F26" s="45">
        <f t="shared" si="0"/>
        <v>565.57500000000005</v>
      </c>
      <c r="G26" s="45">
        <f>F26</f>
        <v>565.57500000000005</v>
      </c>
      <c r="H26" s="45">
        <f t="shared" si="2"/>
        <v>0</v>
      </c>
      <c r="I26" s="46">
        <v>585058</v>
      </c>
      <c r="J26" s="116"/>
    </row>
    <row r="27" spans="1:11" s="183" customFormat="1" x14ac:dyDescent="0.25">
      <c r="A27" s="107">
        <v>24</v>
      </c>
      <c r="B27" s="178">
        <v>1356</v>
      </c>
      <c r="C27" s="179" t="s">
        <v>65</v>
      </c>
      <c r="D27" s="110">
        <v>1315.9</v>
      </c>
      <c r="E27" s="111">
        <v>0.25</v>
      </c>
      <c r="F27" s="112">
        <f t="shared" si="0"/>
        <v>328.97500000000002</v>
      </c>
      <c r="G27" s="112">
        <f>F27</f>
        <v>328.97500000000002</v>
      </c>
      <c r="H27" s="112">
        <f t="shared" si="2"/>
        <v>0</v>
      </c>
      <c r="I27" s="181">
        <v>7494112</v>
      </c>
      <c r="J27" s="142" t="s">
        <v>66</v>
      </c>
    </row>
    <row r="28" spans="1:11" x14ac:dyDescent="0.25">
      <c r="A28" s="85">
        <v>25</v>
      </c>
      <c r="B28" s="41">
        <v>1362</v>
      </c>
      <c r="C28" s="42" t="s">
        <v>15</v>
      </c>
      <c r="D28" s="62">
        <v>1956.6</v>
      </c>
      <c r="E28" s="44">
        <v>0.25</v>
      </c>
      <c r="F28" s="45">
        <f t="shared" si="0"/>
        <v>489.15</v>
      </c>
      <c r="G28" s="45">
        <f>F28</f>
        <v>489.15</v>
      </c>
      <c r="H28" s="45">
        <f t="shared" si="2"/>
        <v>0</v>
      </c>
      <c r="I28" s="46">
        <v>2429041</v>
      </c>
      <c r="J28" s="116"/>
    </row>
    <row r="29" spans="1:11" x14ac:dyDescent="0.25">
      <c r="A29" s="85">
        <v>26</v>
      </c>
      <c r="B29" s="41">
        <v>1363</v>
      </c>
      <c r="C29" s="42" t="s">
        <v>67</v>
      </c>
      <c r="D29" s="62">
        <v>1913.4</v>
      </c>
      <c r="E29" s="44">
        <v>0.25</v>
      </c>
      <c r="F29" s="45">
        <f t="shared" si="0"/>
        <v>478.35</v>
      </c>
      <c r="G29" s="45">
        <f>F29</f>
        <v>478.35</v>
      </c>
      <c r="H29" s="45">
        <f t="shared" si="2"/>
        <v>0</v>
      </c>
      <c r="I29" s="46">
        <v>322352</v>
      </c>
      <c r="J29" s="116"/>
    </row>
    <row r="30" spans="1:11" x14ac:dyDescent="0.25">
      <c r="A30" s="90">
        <v>27</v>
      </c>
      <c r="B30" s="84">
        <v>1364</v>
      </c>
      <c r="C30" s="54" t="s">
        <v>68</v>
      </c>
      <c r="D30" s="55">
        <v>586.1</v>
      </c>
      <c r="E30" s="56">
        <v>0.25</v>
      </c>
      <c r="F30" s="57">
        <f t="shared" si="0"/>
        <v>146.52500000000001</v>
      </c>
      <c r="G30" s="57">
        <f>145.6+0.925</f>
        <v>146.52500000000001</v>
      </c>
      <c r="H30" s="57">
        <f t="shared" si="2"/>
        <v>0</v>
      </c>
      <c r="I30" s="58">
        <v>7113811</v>
      </c>
      <c r="J30" s="91">
        <v>45567</v>
      </c>
      <c r="K30" s="130">
        <v>45607</v>
      </c>
    </row>
    <row r="31" spans="1:11" x14ac:dyDescent="0.25">
      <c r="A31" s="85">
        <v>28</v>
      </c>
      <c r="B31" s="41">
        <v>1366</v>
      </c>
      <c r="C31" s="42" t="s">
        <v>39</v>
      </c>
      <c r="D31" s="62">
        <v>2488.8000000000002</v>
      </c>
      <c r="E31" s="44">
        <v>0.25</v>
      </c>
      <c r="F31" s="45">
        <f t="shared" si="0"/>
        <v>622.20000000000005</v>
      </c>
      <c r="G31" s="45">
        <f>F31</f>
        <v>622.20000000000005</v>
      </c>
      <c r="H31" s="45">
        <f t="shared" si="2"/>
        <v>0</v>
      </c>
      <c r="I31" s="46">
        <v>8318385</v>
      </c>
      <c r="J31" s="116"/>
    </row>
    <row r="32" spans="1:11" x14ac:dyDescent="0.25">
      <c r="A32" s="85">
        <v>29</v>
      </c>
      <c r="B32" s="61">
        <v>1370</v>
      </c>
      <c r="C32" s="52" t="s">
        <v>20</v>
      </c>
      <c r="D32" s="62">
        <v>1859.9</v>
      </c>
      <c r="E32" s="44">
        <v>0.25</v>
      </c>
      <c r="F32" s="45">
        <f t="shared" si="0"/>
        <v>464.97500000000002</v>
      </c>
      <c r="G32" s="45">
        <f t="shared" ref="G32:G34" si="5">F32</f>
        <v>464.97500000000002</v>
      </c>
      <c r="H32" s="45">
        <f t="shared" si="2"/>
        <v>0</v>
      </c>
      <c r="I32" s="42">
        <v>14431965</v>
      </c>
      <c r="J32" s="126"/>
    </row>
    <row r="33" spans="1:11" x14ac:dyDescent="0.25">
      <c r="A33" s="85">
        <v>30</v>
      </c>
      <c r="B33" s="61">
        <v>1371</v>
      </c>
      <c r="C33" s="52" t="s">
        <v>40</v>
      </c>
      <c r="D33" s="62">
        <v>1850.1</v>
      </c>
      <c r="E33" s="44">
        <v>0.25</v>
      </c>
      <c r="F33" s="45">
        <f t="shared" si="0"/>
        <v>462.52499999999998</v>
      </c>
      <c r="G33" s="45">
        <f t="shared" si="5"/>
        <v>462.52499999999998</v>
      </c>
      <c r="H33" s="45">
        <f t="shared" si="2"/>
        <v>0</v>
      </c>
      <c r="I33" s="42">
        <v>990755</v>
      </c>
      <c r="J33" s="126"/>
    </row>
    <row r="34" spans="1:11" x14ac:dyDescent="0.25">
      <c r="A34" s="85">
        <v>31</v>
      </c>
      <c r="B34" s="61">
        <v>1372</v>
      </c>
      <c r="C34" s="52" t="s">
        <v>69</v>
      </c>
      <c r="D34" s="62">
        <v>1860</v>
      </c>
      <c r="E34" s="44">
        <v>0.25</v>
      </c>
      <c r="F34" s="45">
        <f t="shared" si="0"/>
        <v>465</v>
      </c>
      <c r="G34" s="45">
        <f t="shared" si="5"/>
        <v>465</v>
      </c>
      <c r="H34" s="45">
        <f t="shared" si="2"/>
        <v>0</v>
      </c>
      <c r="I34" s="48">
        <v>628655</v>
      </c>
      <c r="J34" s="126"/>
    </row>
    <row r="35" spans="1:11" x14ac:dyDescent="0.25">
      <c r="A35" s="107">
        <v>32</v>
      </c>
      <c r="B35" s="108">
        <v>1373</v>
      </c>
      <c r="C35" s="109" t="s">
        <v>70</v>
      </c>
      <c r="D35" s="110">
        <v>644.4</v>
      </c>
      <c r="E35" s="111">
        <v>0.25</v>
      </c>
      <c r="F35" s="112">
        <f t="shared" si="0"/>
        <v>161.1</v>
      </c>
      <c r="G35" s="112">
        <f>F35</f>
        <v>161.1</v>
      </c>
      <c r="H35" s="112">
        <f t="shared" si="2"/>
        <v>0</v>
      </c>
      <c r="I35" s="113">
        <v>734281</v>
      </c>
      <c r="J35" s="114">
        <v>45301</v>
      </c>
    </row>
    <row r="36" spans="1:11" x14ac:dyDescent="0.25">
      <c r="A36" s="85">
        <v>33</v>
      </c>
      <c r="B36" s="61">
        <v>1375</v>
      </c>
      <c r="C36" s="52" t="s">
        <v>71</v>
      </c>
      <c r="D36" s="62">
        <v>629.29999999999995</v>
      </c>
      <c r="E36" s="44">
        <v>0.25</v>
      </c>
      <c r="F36" s="45">
        <f t="shared" si="0"/>
        <v>157.32499999999999</v>
      </c>
      <c r="G36" s="45">
        <f>F36</f>
        <v>157.32499999999999</v>
      </c>
      <c r="H36" s="45">
        <f t="shared" si="2"/>
        <v>0</v>
      </c>
      <c r="I36" s="48">
        <v>6748627</v>
      </c>
      <c r="J36" s="126"/>
    </row>
    <row r="37" spans="1:11" x14ac:dyDescent="0.25">
      <c r="A37" s="85">
        <v>34</v>
      </c>
      <c r="B37" s="61">
        <v>1377</v>
      </c>
      <c r="C37" s="52" t="s">
        <v>72</v>
      </c>
      <c r="D37" s="62">
        <v>672.1</v>
      </c>
      <c r="E37" s="44">
        <v>0.25</v>
      </c>
      <c r="F37" s="45">
        <f t="shared" si="0"/>
        <v>168.02500000000001</v>
      </c>
      <c r="G37" s="45">
        <f t="shared" ref="G37:G38" si="6">F37</f>
        <v>168.02500000000001</v>
      </c>
      <c r="H37" s="45">
        <f t="shared" si="2"/>
        <v>0</v>
      </c>
      <c r="I37" s="48">
        <v>5160404</v>
      </c>
      <c r="J37" s="126"/>
    </row>
    <row r="38" spans="1:11" x14ac:dyDescent="0.25">
      <c r="A38" s="85">
        <v>35</v>
      </c>
      <c r="B38" s="61">
        <v>1378</v>
      </c>
      <c r="C38" s="52" t="s">
        <v>42</v>
      </c>
      <c r="D38" s="62">
        <v>2268.5</v>
      </c>
      <c r="E38" s="44">
        <v>0.25</v>
      </c>
      <c r="F38" s="45">
        <f t="shared" si="0"/>
        <v>567.125</v>
      </c>
      <c r="G38" s="45">
        <f t="shared" si="6"/>
        <v>567.125</v>
      </c>
      <c r="H38" s="45">
        <f t="shared" si="2"/>
        <v>0</v>
      </c>
      <c r="I38" s="48">
        <v>5996404</v>
      </c>
      <c r="J38" s="126"/>
    </row>
    <row r="39" spans="1:11" s="65" customFormat="1" x14ac:dyDescent="0.25">
      <c r="A39" s="90">
        <v>36</v>
      </c>
      <c r="B39" s="105">
        <v>1381</v>
      </c>
      <c r="C39" s="151" t="s">
        <v>43</v>
      </c>
      <c r="D39" s="55">
        <v>1157.5</v>
      </c>
      <c r="E39" s="56">
        <v>0.25</v>
      </c>
      <c r="F39" s="57">
        <f t="shared" si="0"/>
        <v>289.375</v>
      </c>
      <c r="G39" s="57">
        <f>287.525+1.85</f>
        <v>289.375</v>
      </c>
      <c r="H39" s="57">
        <f t="shared" si="2"/>
        <v>0</v>
      </c>
      <c r="I39" s="59">
        <v>19847623</v>
      </c>
      <c r="J39" s="126">
        <v>45600</v>
      </c>
      <c r="K39" s="152">
        <v>45621</v>
      </c>
    </row>
    <row r="40" spans="1:11" s="65" customFormat="1" x14ac:dyDescent="0.25">
      <c r="A40" s="90">
        <v>37</v>
      </c>
      <c r="B40" s="84">
        <v>1390</v>
      </c>
      <c r="C40" s="54" t="s">
        <v>44</v>
      </c>
      <c r="D40" s="55">
        <v>600.1</v>
      </c>
      <c r="E40" s="56">
        <v>0.25</v>
      </c>
      <c r="F40" s="57">
        <f t="shared" si="0"/>
        <v>150.02500000000001</v>
      </c>
      <c r="G40" s="57">
        <f>F40</f>
        <v>150.02500000000001</v>
      </c>
      <c r="H40" s="57">
        <f t="shared" si="2"/>
        <v>0</v>
      </c>
      <c r="I40" s="58">
        <v>13826903</v>
      </c>
      <c r="J40" s="91">
        <v>45637</v>
      </c>
      <c r="K40" s="154"/>
    </row>
    <row r="41" spans="1:11" s="65" customFormat="1" x14ac:dyDescent="0.25">
      <c r="A41" s="85">
        <v>38</v>
      </c>
      <c r="B41" s="41">
        <v>1392</v>
      </c>
      <c r="C41" s="42" t="s">
        <v>73</v>
      </c>
      <c r="D41" s="62">
        <v>1549.9</v>
      </c>
      <c r="E41" s="44">
        <v>0.25</v>
      </c>
      <c r="F41" s="45">
        <f t="shared" si="0"/>
        <v>387.47500000000002</v>
      </c>
      <c r="G41" s="45">
        <f>F41</f>
        <v>387.47500000000002</v>
      </c>
      <c r="H41" s="45">
        <f t="shared" si="2"/>
        <v>0</v>
      </c>
      <c r="I41" s="46">
        <v>1353348</v>
      </c>
      <c r="J41" s="116"/>
    </row>
    <row r="42" spans="1:11" s="65" customFormat="1" x14ac:dyDescent="0.25">
      <c r="A42" s="90">
        <v>39</v>
      </c>
      <c r="B42" s="105">
        <v>1393</v>
      </c>
      <c r="C42" s="151" t="s">
        <v>45</v>
      </c>
      <c r="D42" s="55">
        <v>627.1</v>
      </c>
      <c r="E42" s="56">
        <v>0.25</v>
      </c>
      <c r="F42" s="57">
        <f t="shared" si="0"/>
        <v>156.77500000000001</v>
      </c>
      <c r="G42" s="57">
        <f>154.3+2.475</f>
        <v>156.77500000000001</v>
      </c>
      <c r="H42" s="57">
        <f t="shared" si="2"/>
        <v>0</v>
      </c>
      <c r="I42" s="59">
        <v>1650389</v>
      </c>
      <c r="J42" s="126">
        <v>45601</v>
      </c>
      <c r="K42" s="65" t="s">
        <v>74</v>
      </c>
    </row>
    <row r="43" spans="1:11" s="65" customFormat="1" x14ac:dyDescent="0.25">
      <c r="A43" s="85">
        <v>40</v>
      </c>
      <c r="B43" s="61">
        <v>1500</v>
      </c>
      <c r="C43" s="52" t="s">
        <v>75</v>
      </c>
      <c r="D43" s="62">
        <v>13</v>
      </c>
      <c r="E43" s="44">
        <v>0.25</v>
      </c>
      <c r="F43" s="45">
        <f t="shared" si="0"/>
        <v>3.25</v>
      </c>
      <c r="G43" s="45">
        <f>F43</f>
        <v>3.25</v>
      </c>
      <c r="H43" s="45">
        <f t="shared" si="2"/>
        <v>0</v>
      </c>
      <c r="I43" s="48">
        <v>19567469</v>
      </c>
      <c r="J43" s="126"/>
    </row>
    <row r="44" spans="1:11" s="65" customFormat="1" x14ac:dyDescent="0.25">
      <c r="A44" s="90">
        <v>41</v>
      </c>
      <c r="B44" s="105">
        <v>1501</v>
      </c>
      <c r="C44" s="131" t="s">
        <v>76</v>
      </c>
      <c r="D44" s="132">
        <v>365</v>
      </c>
      <c r="E44" s="56">
        <v>0.25</v>
      </c>
      <c r="F44" s="57">
        <f t="shared" si="0"/>
        <v>91.25</v>
      </c>
      <c r="G44" s="57">
        <f>90.025+1.225</f>
        <v>91.25</v>
      </c>
      <c r="H44" s="57">
        <f t="shared" si="2"/>
        <v>0</v>
      </c>
      <c r="I44" s="59">
        <v>25657583</v>
      </c>
      <c r="J44" s="133">
        <v>45332</v>
      </c>
      <c r="K44" s="152">
        <v>45658</v>
      </c>
    </row>
    <row r="45" spans="1:11" s="65" customFormat="1" x14ac:dyDescent="0.25">
      <c r="A45" s="85">
        <v>42</v>
      </c>
      <c r="B45" s="61">
        <v>1503</v>
      </c>
      <c r="C45" s="89" t="s">
        <v>77</v>
      </c>
      <c r="D45" s="88">
        <v>655.8</v>
      </c>
      <c r="E45" s="44">
        <v>0.25</v>
      </c>
      <c r="F45" s="45">
        <f>SUM(D45*E45)</f>
        <v>163.95</v>
      </c>
      <c r="G45" s="45">
        <f>F45</f>
        <v>163.95</v>
      </c>
      <c r="H45" s="45">
        <f t="shared" si="2"/>
        <v>0</v>
      </c>
      <c r="I45" s="48">
        <v>8930607</v>
      </c>
      <c r="J45" s="127" t="s">
        <v>78</v>
      </c>
      <c r="K45" s="7"/>
    </row>
    <row r="46" spans="1:11" x14ac:dyDescent="0.25">
      <c r="A46" s="134">
        <v>43</v>
      </c>
      <c r="B46" s="146">
        <v>1504</v>
      </c>
      <c r="C46" s="147" t="s">
        <v>79</v>
      </c>
      <c r="D46" s="148">
        <v>770</v>
      </c>
      <c r="E46" s="138">
        <v>0.25</v>
      </c>
      <c r="F46" s="139">
        <f>SUM(D46*E46)</f>
        <v>192.5</v>
      </c>
      <c r="G46" s="139">
        <f>F46</f>
        <v>192.5</v>
      </c>
      <c r="H46" s="139">
        <f t="shared" si="2"/>
        <v>0</v>
      </c>
      <c r="I46" s="149">
        <v>381215</v>
      </c>
      <c r="J46" s="150" t="s">
        <v>80</v>
      </c>
    </row>
    <row r="47" spans="1:11" x14ac:dyDescent="0.25">
      <c r="A47" s="86"/>
      <c r="B47" s="86"/>
      <c r="C47" s="86"/>
      <c r="D47" s="88">
        <f>SUM(D4:D46)</f>
        <v>68327.900000000009</v>
      </c>
      <c r="E47" s="87"/>
      <c r="F47" s="45">
        <f>SUM(F4:F46)</f>
        <v>17081.975000000002</v>
      </c>
      <c r="G47" s="45">
        <f t="shared" ref="G47:H47" si="7">SUM(G4:G46)</f>
        <v>17081.975000000002</v>
      </c>
      <c r="H47" s="45">
        <f t="shared" si="7"/>
        <v>0</v>
      </c>
      <c r="I47" s="86"/>
      <c r="J47" s="128"/>
    </row>
    <row r="50" spans="2:10" x14ac:dyDescent="0.25">
      <c r="B50" s="83"/>
      <c r="C50" s="83"/>
      <c r="D50" s="7"/>
      <c r="I50" s="7" t="s">
        <v>23</v>
      </c>
      <c r="J50" s="130"/>
    </row>
    <row r="51" spans="2:10" x14ac:dyDescent="0.25">
      <c r="B51" s="83"/>
      <c r="C51" s="83"/>
      <c r="D51" s="7"/>
      <c r="J51" s="130"/>
    </row>
    <row r="52" spans="2:10" x14ac:dyDescent="0.25">
      <c r="B52" s="83"/>
      <c r="C52" s="83"/>
      <c r="D52" s="7"/>
      <c r="J52" s="130"/>
    </row>
    <row r="53" spans="2:10" x14ac:dyDescent="0.25">
      <c r="B53" s="83"/>
      <c r="C53" s="83"/>
      <c r="D53" s="7"/>
      <c r="J53" s="130"/>
    </row>
    <row r="54" spans="2:10" x14ac:dyDescent="0.25">
      <c r="B54" s="83"/>
      <c r="C54" s="83"/>
      <c r="D54" s="7"/>
      <c r="J54" s="130"/>
    </row>
  </sheetData>
  <autoFilter ref="A2:K47" xr:uid="{95E57D74-0FD7-46AB-9E8F-4ED5298D30F2}"/>
  <mergeCells count="11">
    <mergeCell ref="J2:J3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28B0-9C42-44EE-9A16-5D5FD1EBF07A}">
  <sheetPr filterMode="1"/>
  <dimension ref="A1:O54"/>
  <sheetViews>
    <sheetView view="pageBreakPreview" zoomScale="96" zoomScaleNormal="96" zoomScaleSheetLayoutView="96" workbookViewId="0">
      <pane xSplit="3" ySplit="3" topLeftCell="D22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3.42578125" style="7" customWidth="1"/>
    <col min="10" max="10" width="26" style="83" customWidth="1"/>
    <col min="11" max="12" width="11.5703125" style="7" bestFit="1" customWidth="1"/>
    <col min="13" max="13" width="11.28515625" style="7" bestFit="1" customWidth="1"/>
    <col min="14" max="14" width="9" style="7"/>
    <col min="15" max="15" width="21.7109375" style="7" bestFit="1" customWidth="1"/>
    <col min="16" max="16384" width="9" style="7"/>
  </cols>
  <sheetData>
    <row r="1" spans="1:11" x14ac:dyDescent="0.25">
      <c r="A1" s="246" t="s">
        <v>81</v>
      </c>
      <c r="B1" s="246"/>
      <c r="C1" s="246"/>
      <c r="D1" s="246"/>
      <c r="E1" s="246"/>
      <c r="F1" s="246"/>
      <c r="G1" s="246"/>
      <c r="H1" s="246"/>
      <c r="I1" s="246"/>
      <c r="J1" s="39"/>
    </row>
    <row r="2" spans="1:11" ht="15.75" customHeight="1" x14ac:dyDescent="0.25">
      <c r="A2" s="247" t="s">
        <v>1</v>
      </c>
      <c r="B2" s="247" t="s">
        <v>2</v>
      </c>
      <c r="C2" s="247" t="s">
        <v>3</v>
      </c>
      <c r="D2" s="247" t="s">
        <v>4</v>
      </c>
      <c r="E2" s="247" t="s">
        <v>5</v>
      </c>
      <c r="F2" s="247" t="s">
        <v>6</v>
      </c>
      <c r="G2" s="247" t="s">
        <v>7</v>
      </c>
      <c r="H2" s="247" t="s">
        <v>8</v>
      </c>
      <c r="I2" s="247" t="s">
        <v>9</v>
      </c>
      <c r="J2" s="245" t="s">
        <v>14</v>
      </c>
    </row>
    <row r="3" spans="1:11" x14ac:dyDescent="0.25">
      <c r="A3" s="247"/>
      <c r="B3" s="247"/>
      <c r="C3" s="247"/>
      <c r="D3" s="247"/>
      <c r="E3" s="247"/>
      <c r="F3" s="247"/>
      <c r="G3" s="247"/>
      <c r="H3" s="247"/>
      <c r="I3" s="247"/>
      <c r="J3" s="245"/>
    </row>
    <row r="4" spans="1:11" x14ac:dyDescent="0.25">
      <c r="A4" s="190">
        <v>1</v>
      </c>
      <c r="B4" s="191">
        <v>1010</v>
      </c>
      <c r="C4" s="192" t="s">
        <v>47</v>
      </c>
      <c r="D4" s="200">
        <v>2046.9</v>
      </c>
      <c r="E4" s="194">
        <v>0.25</v>
      </c>
      <c r="F4" s="195">
        <f t="shared" ref="F4:F43" si="0">SUM(D4*E4)</f>
        <v>511.72500000000002</v>
      </c>
      <c r="G4" s="195">
        <f>F4</f>
        <v>511.72500000000002</v>
      </c>
      <c r="H4" s="195">
        <f t="shared" ref="H4:H46" si="1">F4-G4</f>
        <v>0</v>
      </c>
      <c r="I4" s="196">
        <v>315313</v>
      </c>
      <c r="J4" s="197" t="s">
        <v>82</v>
      </c>
    </row>
    <row r="5" spans="1:11" x14ac:dyDescent="0.25">
      <c r="A5" s="85">
        <v>2</v>
      </c>
      <c r="B5" s="41">
        <v>1038</v>
      </c>
      <c r="C5" s="42" t="s">
        <v>48</v>
      </c>
      <c r="D5" s="43">
        <v>2016.8</v>
      </c>
      <c r="E5" s="44">
        <v>0.25</v>
      </c>
      <c r="F5" s="45">
        <f t="shared" si="0"/>
        <v>504.2</v>
      </c>
      <c r="G5" s="45">
        <f>F5</f>
        <v>504.2</v>
      </c>
      <c r="H5" s="45">
        <f t="shared" si="1"/>
        <v>0</v>
      </c>
      <c r="I5" s="46">
        <v>5247837</v>
      </c>
      <c r="J5" s="51"/>
    </row>
    <row r="6" spans="1:11" x14ac:dyDescent="0.25">
      <c r="A6" s="85">
        <v>3</v>
      </c>
      <c r="B6" s="41">
        <v>1065</v>
      </c>
      <c r="C6" s="42" t="s">
        <v>49</v>
      </c>
      <c r="D6" s="43">
        <v>642.29999999999995</v>
      </c>
      <c r="E6" s="44">
        <v>0.25</v>
      </c>
      <c r="F6" s="45">
        <f t="shared" si="0"/>
        <v>160.57499999999999</v>
      </c>
      <c r="G6" s="45">
        <f>F6</f>
        <v>160.57499999999999</v>
      </c>
      <c r="H6" s="45">
        <f t="shared" si="1"/>
        <v>0</v>
      </c>
      <c r="I6" s="46">
        <v>1276058</v>
      </c>
      <c r="J6" s="51"/>
    </row>
    <row r="7" spans="1:11" x14ac:dyDescent="0.25">
      <c r="A7" s="90">
        <v>4</v>
      </c>
      <c r="B7" s="84">
        <v>1071</v>
      </c>
      <c r="C7" s="54" t="s">
        <v>31</v>
      </c>
      <c r="D7" s="55">
        <v>645.6</v>
      </c>
      <c r="E7" s="56">
        <v>0.25</v>
      </c>
      <c r="F7" s="57">
        <f t="shared" si="0"/>
        <v>161.4</v>
      </c>
      <c r="G7" s="57">
        <f>158.075+3.325</f>
        <v>161.39999999999998</v>
      </c>
      <c r="H7" s="57">
        <f t="shared" si="1"/>
        <v>0</v>
      </c>
      <c r="I7" s="58">
        <v>390741</v>
      </c>
      <c r="J7" s="91">
        <v>45602</v>
      </c>
      <c r="K7" s="130">
        <v>45621</v>
      </c>
    </row>
    <row r="8" spans="1:11" x14ac:dyDescent="0.25">
      <c r="A8" s="90">
        <v>5</v>
      </c>
      <c r="B8" s="84">
        <v>1086</v>
      </c>
      <c r="C8" s="54" t="s">
        <v>27</v>
      </c>
      <c r="D8" s="55">
        <v>1304.7</v>
      </c>
      <c r="E8" s="56">
        <v>0.25</v>
      </c>
      <c r="F8" s="57">
        <f t="shared" si="0"/>
        <v>326.17500000000001</v>
      </c>
      <c r="G8" s="57">
        <f>324.575+1.6</f>
        <v>326.17500000000001</v>
      </c>
      <c r="H8" s="57">
        <f t="shared" si="1"/>
        <v>0</v>
      </c>
      <c r="I8" s="58">
        <v>2379573</v>
      </c>
      <c r="J8" s="91">
        <v>45628</v>
      </c>
      <c r="K8" s="130">
        <v>45650</v>
      </c>
    </row>
    <row r="9" spans="1:11" x14ac:dyDescent="0.25">
      <c r="A9" s="117">
        <v>6</v>
      </c>
      <c r="B9" s="118">
        <v>1123</v>
      </c>
      <c r="C9" s="119" t="s">
        <v>33</v>
      </c>
      <c r="D9" s="120">
        <v>1320.6</v>
      </c>
      <c r="E9" s="121">
        <v>0.25</v>
      </c>
      <c r="F9" s="122">
        <f t="shared" si="0"/>
        <v>330.15</v>
      </c>
      <c r="G9" s="122">
        <f>F9</f>
        <v>330.15</v>
      </c>
      <c r="H9" s="122">
        <f t="shared" si="1"/>
        <v>0</v>
      </c>
      <c r="I9" s="123">
        <v>655141</v>
      </c>
      <c r="J9" s="145" t="s">
        <v>50</v>
      </c>
    </row>
    <row r="10" spans="1:11" s="154" customFormat="1" x14ac:dyDescent="0.25">
      <c r="A10" s="90">
        <v>7</v>
      </c>
      <c r="B10" s="105">
        <v>1130</v>
      </c>
      <c r="C10" s="151" t="s">
        <v>51</v>
      </c>
      <c r="D10" s="55">
        <v>1149.2</v>
      </c>
      <c r="E10" s="56">
        <v>0.25</v>
      </c>
      <c r="F10" s="57">
        <f t="shared" si="0"/>
        <v>287.3</v>
      </c>
      <c r="G10" s="57">
        <f>F10</f>
        <v>287.3</v>
      </c>
      <c r="H10" s="57">
        <f t="shared" si="1"/>
        <v>0</v>
      </c>
      <c r="I10" s="58">
        <v>5485645</v>
      </c>
      <c r="J10" s="91">
        <v>45810</v>
      </c>
    </row>
    <row r="11" spans="1:11" x14ac:dyDescent="0.25">
      <c r="A11" s="85">
        <v>8</v>
      </c>
      <c r="B11" s="41">
        <v>1152</v>
      </c>
      <c r="C11" s="42" t="s">
        <v>52</v>
      </c>
      <c r="D11" s="62">
        <v>1834.5</v>
      </c>
      <c r="E11" s="44">
        <v>0.25</v>
      </c>
      <c r="F11" s="45">
        <f t="shared" si="0"/>
        <v>458.625</v>
      </c>
      <c r="G11" s="45">
        <f>F11</f>
        <v>458.625</v>
      </c>
      <c r="H11" s="45">
        <f t="shared" si="1"/>
        <v>0</v>
      </c>
      <c r="I11" s="46">
        <v>5254327</v>
      </c>
      <c r="J11" s="51"/>
    </row>
    <row r="12" spans="1:11" s="154" customFormat="1" x14ac:dyDescent="0.25">
      <c r="A12" s="90">
        <v>9</v>
      </c>
      <c r="B12" s="84">
        <v>1200</v>
      </c>
      <c r="C12" s="54" t="s">
        <v>53</v>
      </c>
      <c r="D12" s="55">
        <v>209.3</v>
      </c>
      <c r="E12" s="56">
        <v>0.25</v>
      </c>
      <c r="F12" s="57">
        <f t="shared" si="0"/>
        <v>52.325000000000003</v>
      </c>
      <c r="G12" s="57">
        <f>50.05+2.275</f>
        <v>52.324999999999996</v>
      </c>
      <c r="H12" s="57">
        <f t="shared" si="1"/>
        <v>0</v>
      </c>
      <c r="I12" s="58">
        <v>7287174</v>
      </c>
      <c r="J12" s="91">
        <v>45644</v>
      </c>
      <c r="K12" s="177">
        <v>45656</v>
      </c>
    </row>
    <row r="13" spans="1:11" x14ac:dyDescent="0.25">
      <c r="A13" s="85">
        <v>10</v>
      </c>
      <c r="B13" s="41">
        <v>1276</v>
      </c>
      <c r="C13" s="42" t="s">
        <v>54</v>
      </c>
      <c r="D13" s="62">
        <v>640.70000000000005</v>
      </c>
      <c r="E13" s="44">
        <v>0.25</v>
      </c>
      <c r="F13" s="45">
        <f t="shared" si="0"/>
        <v>160.17500000000001</v>
      </c>
      <c r="G13" s="45">
        <f>F13</f>
        <v>160.17500000000001</v>
      </c>
      <c r="H13" s="45">
        <f t="shared" si="1"/>
        <v>0</v>
      </c>
      <c r="I13" s="46">
        <v>334495</v>
      </c>
      <c r="J13" s="51"/>
    </row>
    <row r="14" spans="1:11" x14ac:dyDescent="0.25">
      <c r="A14" s="85">
        <v>11</v>
      </c>
      <c r="B14" s="41">
        <v>1281</v>
      </c>
      <c r="C14" s="42" t="s">
        <v>55</v>
      </c>
      <c r="D14" s="62">
        <v>1854.8</v>
      </c>
      <c r="E14" s="44">
        <v>0.25</v>
      </c>
      <c r="F14" s="45">
        <f t="shared" si="0"/>
        <v>463.7</v>
      </c>
      <c r="G14" s="45">
        <f t="shared" ref="G14:G15" si="2">F14</f>
        <v>463.7</v>
      </c>
      <c r="H14" s="45">
        <f t="shared" si="1"/>
        <v>0</v>
      </c>
      <c r="I14" s="46">
        <v>6310986</v>
      </c>
      <c r="J14" s="51"/>
    </row>
    <row r="15" spans="1:11" x14ac:dyDescent="0.25">
      <c r="A15" s="85">
        <v>12</v>
      </c>
      <c r="B15" s="41">
        <v>1308</v>
      </c>
      <c r="C15" s="42" t="s">
        <v>35</v>
      </c>
      <c r="D15" s="62">
        <v>650.29999999999995</v>
      </c>
      <c r="E15" s="44">
        <v>0.25</v>
      </c>
      <c r="F15" s="45">
        <f t="shared" si="0"/>
        <v>162.57499999999999</v>
      </c>
      <c r="G15" s="45">
        <f t="shared" si="2"/>
        <v>162.57499999999999</v>
      </c>
      <c r="H15" s="45">
        <f t="shared" si="1"/>
        <v>0</v>
      </c>
      <c r="I15" s="46">
        <v>6225641</v>
      </c>
      <c r="J15" s="51"/>
    </row>
    <row r="16" spans="1:11" s="154" customFormat="1" x14ac:dyDescent="0.25">
      <c r="A16" s="90">
        <v>13</v>
      </c>
      <c r="B16" s="84">
        <v>1337</v>
      </c>
      <c r="C16" s="54" t="s">
        <v>56</v>
      </c>
      <c r="D16" s="55">
        <v>610.1</v>
      </c>
      <c r="E16" s="56">
        <v>0.25</v>
      </c>
      <c r="F16" s="57">
        <f t="shared" si="0"/>
        <v>152.52500000000001</v>
      </c>
      <c r="G16" s="57">
        <f>149.3+3.225</f>
        <v>152.52500000000001</v>
      </c>
      <c r="H16" s="57">
        <f t="shared" si="1"/>
        <v>0</v>
      </c>
      <c r="I16" s="58">
        <v>6719626</v>
      </c>
      <c r="J16" s="91">
        <v>45628</v>
      </c>
      <c r="K16" s="177">
        <v>45644</v>
      </c>
    </row>
    <row r="17" spans="1:15" s="65" customFormat="1" ht="15" customHeight="1" x14ac:dyDescent="0.25">
      <c r="A17" s="85">
        <v>14</v>
      </c>
      <c r="B17" s="41">
        <v>1339</v>
      </c>
      <c r="C17" s="42" t="s">
        <v>57</v>
      </c>
      <c r="D17" s="62">
        <v>3036.4</v>
      </c>
      <c r="E17" s="44">
        <v>0.25</v>
      </c>
      <c r="F17" s="45">
        <f t="shared" si="0"/>
        <v>759.1</v>
      </c>
      <c r="G17" s="45">
        <f>F17</f>
        <v>759.1</v>
      </c>
      <c r="H17" s="45">
        <f t="shared" si="1"/>
        <v>0</v>
      </c>
      <c r="I17" s="46">
        <v>3090574</v>
      </c>
      <c r="J17" s="51"/>
    </row>
    <row r="18" spans="1:15" s="65" customFormat="1" ht="15" customHeight="1" x14ac:dyDescent="0.25">
      <c r="A18" s="90">
        <v>15</v>
      </c>
      <c r="B18" s="84">
        <v>1340</v>
      </c>
      <c r="C18" s="58" t="s">
        <v>36</v>
      </c>
      <c r="D18" s="55">
        <v>631.20000000000005</v>
      </c>
      <c r="E18" s="56">
        <v>0.25</v>
      </c>
      <c r="F18" s="57">
        <f t="shared" si="0"/>
        <v>157.80000000000001</v>
      </c>
      <c r="G18" s="57">
        <f>F18</f>
        <v>157.80000000000001</v>
      </c>
      <c r="H18" s="57">
        <f t="shared" si="1"/>
        <v>0</v>
      </c>
      <c r="I18" s="60">
        <v>7279274</v>
      </c>
      <c r="J18" s="91">
        <v>45628</v>
      </c>
    </row>
    <row r="19" spans="1:15" x14ac:dyDescent="0.25">
      <c r="A19" s="85">
        <v>16</v>
      </c>
      <c r="B19" s="41">
        <v>1341</v>
      </c>
      <c r="C19" s="42" t="s">
        <v>58</v>
      </c>
      <c r="D19" s="62">
        <v>1410.8</v>
      </c>
      <c r="E19" s="44">
        <v>0.25</v>
      </c>
      <c r="F19" s="45">
        <f t="shared" si="0"/>
        <v>352.7</v>
      </c>
      <c r="G19" s="45">
        <f>F19</f>
        <v>352.7</v>
      </c>
      <c r="H19" s="45">
        <f t="shared" si="1"/>
        <v>0</v>
      </c>
      <c r="I19" s="46">
        <v>15977579</v>
      </c>
      <c r="J19" s="51"/>
    </row>
    <row r="20" spans="1:15" x14ac:dyDescent="0.25">
      <c r="A20" s="90">
        <v>17</v>
      </c>
      <c r="B20" s="84">
        <v>1343</v>
      </c>
      <c r="C20" s="54" t="s">
        <v>29</v>
      </c>
      <c r="D20" s="55">
        <v>1177.4000000000001</v>
      </c>
      <c r="E20" s="56">
        <v>0.25</v>
      </c>
      <c r="F20" s="57">
        <f t="shared" si="0"/>
        <v>294.35000000000002</v>
      </c>
      <c r="G20" s="57">
        <f>1.7+188.7+103.95</f>
        <v>294.34999999999997</v>
      </c>
      <c r="H20" s="57">
        <f t="shared" si="1"/>
        <v>0</v>
      </c>
      <c r="I20" s="58">
        <v>5160297</v>
      </c>
      <c r="J20" s="91">
        <v>45644</v>
      </c>
      <c r="K20" s="130">
        <v>45650</v>
      </c>
      <c r="M20" s="7" t="s">
        <v>83</v>
      </c>
      <c r="O20" s="130">
        <v>45665</v>
      </c>
    </row>
    <row r="21" spans="1:15" x14ac:dyDescent="0.25">
      <c r="A21" s="85">
        <v>18</v>
      </c>
      <c r="B21" s="41">
        <v>1345</v>
      </c>
      <c r="C21" s="63" t="s">
        <v>60</v>
      </c>
      <c r="D21" s="62">
        <v>6164.7</v>
      </c>
      <c r="E21" s="67">
        <v>0.25</v>
      </c>
      <c r="F21" s="45">
        <f>SUM(D21*E21)</f>
        <v>1541.175</v>
      </c>
      <c r="G21" s="45">
        <f>F21</f>
        <v>1541.175</v>
      </c>
      <c r="H21" s="45">
        <f t="shared" si="1"/>
        <v>0</v>
      </c>
      <c r="I21" s="63">
        <v>10578952</v>
      </c>
      <c r="J21" s="64"/>
    </row>
    <row r="22" spans="1:15" x14ac:dyDescent="0.25">
      <c r="A22" s="85">
        <v>19</v>
      </c>
      <c r="B22" s="41">
        <v>1349</v>
      </c>
      <c r="C22" s="42" t="s">
        <v>38</v>
      </c>
      <c r="D22" s="62">
        <v>1922.4</v>
      </c>
      <c r="E22" s="44">
        <v>0.25</v>
      </c>
      <c r="F22" s="45">
        <f t="shared" si="0"/>
        <v>480.6</v>
      </c>
      <c r="G22" s="45">
        <f t="shared" ref="G22:G23" si="3">F22</f>
        <v>480.6</v>
      </c>
      <c r="H22" s="45">
        <f t="shared" si="1"/>
        <v>0</v>
      </c>
      <c r="I22" s="46">
        <v>7128679</v>
      </c>
      <c r="J22" s="51"/>
    </row>
    <row r="23" spans="1:15" x14ac:dyDescent="0.25">
      <c r="A23" s="85">
        <v>20</v>
      </c>
      <c r="B23" s="41">
        <v>1350</v>
      </c>
      <c r="C23" s="42" t="s">
        <v>61</v>
      </c>
      <c r="D23" s="62">
        <v>4420.8999999999996</v>
      </c>
      <c r="E23" s="44">
        <v>0.25</v>
      </c>
      <c r="F23" s="45">
        <f t="shared" si="0"/>
        <v>1105.2249999999999</v>
      </c>
      <c r="G23" s="45">
        <f t="shared" si="3"/>
        <v>1105.2249999999999</v>
      </c>
      <c r="H23" s="45">
        <f t="shared" si="1"/>
        <v>0</v>
      </c>
      <c r="I23" s="46">
        <v>6752017</v>
      </c>
      <c r="J23" s="51"/>
    </row>
    <row r="24" spans="1:15" s="183" customFormat="1" x14ac:dyDescent="0.25">
      <c r="A24" s="107">
        <v>21</v>
      </c>
      <c r="B24" s="178">
        <v>1353</v>
      </c>
      <c r="C24" s="179" t="s">
        <v>62</v>
      </c>
      <c r="D24" s="180">
        <v>6112.9</v>
      </c>
      <c r="E24" s="111">
        <v>0.25</v>
      </c>
      <c r="F24" s="112">
        <f t="shared" si="0"/>
        <v>1528.2249999999999</v>
      </c>
      <c r="G24" s="112">
        <v>1528.2249999999999</v>
      </c>
      <c r="H24" s="112">
        <f t="shared" si="1"/>
        <v>0</v>
      </c>
      <c r="I24" s="181">
        <v>5217694</v>
      </c>
      <c r="J24" s="182" t="s">
        <v>66</v>
      </c>
    </row>
    <row r="25" spans="1:15" s="198" customFormat="1" ht="18" customHeight="1" x14ac:dyDescent="0.25">
      <c r="A25" s="190">
        <v>22</v>
      </c>
      <c r="B25" s="191">
        <v>1355</v>
      </c>
      <c r="C25" s="192" t="s">
        <v>64</v>
      </c>
      <c r="D25" s="193">
        <v>2359.8000000000002</v>
      </c>
      <c r="E25" s="194">
        <v>0.25</v>
      </c>
      <c r="F25" s="195">
        <f t="shared" si="0"/>
        <v>589.95000000000005</v>
      </c>
      <c r="G25" s="195">
        <f>F25</f>
        <v>589.95000000000005</v>
      </c>
      <c r="H25" s="195">
        <f t="shared" si="1"/>
        <v>0</v>
      </c>
      <c r="I25" s="196">
        <v>585058</v>
      </c>
      <c r="J25" s="197" t="s">
        <v>84</v>
      </c>
    </row>
    <row r="26" spans="1:15" s="183" customFormat="1" x14ac:dyDescent="0.25">
      <c r="A26" s="107">
        <v>23</v>
      </c>
      <c r="B26" s="178">
        <v>1356</v>
      </c>
      <c r="C26" s="179" t="s">
        <v>65</v>
      </c>
      <c r="D26" s="110">
        <v>1311.8</v>
      </c>
      <c r="E26" s="111">
        <v>0.25</v>
      </c>
      <c r="F26" s="112">
        <f t="shared" si="0"/>
        <v>327.95</v>
      </c>
      <c r="G26" s="112">
        <f>F26</f>
        <v>327.95</v>
      </c>
      <c r="H26" s="112">
        <f t="shared" si="1"/>
        <v>0</v>
      </c>
      <c r="I26" s="181">
        <v>7494112</v>
      </c>
      <c r="J26" s="182" t="s">
        <v>66</v>
      </c>
    </row>
    <row r="27" spans="1:15" x14ac:dyDescent="0.25">
      <c r="A27" s="90">
        <v>24</v>
      </c>
      <c r="B27" s="84">
        <v>1362</v>
      </c>
      <c r="C27" s="54" t="s">
        <v>15</v>
      </c>
      <c r="D27" s="55">
        <v>2248.8000000000002</v>
      </c>
      <c r="E27" s="56">
        <v>0.25</v>
      </c>
      <c r="F27" s="57">
        <f t="shared" si="0"/>
        <v>562.20000000000005</v>
      </c>
      <c r="G27" s="57">
        <f>560.6+1.6</f>
        <v>562.20000000000005</v>
      </c>
      <c r="H27" s="57">
        <f t="shared" si="1"/>
        <v>0</v>
      </c>
      <c r="I27" s="58">
        <v>2429041</v>
      </c>
      <c r="J27" s="91">
        <v>45691</v>
      </c>
      <c r="K27" s="7" t="s">
        <v>196</v>
      </c>
    </row>
    <row r="28" spans="1:15" x14ac:dyDescent="0.25">
      <c r="A28" s="85">
        <v>25</v>
      </c>
      <c r="B28" s="41">
        <v>1363</v>
      </c>
      <c r="C28" s="42" t="s">
        <v>67</v>
      </c>
      <c r="D28" s="62">
        <v>1359.7</v>
      </c>
      <c r="E28" s="44">
        <v>0.25</v>
      </c>
      <c r="F28" s="45">
        <f t="shared" si="0"/>
        <v>339.92500000000001</v>
      </c>
      <c r="G28" s="45">
        <f>F28</f>
        <v>339.92500000000001</v>
      </c>
      <c r="H28" s="45">
        <f t="shared" si="1"/>
        <v>0</v>
      </c>
      <c r="I28" s="46">
        <v>322352</v>
      </c>
      <c r="J28" s="51"/>
    </row>
    <row r="29" spans="1:15" x14ac:dyDescent="0.25">
      <c r="A29" s="90">
        <v>26</v>
      </c>
      <c r="B29" s="84">
        <v>1364</v>
      </c>
      <c r="C29" s="54" t="s">
        <v>68</v>
      </c>
      <c r="D29" s="55">
        <v>608.1</v>
      </c>
      <c r="E29" s="56">
        <v>0.25</v>
      </c>
      <c r="F29" s="57">
        <f t="shared" si="0"/>
        <v>152.02500000000001</v>
      </c>
      <c r="G29" s="57">
        <f>149.225+2.8</f>
        <v>152.02500000000001</v>
      </c>
      <c r="H29" s="57">
        <f t="shared" si="1"/>
        <v>0</v>
      </c>
      <c r="I29" s="58">
        <v>7113811</v>
      </c>
      <c r="J29" s="91">
        <v>45607</v>
      </c>
      <c r="K29" s="130">
        <v>45637</v>
      </c>
    </row>
    <row r="30" spans="1:15" x14ac:dyDescent="0.25">
      <c r="A30" s="90">
        <v>27</v>
      </c>
      <c r="B30" s="84">
        <v>1366</v>
      </c>
      <c r="C30" s="54" t="s">
        <v>39</v>
      </c>
      <c r="D30" s="55">
        <v>2468.4</v>
      </c>
      <c r="E30" s="56">
        <v>0.25</v>
      </c>
      <c r="F30" s="57">
        <f t="shared" si="0"/>
        <v>617.1</v>
      </c>
      <c r="G30" s="57">
        <f>209.875+141+264.25+1.975</f>
        <v>617.1</v>
      </c>
      <c r="H30" s="57">
        <f t="shared" si="1"/>
        <v>0</v>
      </c>
      <c r="I30" s="58">
        <v>8318385</v>
      </c>
      <c r="J30" s="91">
        <v>45644</v>
      </c>
      <c r="K30" s="130">
        <v>45656</v>
      </c>
      <c r="L30" s="130">
        <v>45658</v>
      </c>
      <c r="M30" s="130">
        <v>45663</v>
      </c>
    </row>
    <row r="31" spans="1:15" x14ac:dyDescent="0.25">
      <c r="A31" s="85">
        <v>28</v>
      </c>
      <c r="B31" s="61">
        <v>1370</v>
      </c>
      <c r="C31" s="52" t="s">
        <v>20</v>
      </c>
      <c r="D31" s="62">
        <v>1860</v>
      </c>
      <c r="E31" s="44">
        <v>0.25</v>
      </c>
      <c r="F31" s="45">
        <f t="shared" si="0"/>
        <v>465</v>
      </c>
      <c r="G31" s="45">
        <f>F31</f>
        <v>465</v>
      </c>
      <c r="H31" s="45">
        <f t="shared" si="1"/>
        <v>0</v>
      </c>
      <c r="I31" s="42">
        <v>14431965</v>
      </c>
      <c r="J31" s="70"/>
    </row>
    <row r="32" spans="1:15" x14ac:dyDescent="0.25">
      <c r="A32" s="90">
        <v>29</v>
      </c>
      <c r="B32" s="105">
        <v>1371</v>
      </c>
      <c r="C32" s="151" t="s">
        <v>40</v>
      </c>
      <c r="D32" s="55">
        <v>1859.8</v>
      </c>
      <c r="E32" s="56">
        <v>0.25</v>
      </c>
      <c r="F32" s="57">
        <f t="shared" si="0"/>
        <v>464.95</v>
      </c>
      <c r="G32" s="57">
        <f>225.15+239.45</f>
        <v>464.6</v>
      </c>
      <c r="H32" s="57">
        <f t="shared" si="1"/>
        <v>0.34999999999996589</v>
      </c>
      <c r="I32" s="54">
        <v>990755</v>
      </c>
      <c r="J32" s="172">
        <v>45677</v>
      </c>
      <c r="K32" s="130">
        <v>45691</v>
      </c>
    </row>
    <row r="33" spans="1:11" x14ac:dyDescent="0.25">
      <c r="A33" s="85">
        <v>30</v>
      </c>
      <c r="B33" s="61">
        <v>1372</v>
      </c>
      <c r="C33" s="52" t="s">
        <v>69</v>
      </c>
      <c r="D33" s="62">
        <v>1844</v>
      </c>
      <c r="E33" s="44">
        <v>0.25</v>
      </c>
      <c r="F33" s="45">
        <f t="shared" si="0"/>
        <v>461</v>
      </c>
      <c r="G33" s="45">
        <f>F33</f>
        <v>461</v>
      </c>
      <c r="H33" s="45">
        <f t="shared" si="1"/>
        <v>0</v>
      </c>
      <c r="I33" s="48">
        <v>628655</v>
      </c>
      <c r="J33" s="70"/>
    </row>
    <row r="34" spans="1:11" x14ac:dyDescent="0.25">
      <c r="A34" s="117">
        <v>31</v>
      </c>
      <c r="B34" s="203">
        <v>1373</v>
      </c>
      <c r="C34" s="204" t="s">
        <v>70</v>
      </c>
      <c r="D34" s="120">
        <v>647.9</v>
      </c>
      <c r="E34" s="121">
        <v>0.25</v>
      </c>
      <c r="F34" s="122">
        <f t="shared" si="0"/>
        <v>161.97499999999999</v>
      </c>
      <c r="G34" s="122">
        <f>F34</f>
        <v>161.97499999999999</v>
      </c>
      <c r="H34" s="122">
        <f t="shared" si="1"/>
        <v>0</v>
      </c>
      <c r="I34" s="174">
        <v>734281</v>
      </c>
      <c r="J34" s="207" t="s">
        <v>85</v>
      </c>
    </row>
    <row r="35" spans="1:11" x14ac:dyDescent="0.25">
      <c r="A35" s="85">
        <v>32</v>
      </c>
      <c r="B35" s="61">
        <v>1375</v>
      </c>
      <c r="C35" s="52" t="s">
        <v>71</v>
      </c>
      <c r="D35" s="62">
        <v>497.7</v>
      </c>
      <c r="E35" s="44">
        <v>0.25</v>
      </c>
      <c r="F35" s="45">
        <f t="shared" si="0"/>
        <v>124.425</v>
      </c>
      <c r="G35" s="45">
        <f>F35</f>
        <v>124.425</v>
      </c>
      <c r="H35" s="45">
        <f t="shared" si="1"/>
        <v>0</v>
      </c>
      <c r="I35" s="48">
        <v>6748627</v>
      </c>
      <c r="J35" s="166"/>
    </row>
    <row r="36" spans="1:11" x14ac:dyDescent="0.25">
      <c r="A36" s="85">
        <v>33</v>
      </c>
      <c r="B36" s="61">
        <v>1377</v>
      </c>
      <c r="C36" s="52" t="s">
        <v>72</v>
      </c>
      <c r="D36" s="62">
        <v>620</v>
      </c>
      <c r="E36" s="44">
        <v>0.25</v>
      </c>
      <c r="F36" s="45">
        <f t="shared" si="0"/>
        <v>155</v>
      </c>
      <c r="G36" s="45">
        <f>F36</f>
        <v>155</v>
      </c>
      <c r="H36" s="45">
        <f t="shared" si="1"/>
        <v>0</v>
      </c>
      <c r="I36" s="48">
        <v>5160404</v>
      </c>
      <c r="J36" s="166"/>
    </row>
    <row r="37" spans="1:11" x14ac:dyDescent="0.25">
      <c r="A37" s="90">
        <v>34</v>
      </c>
      <c r="B37" s="105">
        <v>1378</v>
      </c>
      <c r="C37" s="151" t="s">
        <v>42</v>
      </c>
      <c r="D37" s="55">
        <v>2442.1999999999998</v>
      </c>
      <c r="E37" s="56">
        <v>0.25</v>
      </c>
      <c r="F37" s="57">
        <f t="shared" si="0"/>
        <v>610.54999999999995</v>
      </c>
      <c r="G37" s="57">
        <f>607.975+2.575</f>
        <v>610.55000000000007</v>
      </c>
      <c r="H37" s="57">
        <f t="shared" si="1"/>
        <v>0</v>
      </c>
      <c r="I37" s="59">
        <v>5996404</v>
      </c>
      <c r="J37" s="167">
        <v>45658</v>
      </c>
      <c r="K37" s="130">
        <v>45684</v>
      </c>
    </row>
    <row r="38" spans="1:11" s="65" customFormat="1" x14ac:dyDescent="0.25">
      <c r="A38" s="90">
        <v>35</v>
      </c>
      <c r="B38" s="105">
        <v>1381</v>
      </c>
      <c r="C38" s="151" t="s">
        <v>43</v>
      </c>
      <c r="D38" s="55">
        <v>908.7</v>
      </c>
      <c r="E38" s="56">
        <v>0.25</v>
      </c>
      <c r="F38" s="57">
        <f t="shared" si="0"/>
        <v>227.17500000000001</v>
      </c>
      <c r="G38" s="57">
        <f>224.1+3.075</f>
        <v>227.17499999999998</v>
      </c>
      <c r="H38" s="57">
        <f t="shared" si="1"/>
        <v>0</v>
      </c>
      <c r="I38" s="59">
        <v>19847623</v>
      </c>
      <c r="J38" s="167">
        <v>45621</v>
      </c>
      <c r="K38" s="152">
        <v>45635</v>
      </c>
    </row>
    <row r="39" spans="1:11" s="65" customFormat="1" x14ac:dyDescent="0.25">
      <c r="A39" s="90">
        <v>36</v>
      </c>
      <c r="B39" s="84">
        <v>1390</v>
      </c>
      <c r="C39" s="54" t="s">
        <v>44</v>
      </c>
      <c r="D39" s="55">
        <v>558.20000000000005</v>
      </c>
      <c r="E39" s="56">
        <v>0.25</v>
      </c>
      <c r="F39" s="57">
        <f t="shared" si="0"/>
        <v>139.55000000000001</v>
      </c>
      <c r="G39" s="57">
        <f>F39</f>
        <v>139.55000000000001</v>
      </c>
      <c r="H39" s="57">
        <f t="shared" si="1"/>
        <v>0</v>
      </c>
      <c r="I39" s="58">
        <v>13826903</v>
      </c>
      <c r="J39" s="184">
        <v>45637</v>
      </c>
    </row>
    <row r="40" spans="1:11" s="65" customFormat="1" x14ac:dyDescent="0.25">
      <c r="A40" s="85">
        <v>37</v>
      </c>
      <c r="B40" s="41">
        <v>1392</v>
      </c>
      <c r="C40" s="42" t="s">
        <v>73</v>
      </c>
      <c r="D40" s="62">
        <v>1553.1</v>
      </c>
      <c r="E40" s="44">
        <v>0.25</v>
      </c>
      <c r="F40" s="45">
        <f t="shared" si="0"/>
        <v>388.27499999999998</v>
      </c>
      <c r="G40" s="45">
        <f>F40</f>
        <v>388.27499999999998</v>
      </c>
      <c r="H40" s="45">
        <f t="shared" si="1"/>
        <v>0</v>
      </c>
      <c r="I40" s="46">
        <v>1353348</v>
      </c>
      <c r="J40" s="51"/>
    </row>
    <row r="41" spans="1:11" s="65" customFormat="1" x14ac:dyDescent="0.25">
      <c r="A41" s="90">
        <v>38</v>
      </c>
      <c r="B41" s="105">
        <v>1393</v>
      </c>
      <c r="C41" s="151" t="s">
        <v>45</v>
      </c>
      <c r="D41" s="55">
        <v>630.29999999999995</v>
      </c>
      <c r="E41" s="56">
        <v>0.25</v>
      </c>
      <c r="F41" s="57">
        <f t="shared" si="0"/>
        <v>157.57499999999999</v>
      </c>
      <c r="G41" s="57">
        <f>155.375+2.2</f>
        <v>157.57499999999999</v>
      </c>
      <c r="H41" s="57">
        <f t="shared" si="1"/>
        <v>0</v>
      </c>
      <c r="I41" s="59">
        <v>1650389</v>
      </c>
      <c r="J41" s="133">
        <v>45628</v>
      </c>
      <c r="K41" s="152">
        <v>45663</v>
      </c>
    </row>
    <row r="42" spans="1:11" s="65" customFormat="1" x14ac:dyDescent="0.25">
      <c r="A42" s="85">
        <v>39</v>
      </c>
      <c r="B42" s="61">
        <v>1500</v>
      </c>
      <c r="C42" s="52" t="s">
        <v>75</v>
      </c>
      <c r="D42" s="62">
        <v>39.700000000000003</v>
      </c>
      <c r="E42" s="44">
        <v>0.25</v>
      </c>
      <c r="F42" s="45">
        <f t="shared" si="0"/>
        <v>9.9250000000000007</v>
      </c>
      <c r="G42" s="45">
        <f>F42</f>
        <v>9.9250000000000007</v>
      </c>
      <c r="H42" s="45">
        <f t="shared" si="1"/>
        <v>0</v>
      </c>
      <c r="I42" s="48">
        <v>19567469</v>
      </c>
      <c r="J42" s="126"/>
    </row>
    <row r="43" spans="1:11" s="65" customFormat="1" x14ac:dyDescent="0.25">
      <c r="A43" s="90">
        <v>40</v>
      </c>
      <c r="B43" s="105">
        <v>1501</v>
      </c>
      <c r="C43" s="131" t="s">
        <v>76</v>
      </c>
      <c r="D43" s="55">
        <v>264.8</v>
      </c>
      <c r="E43" s="56">
        <v>0.25</v>
      </c>
      <c r="F43" s="57">
        <f t="shared" si="0"/>
        <v>66.2</v>
      </c>
      <c r="G43" s="57">
        <f>F43</f>
        <v>66.2</v>
      </c>
      <c r="H43" s="57">
        <f t="shared" si="1"/>
        <v>0</v>
      </c>
      <c r="I43" s="59">
        <v>25657583</v>
      </c>
      <c r="J43" s="133">
        <v>45658</v>
      </c>
    </row>
    <row r="44" spans="1:11" s="65" customFormat="1" x14ac:dyDescent="0.25">
      <c r="A44" s="85">
        <v>41</v>
      </c>
      <c r="B44" s="61">
        <v>1503</v>
      </c>
      <c r="C44" s="89" t="s">
        <v>77</v>
      </c>
      <c r="D44" s="88">
        <v>660.6</v>
      </c>
      <c r="E44" s="44">
        <v>0.25</v>
      </c>
      <c r="F44" s="45">
        <f>SUM(D44*E44)</f>
        <v>165.15</v>
      </c>
      <c r="G44" s="45">
        <f>F44</f>
        <v>165.15</v>
      </c>
      <c r="H44" s="45">
        <f t="shared" si="1"/>
        <v>0</v>
      </c>
      <c r="I44" s="48">
        <v>8930607</v>
      </c>
      <c r="J44" s="127" t="s">
        <v>23</v>
      </c>
      <c r="K44" s="7"/>
    </row>
    <row r="45" spans="1:11" x14ac:dyDescent="0.25">
      <c r="A45" s="90">
        <v>42</v>
      </c>
      <c r="B45" s="105">
        <v>1504</v>
      </c>
      <c r="C45" s="170" t="s">
        <v>79</v>
      </c>
      <c r="D45" s="132">
        <v>712.5</v>
      </c>
      <c r="E45" s="56">
        <v>0.25</v>
      </c>
      <c r="F45" s="57">
        <f>SUM(D45*E45)</f>
        <v>178.125</v>
      </c>
      <c r="G45" s="57">
        <f>178.125</f>
        <v>178.125</v>
      </c>
      <c r="H45" s="57">
        <f t="shared" si="1"/>
        <v>0</v>
      </c>
      <c r="I45" s="59">
        <v>381215</v>
      </c>
      <c r="J45" s="172">
        <v>45684</v>
      </c>
    </row>
    <row r="46" spans="1:11" x14ac:dyDescent="0.25">
      <c r="A46" s="85">
        <v>43</v>
      </c>
      <c r="B46" s="61">
        <v>1505</v>
      </c>
      <c r="C46" s="71" t="s">
        <v>86</v>
      </c>
      <c r="D46" s="62">
        <v>204.8</v>
      </c>
      <c r="E46" s="44">
        <v>0.25</v>
      </c>
      <c r="F46" s="45">
        <f>SUM(D46*E46)</f>
        <v>51.2</v>
      </c>
      <c r="G46" s="45">
        <f>F46</f>
        <v>51.2</v>
      </c>
      <c r="H46" s="45">
        <f t="shared" si="1"/>
        <v>0</v>
      </c>
      <c r="I46" s="48">
        <v>6668659</v>
      </c>
      <c r="J46" s="167">
        <v>45621</v>
      </c>
    </row>
    <row r="47" spans="1:11" x14ac:dyDescent="0.25">
      <c r="A47" s="86"/>
      <c r="B47" s="86"/>
      <c r="C47" s="86"/>
      <c r="D47" s="62">
        <f>SUM(D4:D46)</f>
        <v>65463.400000000009</v>
      </c>
      <c r="E47" s="87"/>
      <c r="F47" s="45">
        <f>SUM(F4:F46)</f>
        <v>16365.850000000002</v>
      </c>
      <c r="G47" s="45">
        <f t="shared" ref="G47:H47" si="4">SUM(G4:G46)</f>
        <v>16365.500000000002</v>
      </c>
      <c r="H47" s="45">
        <f t="shared" si="4"/>
        <v>0.34999999999996589</v>
      </c>
      <c r="I47" s="86"/>
      <c r="J47" s="79"/>
    </row>
    <row r="48" spans="1:11" x14ac:dyDescent="0.25">
      <c r="G48" s="153">
        <f>G4+G24+G25+G26</f>
        <v>2957.8499999999995</v>
      </c>
    </row>
    <row r="49" spans="2:10" x14ac:dyDescent="0.25">
      <c r="G49" s="153">
        <f>G47-G48</f>
        <v>13407.650000000001</v>
      </c>
      <c r="H49" s="201">
        <f>G49/F47</f>
        <v>0.81924556316964903</v>
      </c>
    </row>
    <row r="50" spans="2:10" x14ac:dyDescent="0.25">
      <c r="B50" s="83"/>
      <c r="C50" s="83"/>
      <c r="D50" s="7"/>
      <c r="J50" s="7"/>
    </row>
    <row r="51" spans="2:10" x14ac:dyDescent="0.25">
      <c r="B51" s="83"/>
      <c r="C51" s="83"/>
      <c r="D51" s="7"/>
      <c r="J51" s="7"/>
    </row>
    <row r="52" spans="2:10" x14ac:dyDescent="0.25">
      <c r="B52" s="83"/>
      <c r="C52" s="83"/>
      <c r="D52" s="7"/>
      <c r="J52" s="7"/>
    </row>
    <row r="53" spans="2:10" x14ac:dyDescent="0.25">
      <c r="B53" s="83"/>
      <c r="C53" s="83"/>
      <c r="D53" s="7"/>
      <c r="J53" s="7"/>
    </row>
    <row r="54" spans="2:10" x14ac:dyDescent="0.25">
      <c r="B54" s="83"/>
      <c r="C54" s="83"/>
      <c r="D54" s="7"/>
      <c r="J54" s="7"/>
    </row>
  </sheetData>
  <autoFilter ref="A2:J48" xr:uid="{D82928B0-9C42-44EE-9A16-5D5FD1EBF07A}">
    <filterColumn colId="7">
      <filters blank="1">
        <filter val="0.000"/>
        <filter val="1,105.225"/>
        <filter val="1,541.175"/>
        <filter val="124.425"/>
        <filter val="155.000"/>
        <filter val="160.175"/>
        <filter val="160.575"/>
        <filter val="161.975"/>
        <filter val="162.575"/>
        <filter val="165.150"/>
        <filter val="178.125"/>
        <filter val="2.575"/>
        <filter val="287.300"/>
        <filter val="339.925"/>
        <filter val="352.700"/>
        <filter val="388.275"/>
        <filter val="458.625"/>
        <filter val="461.000"/>
        <filter val="463.700"/>
        <filter val="464.950"/>
        <filter val="465.000"/>
        <filter val="480.600"/>
        <filter val="504.200"/>
        <filter val="562.200"/>
        <filter val="759.100"/>
        <filter val="9.925"/>
      </filters>
    </filterColumn>
  </autoFilter>
  <mergeCells count="11">
    <mergeCell ref="J2:J3"/>
    <mergeCell ref="G2:G3"/>
    <mergeCell ref="H2:H3"/>
    <mergeCell ref="A1:I1"/>
    <mergeCell ref="A2:A3"/>
    <mergeCell ref="B2:B3"/>
    <mergeCell ref="C2:C3"/>
    <mergeCell ref="D2:D3"/>
    <mergeCell ref="E2:E3"/>
    <mergeCell ref="F2:F3"/>
    <mergeCell ref="I2:I3"/>
  </mergeCells>
  <pageMargins left="0.7" right="0.7" top="0.75" bottom="0.75" header="0.3" footer="0.3"/>
  <pageSetup paperSize="8" scale="8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8E11-DB1C-416E-AC34-8D8DDEC1C376}">
  <sheetPr filterMode="1"/>
  <dimension ref="A1:P55"/>
  <sheetViews>
    <sheetView view="pageBreakPreview" zoomScale="96" zoomScaleNormal="96" zoomScaleSheetLayoutView="96" workbookViewId="0">
      <pane xSplit="3" ySplit="3" topLeftCell="D31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2.140625" style="7" customWidth="1"/>
    <col min="10" max="10" width="20.85546875" style="81" hidden="1" customWidth="1"/>
    <col min="11" max="11" width="19.140625" style="82" hidden="1" customWidth="1"/>
    <col min="12" max="12" width="15.140625" style="7" hidden="1" customWidth="1"/>
    <col min="13" max="13" width="11.140625" style="83" hidden="1" customWidth="1"/>
    <col min="14" max="14" width="23.28515625" style="129" customWidth="1"/>
    <col min="15" max="16" width="11.5703125" style="7" bestFit="1" customWidth="1"/>
    <col min="17" max="16384" width="9" style="7"/>
  </cols>
  <sheetData>
    <row r="1" spans="1:16" x14ac:dyDescent="0.25">
      <c r="A1" s="246" t="s">
        <v>87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115"/>
    </row>
    <row r="2" spans="1:16" ht="15.75" customHeight="1" x14ac:dyDescent="0.25">
      <c r="A2" s="247" t="s">
        <v>1</v>
      </c>
      <c r="B2" s="247" t="s">
        <v>2</v>
      </c>
      <c r="C2" s="247" t="s">
        <v>3</v>
      </c>
      <c r="D2" s="247" t="s">
        <v>4</v>
      </c>
      <c r="E2" s="247" t="s">
        <v>5</v>
      </c>
      <c r="F2" s="247" t="s">
        <v>6</v>
      </c>
      <c r="G2" s="247" t="s">
        <v>7</v>
      </c>
      <c r="H2" s="247" t="s">
        <v>8</v>
      </c>
      <c r="I2" s="247" t="s">
        <v>9</v>
      </c>
      <c r="J2" s="247" t="s">
        <v>10</v>
      </c>
      <c r="K2" s="249" t="s">
        <v>11</v>
      </c>
      <c r="L2" s="247" t="s">
        <v>12</v>
      </c>
      <c r="M2" s="245" t="s">
        <v>13</v>
      </c>
      <c r="N2" s="248" t="s">
        <v>14</v>
      </c>
    </row>
    <row r="3" spans="1:16" x14ac:dyDescent="0.25">
      <c r="A3" s="247"/>
      <c r="B3" s="247"/>
      <c r="C3" s="247"/>
      <c r="D3" s="247"/>
      <c r="E3" s="247"/>
      <c r="F3" s="247"/>
      <c r="G3" s="247"/>
      <c r="H3" s="247"/>
      <c r="I3" s="247"/>
      <c r="J3" s="247"/>
      <c r="K3" s="249"/>
      <c r="L3" s="247"/>
      <c r="M3" s="245"/>
      <c r="N3" s="248"/>
    </row>
    <row r="4" spans="1:16" x14ac:dyDescent="0.25">
      <c r="A4" s="85">
        <v>1</v>
      </c>
      <c r="B4" s="41">
        <v>1010</v>
      </c>
      <c r="C4" s="42" t="s">
        <v>47</v>
      </c>
      <c r="D4" s="43">
        <v>2386.5</v>
      </c>
      <c r="E4" s="44">
        <v>0.25</v>
      </c>
      <c r="F4" s="45">
        <f t="shared" ref="F4:F44" si="0">SUM(D4*E4)</f>
        <v>596.625</v>
      </c>
      <c r="G4" s="45">
        <f>F4</f>
        <v>596.625</v>
      </c>
      <c r="H4" s="45">
        <f>F4-G4</f>
        <v>0</v>
      </c>
      <c r="I4" s="46">
        <v>315313</v>
      </c>
      <c r="J4" s="47" t="s">
        <v>88</v>
      </c>
      <c r="K4" s="48" t="s">
        <v>89</v>
      </c>
      <c r="L4" s="49" t="s">
        <v>90</v>
      </c>
      <c r="M4" s="51">
        <v>92600441</v>
      </c>
      <c r="N4" s="116"/>
    </row>
    <row r="5" spans="1:16" s="154" customFormat="1" x14ac:dyDescent="0.25">
      <c r="A5" s="90">
        <v>2</v>
      </c>
      <c r="B5" s="84">
        <v>1038</v>
      </c>
      <c r="C5" s="54" t="s">
        <v>48</v>
      </c>
      <c r="D5" s="208">
        <v>1976.8</v>
      </c>
      <c r="E5" s="56">
        <v>0.25</v>
      </c>
      <c r="F5" s="57">
        <f t="shared" si="0"/>
        <v>494.2</v>
      </c>
      <c r="G5" s="45">
        <f t="shared" ref="G5:G8" si="1">F5</f>
        <v>494.2</v>
      </c>
      <c r="H5" s="57">
        <f t="shared" ref="H5:H47" si="2">F5-G5</f>
        <v>0</v>
      </c>
      <c r="I5" s="58">
        <v>5247837</v>
      </c>
      <c r="J5" s="47" t="s">
        <v>91</v>
      </c>
      <c r="K5" s="48" t="s">
        <v>17</v>
      </c>
      <c r="L5" s="49" t="s">
        <v>18</v>
      </c>
      <c r="M5" s="51">
        <v>99441537</v>
      </c>
      <c r="N5" s="91">
        <v>45963</v>
      </c>
      <c r="O5" s="154" t="s">
        <v>196</v>
      </c>
    </row>
    <row r="6" spans="1:16" x14ac:dyDescent="0.25">
      <c r="A6" s="85">
        <v>3</v>
      </c>
      <c r="B6" s="41">
        <v>1065</v>
      </c>
      <c r="C6" s="42" t="s">
        <v>49</v>
      </c>
      <c r="D6" s="43">
        <v>581.9</v>
      </c>
      <c r="E6" s="44">
        <v>0.25</v>
      </c>
      <c r="F6" s="45">
        <f t="shared" si="0"/>
        <v>145.47499999999999</v>
      </c>
      <c r="G6" s="45">
        <f t="shared" si="1"/>
        <v>145.47499999999999</v>
      </c>
      <c r="H6" s="45">
        <f t="shared" si="2"/>
        <v>0</v>
      </c>
      <c r="I6" s="46">
        <v>1276058</v>
      </c>
      <c r="J6" s="52" t="s">
        <v>92</v>
      </c>
      <c r="K6" s="48" t="s">
        <v>17</v>
      </c>
      <c r="L6" s="49" t="s">
        <v>18</v>
      </c>
      <c r="M6" s="51">
        <v>99498549</v>
      </c>
      <c r="N6" s="116"/>
    </row>
    <row r="7" spans="1:16" x14ac:dyDescent="0.25">
      <c r="A7" s="90">
        <v>4</v>
      </c>
      <c r="B7" s="84">
        <v>1071</v>
      </c>
      <c r="C7" s="54" t="s">
        <v>31</v>
      </c>
      <c r="D7" s="55">
        <v>605.6</v>
      </c>
      <c r="E7" s="56">
        <v>0.25</v>
      </c>
      <c r="F7" s="57">
        <f t="shared" si="0"/>
        <v>151.4</v>
      </c>
      <c r="G7" s="45">
        <f t="shared" si="1"/>
        <v>151.4</v>
      </c>
      <c r="H7" s="57">
        <f t="shared" si="2"/>
        <v>0</v>
      </c>
      <c r="I7" s="58">
        <v>390741</v>
      </c>
      <c r="J7" s="168" t="s">
        <v>93</v>
      </c>
      <c r="K7" s="59" t="s">
        <v>94</v>
      </c>
      <c r="L7" s="169" t="s">
        <v>95</v>
      </c>
      <c r="M7" s="60">
        <v>99589144</v>
      </c>
      <c r="N7" s="91">
        <v>45621</v>
      </c>
      <c r="O7" s="130">
        <v>45663</v>
      </c>
    </row>
    <row r="8" spans="1:16" x14ac:dyDescent="0.25">
      <c r="A8" s="90">
        <v>5</v>
      </c>
      <c r="B8" s="84">
        <v>1086</v>
      </c>
      <c r="C8" s="54" t="s">
        <v>27</v>
      </c>
      <c r="D8" s="55">
        <v>1260.5</v>
      </c>
      <c r="E8" s="56">
        <v>0.25</v>
      </c>
      <c r="F8" s="57">
        <f t="shared" si="0"/>
        <v>315.125</v>
      </c>
      <c r="G8" s="45">
        <f t="shared" si="1"/>
        <v>315.125</v>
      </c>
      <c r="H8" s="57">
        <f t="shared" si="2"/>
        <v>0</v>
      </c>
      <c r="I8" s="58">
        <v>2379573</v>
      </c>
      <c r="J8" s="151" t="s">
        <v>96</v>
      </c>
      <c r="K8" s="59" t="s">
        <v>94</v>
      </c>
      <c r="L8" s="169" t="s">
        <v>95</v>
      </c>
      <c r="M8" s="60">
        <v>92917899</v>
      </c>
      <c r="N8" s="91">
        <v>45650</v>
      </c>
      <c r="O8" s="130">
        <v>45665</v>
      </c>
    </row>
    <row r="9" spans="1:16" hidden="1" x14ac:dyDescent="0.25">
      <c r="A9" s="117">
        <v>6</v>
      </c>
      <c r="B9" s="118">
        <v>1123</v>
      </c>
      <c r="C9" s="119" t="s">
        <v>33</v>
      </c>
      <c r="D9" s="120">
        <v>1288.7</v>
      </c>
      <c r="E9" s="121">
        <v>0.25</v>
      </c>
      <c r="F9" s="122">
        <f t="shared" si="0"/>
        <v>322.17500000000001</v>
      </c>
      <c r="G9" s="122">
        <f>F9</f>
        <v>322.17500000000001</v>
      </c>
      <c r="H9" s="122">
        <f t="shared" si="2"/>
        <v>0</v>
      </c>
      <c r="I9" s="123">
        <v>655141</v>
      </c>
      <c r="J9" s="173" t="s">
        <v>97</v>
      </c>
      <c r="K9" s="174" t="s">
        <v>98</v>
      </c>
      <c r="L9" s="175" t="s">
        <v>99</v>
      </c>
      <c r="M9" s="145">
        <v>99485623</v>
      </c>
      <c r="N9" s="145" t="s">
        <v>100</v>
      </c>
    </row>
    <row r="10" spans="1:16" s="154" customFormat="1" x14ac:dyDescent="0.25">
      <c r="A10" s="90">
        <v>7</v>
      </c>
      <c r="B10" s="105">
        <v>1130</v>
      </c>
      <c r="C10" s="151" t="s">
        <v>51</v>
      </c>
      <c r="D10" s="55">
        <v>1069.0999999999999</v>
      </c>
      <c r="E10" s="56">
        <v>0.25</v>
      </c>
      <c r="F10" s="57">
        <f t="shared" si="0"/>
        <v>267.27499999999998</v>
      </c>
      <c r="G10" s="45">
        <f t="shared" ref="G10:G17" si="3">F10</f>
        <v>267.27499999999998</v>
      </c>
      <c r="H10" s="57">
        <f t="shared" si="2"/>
        <v>0</v>
      </c>
      <c r="I10" s="58">
        <v>5485645</v>
      </c>
      <c r="J10" s="155" t="s">
        <v>101</v>
      </c>
      <c r="K10" s="156" t="s">
        <v>17</v>
      </c>
      <c r="L10" s="49" t="s">
        <v>18</v>
      </c>
      <c r="M10" s="64">
        <v>90977488</v>
      </c>
      <c r="N10" s="91">
        <v>45810</v>
      </c>
    </row>
    <row r="11" spans="1:16" x14ac:dyDescent="0.25">
      <c r="A11" s="85">
        <v>8</v>
      </c>
      <c r="B11" s="41">
        <v>1152</v>
      </c>
      <c r="C11" s="42" t="s">
        <v>52</v>
      </c>
      <c r="D11" s="62">
        <v>1794.2</v>
      </c>
      <c r="E11" s="44">
        <v>0.25</v>
      </c>
      <c r="F11" s="45">
        <f t="shared" si="0"/>
        <v>448.55</v>
      </c>
      <c r="G11" s="45">
        <f t="shared" si="3"/>
        <v>448.55</v>
      </c>
      <c r="H11" s="45">
        <f t="shared" si="2"/>
        <v>0</v>
      </c>
      <c r="I11" s="46">
        <v>5254327</v>
      </c>
      <c r="J11" s="52" t="s">
        <v>102</v>
      </c>
      <c r="K11" s="48" t="s">
        <v>94</v>
      </c>
      <c r="L11" s="49" t="s">
        <v>95</v>
      </c>
      <c r="M11" s="51">
        <v>99692328</v>
      </c>
      <c r="N11" s="116"/>
    </row>
    <row r="12" spans="1:16" x14ac:dyDescent="0.25">
      <c r="A12" s="90">
        <v>9</v>
      </c>
      <c r="B12" s="84">
        <v>1200</v>
      </c>
      <c r="C12" s="54" t="s">
        <v>53</v>
      </c>
      <c r="D12" s="55">
        <v>560.70000000000005</v>
      </c>
      <c r="E12" s="56">
        <v>0.25</v>
      </c>
      <c r="F12" s="57">
        <f t="shared" si="0"/>
        <v>140.17500000000001</v>
      </c>
      <c r="G12" s="45">
        <f t="shared" si="3"/>
        <v>140.17500000000001</v>
      </c>
      <c r="H12" s="57">
        <f t="shared" si="2"/>
        <v>0</v>
      </c>
      <c r="I12" s="58">
        <v>7287174</v>
      </c>
      <c r="J12" s="151" t="s">
        <v>103</v>
      </c>
      <c r="K12" s="59" t="s">
        <v>94</v>
      </c>
      <c r="L12" s="169" t="s">
        <v>95</v>
      </c>
      <c r="M12" s="60">
        <v>99673747</v>
      </c>
      <c r="N12" s="91">
        <v>45656</v>
      </c>
      <c r="O12" s="130">
        <v>45663</v>
      </c>
      <c r="P12" s="130">
        <v>45665</v>
      </c>
    </row>
    <row r="13" spans="1:16" x14ac:dyDescent="0.25">
      <c r="A13" s="85">
        <v>10</v>
      </c>
      <c r="B13" s="41">
        <v>1276</v>
      </c>
      <c r="C13" s="42" t="s">
        <v>54</v>
      </c>
      <c r="D13" s="62">
        <v>597.29999999999995</v>
      </c>
      <c r="E13" s="44">
        <v>0.25</v>
      </c>
      <c r="F13" s="45">
        <f t="shared" si="0"/>
        <v>149.32499999999999</v>
      </c>
      <c r="G13" s="45">
        <f t="shared" si="3"/>
        <v>149.32499999999999</v>
      </c>
      <c r="H13" s="45">
        <f t="shared" si="2"/>
        <v>0</v>
      </c>
      <c r="I13" s="46">
        <v>334495</v>
      </c>
      <c r="J13" s="47" t="s">
        <v>104</v>
      </c>
      <c r="K13" s="48" t="s">
        <v>17</v>
      </c>
      <c r="L13" s="49" t="s">
        <v>18</v>
      </c>
      <c r="M13" s="51">
        <v>99170505</v>
      </c>
      <c r="N13" s="116"/>
    </row>
    <row r="14" spans="1:16" x14ac:dyDescent="0.25">
      <c r="A14" s="85">
        <v>11</v>
      </c>
      <c r="B14" s="41">
        <v>1281</v>
      </c>
      <c r="C14" s="42" t="s">
        <v>55</v>
      </c>
      <c r="D14" s="62">
        <v>1793.6</v>
      </c>
      <c r="E14" s="44">
        <v>0.25</v>
      </c>
      <c r="F14" s="45">
        <f t="shared" si="0"/>
        <v>448.4</v>
      </c>
      <c r="G14" s="45">
        <f t="shared" si="3"/>
        <v>448.4</v>
      </c>
      <c r="H14" s="45">
        <f t="shared" si="2"/>
        <v>0</v>
      </c>
      <c r="I14" s="46">
        <v>6310986</v>
      </c>
      <c r="J14" s="52" t="s">
        <v>105</v>
      </c>
      <c r="K14" s="48" t="s">
        <v>17</v>
      </c>
      <c r="L14" s="49" t="s">
        <v>18</v>
      </c>
      <c r="M14" s="51">
        <v>92922944</v>
      </c>
      <c r="N14" s="116"/>
    </row>
    <row r="15" spans="1:16" x14ac:dyDescent="0.25">
      <c r="A15" s="85">
        <v>12</v>
      </c>
      <c r="B15" s="41">
        <v>1308</v>
      </c>
      <c r="C15" s="42" t="s">
        <v>35</v>
      </c>
      <c r="D15" s="62">
        <v>648.4</v>
      </c>
      <c r="E15" s="44">
        <v>0.25</v>
      </c>
      <c r="F15" s="45">
        <f t="shared" si="0"/>
        <v>162.1</v>
      </c>
      <c r="G15" s="45">
        <f t="shared" si="3"/>
        <v>162.1</v>
      </c>
      <c r="H15" s="45">
        <f t="shared" si="2"/>
        <v>0</v>
      </c>
      <c r="I15" s="46">
        <v>6225641</v>
      </c>
      <c r="J15" s="47" t="s">
        <v>106</v>
      </c>
      <c r="K15" s="48" t="s">
        <v>94</v>
      </c>
      <c r="L15" s="49" t="s">
        <v>95</v>
      </c>
      <c r="M15" s="51">
        <v>92055550</v>
      </c>
      <c r="N15" s="116"/>
    </row>
    <row r="16" spans="1:16" x14ac:dyDescent="0.25">
      <c r="A16" s="90">
        <v>13</v>
      </c>
      <c r="B16" s="84">
        <v>1337</v>
      </c>
      <c r="C16" s="54" t="s">
        <v>56</v>
      </c>
      <c r="D16" s="55">
        <v>488.7</v>
      </c>
      <c r="E16" s="56">
        <v>0.25</v>
      </c>
      <c r="F16" s="57">
        <f t="shared" si="0"/>
        <v>122.175</v>
      </c>
      <c r="G16" s="45">
        <f t="shared" si="3"/>
        <v>122.175</v>
      </c>
      <c r="H16" s="57">
        <f t="shared" si="2"/>
        <v>0</v>
      </c>
      <c r="I16" s="58">
        <v>6719626</v>
      </c>
      <c r="J16" s="151" t="s">
        <v>107</v>
      </c>
      <c r="K16" s="59" t="s">
        <v>17</v>
      </c>
      <c r="L16" s="169" t="s">
        <v>18</v>
      </c>
      <c r="M16" s="60">
        <v>97726288</v>
      </c>
      <c r="N16" s="91">
        <v>45644</v>
      </c>
      <c r="O16" s="130">
        <v>45670</v>
      </c>
    </row>
    <row r="17" spans="1:16" s="65" customFormat="1" ht="15" customHeight="1" x14ac:dyDescent="0.25">
      <c r="A17" s="117">
        <v>14</v>
      </c>
      <c r="B17" s="118">
        <v>1339</v>
      </c>
      <c r="C17" s="119" t="s">
        <v>57</v>
      </c>
      <c r="D17" s="120">
        <v>2958.5</v>
      </c>
      <c r="E17" s="121">
        <v>0.25</v>
      </c>
      <c r="F17" s="122">
        <f t="shared" si="0"/>
        <v>739.625</v>
      </c>
      <c r="G17" s="45">
        <f t="shared" si="3"/>
        <v>739.625</v>
      </c>
      <c r="H17" s="122">
        <f t="shared" si="2"/>
        <v>0</v>
      </c>
      <c r="I17" s="123">
        <v>3090574</v>
      </c>
      <c r="J17" s="47" t="s">
        <v>108</v>
      </c>
      <c r="K17" s="46" t="s">
        <v>94</v>
      </c>
      <c r="L17" s="46" t="s">
        <v>95</v>
      </c>
      <c r="M17" s="51">
        <v>99292421</v>
      </c>
      <c r="N17" s="124">
        <v>45779</v>
      </c>
    </row>
    <row r="18" spans="1:16" s="65" customFormat="1" ht="15" hidden="1" customHeight="1" x14ac:dyDescent="0.25">
      <c r="A18" s="90">
        <v>15</v>
      </c>
      <c r="B18" s="84">
        <v>1340</v>
      </c>
      <c r="C18" s="58" t="s">
        <v>36</v>
      </c>
      <c r="D18" s="55">
        <v>950.5</v>
      </c>
      <c r="E18" s="56">
        <v>0.25</v>
      </c>
      <c r="F18" s="57">
        <f t="shared" si="0"/>
        <v>237.625</v>
      </c>
      <c r="G18" s="57">
        <f>234.025+3.6</f>
        <v>237.625</v>
      </c>
      <c r="H18" s="57">
        <f t="shared" si="2"/>
        <v>0</v>
      </c>
      <c r="I18" s="60">
        <v>7279274</v>
      </c>
      <c r="J18" s="176" t="s">
        <v>109</v>
      </c>
      <c r="K18" s="59" t="s">
        <v>110</v>
      </c>
      <c r="L18" s="176" t="s">
        <v>18</v>
      </c>
      <c r="M18" s="60">
        <v>93808816</v>
      </c>
      <c r="N18" s="91">
        <v>45628</v>
      </c>
      <c r="O18" s="152">
        <v>45657</v>
      </c>
    </row>
    <row r="19" spans="1:16" x14ac:dyDescent="0.25">
      <c r="A19" s="85">
        <v>16</v>
      </c>
      <c r="B19" s="41">
        <v>1341</v>
      </c>
      <c r="C19" s="42" t="s">
        <v>58</v>
      </c>
      <c r="D19" s="62">
        <v>1360.1</v>
      </c>
      <c r="E19" s="44">
        <v>0.25</v>
      </c>
      <c r="F19" s="45">
        <f t="shared" si="0"/>
        <v>340.02499999999998</v>
      </c>
      <c r="G19" s="45">
        <f>F19</f>
        <v>340.02499999999998</v>
      </c>
      <c r="H19" s="45">
        <f t="shared" si="2"/>
        <v>0</v>
      </c>
      <c r="I19" s="46">
        <v>15977579</v>
      </c>
      <c r="J19" s="52" t="s">
        <v>111</v>
      </c>
      <c r="K19" s="48" t="s">
        <v>110</v>
      </c>
      <c r="L19" s="49" t="s">
        <v>18</v>
      </c>
      <c r="M19" s="51">
        <v>92578822</v>
      </c>
      <c r="N19" s="116"/>
    </row>
    <row r="20" spans="1:16" hidden="1" x14ac:dyDescent="0.25">
      <c r="A20" s="90">
        <v>17</v>
      </c>
      <c r="B20" s="84">
        <v>1342</v>
      </c>
      <c r="C20" s="54" t="s">
        <v>59</v>
      </c>
      <c r="D20" s="66">
        <v>546.4</v>
      </c>
      <c r="E20" s="56">
        <v>0.25</v>
      </c>
      <c r="F20" s="57">
        <f t="shared" si="0"/>
        <v>136.6</v>
      </c>
      <c r="G20" s="57">
        <f>132.6+4</f>
        <v>136.6</v>
      </c>
      <c r="H20" s="57">
        <f t="shared" si="2"/>
        <v>0</v>
      </c>
      <c r="I20" s="58">
        <v>13950469</v>
      </c>
      <c r="J20" s="168" t="s">
        <v>112</v>
      </c>
      <c r="K20" s="59" t="s">
        <v>110</v>
      </c>
      <c r="L20" s="169" t="s">
        <v>18</v>
      </c>
      <c r="M20" s="60">
        <v>92341118</v>
      </c>
      <c r="N20" s="116">
        <v>45628</v>
      </c>
      <c r="O20" s="130">
        <v>45658</v>
      </c>
    </row>
    <row r="21" spans="1:16" x14ac:dyDescent="0.25">
      <c r="A21" s="90">
        <v>18</v>
      </c>
      <c r="B21" s="84">
        <v>1343</v>
      </c>
      <c r="C21" s="54" t="s">
        <v>29</v>
      </c>
      <c r="D21" s="55">
        <v>1196.3</v>
      </c>
      <c r="E21" s="56">
        <v>0.25</v>
      </c>
      <c r="F21" s="57">
        <f t="shared" si="0"/>
        <v>299.07499999999999</v>
      </c>
      <c r="G21" s="45">
        <f t="shared" ref="G21:G43" si="4">F21</f>
        <v>299.07499999999999</v>
      </c>
      <c r="H21" s="57">
        <f t="shared" si="2"/>
        <v>0</v>
      </c>
      <c r="I21" s="58">
        <v>5160297</v>
      </c>
      <c r="J21" s="151" t="s">
        <v>113</v>
      </c>
      <c r="K21" s="59" t="s">
        <v>94</v>
      </c>
      <c r="L21" s="169" t="s">
        <v>95</v>
      </c>
      <c r="M21" s="60">
        <v>93501199</v>
      </c>
      <c r="N21" s="91">
        <v>45650</v>
      </c>
      <c r="O21" s="130">
        <v>45679</v>
      </c>
    </row>
    <row r="22" spans="1:16" x14ac:dyDescent="0.25">
      <c r="A22" s="85">
        <v>19</v>
      </c>
      <c r="B22" s="41">
        <v>1345</v>
      </c>
      <c r="C22" s="63" t="s">
        <v>60</v>
      </c>
      <c r="D22" s="62">
        <v>5975</v>
      </c>
      <c r="E22" s="67">
        <v>0.25</v>
      </c>
      <c r="F22" s="45">
        <f>SUM(D22*E22)</f>
        <v>1493.75</v>
      </c>
      <c r="G22" s="45">
        <f t="shared" si="4"/>
        <v>1493.75</v>
      </c>
      <c r="H22" s="45">
        <f t="shared" si="2"/>
        <v>0</v>
      </c>
      <c r="I22" s="63">
        <v>10578952</v>
      </c>
      <c r="J22" s="155" t="s">
        <v>114</v>
      </c>
      <c r="K22" s="156" t="s">
        <v>115</v>
      </c>
      <c r="L22" s="49" t="s">
        <v>116</v>
      </c>
      <c r="M22" s="64">
        <v>92194382</v>
      </c>
      <c r="N22" s="125"/>
    </row>
    <row r="23" spans="1:16" x14ac:dyDescent="0.25">
      <c r="A23" s="85">
        <v>20</v>
      </c>
      <c r="B23" s="41">
        <v>1349</v>
      </c>
      <c r="C23" s="42" t="s">
        <v>38</v>
      </c>
      <c r="D23" s="62">
        <v>2236.1999999999998</v>
      </c>
      <c r="E23" s="44">
        <v>0.25</v>
      </c>
      <c r="F23" s="45">
        <f t="shared" si="0"/>
        <v>559.04999999999995</v>
      </c>
      <c r="G23" s="45">
        <f t="shared" si="4"/>
        <v>559.04999999999995</v>
      </c>
      <c r="H23" s="45">
        <f t="shared" si="2"/>
        <v>0</v>
      </c>
      <c r="I23" s="46">
        <v>7128679</v>
      </c>
      <c r="J23" s="52" t="s">
        <v>117</v>
      </c>
      <c r="K23" s="48" t="s">
        <v>17</v>
      </c>
      <c r="L23" s="49" t="s">
        <v>18</v>
      </c>
      <c r="M23" s="51">
        <v>91408836</v>
      </c>
      <c r="N23" s="116"/>
    </row>
    <row r="24" spans="1:16" x14ac:dyDescent="0.25">
      <c r="A24" s="85">
        <v>21</v>
      </c>
      <c r="B24" s="41">
        <v>1350</v>
      </c>
      <c r="C24" s="42" t="s">
        <v>61</v>
      </c>
      <c r="D24" s="62">
        <v>4331</v>
      </c>
      <c r="E24" s="44">
        <v>0.25</v>
      </c>
      <c r="F24" s="45">
        <f t="shared" si="0"/>
        <v>1082.75</v>
      </c>
      <c r="G24" s="45">
        <f t="shared" si="4"/>
        <v>1082.75</v>
      </c>
      <c r="H24" s="45">
        <f t="shared" si="2"/>
        <v>0</v>
      </c>
      <c r="I24" s="46">
        <v>6752017</v>
      </c>
      <c r="J24" s="52" t="s">
        <v>118</v>
      </c>
      <c r="K24" s="48" t="s">
        <v>17</v>
      </c>
      <c r="L24" s="49" t="s">
        <v>18</v>
      </c>
      <c r="M24" s="51">
        <v>92520708</v>
      </c>
      <c r="N24" s="116"/>
    </row>
    <row r="25" spans="1:16" x14ac:dyDescent="0.25">
      <c r="A25" s="85">
        <v>22</v>
      </c>
      <c r="B25" s="41">
        <v>1353</v>
      </c>
      <c r="C25" s="42" t="s">
        <v>62</v>
      </c>
      <c r="D25" s="68">
        <v>5974.8</v>
      </c>
      <c r="E25" s="44">
        <v>0.25</v>
      </c>
      <c r="F25" s="45">
        <f t="shared" si="0"/>
        <v>1493.7</v>
      </c>
      <c r="G25" s="45">
        <f t="shared" si="4"/>
        <v>1493.7</v>
      </c>
      <c r="H25" s="45">
        <f t="shared" si="2"/>
        <v>0</v>
      </c>
      <c r="I25" s="46">
        <v>5217694</v>
      </c>
      <c r="J25" s="52">
        <v>1011109062001</v>
      </c>
      <c r="K25" s="48" t="s">
        <v>94</v>
      </c>
      <c r="L25" s="49" t="s">
        <v>95</v>
      </c>
      <c r="M25" s="51">
        <v>92749180</v>
      </c>
      <c r="N25" s="116"/>
    </row>
    <row r="26" spans="1:16" s="198" customFormat="1" ht="21.75" customHeight="1" x14ac:dyDescent="0.25">
      <c r="A26" s="190">
        <v>23</v>
      </c>
      <c r="B26" s="191">
        <v>1355</v>
      </c>
      <c r="C26" s="192" t="s">
        <v>64</v>
      </c>
      <c r="D26" s="193">
        <v>2240.1999999999998</v>
      </c>
      <c r="E26" s="194">
        <v>0.25</v>
      </c>
      <c r="F26" s="195">
        <f t="shared" si="0"/>
        <v>560.04999999999995</v>
      </c>
      <c r="G26" s="45">
        <f t="shared" si="4"/>
        <v>560.04999999999995</v>
      </c>
      <c r="H26" s="195">
        <f t="shared" si="2"/>
        <v>0</v>
      </c>
      <c r="I26" s="196">
        <v>585058</v>
      </c>
      <c r="J26" s="52" t="s">
        <v>119</v>
      </c>
      <c r="K26" s="48" t="s">
        <v>94</v>
      </c>
      <c r="L26" s="49" t="s">
        <v>95</v>
      </c>
      <c r="M26" s="51">
        <v>99055262</v>
      </c>
      <c r="N26" s="199" t="s">
        <v>84</v>
      </c>
    </row>
    <row r="27" spans="1:16" x14ac:dyDescent="0.25">
      <c r="A27" s="85">
        <v>24</v>
      </c>
      <c r="B27" s="41">
        <v>1356</v>
      </c>
      <c r="C27" s="42" t="s">
        <v>65</v>
      </c>
      <c r="D27" s="62">
        <v>1221.2</v>
      </c>
      <c r="E27" s="44">
        <v>0.25</v>
      </c>
      <c r="F27" s="45">
        <f t="shared" si="0"/>
        <v>305.3</v>
      </c>
      <c r="G27" s="45">
        <f t="shared" si="4"/>
        <v>305.3</v>
      </c>
      <c r="H27" s="45">
        <f t="shared" si="2"/>
        <v>0</v>
      </c>
      <c r="I27" s="46">
        <v>7494112</v>
      </c>
      <c r="J27" s="52">
        <v>397050056020018</v>
      </c>
      <c r="K27" s="48" t="s">
        <v>17</v>
      </c>
      <c r="L27" s="49" t="s">
        <v>18</v>
      </c>
      <c r="M27" s="51">
        <v>99488186</v>
      </c>
      <c r="N27" s="116"/>
    </row>
    <row r="28" spans="1:16" s="154" customFormat="1" x14ac:dyDescent="0.25">
      <c r="A28" s="90">
        <v>25</v>
      </c>
      <c r="B28" s="84">
        <v>1362</v>
      </c>
      <c r="C28" s="54" t="s">
        <v>15</v>
      </c>
      <c r="D28" s="55">
        <v>2382.1999999999998</v>
      </c>
      <c r="E28" s="56">
        <v>0.25</v>
      </c>
      <c r="F28" s="57">
        <f t="shared" si="0"/>
        <v>595.54999999999995</v>
      </c>
      <c r="G28" s="45">
        <f t="shared" si="4"/>
        <v>595.54999999999995</v>
      </c>
      <c r="H28" s="57">
        <f t="shared" si="2"/>
        <v>0</v>
      </c>
      <c r="I28" s="58">
        <v>2429041</v>
      </c>
      <c r="J28" s="52" t="s">
        <v>16</v>
      </c>
      <c r="K28" s="48" t="s">
        <v>17</v>
      </c>
      <c r="L28" s="49" t="s">
        <v>18</v>
      </c>
      <c r="M28" s="51">
        <v>93663694</v>
      </c>
      <c r="N28" s="91" t="s">
        <v>196</v>
      </c>
    </row>
    <row r="29" spans="1:16" x14ac:dyDescent="0.25">
      <c r="A29" s="85">
        <v>26</v>
      </c>
      <c r="B29" s="41">
        <v>1363</v>
      </c>
      <c r="C29" s="42" t="s">
        <v>67</v>
      </c>
      <c r="D29" s="62">
        <v>1866.1</v>
      </c>
      <c r="E29" s="44">
        <v>0.25</v>
      </c>
      <c r="F29" s="45">
        <f t="shared" si="0"/>
        <v>466.52499999999998</v>
      </c>
      <c r="G29" s="45">
        <f t="shared" si="4"/>
        <v>466.52499999999998</v>
      </c>
      <c r="H29" s="45">
        <f t="shared" si="2"/>
        <v>0</v>
      </c>
      <c r="I29" s="46">
        <v>322352</v>
      </c>
      <c r="J29" s="52" t="s">
        <v>120</v>
      </c>
      <c r="K29" s="48" t="s">
        <v>17</v>
      </c>
      <c r="L29" s="49" t="s">
        <v>18</v>
      </c>
      <c r="M29" s="51">
        <v>98842645</v>
      </c>
      <c r="N29" s="116"/>
    </row>
    <row r="30" spans="1:16" x14ac:dyDescent="0.25">
      <c r="A30" s="90">
        <v>27</v>
      </c>
      <c r="B30" s="84">
        <v>1364</v>
      </c>
      <c r="C30" s="54" t="s">
        <v>68</v>
      </c>
      <c r="D30" s="55">
        <v>596.70000000000005</v>
      </c>
      <c r="E30" s="56">
        <v>0.25</v>
      </c>
      <c r="F30" s="57">
        <f t="shared" si="0"/>
        <v>149.17500000000001</v>
      </c>
      <c r="G30" s="45">
        <f t="shared" si="4"/>
        <v>149.17500000000001</v>
      </c>
      <c r="H30" s="57">
        <f t="shared" si="2"/>
        <v>0</v>
      </c>
      <c r="I30" s="58">
        <v>7113811</v>
      </c>
      <c r="J30" s="151" t="s">
        <v>121</v>
      </c>
      <c r="K30" s="59" t="s">
        <v>94</v>
      </c>
      <c r="L30" s="169" t="s">
        <v>95</v>
      </c>
      <c r="M30" s="60">
        <v>92969982</v>
      </c>
      <c r="N30" s="91">
        <v>45637</v>
      </c>
      <c r="O30" s="177">
        <v>45672</v>
      </c>
    </row>
    <row r="31" spans="1:16" x14ac:dyDescent="0.25">
      <c r="A31" s="90">
        <v>28</v>
      </c>
      <c r="B31" s="84">
        <v>1366</v>
      </c>
      <c r="C31" s="54" t="s">
        <v>39</v>
      </c>
      <c r="D31" s="55">
        <v>2362.4</v>
      </c>
      <c r="E31" s="56">
        <v>0.25</v>
      </c>
      <c r="F31" s="57">
        <f t="shared" si="0"/>
        <v>590.6</v>
      </c>
      <c r="G31" s="45">
        <f t="shared" si="4"/>
        <v>590.6</v>
      </c>
      <c r="H31" s="57">
        <f t="shared" si="2"/>
        <v>0</v>
      </c>
      <c r="I31" s="58">
        <v>8318385</v>
      </c>
      <c r="J31" s="151" t="s">
        <v>122</v>
      </c>
      <c r="K31" s="59" t="s">
        <v>17</v>
      </c>
      <c r="L31" s="169" t="s">
        <v>18</v>
      </c>
      <c r="M31" s="60">
        <v>90660210</v>
      </c>
      <c r="N31" s="91">
        <v>45663</v>
      </c>
      <c r="O31" s="177">
        <v>45670</v>
      </c>
      <c r="P31" s="130">
        <v>45684</v>
      </c>
    </row>
    <row r="32" spans="1:16" x14ac:dyDescent="0.25">
      <c r="A32" s="85">
        <v>29</v>
      </c>
      <c r="B32" s="61">
        <v>1370</v>
      </c>
      <c r="C32" s="52" t="s">
        <v>20</v>
      </c>
      <c r="D32" s="62">
        <v>1768</v>
      </c>
      <c r="E32" s="44">
        <v>0.25</v>
      </c>
      <c r="F32" s="45">
        <f t="shared" si="0"/>
        <v>442</v>
      </c>
      <c r="G32" s="45">
        <f t="shared" si="4"/>
        <v>442</v>
      </c>
      <c r="H32" s="45">
        <f t="shared" si="2"/>
        <v>0</v>
      </c>
      <c r="I32" s="42">
        <v>14431965</v>
      </c>
      <c r="J32" s="47" t="s">
        <v>21</v>
      </c>
      <c r="K32" s="48" t="s">
        <v>17</v>
      </c>
      <c r="L32" s="49" t="s">
        <v>18</v>
      </c>
      <c r="M32" s="70">
        <v>99693775</v>
      </c>
      <c r="N32" s="126"/>
    </row>
    <row r="33" spans="1:15" x14ac:dyDescent="0.25">
      <c r="A33" s="85">
        <v>30</v>
      </c>
      <c r="B33" s="61">
        <v>1371</v>
      </c>
      <c r="C33" s="52" t="s">
        <v>40</v>
      </c>
      <c r="D33" s="62">
        <v>1784.2</v>
      </c>
      <c r="E33" s="44">
        <v>0.25</v>
      </c>
      <c r="F33" s="45">
        <f t="shared" si="0"/>
        <v>446.05</v>
      </c>
      <c r="G33" s="45">
        <f t="shared" si="4"/>
        <v>446.05</v>
      </c>
      <c r="H33" s="45">
        <f t="shared" si="2"/>
        <v>0</v>
      </c>
      <c r="I33" s="42">
        <v>990755</v>
      </c>
      <c r="J33" s="47" t="s">
        <v>123</v>
      </c>
      <c r="K33" s="48" t="s">
        <v>89</v>
      </c>
      <c r="L33" s="49" t="s">
        <v>90</v>
      </c>
      <c r="M33" s="70">
        <v>92556210</v>
      </c>
      <c r="N33" s="126"/>
    </row>
    <row r="34" spans="1:15" x14ac:dyDescent="0.25">
      <c r="A34" s="85">
        <v>31</v>
      </c>
      <c r="B34" s="61">
        <v>1372</v>
      </c>
      <c r="C34" s="52" t="s">
        <v>69</v>
      </c>
      <c r="D34" s="62">
        <v>1791.4</v>
      </c>
      <c r="E34" s="44">
        <v>0.25</v>
      </c>
      <c r="F34" s="45">
        <f t="shared" si="0"/>
        <v>447.85</v>
      </c>
      <c r="G34" s="45">
        <f t="shared" si="4"/>
        <v>447.85</v>
      </c>
      <c r="H34" s="45">
        <f t="shared" si="2"/>
        <v>0</v>
      </c>
      <c r="I34" s="48">
        <v>628655</v>
      </c>
      <c r="J34" s="47" t="s">
        <v>124</v>
      </c>
      <c r="K34" s="48" t="s">
        <v>94</v>
      </c>
      <c r="L34" s="49" t="s">
        <v>95</v>
      </c>
      <c r="M34" s="70">
        <v>98976629</v>
      </c>
      <c r="N34" s="126"/>
    </row>
    <row r="35" spans="1:15" x14ac:dyDescent="0.25">
      <c r="A35" s="117">
        <v>32</v>
      </c>
      <c r="B35" s="203">
        <v>1373</v>
      </c>
      <c r="C35" s="204" t="s">
        <v>70</v>
      </c>
      <c r="D35" s="120">
        <v>636.29999999999995</v>
      </c>
      <c r="E35" s="121">
        <v>0.25</v>
      </c>
      <c r="F35" s="122">
        <f t="shared" si="0"/>
        <v>159.07499999999999</v>
      </c>
      <c r="G35" s="45">
        <f t="shared" si="4"/>
        <v>159.07499999999999</v>
      </c>
      <c r="H35" s="122">
        <f t="shared" si="2"/>
        <v>0</v>
      </c>
      <c r="I35" s="174">
        <v>734281</v>
      </c>
      <c r="J35" s="157" t="s">
        <v>125</v>
      </c>
      <c r="K35" s="48" t="s">
        <v>17</v>
      </c>
      <c r="L35" s="49" t="s">
        <v>18</v>
      </c>
      <c r="M35" s="70">
        <v>99891516</v>
      </c>
      <c r="N35" s="207" t="s">
        <v>85</v>
      </c>
    </row>
    <row r="36" spans="1:15" x14ac:dyDescent="0.25">
      <c r="A36" s="85">
        <v>33</v>
      </c>
      <c r="B36" s="61">
        <v>1375</v>
      </c>
      <c r="C36" s="52" t="s">
        <v>71</v>
      </c>
      <c r="D36" s="62">
        <v>638.6</v>
      </c>
      <c r="E36" s="44">
        <v>0.25</v>
      </c>
      <c r="F36" s="45">
        <f t="shared" si="0"/>
        <v>159.65</v>
      </c>
      <c r="G36" s="45">
        <f t="shared" si="4"/>
        <v>159.65</v>
      </c>
      <c r="H36" s="45">
        <f t="shared" si="2"/>
        <v>0</v>
      </c>
      <c r="I36" s="48">
        <v>6748627</v>
      </c>
      <c r="J36" s="158" t="s">
        <v>126</v>
      </c>
      <c r="K36" s="159" t="s">
        <v>127</v>
      </c>
      <c r="L36" s="159" t="s">
        <v>128</v>
      </c>
      <c r="M36" s="70">
        <v>93707700</v>
      </c>
      <c r="N36" s="126"/>
    </row>
    <row r="37" spans="1:15" x14ac:dyDescent="0.25">
      <c r="A37" s="85">
        <v>34</v>
      </c>
      <c r="B37" s="61">
        <v>1377</v>
      </c>
      <c r="C37" s="52" t="s">
        <v>72</v>
      </c>
      <c r="D37" s="62">
        <v>591.4</v>
      </c>
      <c r="E37" s="44">
        <v>0.25</v>
      </c>
      <c r="F37" s="45">
        <f t="shared" si="0"/>
        <v>147.85</v>
      </c>
      <c r="G37" s="45">
        <f t="shared" si="4"/>
        <v>147.85</v>
      </c>
      <c r="H37" s="45">
        <f t="shared" si="2"/>
        <v>0</v>
      </c>
      <c r="I37" s="48">
        <v>5160404</v>
      </c>
      <c r="J37" s="47" t="s">
        <v>129</v>
      </c>
      <c r="K37" s="48" t="s">
        <v>94</v>
      </c>
      <c r="L37" s="49" t="s">
        <v>95</v>
      </c>
      <c r="M37" s="70">
        <v>91120322</v>
      </c>
      <c r="N37" s="126"/>
    </row>
    <row r="38" spans="1:15" x14ac:dyDescent="0.25">
      <c r="A38" s="90">
        <v>35</v>
      </c>
      <c r="B38" s="105">
        <v>1378</v>
      </c>
      <c r="C38" s="151" t="s">
        <v>42</v>
      </c>
      <c r="D38" s="55">
        <v>2297.6</v>
      </c>
      <c r="E38" s="56">
        <v>0.25</v>
      </c>
      <c r="F38" s="57">
        <f t="shared" si="0"/>
        <v>574.4</v>
      </c>
      <c r="G38" s="45">
        <f t="shared" si="4"/>
        <v>574.4</v>
      </c>
      <c r="H38" s="57">
        <f t="shared" si="2"/>
        <v>0</v>
      </c>
      <c r="I38" s="59">
        <v>5996404</v>
      </c>
      <c r="J38" s="160" t="s">
        <v>130</v>
      </c>
      <c r="K38" s="42" t="s">
        <v>110</v>
      </c>
      <c r="L38" s="42" t="s">
        <v>18</v>
      </c>
      <c r="M38" s="70">
        <v>98976878</v>
      </c>
      <c r="N38" s="133">
        <v>45684</v>
      </c>
      <c r="O38" s="130">
        <v>45963</v>
      </c>
    </row>
    <row r="39" spans="1:15" s="65" customFormat="1" x14ac:dyDescent="0.25">
      <c r="A39" s="90">
        <v>36</v>
      </c>
      <c r="B39" s="105">
        <v>1381</v>
      </c>
      <c r="C39" s="151" t="s">
        <v>43</v>
      </c>
      <c r="D39" s="55">
        <v>601.20000000000005</v>
      </c>
      <c r="E39" s="56">
        <v>0.25</v>
      </c>
      <c r="F39" s="57">
        <f t="shared" si="0"/>
        <v>150.30000000000001</v>
      </c>
      <c r="G39" s="45">
        <f t="shared" si="4"/>
        <v>150.30000000000001</v>
      </c>
      <c r="H39" s="57">
        <f t="shared" si="2"/>
        <v>0</v>
      </c>
      <c r="I39" s="59">
        <v>19847623</v>
      </c>
      <c r="J39" s="168" t="s">
        <v>131</v>
      </c>
      <c r="K39" s="59" t="s">
        <v>89</v>
      </c>
      <c r="L39" s="169" t="s">
        <v>90</v>
      </c>
      <c r="M39" s="172">
        <v>92802427</v>
      </c>
      <c r="N39" s="133">
        <v>45635</v>
      </c>
      <c r="O39" s="152">
        <v>45663</v>
      </c>
    </row>
    <row r="40" spans="1:15" s="65" customFormat="1" x14ac:dyDescent="0.25">
      <c r="A40" s="90">
        <v>37</v>
      </c>
      <c r="B40" s="84">
        <v>1390</v>
      </c>
      <c r="C40" s="54" t="s">
        <v>44</v>
      </c>
      <c r="D40" s="55">
        <v>581</v>
      </c>
      <c r="E40" s="56">
        <v>0.25</v>
      </c>
      <c r="F40" s="57">
        <f t="shared" si="0"/>
        <v>145.25</v>
      </c>
      <c r="G40" s="45">
        <f t="shared" si="4"/>
        <v>145.25</v>
      </c>
      <c r="H40" s="57">
        <f t="shared" si="2"/>
        <v>0</v>
      </c>
      <c r="I40" s="58">
        <v>13826903</v>
      </c>
      <c r="J40" s="168" t="s">
        <v>132</v>
      </c>
      <c r="K40" s="58" t="s">
        <v>17</v>
      </c>
      <c r="L40" s="58" t="s">
        <v>18</v>
      </c>
      <c r="M40" s="60"/>
      <c r="N40" s="91">
        <v>45637</v>
      </c>
      <c r="O40" s="65" t="s">
        <v>195</v>
      </c>
    </row>
    <row r="41" spans="1:15" s="65" customFormat="1" x14ac:dyDescent="0.25">
      <c r="A41" s="85">
        <v>38</v>
      </c>
      <c r="B41" s="41">
        <v>1392</v>
      </c>
      <c r="C41" s="42" t="s">
        <v>73</v>
      </c>
      <c r="D41" s="62">
        <v>1500</v>
      </c>
      <c r="E41" s="44">
        <v>0.25</v>
      </c>
      <c r="F41" s="45">
        <f t="shared" si="0"/>
        <v>375</v>
      </c>
      <c r="G41" s="45">
        <f t="shared" si="4"/>
        <v>375</v>
      </c>
      <c r="H41" s="45">
        <f t="shared" si="2"/>
        <v>0</v>
      </c>
      <c r="I41" s="46">
        <v>1353348</v>
      </c>
      <c r="J41" s="47" t="s">
        <v>133</v>
      </c>
      <c r="K41" s="48" t="s">
        <v>94</v>
      </c>
      <c r="L41" s="49" t="s">
        <v>95</v>
      </c>
      <c r="M41" s="51"/>
      <c r="N41" s="116"/>
    </row>
    <row r="42" spans="1:15" s="65" customFormat="1" x14ac:dyDescent="0.25">
      <c r="A42" s="90">
        <v>39</v>
      </c>
      <c r="B42" s="105">
        <v>1393</v>
      </c>
      <c r="C42" s="151" t="s">
        <v>45</v>
      </c>
      <c r="D42" s="55">
        <v>604.1</v>
      </c>
      <c r="E42" s="56">
        <v>0.25</v>
      </c>
      <c r="F42" s="57">
        <f t="shared" si="0"/>
        <v>151.02500000000001</v>
      </c>
      <c r="G42" s="45">
        <f t="shared" si="4"/>
        <v>151.02500000000001</v>
      </c>
      <c r="H42" s="57">
        <f t="shared" si="2"/>
        <v>0</v>
      </c>
      <c r="I42" s="59">
        <v>1650389</v>
      </c>
      <c r="J42" s="160" t="s">
        <v>134</v>
      </c>
      <c r="K42" s="42" t="s">
        <v>17</v>
      </c>
      <c r="L42" s="42" t="s">
        <v>18</v>
      </c>
      <c r="M42" s="70">
        <v>94264109</v>
      </c>
      <c r="N42" s="133">
        <v>45663</v>
      </c>
      <c r="O42" s="152">
        <v>45963</v>
      </c>
    </row>
    <row r="43" spans="1:15" s="65" customFormat="1" x14ac:dyDescent="0.25">
      <c r="A43" s="85">
        <v>40</v>
      </c>
      <c r="B43" s="61">
        <v>1500</v>
      </c>
      <c r="C43" s="52" t="s">
        <v>75</v>
      </c>
      <c r="D43" s="62">
        <v>118.6</v>
      </c>
      <c r="E43" s="44">
        <v>0.25</v>
      </c>
      <c r="F43" s="45">
        <f t="shared" si="0"/>
        <v>29.65</v>
      </c>
      <c r="G43" s="45">
        <f t="shared" si="4"/>
        <v>29.65</v>
      </c>
      <c r="H43" s="45">
        <f t="shared" si="2"/>
        <v>0</v>
      </c>
      <c r="I43" s="48">
        <v>19567469</v>
      </c>
      <c r="J43" s="47" t="s">
        <v>135</v>
      </c>
      <c r="K43" s="48" t="s">
        <v>94</v>
      </c>
      <c r="L43" s="161" t="s">
        <v>95</v>
      </c>
      <c r="M43" s="70">
        <v>92265154</v>
      </c>
      <c r="N43" s="126"/>
    </row>
    <row r="44" spans="1:15" s="65" customFormat="1" hidden="1" x14ac:dyDescent="0.25">
      <c r="A44" s="90">
        <v>41</v>
      </c>
      <c r="B44" s="105">
        <v>1501</v>
      </c>
      <c r="C44" s="131" t="s">
        <v>76</v>
      </c>
      <c r="D44" s="55">
        <v>357.9</v>
      </c>
      <c r="E44" s="56">
        <v>0.25</v>
      </c>
      <c r="F44" s="57">
        <f t="shared" si="0"/>
        <v>89.474999999999994</v>
      </c>
      <c r="G44" s="57">
        <f>F44</f>
        <v>89.474999999999994</v>
      </c>
      <c r="H44" s="57">
        <f t="shared" si="2"/>
        <v>0</v>
      </c>
      <c r="I44" s="59">
        <v>25657583</v>
      </c>
      <c r="J44" s="168" t="s">
        <v>136</v>
      </c>
      <c r="K44" s="59" t="s">
        <v>17</v>
      </c>
      <c r="L44" s="171" t="s">
        <v>18</v>
      </c>
      <c r="M44" s="172"/>
      <c r="N44" s="172">
        <v>45658</v>
      </c>
    </row>
    <row r="45" spans="1:15" s="65" customFormat="1" x14ac:dyDescent="0.25">
      <c r="A45" s="85">
        <v>42</v>
      </c>
      <c r="B45" s="61">
        <v>1503</v>
      </c>
      <c r="C45" s="89" t="s">
        <v>77</v>
      </c>
      <c r="D45" s="88">
        <v>618.79999999999995</v>
      </c>
      <c r="E45" s="44">
        <v>0.25</v>
      </c>
      <c r="F45" s="45">
        <f>SUM(D45*E45)</f>
        <v>154.69999999999999</v>
      </c>
      <c r="G45" s="45">
        <f t="shared" ref="G45:G47" si="5">F45</f>
        <v>154.69999999999999</v>
      </c>
      <c r="H45" s="45">
        <f t="shared" si="2"/>
        <v>0</v>
      </c>
      <c r="I45" s="48">
        <v>8930607</v>
      </c>
      <c r="J45" s="162" t="s">
        <v>137</v>
      </c>
      <c r="K45" s="48" t="s">
        <v>17</v>
      </c>
      <c r="L45" s="161" t="s">
        <v>18</v>
      </c>
      <c r="M45" s="70">
        <v>92621425</v>
      </c>
      <c r="N45" s="126"/>
      <c r="O45" s="7"/>
    </row>
    <row r="46" spans="1:15" s="65" customFormat="1" x14ac:dyDescent="0.25">
      <c r="A46" s="90">
        <v>43</v>
      </c>
      <c r="B46" s="105">
        <v>1504</v>
      </c>
      <c r="C46" s="170" t="s">
        <v>79</v>
      </c>
      <c r="D46" s="132">
        <v>727.3</v>
      </c>
      <c r="E46" s="56">
        <v>0.25</v>
      </c>
      <c r="F46" s="57">
        <f>SUM(D46*E46)</f>
        <v>181.82499999999999</v>
      </c>
      <c r="G46" s="45">
        <f t="shared" si="5"/>
        <v>181.82499999999999</v>
      </c>
      <c r="H46" s="57">
        <f t="shared" si="2"/>
        <v>0</v>
      </c>
      <c r="I46" s="59">
        <v>381215</v>
      </c>
      <c r="J46" s="47" t="s">
        <v>138</v>
      </c>
      <c r="K46" s="48" t="s">
        <v>17</v>
      </c>
      <c r="L46" s="161" t="s">
        <v>18</v>
      </c>
      <c r="M46" s="70">
        <v>95110746</v>
      </c>
      <c r="N46" s="133">
        <v>45684</v>
      </c>
      <c r="O46" s="133">
        <v>45810</v>
      </c>
    </row>
    <row r="47" spans="1:15" x14ac:dyDescent="0.25">
      <c r="A47" s="90">
        <v>44</v>
      </c>
      <c r="B47" s="105">
        <v>1505</v>
      </c>
      <c r="C47" s="170" t="s">
        <v>86</v>
      </c>
      <c r="D47" s="55">
        <v>553.5</v>
      </c>
      <c r="E47" s="56">
        <v>0.25</v>
      </c>
      <c r="F47" s="57">
        <f>SUM(D47*E47)</f>
        <v>138.375</v>
      </c>
      <c r="G47" s="45">
        <f t="shared" si="5"/>
        <v>138.375</v>
      </c>
      <c r="H47" s="57">
        <f t="shared" si="2"/>
        <v>0</v>
      </c>
      <c r="I47" s="59">
        <v>6668659</v>
      </c>
      <c r="J47" s="168" t="s">
        <v>139</v>
      </c>
      <c r="K47" s="59" t="s">
        <v>17</v>
      </c>
      <c r="L47" s="171" t="s">
        <v>18</v>
      </c>
      <c r="M47" s="172"/>
      <c r="N47" s="133">
        <v>45621</v>
      </c>
      <c r="O47" s="130">
        <v>45665</v>
      </c>
    </row>
    <row r="48" spans="1:15" x14ac:dyDescent="0.25">
      <c r="A48" s="86"/>
      <c r="B48" s="86"/>
      <c r="C48" s="86"/>
      <c r="D48" s="62">
        <f>SUM(D4:D47)</f>
        <v>66419.499999999985</v>
      </c>
      <c r="E48" s="44">
        <v>0.25</v>
      </c>
      <c r="F48" s="45">
        <f>SUM(F4:F47)</f>
        <v>16604.874999999996</v>
      </c>
      <c r="G48" s="45">
        <f t="shared" ref="G48:H48" si="6">SUM(G4:G47)</f>
        <v>16604.874999999996</v>
      </c>
      <c r="H48" s="45">
        <f t="shared" si="6"/>
        <v>0</v>
      </c>
      <c r="I48" s="86"/>
      <c r="J48" s="163"/>
      <c r="K48" s="164"/>
      <c r="L48" s="86"/>
      <c r="M48" s="79"/>
      <c r="N48" s="128"/>
    </row>
    <row r="50" spans="2:14" x14ac:dyDescent="0.25">
      <c r="J50" s="81" t="s">
        <v>23</v>
      </c>
    </row>
    <row r="51" spans="2:14" x14ac:dyDescent="0.25">
      <c r="B51" s="83"/>
      <c r="C51" s="83"/>
      <c r="D51" s="7"/>
      <c r="J51" s="7"/>
      <c r="K51" s="7"/>
      <c r="M51" s="7"/>
      <c r="N51" s="130"/>
    </row>
    <row r="52" spans="2:14" x14ac:dyDescent="0.25">
      <c r="B52" s="83"/>
      <c r="C52" s="83"/>
      <c r="D52" s="7"/>
      <c r="J52" s="7"/>
      <c r="K52" s="7"/>
      <c r="M52" s="7"/>
      <c r="N52" s="130"/>
    </row>
    <row r="53" spans="2:14" x14ac:dyDescent="0.25">
      <c r="B53" s="83"/>
      <c r="C53" s="83"/>
      <c r="D53" s="7"/>
      <c r="J53" s="7"/>
      <c r="K53" s="7"/>
      <c r="M53" s="7"/>
      <c r="N53" s="130"/>
    </row>
    <row r="54" spans="2:14" x14ac:dyDescent="0.25">
      <c r="B54" s="83"/>
      <c r="C54" s="83"/>
      <c r="D54" s="7"/>
      <c r="J54" s="7"/>
      <c r="K54" s="7"/>
      <c r="M54" s="7"/>
      <c r="N54" s="130"/>
    </row>
    <row r="55" spans="2:14" x14ac:dyDescent="0.25">
      <c r="B55" s="83"/>
      <c r="C55" s="83"/>
      <c r="D55" s="7"/>
      <c r="J55" s="7"/>
      <c r="K55" s="7"/>
      <c r="M55" s="7"/>
      <c r="N55" s="130"/>
    </row>
  </sheetData>
  <autoFilter ref="B2:O48" xr:uid="{15DD8E11-DB1C-416E-AC34-8D8DDEC1C376}">
    <filterColumn colId="6">
      <filters blank="1">
        <filter val="0.075"/>
        <filter val="0.525"/>
        <filter val="0.900"/>
        <filter val="0.925"/>
        <filter val="1,082.750"/>
        <filter val="1,493.700"/>
        <filter val="1,493.750"/>
        <filter val="1.050"/>
        <filter val="14,281.450"/>
        <filter val="145.475"/>
        <filter val="147.850"/>
        <filter val="149.325"/>
        <filter val="151.025"/>
        <filter val="154.700"/>
        <filter val="159.075"/>
        <filter val="159.650"/>
        <filter val="162.100"/>
        <filter val="181.825"/>
        <filter val="267.275"/>
        <filter val="29.650"/>
        <filter val="3.375"/>
        <filter val="3.525"/>
        <filter val="305.300"/>
        <filter val="340.025"/>
        <filter val="375.000"/>
        <filter val="442.000"/>
        <filter val="446.050"/>
        <filter val="447.850"/>
        <filter val="448.400"/>
        <filter val="448.550"/>
        <filter val="466.525"/>
        <filter val="494.200"/>
        <filter val="559.050"/>
        <filter val="560.050"/>
        <filter val="574.400"/>
        <filter val="590.600"/>
        <filter val="595.550"/>
        <filter val="596.625"/>
        <filter val="62.200"/>
        <filter val="739.625"/>
      </filters>
    </filterColumn>
  </autoFilter>
  <mergeCells count="15">
    <mergeCell ref="N2:N3"/>
    <mergeCell ref="G2:G3"/>
    <mergeCell ref="H2:H3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</mergeCells>
  <conditionalFormatting sqref="J36">
    <cfRule type="duplicateValues" dxfId="8" priority="1"/>
  </conditionalFormatting>
  <pageMargins left="0.7" right="0.7" top="0.75" bottom="0.75" header="0.3" footer="0.3"/>
  <pageSetup paperSize="8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B970-9471-4F8F-BE91-ABCEFCC66310}">
  <dimension ref="A1:O55"/>
  <sheetViews>
    <sheetView view="pageBreakPreview" zoomScale="96" zoomScaleNormal="96" zoomScaleSheetLayoutView="96" workbookViewId="0">
      <pane xSplit="3" ySplit="3" topLeftCell="D32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2.140625" style="7" customWidth="1"/>
    <col min="10" max="10" width="20.85546875" style="81" hidden="1" customWidth="1"/>
    <col min="11" max="11" width="19.140625" style="82" hidden="1" customWidth="1"/>
    <col min="12" max="12" width="15.140625" style="7" hidden="1" customWidth="1"/>
    <col min="13" max="13" width="11.140625" style="83" hidden="1" customWidth="1"/>
    <col min="14" max="14" width="14.5703125" style="129" customWidth="1"/>
    <col min="15" max="15" width="11.5703125" style="7" bestFit="1" customWidth="1"/>
    <col min="16" max="16384" width="9" style="7"/>
  </cols>
  <sheetData>
    <row r="1" spans="1:15" x14ac:dyDescent="0.25">
      <c r="A1" s="246" t="s">
        <v>140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115"/>
    </row>
    <row r="2" spans="1:15" ht="15.75" customHeight="1" x14ac:dyDescent="0.25">
      <c r="A2" s="247" t="s">
        <v>1</v>
      </c>
      <c r="B2" s="247" t="s">
        <v>2</v>
      </c>
      <c r="C2" s="247" t="s">
        <v>3</v>
      </c>
      <c r="D2" s="250" t="s">
        <v>4</v>
      </c>
      <c r="E2" s="247" t="s">
        <v>5</v>
      </c>
      <c r="F2" s="250" t="s">
        <v>6</v>
      </c>
      <c r="G2" s="250" t="s">
        <v>7</v>
      </c>
      <c r="H2" s="250" t="s">
        <v>8</v>
      </c>
      <c r="I2" s="247" t="s">
        <v>9</v>
      </c>
      <c r="J2" s="247" t="s">
        <v>10</v>
      </c>
      <c r="K2" s="249" t="s">
        <v>11</v>
      </c>
      <c r="L2" s="247" t="s">
        <v>12</v>
      </c>
      <c r="M2" s="245" t="s">
        <v>13</v>
      </c>
      <c r="N2" s="248" t="s">
        <v>14</v>
      </c>
    </row>
    <row r="3" spans="1:15" x14ac:dyDescent="0.25">
      <c r="A3" s="247"/>
      <c r="B3" s="247"/>
      <c r="C3" s="247"/>
      <c r="D3" s="250"/>
      <c r="E3" s="247"/>
      <c r="F3" s="250"/>
      <c r="G3" s="250"/>
      <c r="H3" s="250"/>
      <c r="I3" s="247"/>
      <c r="J3" s="247"/>
      <c r="K3" s="249"/>
      <c r="L3" s="247"/>
      <c r="M3" s="245"/>
      <c r="N3" s="248"/>
    </row>
    <row r="4" spans="1:15" x14ac:dyDescent="0.25">
      <c r="A4" s="85" t="s">
        <v>141</v>
      </c>
      <c r="B4" s="41">
        <v>1010</v>
      </c>
      <c r="C4" s="42" t="s">
        <v>47</v>
      </c>
      <c r="D4" s="188">
        <v>2291.3000000000002</v>
      </c>
      <c r="E4" s="44">
        <v>0.25</v>
      </c>
      <c r="F4" s="143">
        <f t="shared" ref="F4:F47" si="0">SUM(D4*E4)</f>
        <v>572.82500000000005</v>
      </c>
      <c r="G4" s="143">
        <f>F4</f>
        <v>572.82500000000005</v>
      </c>
      <c r="H4" s="143">
        <f t="shared" ref="H4:H47" si="1">F4-G4</f>
        <v>0</v>
      </c>
      <c r="I4" s="46">
        <v>315313</v>
      </c>
      <c r="J4" s="47" t="s">
        <v>88</v>
      </c>
      <c r="K4" s="48" t="s">
        <v>89</v>
      </c>
      <c r="L4" s="49" t="s">
        <v>90</v>
      </c>
      <c r="M4" s="51">
        <v>92600441</v>
      </c>
      <c r="N4" s="116"/>
    </row>
    <row r="5" spans="1:15" s="154" customFormat="1" x14ac:dyDescent="0.25">
      <c r="A5" s="90">
        <v>2</v>
      </c>
      <c r="B5" s="84">
        <v>1038</v>
      </c>
      <c r="C5" s="54" t="s">
        <v>48</v>
      </c>
      <c r="D5" s="208">
        <v>2038</v>
      </c>
      <c r="E5" s="56">
        <v>0.25</v>
      </c>
      <c r="F5" s="57">
        <f t="shared" si="0"/>
        <v>509.5</v>
      </c>
      <c r="G5" s="143">
        <f t="shared" ref="G5:G47" si="2">F5</f>
        <v>509.5</v>
      </c>
      <c r="H5" s="57">
        <f t="shared" si="1"/>
        <v>0</v>
      </c>
      <c r="I5" s="58">
        <v>5247837</v>
      </c>
      <c r="J5" s="168" t="s">
        <v>91</v>
      </c>
      <c r="K5" s="59" t="s">
        <v>17</v>
      </c>
      <c r="L5" s="169" t="s">
        <v>18</v>
      </c>
      <c r="M5" s="60">
        <v>99441537</v>
      </c>
      <c r="N5" s="91" t="s">
        <v>196</v>
      </c>
    </row>
    <row r="6" spans="1:15" x14ac:dyDescent="0.25">
      <c r="A6" s="85">
        <v>3</v>
      </c>
      <c r="B6" s="41">
        <v>1065</v>
      </c>
      <c r="C6" s="42" t="s">
        <v>49</v>
      </c>
      <c r="D6" s="188">
        <v>636.20000000000005</v>
      </c>
      <c r="E6" s="44">
        <v>0.25</v>
      </c>
      <c r="F6" s="143">
        <f t="shared" si="0"/>
        <v>159.05000000000001</v>
      </c>
      <c r="G6" s="143">
        <f t="shared" si="2"/>
        <v>159.05000000000001</v>
      </c>
      <c r="H6" s="143">
        <f t="shared" si="1"/>
        <v>0</v>
      </c>
      <c r="I6" s="46">
        <v>1276058</v>
      </c>
      <c r="J6" s="52" t="s">
        <v>92</v>
      </c>
      <c r="K6" s="48" t="s">
        <v>17</v>
      </c>
      <c r="L6" s="49" t="s">
        <v>18</v>
      </c>
      <c r="M6" s="51">
        <v>99498549</v>
      </c>
      <c r="N6" s="116"/>
    </row>
    <row r="7" spans="1:15" x14ac:dyDescent="0.25">
      <c r="A7" s="90">
        <v>4</v>
      </c>
      <c r="B7" s="84">
        <v>1071</v>
      </c>
      <c r="C7" s="54" t="s">
        <v>31</v>
      </c>
      <c r="D7" s="55">
        <v>609.20000000000005</v>
      </c>
      <c r="E7" s="56">
        <v>0.25</v>
      </c>
      <c r="F7" s="57">
        <f t="shared" si="0"/>
        <v>152.30000000000001</v>
      </c>
      <c r="G7" s="143">
        <f t="shared" si="2"/>
        <v>152.30000000000001</v>
      </c>
      <c r="H7" s="57">
        <f t="shared" si="1"/>
        <v>0</v>
      </c>
      <c r="I7" s="58">
        <v>390741</v>
      </c>
      <c r="J7" s="168" t="s">
        <v>93</v>
      </c>
      <c r="K7" s="59" t="s">
        <v>94</v>
      </c>
      <c r="L7" s="169" t="s">
        <v>95</v>
      </c>
      <c r="M7" s="60">
        <v>99589144</v>
      </c>
      <c r="N7" s="91">
        <v>45663</v>
      </c>
      <c r="O7" s="130">
        <v>45679</v>
      </c>
    </row>
    <row r="8" spans="1:15" x14ac:dyDescent="0.25">
      <c r="A8" s="90">
        <v>5</v>
      </c>
      <c r="B8" s="84">
        <v>1086</v>
      </c>
      <c r="C8" s="54" t="s">
        <v>27</v>
      </c>
      <c r="D8" s="55">
        <v>1296.5999999999999</v>
      </c>
      <c r="E8" s="56">
        <v>0.25</v>
      </c>
      <c r="F8" s="57">
        <f t="shared" si="0"/>
        <v>324.14999999999998</v>
      </c>
      <c r="G8" s="143">
        <f t="shared" si="2"/>
        <v>324.14999999999998</v>
      </c>
      <c r="H8" s="57">
        <f t="shared" si="1"/>
        <v>0</v>
      </c>
      <c r="I8" s="58">
        <v>2379573</v>
      </c>
      <c r="J8" s="151" t="s">
        <v>96</v>
      </c>
      <c r="K8" s="59" t="s">
        <v>94</v>
      </c>
      <c r="L8" s="169" t="s">
        <v>95</v>
      </c>
      <c r="M8" s="60">
        <v>92917899</v>
      </c>
      <c r="N8" s="91">
        <v>45665</v>
      </c>
      <c r="O8" s="130">
        <v>45684</v>
      </c>
    </row>
    <row r="9" spans="1:15" x14ac:dyDescent="0.25">
      <c r="A9" s="117">
        <v>6</v>
      </c>
      <c r="B9" s="118">
        <v>1123</v>
      </c>
      <c r="C9" s="119" t="s">
        <v>33</v>
      </c>
      <c r="D9" s="120">
        <v>1314.4</v>
      </c>
      <c r="E9" s="121">
        <v>0.25</v>
      </c>
      <c r="F9" s="122">
        <f t="shared" si="0"/>
        <v>328.6</v>
      </c>
      <c r="G9" s="143">
        <f t="shared" si="2"/>
        <v>328.6</v>
      </c>
      <c r="H9" s="122">
        <f t="shared" si="1"/>
        <v>0</v>
      </c>
      <c r="I9" s="123">
        <v>655141</v>
      </c>
      <c r="J9" s="173" t="s">
        <v>97</v>
      </c>
      <c r="K9" s="174" t="s">
        <v>98</v>
      </c>
      <c r="L9" s="175" t="s">
        <v>99</v>
      </c>
      <c r="M9" s="145">
        <v>99485623</v>
      </c>
      <c r="N9" s="124" t="s">
        <v>100</v>
      </c>
    </row>
    <row r="10" spans="1:15" x14ac:dyDescent="0.25">
      <c r="A10" s="85">
        <v>7</v>
      </c>
      <c r="B10" s="61">
        <v>1130</v>
      </c>
      <c r="C10" s="52" t="s">
        <v>51</v>
      </c>
      <c r="D10" s="185">
        <v>1069.0999999999999</v>
      </c>
      <c r="E10" s="44">
        <v>0.25</v>
      </c>
      <c r="F10" s="143">
        <f t="shared" si="0"/>
        <v>267.27499999999998</v>
      </c>
      <c r="G10" s="143">
        <f t="shared" si="2"/>
        <v>267.27499999999998</v>
      </c>
      <c r="H10" s="143">
        <f t="shared" si="1"/>
        <v>0</v>
      </c>
      <c r="I10" s="63">
        <v>5485645</v>
      </c>
      <c r="J10" s="155" t="s">
        <v>101</v>
      </c>
      <c r="K10" s="156" t="s">
        <v>17</v>
      </c>
      <c r="L10" s="49" t="s">
        <v>18</v>
      </c>
      <c r="M10" s="64">
        <v>90977488</v>
      </c>
      <c r="N10" s="125"/>
    </row>
    <row r="11" spans="1:15" x14ac:dyDescent="0.25">
      <c r="A11" s="85">
        <v>8</v>
      </c>
      <c r="B11" s="41">
        <v>1152</v>
      </c>
      <c r="C11" s="42" t="s">
        <v>52</v>
      </c>
      <c r="D11" s="185">
        <v>1848.7</v>
      </c>
      <c r="E11" s="44">
        <v>0.25</v>
      </c>
      <c r="F11" s="143">
        <f t="shared" si="0"/>
        <v>462.17500000000001</v>
      </c>
      <c r="G11" s="143">
        <f t="shared" si="2"/>
        <v>462.17500000000001</v>
      </c>
      <c r="H11" s="143">
        <f t="shared" si="1"/>
        <v>0</v>
      </c>
      <c r="I11" s="46">
        <v>5254327</v>
      </c>
      <c r="J11" s="52" t="s">
        <v>102</v>
      </c>
      <c r="K11" s="48" t="s">
        <v>94</v>
      </c>
      <c r="L11" s="49" t="s">
        <v>95</v>
      </c>
      <c r="M11" s="51">
        <v>99692328</v>
      </c>
      <c r="N11" s="116"/>
    </row>
    <row r="12" spans="1:15" x14ac:dyDescent="0.25">
      <c r="A12" s="90">
        <v>9</v>
      </c>
      <c r="B12" s="84">
        <v>1200</v>
      </c>
      <c r="C12" s="54" t="s">
        <v>53</v>
      </c>
      <c r="D12" s="55">
        <v>680.2</v>
      </c>
      <c r="E12" s="56">
        <v>0.25</v>
      </c>
      <c r="F12" s="57">
        <f t="shared" si="0"/>
        <v>170.05</v>
      </c>
      <c r="G12" s="143">
        <f t="shared" si="2"/>
        <v>170.05</v>
      </c>
      <c r="H12" s="57">
        <f t="shared" si="1"/>
        <v>0</v>
      </c>
      <c r="I12" s="58">
        <v>7287174</v>
      </c>
      <c r="J12" s="151" t="s">
        <v>103</v>
      </c>
      <c r="K12" s="59" t="s">
        <v>94</v>
      </c>
      <c r="L12" s="169" t="s">
        <v>95</v>
      </c>
      <c r="M12" s="60">
        <v>99673747</v>
      </c>
      <c r="N12" s="91">
        <v>45665</v>
      </c>
      <c r="O12" s="177">
        <v>45677</v>
      </c>
    </row>
    <row r="13" spans="1:15" x14ac:dyDescent="0.25">
      <c r="A13" s="85">
        <v>10</v>
      </c>
      <c r="B13" s="41">
        <v>1276</v>
      </c>
      <c r="C13" s="42" t="s">
        <v>54</v>
      </c>
      <c r="D13" s="185">
        <v>572</v>
      </c>
      <c r="E13" s="44">
        <v>0.25</v>
      </c>
      <c r="F13" s="143">
        <f t="shared" si="0"/>
        <v>143</v>
      </c>
      <c r="G13" s="143">
        <f t="shared" si="2"/>
        <v>143</v>
      </c>
      <c r="H13" s="143">
        <f t="shared" si="1"/>
        <v>0</v>
      </c>
      <c r="I13" s="46">
        <v>334495</v>
      </c>
      <c r="J13" s="47" t="s">
        <v>104</v>
      </c>
      <c r="K13" s="48" t="s">
        <v>17</v>
      </c>
      <c r="L13" s="49" t="s">
        <v>18</v>
      </c>
      <c r="M13" s="51">
        <v>99170505</v>
      </c>
      <c r="N13" s="116"/>
    </row>
    <row r="14" spans="1:15" x14ac:dyDescent="0.25">
      <c r="A14" s="85">
        <v>11</v>
      </c>
      <c r="B14" s="41">
        <v>1281</v>
      </c>
      <c r="C14" s="42" t="s">
        <v>55</v>
      </c>
      <c r="D14" s="185">
        <v>1860</v>
      </c>
      <c r="E14" s="44">
        <v>0.25</v>
      </c>
      <c r="F14" s="143">
        <f t="shared" si="0"/>
        <v>465</v>
      </c>
      <c r="G14" s="143">
        <f t="shared" si="2"/>
        <v>465</v>
      </c>
      <c r="H14" s="143">
        <f t="shared" si="1"/>
        <v>0</v>
      </c>
      <c r="I14" s="46">
        <v>6310986</v>
      </c>
      <c r="J14" s="52" t="s">
        <v>105</v>
      </c>
      <c r="K14" s="48" t="s">
        <v>17</v>
      </c>
      <c r="L14" s="49" t="s">
        <v>18</v>
      </c>
      <c r="M14" s="51">
        <v>92922944</v>
      </c>
      <c r="N14" s="116"/>
    </row>
    <row r="15" spans="1:15" x14ac:dyDescent="0.25">
      <c r="A15" s="85">
        <v>12</v>
      </c>
      <c r="B15" s="41">
        <v>1308</v>
      </c>
      <c r="C15" s="42" t="s">
        <v>35</v>
      </c>
      <c r="D15" s="185">
        <v>660.5</v>
      </c>
      <c r="E15" s="44">
        <v>0.25</v>
      </c>
      <c r="F15" s="143">
        <f t="shared" si="0"/>
        <v>165.125</v>
      </c>
      <c r="G15" s="143">
        <f t="shared" si="2"/>
        <v>165.125</v>
      </c>
      <c r="H15" s="143">
        <f t="shared" si="1"/>
        <v>0</v>
      </c>
      <c r="I15" s="46">
        <v>6225641</v>
      </c>
      <c r="J15" s="47" t="s">
        <v>106</v>
      </c>
      <c r="K15" s="48" t="s">
        <v>94</v>
      </c>
      <c r="L15" s="49" t="s">
        <v>95</v>
      </c>
      <c r="M15" s="51">
        <v>92055550</v>
      </c>
      <c r="N15" s="116"/>
    </row>
    <row r="16" spans="1:15" x14ac:dyDescent="0.25">
      <c r="A16" s="90">
        <v>13</v>
      </c>
      <c r="B16" s="84">
        <v>1337</v>
      </c>
      <c r="C16" s="54" t="s">
        <v>56</v>
      </c>
      <c r="D16" s="55">
        <v>620</v>
      </c>
      <c r="E16" s="56">
        <v>0.25</v>
      </c>
      <c r="F16" s="57">
        <f t="shared" si="0"/>
        <v>155</v>
      </c>
      <c r="G16" s="143">
        <f t="shared" si="2"/>
        <v>155</v>
      </c>
      <c r="H16" s="57">
        <f t="shared" si="1"/>
        <v>0</v>
      </c>
      <c r="I16" s="58">
        <v>6719626</v>
      </c>
      <c r="J16" s="151" t="s">
        <v>107</v>
      </c>
      <c r="K16" s="59" t="s">
        <v>17</v>
      </c>
      <c r="L16" s="169" t="s">
        <v>18</v>
      </c>
      <c r="M16" s="60">
        <v>97726288</v>
      </c>
      <c r="N16" s="91">
        <v>45670</v>
      </c>
    </row>
    <row r="17" spans="1:15" s="65" customFormat="1" ht="15" customHeight="1" x14ac:dyDescent="0.25">
      <c r="A17" s="85">
        <v>14</v>
      </c>
      <c r="B17" s="41">
        <v>1339</v>
      </c>
      <c r="C17" s="42" t="s">
        <v>57</v>
      </c>
      <c r="D17" s="185">
        <v>3604.6</v>
      </c>
      <c r="E17" s="44">
        <v>0.25</v>
      </c>
      <c r="F17" s="143">
        <f t="shared" si="0"/>
        <v>901.15</v>
      </c>
      <c r="G17" s="143">
        <f t="shared" si="2"/>
        <v>901.15</v>
      </c>
      <c r="H17" s="143">
        <f t="shared" si="1"/>
        <v>0</v>
      </c>
      <c r="I17" s="46">
        <v>3090574</v>
      </c>
      <c r="J17" s="47" t="s">
        <v>108</v>
      </c>
      <c r="K17" s="46" t="s">
        <v>94</v>
      </c>
      <c r="L17" s="46" t="s">
        <v>95</v>
      </c>
      <c r="M17" s="51">
        <v>99292421</v>
      </c>
      <c r="N17" s="116"/>
    </row>
    <row r="18" spans="1:15" s="65" customFormat="1" ht="15" customHeight="1" x14ac:dyDescent="0.25">
      <c r="A18" s="90">
        <v>15</v>
      </c>
      <c r="B18" s="84">
        <v>1340</v>
      </c>
      <c r="C18" s="58" t="s">
        <v>36</v>
      </c>
      <c r="D18" s="55">
        <v>1160.3</v>
      </c>
      <c r="E18" s="56">
        <v>0.25</v>
      </c>
      <c r="F18" s="57">
        <f t="shared" si="0"/>
        <v>290.07499999999999</v>
      </c>
      <c r="G18" s="143">
        <f t="shared" si="2"/>
        <v>290.07499999999999</v>
      </c>
      <c r="H18" s="57">
        <f t="shared" si="1"/>
        <v>0</v>
      </c>
      <c r="I18" s="60">
        <v>7279274</v>
      </c>
      <c r="J18" s="176" t="s">
        <v>109</v>
      </c>
      <c r="K18" s="59" t="s">
        <v>110</v>
      </c>
      <c r="L18" s="176" t="s">
        <v>18</v>
      </c>
      <c r="M18" s="60">
        <v>93808816</v>
      </c>
      <c r="N18" s="91">
        <v>45657</v>
      </c>
      <c r="O18" s="177">
        <v>45684</v>
      </c>
    </row>
    <row r="19" spans="1:15" x14ac:dyDescent="0.25">
      <c r="A19" s="85">
        <v>16</v>
      </c>
      <c r="B19" s="41">
        <v>1341</v>
      </c>
      <c r="C19" s="42" t="s">
        <v>58</v>
      </c>
      <c r="D19" s="185">
        <v>1408.2</v>
      </c>
      <c r="E19" s="44">
        <v>0.25</v>
      </c>
      <c r="F19" s="143">
        <f t="shared" si="0"/>
        <v>352.05</v>
      </c>
      <c r="G19" s="143">
        <f t="shared" si="2"/>
        <v>352.05</v>
      </c>
      <c r="H19" s="143">
        <f t="shared" si="1"/>
        <v>0</v>
      </c>
      <c r="I19" s="46">
        <v>15977579</v>
      </c>
      <c r="J19" s="52" t="s">
        <v>111</v>
      </c>
      <c r="K19" s="48" t="s">
        <v>110</v>
      </c>
      <c r="L19" s="49" t="s">
        <v>18</v>
      </c>
      <c r="M19" s="51">
        <v>92578822</v>
      </c>
      <c r="N19" s="116"/>
    </row>
    <row r="20" spans="1:15" x14ac:dyDescent="0.25">
      <c r="A20" s="90">
        <v>17</v>
      </c>
      <c r="B20" s="84">
        <v>1342</v>
      </c>
      <c r="C20" s="54" t="s">
        <v>59</v>
      </c>
      <c r="D20" s="66">
        <v>612.79999999999995</v>
      </c>
      <c r="E20" s="56">
        <v>0.25</v>
      </c>
      <c r="F20" s="57">
        <f t="shared" si="0"/>
        <v>153.19999999999999</v>
      </c>
      <c r="G20" s="143">
        <f t="shared" si="2"/>
        <v>153.19999999999999</v>
      </c>
      <c r="H20" s="57">
        <f t="shared" si="1"/>
        <v>0</v>
      </c>
      <c r="I20" s="58">
        <v>13950469</v>
      </c>
      <c r="J20" s="168" t="s">
        <v>112</v>
      </c>
      <c r="K20" s="59" t="s">
        <v>110</v>
      </c>
      <c r="L20" s="169" t="s">
        <v>18</v>
      </c>
      <c r="M20" s="60">
        <v>92341118</v>
      </c>
      <c r="N20" s="91">
        <v>45658</v>
      </c>
      <c r="O20" s="130">
        <v>45686</v>
      </c>
    </row>
    <row r="21" spans="1:15" x14ac:dyDescent="0.25">
      <c r="A21" s="90">
        <v>18</v>
      </c>
      <c r="B21" s="84">
        <v>1343</v>
      </c>
      <c r="C21" s="54" t="s">
        <v>29</v>
      </c>
      <c r="D21" s="55">
        <v>1213.4000000000001</v>
      </c>
      <c r="E21" s="56">
        <v>0.25</v>
      </c>
      <c r="F21" s="57">
        <f t="shared" si="0"/>
        <v>303.35000000000002</v>
      </c>
      <c r="G21" s="143">
        <f t="shared" si="2"/>
        <v>303.35000000000002</v>
      </c>
      <c r="H21" s="57">
        <f t="shared" si="1"/>
        <v>0</v>
      </c>
      <c r="I21" s="58">
        <v>5160297</v>
      </c>
      <c r="J21" s="151" t="s">
        <v>113</v>
      </c>
      <c r="K21" s="59" t="s">
        <v>94</v>
      </c>
      <c r="L21" s="169" t="s">
        <v>95</v>
      </c>
      <c r="M21" s="60">
        <v>93501199</v>
      </c>
      <c r="N21" s="91">
        <v>45679</v>
      </c>
      <c r="O21" s="130">
        <v>45691</v>
      </c>
    </row>
    <row r="22" spans="1:15" x14ac:dyDescent="0.25">
      <c r="A22" s="85">
        <v>19</v>
      </c>
      <c r="B22" s="41">
        <v>1345</v>
      </c>
      <c r="C22" s="63" t="s">
        <v>60</v>
      </c>
      <c r="D22" s="185">
        <v>6031.4</v>
      </c>
      <c r="E22" s="67">
        <v>0.25</v>
      </c>
      <c r="F22" s="143">
        <f t="shared" si="0"/>
        <v>1507.85</v>
      </c>
      <c r="G22" s="143">
        <f t="shared" si="2"/>
        <v>1507.85</v>
      </c>
      <c r="H22" s="143">
        <f t="shared" si="1"/>
        <v>0</v>
      </c>
      <c r="I22" s="63">
        <v>10578952</v>
      </c>
      <c r="J22" s="155" t="s">
        <v>114</v>
      </c>
      <c r="K22" s="156" t="s">
        <v>115</v>
      </c>
      <c r="L22" s="49" t="s">
        <v>116</v>
      </c>
      <c r="M22" s="64">
        <v>92194382</v>
      </c>
      <c r="N22" s="125"/>
    </row>
    <row r="23" spans="1:15" x14ac:dyDescent="0.25">
      <c r="A23" s="85">
        <v>20</v>
      </c>
      <c r="B23" s="41">
        <v>1349</v>
      </c>
      <c r="C23" s="42" t="s">
        <v>38</v>
      </c>
      <c r="D23" s="185">
        <v>2374.1999999999998</v>
      </c>
      <c r="E23" s="44">
        <v>0.25</v>
      </c>
      <c r="F23" s="143">
        <f t="shared" si="0"/>
        <v>593.54999999999995</v>
      </c>
      <c r="G23" s="143">
        <f t="shared" si="2"/>
        <v>593.54999999999995</v>
      </c>
      <c r="H23" s="143">
        <f t="shared" si="1"/>
        <v>0</v>
      </c>
      <c r="I23" s="46">
        <v>7128679</v>
      </c>
      <c r="J23" s="52" t="s">
        <v>117</v>
      </c>
      <c r="K23" s="48" t="s">
        <v>17</v>
      </c>
      <c r="L23" s="49" t="s">
        <v>18</v>
      </c>
      <c r="M23" s="51">
        <v>91408836</v>
      </c>
      <c r="N23" s="116"/>
    </row>
    <row r="24" spans="1:15" x14ac:dyDescent="0.25">
      <c r="A24" s="85">
        <v>21</v>
      </c>
      <c r="B24" s="41">
        <v>1350</v>
      </c>
      <c r="C24" s="42" t="s">
        <v>61</v>
      </c>
      <c r="D24" s="185">
        <v>4492.5</v>
      </c>
      <c r="E24" s="44">
        <v>0.25</v>
      </c>
      <c r="F24" s="143">
        <f t="shared" si="0"/>
        <v>1123.125</v>
      </c>
      <c r="G24" s="143">
        <f t="shared" si="2"/>
        <v>1123.125</v>
      </c>
      <c r="H24" s="143">
        <f t="shared" si="1"/>
        <v>0</v>
      </c>
      <c r="I24" s="46">
        <v>6752017</v>
      </c>
      <c r="J24" s="52" t="s">
        <v>118</v>
      </c>
      <c r="K24" s="48" t="s">
        <v>17</v>
      </c>
      <c r="L24" s="49" t="s">
        <v>18</v>
      </c>
      <c r="M24" s="51">
        <v>92520708</v>
      </c>
      <c r="N24" s="116"/>
    </row>
    <row r="25" spans="1:15" x14ac:dyDescent="0.25">
      <c r="A25" s="85">
        <v>22</v>
      </c>
      <c r="B25" s="41">
        <v>1353</v>
      </c>
      <c r="C25" s="42" t="s">
        <v>62</v>
      </c>
      <c r="D25" s="187">
        <v>6179.8</v>
      </c>
      <c r="E25" s="44">
        <v>0.25</v>
      </c>
      <c r="F25" s="143">
        <f t="shared" si="0"/>
        <v>1544.95</v>
      </c>
      <c r="G25" s="143">
        <f t="shared" si="2"/>
        <v>1544.95</v>
      </c>
      <c r="H25" s="143">
        <f t="shared" si="1"/>
        <v>0</v>
      </c>
      <c r="I25" s="46">
        <v>5217694</v>
      </c>
      <c r="J25" s="52" t="s">
        <v>142</v>
      </c>
      <c r="K25" s="48" t="s">
        <v>94</v>
      </c>
      <c r="L25" s="49" t="s">
        <v>95</v>
      </c>
      <c r="M25" s="51">
        <v>92749180</v>
      </c>
      <c r="N25" s="116"/>
    </row>
    <row r="26" spans="1:15" s="154" customFormat="1" x14ac:dyDescent="0.25">
      <c r="A26" s="90">
        <v>23</v>
      </c>
      <c r="B26" s="84">
        <v>1355</v>
      </c>
      <c r="C26" s="54" t="s">
        <v>64</v>
      </c>
      <c r="D26" s="55">
        <v>2487.3000000000002</v>
      </c>
      <c r="E26" s="56">
        <v>0.25</v>
      </c>
      <c r="F26" s="57">
        <f t="shared" si="0"/>
        <v>621.82500000000005</v>
      </c>
      <c r="G26" s="143">
        <f t="shared" si="2"/>
        <v>621.82500000000005</v>
      </c>
      <c r="H26" s="57">
        <f t="shared" si="1"/>
        <v>0</v>
      </c>
      <c r="I26" s="58">
        <v>585058</v>
      </c>
      <c r="J26" s="151" t="s">
        <v>119</v>
      </c>
      <c r="K26" s="59" t="s">
        <v>94</v>
      </c>
      <c r="L26" s="169" t="s">
        <v>95</v>
      </c>
      <c r="M26" s="60">
        <v>99055262</v>
      </c>
      <c r="N26" s="91">
        <v>45963</v>
      </c>
    </row>
    <row r="27" spans="1:15" x14ac:dyDescent="0.25">
      <c r="A27" s="85">
        <v>24</v>
      </c>
      <c r="B27" s="41">
        <v>1356</v>
      </c>
      <c r="C27" s="42" t="s">
        <v>65</v>
      </c>
      <c r="D27" s="185">
        <v>843.9</v>
      </c>
      <c r="E27" s="44">
        <v>0.25</v>
      </c>
      <c r="F27" s="143">
        <f t="shared" si="0"/>
        <v>210.97499999999999</v>
      </c>
      <c r="G27" s="143">
        <f t="shared" si="2"/>
        <v>210.97499999999999</v>
      </c>
      <c r="H27" s="143">
        <f t="shared" si="1"/>
        <v>0</v>
      </c>
      <c r="I27" s="46">
        <v>7494112</v>
      </c>
      <c r="J27" s="52" t="s">
        <v>143</v>
      </c>
      <c r="K27" s="48" t="s">
        <v>17</v>
      </c>
      <c r="L27" s="49" t="s">
        <v>18</v>
      </c>
      <c r="M27" s="51">
        <v>99488186</v>
      </c>
      <c r="N27" s="116"/>
    </row>
    <row r="28" spans="1:15" x14ac:dyDescent="0.25">
      <c r="A28" s="85">
        <v>25</v>
      </c>
      <c r="B28" s="41">
        <v>1362</v>
      </c>
      <c r="C28" s="42" t="s">
        <v>15</v>
      </c>
      <c r="D28" s="185">
        <v>2491.5</v>
      </c>
      <c r="E28" s="44">
        <v>0.25</v>
      </c>
      <c r="F28" s="143">
        <f t="shared" si="0"/>
        <v>622.875</v>
      </c>
      <c r="G28" s="143">
        <f t="shared" si="2"/>
        <v>622.875</v>
      </c>
      <c r="H28" s="143">
        <f t="shared" si="1"/>
        <v>0</v>
      </c>
      <c r="I28" s="46">
        <v>2429041</v>
      </c>
      <c r="J28" s="52" t="s">
        <v>16</v>
      </c>
      <c r="K28" s="48" t="s">
        <v>17</v>
      </c>
      <c r="L28" s="49" t="s">
        <v>18</v>
      </c>
      <c r="M28" s="51">
        <v>93663694</v>
      </c>
      <c r="N28" s="116"/>
    </row>
    <row r="29" spans="1:15" x14ac:dyDescent="0.25">
      <c r="A29" s="85">
        <v>26</v>
      </c>
      <c r="B29" s="41">
        <v>1363</v>
      </c>
      <c r="C29" s="42" t="s">
        <v>67</v>
      </c>
      <c r="D29" s="185">
        <v>2507.6999999999998</v>
      </c>
      <c r="E29" s="44">
        <v>0.25</v>
      </c>
      <c r="F29" s="143">
        <f t="shared" si="0"/>
        <v>626.92499999999995</v>
      </c>
      <c r="G29" s="143">
        <f t="shared" si="2"/>
        <v>626.92499999999995</v>
      </c>
      <c r="H29" s="143">
        <f t="shared" si="1"/>
        <v>0</v>
      </c>
      <c r="I29" s="46">
        <v>322352</v>
      </c>
      <c r="J29" s="52" t="s">
        <v>120</v>
      </c>
      <c r="K29" s="48" t="s">
        <v>17</v>
      </c>
      <c r="L29" s="49" t="s">
        <v>18</v>
      </c>
      <c r="M29" s="51">
        <v>98842645</v>
      </c>
      <c r="N29" s="116"/>
    </row>
    <row r="30" spans="1:15" x14ac:dyDescent="0.25">
      <c r="A30" s="90">
        <v>27</v>
      </c>
      <c r="B30" s="84">
        <v>1364</v>
      </c>
      <c r="C30" s="54" t="s">
        <v>68</v>
      </c>
      <c r="D30" s="55">
        <v>620</v>
      </c>
      <c r="E30" s="56">
        <v>0.25</v>
      </c>
      <c r="F30" s="57">
        <f t="shared" si="0"/>
        <v>155</v>
      </c>
      <c r="G30" s="143">
        <f t="shared" si="2"/>
        <v>155</v>
      </c>
      <c r="H30" s="57">
        <f t="shared" si="1"/>
        <v>0</v>
      </c>
      <c r="I30" s="58">
        <v>7113811</v>
      </c>
      <c r="J30" s="151" t="s">
        <v>121</v>
      </c>
      <c r="K30" s="59" t="s">
        <v>94</v>
      </c>
      <c r="L30" s="169" t="s">
        <v>95</v>
      </c>
      <c r="M30" s="60">
        <v>92969982</v>
      </c>
      <c r="N30" s="91">
        <v>45672</v>
      </c>
    </row>
    <row r="31" spans="1:15" x14ac:dyDescent="0.25">
      <c r="A31" s="90">
        <v>28</v>
      </c>
      <c r="B31" s="84">
        <v>1366</v>
      </c>
      <c r="C31" s="54" t="s">
        <v>39</v>
      </c>
      <c r="D31" s="55">
        <v>2488.6999999999998</v>
      </c>
      <c r="E31" s="56">
        <v>0.25</v>
      </c>
      <c r="F31" s="57">
        <f t="shared" si="0"/>
        <v>622.17499999999995</v>
      </c>
      <c r="G31" s="143">
        <f t="shared" si="2"/>
        <v>622.17499999999995</v>
      </c>
      <c r="H31" s="57">
        <f t="shared" si="1"/>
        <v>0</v>
      </c>
      <c r="I31" s="58">
        <v>8318385</v>
      </c>
      <c r="J31" s="151" t="s">
        <v>122</v>
      </c>
      <c r="K31" s="59" t="s">
        <v>17</v>
      </c>
      <c r="L31" s="169" t="s">
        <v>18</v>
      </c>
      <c r="M31" s="60">
        <v>90660210</v>
      </c>
      <c r="N31" s="91">
        <v>45684</v>
      </c>
      <c r="O31" s="130">
        <v>45963</v>
      </c>
    </row>
    <row r="32" spans="1:15" x14ac:dyDescent="0.25">
      <c r="A32" s="85">
        <v>29</v>
      </c>
      <c r="B32" s="61">
        <v>1370</v>
      </c>
      <c r="C32" s="52" t="s">
        <v>20</v>
      </c>
      <c r="D32" s="185">
        <v>1822.7</v>
      </c>
      <c r="E32" s="44">
        <v>0.25</v>
      </c>
      <c r="F32" s="143">
        <f t="shared" si="0"/>
        <v>455.67500000000001</v>
      </c>
      <c r="G32" s="143">
        <f t="shared" si="2"/>
        <v>455.67500000000001</v>
      </c>
      <c r="H32" s="143">
        <f t="shared" si="1"/>
        <v>0</v>
      </c>
      <c r="I32" s="42">
        <v>14431965</v>
      </c>
      <c r="J32" s="47" t="s">
        <v>21</v>
      </c>
      <c r="K32" s="48" t="s">
        <v>17</v>
      </c>
      <c r="L32" s="49" t="s">
        <v>18</v>
      </c>
      <c r="M32" s="70">
        <v>99693775</v>
      </c>
      <c r="N32" s="126"/>
    </row>
    <row r="33" spans="1:15" x14ac:dyDescent="0.25">
      <c r="A33" s="85">
        <v>30</v>
      </c>
      <c r="B33" s="61">
        <v>1371</v>
      </c>
      <c r="C33" s="52" t="s">
        <v>40</v>
      </c>
      <c r="D33" s="185">
        <v>1857.4</v>
      </c>
      <c r="E33" s="44">
        <v>0.25</v>
      </c>
      <c r="F33" s="143">
        <f t="shared" si="0"/>
        <v>464.35</v>
      </c>
      <c r="G33" s="143">
        <f t="shared" si="2"/>
        <v>464.35</v>
      </c>
      <c r="H33" s="143">
        <f t="shared" si="1"/>
        <v>0</v>
      </c>
      <c r="I33" s="42">
        <v>990755</v>
      </c>
      <c r="J33" s="47" t="s">
        <v>123</v>
      </c>
      <c r="K33" s="48" t="s">
        <v>89</v>
      </c>
      <c r="L33" s="49" t="s">
        <v>90</v>
      </c>
      <c r="M33" s="70">
        <v>92556210</v>
      </c>
      <c r="N33" s="126"/>
    </row>
    <row r="34" spans="1:15" x14ac:dyDescent="0.25">
      <c r="A34" s="85">
        <v>31</v>
      </c>
      <c r="B34" s="61">
        <v>1372</v>
      </c>
      <c r="C34" s="52" t="s">
        <v>69</v>
      </c>
      <c r="D34" s="185">
        <v>1801.8</v>
      </c>
      <c r="E34" s="44">
        <v>0.25</v>
      </c>
      <c r="F34" s="143">
        <f t="shared" si="0"/>
        <v>450.45</v>
      </c>
      <c r="G34" s="143">
        <f t="shared" si="2"/>
        <v>450.45</v>
      </c>
      <c r="H34" s="143">
        <f t="shared" si="1"/>
        <v>0</v>
      </c>
      <c r="I34" s="48">
        <v>628655</v>
      </c>
      <c r="J34" s="47" t="s">
        <v>124</v>
      </c>
      <c r="K34" s="48" t="s">
        <v>94</v>
      </c>
      <c r="L34" s="49" t="s">
        <v>95</v>
      </c>
      <c r="M34" s="70">
        <v>98976629</v>
      </c>
      <c r="N34" s="126"/>
    </row>
    <row r="35" spans="1:15" x14ac:dyDescent="0.25">
      <c r="A35" s="117">
        <v>32</v>
      </c>
      <c r="B35" s="203">
        <v>1373</v>
      </c>
      <c r="C35" s="204" t="s">
        <v>70</v>
      </c>
      <c r="D35" s="120">
        <v>659.7</v>
      </c>
      <c r="E35" s="121">
        <v>0.25</v>
      </c>
      <c r="F35" s="122">
        <f t="shared" si="0"/>
        <v>164.92500000000001</v>
      </c>
      <c r="G35" s="143">
        <f t="shared" si="2"/>
        <v>164.92500000000001</v>
      </c>
      <c r="H35" s="122">
        <f t="shared" si="1"/>
        <v>0</v>
      </c>
      <c r="I35" s="174">
        <v>734281</v>
      </c>
      <c r="J35" s="205" t="s">
        <v>125</v>
      </c>
      <c r="K35" s="174" t="s">
        <v>17</v>
      </c>
      <c r="L35" s="175" t="s">
        <v>18</v>
      </c>
      <c r="M35" s="206">
        <v>99891516</v>
      </c>
      <c r="N35" s="207" t="s">
        <v>85</v>
      </c>
    </row>
    <row r="36" spans="1:15" x14ac:dyDescent="0.25">
      <c r="A36" s="85">
        <v>33</v>
      </c>
      <c r="B36" s="61">
        <v>1375</v>
      </c>
      <c r="C36" s="52" t="s">
        <v>71</v>
      </c>
      <c r="D36" s="185">
        <v>663.3</v>
      </c>
      <c r="E36" s="44">
        <v>0.25</v>
      </c>
      <c r="F36" s="143">
        <f t="shared" si="0"/>
        <v>165.82499999999999</v>
      </c>
      <c r="G36" s="143">
        <f t="shared" si="2"/>
        <v>165.82499999999999</v>
      </c>
      <c r="H36" s="143">
        <f t="shared" si="1"/>
        <v>0</v>
      </c>
      <c r="I36" s="48">
        <v>6748627</v>
      </c>
      <c r="J36" s="158" t="s">
        <v>126</v>
      </c>
      <c r="K36" s="159" t="s">
        <v>127</v>
      </c>
      <c r="L36" s="159" t="s">
        <v>128</v>
      </c>
      <c r="M36" s="70">
        <v>93707700</v>
      </c>
      <c r="N36" s="126"/>
    </row>
    <row r="37" spans="1:15" x14ac:dyDescent="0.25">
      <c r="A37" s="85">
        <v>34</v>
      </c>
      <c r="B37" s="61">
        <v>1377</v>
      </c>
      <c r="C37" s="52" t="s">
        <v>72</v>
      </c>
      <c r="D37" s="185">
        <v>638.70000000000005</v>
      </c>
      <c r="E37" s="44">
        <v>0.25</v>
      </c>
      <c r="F37" s="143">
        <f t="shared" si="0"/>
        <v>159.67500000000001</v>
      </c>
      <c r="G37" s="143">
        <f t="shared" si="2"/>
        <v>159.67500000000001</v>
      </c>
      <c r="H37" s="143">
        <f t="shared" si="1"/>
        <v>0</v>
      </c>
      <c r="I37" s="48">
        <v>5160404</v>
      </c>
      <c r="J37" s="47" t="s">
        <v>129</v>
      </c>
      <c r="K37" s="48" t="s">
        <v>94</v>
      </c>
      <c r="L37" s="49" t="s">
        <v>95</v>
      </c>
      <c r="M37" s="70">
        <v>91120322</v>
      </c>
      <c r="N37" s="126"/>
    </row>
    <row r="38" spans="1:15" s="154" customFormat="1" x14ac:dyDescent="0.25">
      <c r="A38" s="90">
        <v>35</v>
      </c>
      <c r="B38" s="105">
        <v>1378</v>
      </c>
      <c r="C38" s="151" t="s">
        <v>42</v>
      </c>
      <c r="D38" s="55">
        <v>2393.6</v>
      </c>
      <c r="E38" s="56">
        <v>0.25</v>
      </c>
      <c r="F38" s="57">
        <f t="shared" si="0"/>
        <v>598.4</v>
      </c>
      <c r="G38" s="143">
        <f t="shared" si="2"/>
        <v>598.4</v>
      </c>
      <c r="H38" s="57">
        <f t="shared" si="1"/>
        <v>0</v>
      </c>
      <c r="I38" s="59">
        <v>5996404</v>
      </c>
      <c r="J38" s="209" t="s">
        <v>130</v>
      </c>
      <c r="K38" s="54" t="s">
        <v>110</v>
      </c>
      <c r="L38" s="54" t="s">
        <v>18</v>
      </c>
      <c r="M38" s="172">
        <v>98976878</v>
      </c>
      <c r="N38" s="133">
        <v>45963</v>
      </c>
    </row>
    <row r="39" spans="1:15" s="154" customFormat="1" x14ac:dyDescent="0.25">
      <c r="A39" s="90">
        <v>36</v>
      </c>
      <c r="B39" s="105">
        <v>1381</v>
      </c>
      <c r="C39" s="151" t="s">
        <v>43</v>
      </c>
      <c r="D39" s="55">
        <v>621.1</v>
      </c>
      <c r="E39" s="56">
        <v>0.25</v>
      </c>
      <c r="F39" s="57">
        <f t="shared" si="0"/>
        <v>155.27500000000001</v>
      </c>
      <c r="G39" s="143">
        <f t="shared" si="2"/>
        <v>155.27500000000001</v>
      </c>
      <c r="H39" s="57">
        <f t="shared" si="1"/>
        <v>0</v>
      </c>
      <c r="I39" s="59">
        <v>19847623</v>
      </c>
      <c r="J39" s="168" t="s">
        <v>131</v>
      </c>
      <c r="K39" s="59" t="s">
        <v>89</v>
      </c>
      <c r="L39" s="169" t="s">
        <v>90</v>
      </c>
      <c r="M39" s="172">
        <v>92802427</v>
      </c>
      <c r="N39" s="133">
        <v>45663</v>
      </c>
      <c r="O39" s="130">
        <v>45684</v>
      </c>
    </row>
    <row r="40" spans="1:15" s="154" customFormat="1" x14ac:dyDescent="0.25">
      <c r="A40" s="90">
        <v>37</v>
      </c>
      <c r="B40" s="84">
        <v>1390</v>
      </c>
      <c r="C40" s="54" t="s">
        <v>44</v>
      </c>
      <c r="D40" s="55">
        <v>622.9</v>
      </c>
      <c r="E40" s="56">
        <v>0.25</v>
      </c>
      <c r="F40" s="57">
        <f t="shared" si="0"/>
        <v>155.72499999999999</v>
      </c>
      <c r="G40" s="143">
        <f t="shared" si="2"/>
        <v>155.72499999999999</v>
      </c>
      <c r="H40" s="57">
        <f t="shared" si="1"/>
        <v>0</v>
      </c>
      <c r="I40" s="58">
        <v>13826903</v>
      </c>
      <c r="J40" s="168" t="s">
        <v>132</v>
      </c>
      <c r="K40" s="58" t="s">
        <v>17</v>
      </c>
      <c r="L40" s="58" t="s">
        <v>18</v>
      </c>
      <c r="M40" s="60"/>
      <c r="N40" s="91">
        <v>45963</v>
      </c>
    </row>
    <row r="41" spans="1:15" s="65" customFormat="1" x14ac:dyDescent="0.25">
      <c r="A41" s="85">
        <v>38</v>
      </c>
      <c r="B41" s="41">
        <v>1392</v>
      </c>
      <c r="C41" s="42" t="s">
        <v>73</v>
      </c>
      <c r="D41" s="185">
        <v>1554.6</v>
      </c>
      <c r="E41" s="44">
        <v>0.25</v>
      </c>
      <c r="F41" s="143">
        <f t="shared" si="0"/>
        <v>388.65</v>
      </c>
      <c r="G41" s="143">
        <f t="shared" si="2"/>
        <v>388.65</v>
      </c>
      <c r="H41" s="143">
        <f t="shared" si="1"/>
        <v>0</v>
      </c>
      <c r="I41" s="46">
        <v>1353348</v>
      </c>
      <c r="J41" s="47" t="s">
        <v>133</v>
      </c>
      <c r="K41" s="48" t="s">
        <v>94</v>
      </c>
      <c r="L41" s="49" t="s">
        <v>95</v>
      </c>
      <c r="M41" s="51"/>
      <c r="N41" s="116"/>
    </row>
    <row r="42" spans="1:15" s="154" customFormat="1" x14ac:dyDescent="0.25">
      <c r="A42" s="90">
        <v>39</v>
      </c>
      <c r="B42" s="105">
        <v>1393</v>
      </c>
      <c r="C42" s="151" t="s">
        <v>45</v>
      </c>
      <c r="D42" s="55">
        <v>623.20000000000005</v>
      </c>
      <c r="E42" s="56">
        <v>0.25</v>
      </c>
      <c r="F42" s="57">
        <f t="shared" si="0"/>
        <v>155.80000000000001</v>
      </c>
      <c r="G42" s="143">
        <f t="shared" si="2"/>
        <v>155.80000000000001</v>
      </c>
      <c r="H42" s="57">
        <f t="shared" si="1"/>
        <v>0</v>
      </c>
      <c r="I42" s="59">
        <v>1650389</v>
      </c>
      <c r="J42" s="209" t="s">
        <v>134</v>
      </c>
      <c r="K42" s="54" t="s">
        <v>17</v>
      </c>
      <c r="L42" s="54" t="s">
        <v>18</v>
      </c>
      <c r="M42" s="172">
        <v>94264109</v>
      </c>
      <c r="N42" s="133">
        <v>45963</v>
      </c>
    </row>
    <row r="43" spans="1:15" s="65" customFormat="1" x14ac:dyDescent="0.25">
      <c r="A43" s="85">
        <v>40</v>
      </c>
      <c r="B43" s="61">
        <v>1500</v>
      </c>
      <c r="C43" s="52" t="s">
        <v>75</v>
      </c>
      <c r="D43" s="185">
        <v>12.2</v>
      </c>
      <c r="E43" s="44">
        <v>0.25</v>
      </c>
      <c r="F43" s="143">
        <f t="shared" si="0"/>
        <v>3.05</v>
      </c>
      <c r="G43" s="143">
        <f t="shared" si="2"/>
        <v>3.05</v>
      </c>
      <c r="H43" s="143">
        <f t="shared" si="1"/>
        <v>0</v>
      </c>
      <c r="I43" s="48">
        <v>19567469</v>
      </c>
      <c r="J43" s="47" t="s">
        <v>135</v>
      </c>
      <c r="K43" s="48" t="s">
        <v>94</v>
      </c>
      <c r="L43" s="161" t="s">
        <v>95</v>
      </c>
      <c r="M43" s="70">
        <v>92265154</v>
      </c>
      <c r="N43" s="126"/>
    </row>
    <row r="44" spans="1:15" s="65" customFormat="1" x14ac:dyDescent="0.25">
      <c r="A44" s="90">
        <v>41</v>
      </c>
      <c r="B44" s="105">
        <v>1501</v>
      </c>
      <c r="C44" s="131" t="s">
        <v>76</v>
      </c>
      <c r="D44" s="55">
        <v>364</v>
      </c>
      <c r="E44" s="56">
        <v>0.25</v>
      </c>
      <c r="F44" s="57">
        <f t="shared" si="0"/>
        <v>91</v>
      </c>
      <c r="G44" s="143">
        <f t="shared" si="2"/>
        <v>91</v>
      </c>
      <c r="H44" s="57">
        <f t="shared" si="1"/>
        <v>0</v>
      </c>
      <c r="I44" s="59">
        <v>25657583</v>
      </c>
      <c r="J44" s="168" t="s">
        <v>136</v>
      </c>
      <c r="K44" s="59" t="s">
        <v>17</v>
      </c>
      <c r="L44" s="171" t="s">
        <v>18</v>
      </c>
      <c r="M44" s="172"/>
      <c r="N44" s="133">
        <v>45658</v>
      </c>
    </row>
    <row r="45" spans="1:15" s="65" customFormat="1" x14ac:dyDescent="0.25">
      <c r="A45" s="85">
        <v>42</v>
      </c>
      <c r="B45" s="61">
        <v>1503</v>
      </c>
      <c r="C45" s="89" t="s">
        <v>77</v>
      </c>
      <c r="D45" s="186">
        <v>653.29999999999995</v>
      </c>
      <c r="E45" s="44">
        <v>0.25</v>
      </c>
      <c r="F45" s="143">
        <f t="shared" si="0"/>
        <v>163.32499999999999</v>
      </c>
      <c r="G45" s="143">
        <f t="shared" si="2"/>
        <v>163.32499999999999</v>
      </c>
      <c r="H45" s="143">
        <f t="shared" si="1"/>
        <v>0</v>
      </c>
      <c r="I45" s="48">
        <v>8930607</v>
      </c>
      <c r="J45" s="162" t="s">
        <v>137</v>
      </c>
      <c r="K45" s="48" t="s">
        <v>17</v>
      </c>
      <c r="L45" s="161" t="s">
        <v>18</v>
      </c>
      <c r="M45" s="70">
        <v>92621425</v>
      </c>
      <c r="N45" s="126"/>
      <c r="O45" s="7"/>
    </row>
    <row r="46" spans="1:15" s="154" customFormat="1" x14ac:dyDescent="0.25">
      <c r="A46" s="90">
        <v>43</v>
      </c>
      <c r="B46" s="105">
        <v>1504</v>
      </c>
      <c r="C46" s="170" t="s">
        <v>79</v>
      </c>
      <c r="D46" s="132">
        <v>758.7</v>
      </c>
      <c r="E46" s="56">
        <v>0.25</v>
      </c>
      <c r="F46" s="57">
        <f t="shared" si="0"/>
        <v>189.67500000000001</v>
      </c>
      <c r="G46" s="143">
        <f t="shared" si="2"/>
        <v>189.67500000000001</v>
      </c>
      <c r="H46" s="57">
        <f t="shared" si="1"/>
        <v>0</v>
      </c>
      <c r="I46" s="59">
        <v>381215</v>
      </c>
      <c r="J46" s="168" t="s">
        <v>138</v>
      </c>
      <c r="K46" s="59" t="s">
        <v>17</v>
      </c>
      <c r="L46" s="171" t="s">
        <v>18</v>
      </c>
      <c r="M46" s="172">
        <v>95110746</v>
      </c>
      <c r="N46" s="133">
        <v>45810</v>
      </c>
    </row>
    <row r="47" spans="1:15" x14ac:dyDescent="0.25">
      <c r="A47" s="90">
        <v>44</v>
      </c>
      <c r="B47" s="105">
        <v>1505</v>
      </c>
      <c r="C47" s="170" t="s">
        <v>86</v>
      </c>
      <c r="D47" s="55">
        <v>409.8</v>
      </c>
      <c r="E47" s="56">
        <v>0.25</v>
      </c>
      <c r="F47" s="57">
        <f t="shared" si="0"/>
        <v>102.45</v>
      </c>
      <c r="G47" s="143">
        <f t="shared" si="2"/>
        <v>102.45</v>
      </c>
      <c r="H47" s="57">
        <f t="shared" si="1"/>
        <v>0</v>
      </c>
      <c r="I47" s="59">
        <v>6668659</v>
      </c>
      <c r="J47" s="168"/>
      <c r="K47" s="59"/>
      <c r="L47" s="171"/>
      <c r="M47" s="172"/>
      <c r="N47" s="133">
        <v>45665</v>
      </c>
      <c r="O47" s="130">
        <v>45684</v>
      </c>
    </row>
    <row r="48" spans="1:15" x14ac:dyDescent="0.25">
      <c r="A48" s="86"/>
      <c r="B48" s="86"/>
      <c r="C48" s="86"/>
      <c r="D48" s="185">
        <f>SUM(D4:D47)</f>
        <v>69469.5</v>
      </c>
      <c r="E48" s="44">
        <v>0.25</v>
      </c>
      <c r="F48" s="143">
        <f>SUM(F4:F47)</f>
        <v>17367.375</v>
      </c>
      <c r="G48" s="143">
        <f t="shared" ref="G48:H48" si="3">SUM(G4:G47)</f>
        <v>17367.375</v>
      </c>
      <c r="H48" s="143">
        <f t="shared" si="3"/>
        <v>0</v>
      </c>
      <c r="I48" s="86"/>
      <c r="J48" s="163"/>
      <c r="K48" s="164"/>
      <c r="L48" s="86"/>
      <c r="M48" s="79"/>
      <c r="N48" s="128"/>
    </row>
    <row r="50" spans="2:14" x14ac:dyDescent="0.25">
      <c r="J50" s="81" t="s">
        <v>23</v>
      </c>
    </row>
    <row r="51" spans="2:14" x14ac:dyDescent="0.25">
      <c r="B51" s="83"/>
      <c r="C51" s="83"/>
      <c r="D51" s="7"/>
      <c r="J51" s="7"/>
      <c r="K51" s="7"/>
      <c r="M51" s="7"/>
      <c r="N51" s="130"/>
    </row>
    <row r="52" spans="2:14" x14ac:dyDescent="0.25">
      <c r="B52" s="83"/>
      <c r="C52" s="83"/>
      <c r="D52" s="7"/>
      <c r="J52" s="7"/>
      <c r="K52" s="7"/>
      <c r="M52" s="7"/>
      <c r="N52" s="130"/>
    </row>
    <row r="53" spans="2:14" x14ac:dyDescent="0.25">
      <c r="B53" s="83"/>
      <c r="C53" s="83"/>
      <c r="D53" s="7"/>
      <c r="J53" s="7"/>
      <c r="K53" s="7"/>
      <c r="M53" s="7"/>
      <c r="N53" s="130"/>
    </row>
    <row r="54" spans="2:14" x14ac:dyDescent="0.25">
      <c r="B54" s="83"/>
      <c r="C54" s="83"/>
      <c r="D54" s="7"/>
      <c r="J54" s="7"/>
      <c r="K54" s="7"/>
      <c r="M54" s="7"/>
      <c r="N54" s="130"/>
    </row>
    <row r="55" spans="2:14" x14ac:dyDescent="0.25">
      <c r="B55" s="83"/>
      <c r="C55" s="83"/>
      <c r="D55" s="7"/>
      <c r="J55" s="7"/>
      <c r="K55" s="7"/>
      <c r="M55" s="7"/>
      <c r="N55" s="130"/>
    </row>
  </sheetData>
  <mergeCells count="15">
    <mergeCell ref="N2:N3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G2:G3"/>
    <mergeCell ref="H2:H3"/>
  </mergeCells>
  <conditionalFormatting sqref="J36">
    <cfRule type="duplicateValues" dxfId="7" priority="1"/>
  </conditionalFormatting>
  <pageMargins left="0.7" right="0.7" top="0.75" bottom="0.75" header="0.3" footer="0.3"/>
  <pageSetup paperSize="8" scale="8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4075-12E2-4CE0-98D9-2EED8A53FAB3}">
  <dimension ref="A1:O55"/>
  <sheetViews>
    <sheetView view="pageBreakPreview" zoomScale="96" zoomScaleNormal="96" zoomScaleSheetLayoutView="96" workbookViewId="0">
      <pane xSplit="3" ySplit="3" topLeftCell="D32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23" style="7" bestFit="1" customWidth="1"/>
    <col min="9" max="9" width="12.140625" style="7" customWidth="1"/>
    <col min="10" max="10" width="20.85546875" style="81" hidden="1" customWidth="1"/>
    <col min="11" max="11" width="19.140625" style="82" hidden="1" customWidth="1"/>
    <col min="12" max="12" width="15.140625" style="7" hidden="1" customWidth="1"/>
    <col min="13" max="13" width="11.140625" style="83" hidden="1" customWidth="1"/>
    <col min="14" max="14" width="14.5703125" style="129" customWidth="1"/>
    <col min="15" max="15" width="11.5703125" style="7" bestFit="1" customWidth="1"/>
    <col min="16" max="16384" width="9" style="7"/>
  </cols>
  <sheetData>
    <row r="1" spans="1:14" x14ac:dyDescent="0.25">
      <c r="A1" s="246" t="s">
        <v>144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115"/>
    </row>
    <row r="2" spans="1:14" ht="15.75" customHeight="1" x14ac:dyDescent="0.25">
      <c r="A2" s="247" t="s">
        <v>1</v>
      </c>
      <c r="B2" s="247" t="s">
        <v>2</v>
      </c>
      <c r="C2" s="247" t="s">
        <v>3</v>
      </c>
      <c r="D2" s="250" t="s">
        <v>4</v>
      </c>
      <c r="E2" s="247" t="s">
        <v>5</v>
      </c>
      <c r="F2" s="250" t="s">
        <v>6</v>
      </c>
      <c r="G2" s="250" t="s">
        <v>6</v>
      </c>
      <c r="H2" s="250" t="s">
        <v>6</v>
      </c>
      <c r="I2" s="247" t="s">
        <v>9</v>
      </c>
      <c r="J2" s="247" t="s">
        <v>10</v>
      </c>
      <c r="K2" s="249" t="s">
        <v>11</v>
      </c>
      <c r="L2" s="247" t="s">
        <v>12</v>
      </c>
      <c r="M2" s="245" t="s">
        <v>13</v>
      </c>
      <c r="N2" s="248" t="s">
        <v>14</v>
      </c>
    </row>
    <row r="3" spans="1:14" x14ac:dyDescent="0.25">
      <c r="A3" s="247"/>
      <c r="B3" s="247"/>
      <c r="C3" s="247"/>
      <c r="D3" s="250"/>
      <c r="E3" s="247"/>
      <c r="F3" s="250"/>
      <c r="G3" s="250"/>
      <c r="H3" s="250"/>
      <c r="I3" s="247"/>
      <c r="J3" s="247"/>
      <c r="K3" s="249"/>
      <c r="L3" s="247"/>
      <c r="M3" s="245"/>
      <c r="N3" s="248"/>
    </row>
    <row r="4" spans="1:14" x14ac:dyDescent="0.25">
      <c r="A4" s="85">
        <v>1</v>
      </c>
      <c r="B4" s="41">
        <v>1010</v>
      </c>
      <c r="C4" s="42" t="s">
        <v>47</v>
      </c>
      <c r="D4" s="188">
        <v>1898</v>
      </c>
      <c r="E4" s="44">
        <v>0.25</v>
      </c>
      <c r="F4" s="143">
        <f t="shared" ref="F4:F47" si="0">SUM(D4*E4)</f>
        <v>474.5</v>
      </c>
      <c r="G4" s="143">
        <f>F4</f>
        <v>474.5</v>
      </c>
      <c r="H4" s="143">
        <f>F4-G4</f>
        <v>0</v>
      </c>
      <c r="I4" s="46">
        <v>315313</v>
      </c>
      <c r="J4" s="47" t="s">
        <v>88</v>
      </c>
      <c r="K4" s="48" t="s">
        <v>89</v>
      </c>
      <c r="L4" s="49" t="s">
        <v>90</v>
      </c>
      <c r="M4" s="51">
        <v>92600441</v>
      </c>
      <c r="N4" s="116"/>
    </row>
    <row r="5" spans="1:14" x14ac:dyDescent="0.25">
      <c r="A5" s="85">
        <v>2</v>
      </c>
      <c r="B5" s="41">
        <v>1038</v>
      </c>
      <c r="C5" s="42" t="s">
        <v>48</v>
      </c>
      <c r="D5" s="188">
        <v>1880.1</v>
      </c>
      <c r="E5" s="44">
        <v>0.25</v>
      </c>
      <c r="F5" s="143">
        <f t="shared" si="0"/>
        <v>470.02499999999998</v>
      </c>
      <c r="G5" s="143">
        <f t="shared" ref="G5:G47" si="1">F5</f>
        <v>470.02499999999998</v>
      </c>
      <c r="H5" s="143">
        <f t="shared" ref="H5:H6" si="2">F5-G5</f>
        <v>0</v>
      </c>
      <c r="I5" s="46">
        <v>5247837</v>
      </c>
      <c r="J5" s="47" t="s">
        <v>91</v>
      </c>
      <c r="K5" s="48" t="s">
        <v>17</v>
      </c>
      <c r="L5" s="49" t="s">
        <v>18</v>
      </c>
      <c r="M5" s="51">
        <v>99441537</v>
      </c>
      <c r="N5" s="116"/>
    </row>
    <row r="6" spans="1:14" x14ac:dyDescent="0.25">
      <c r="A6" s="85">
        <v>3</v>
      </c>
      <c r="B6" s="41">
        <v>1065</v>
      </c>
      <c r="C6" s="42" t="s">
        <v>49</v>
      </c>
      <c r="D6" s="188">
        <v>613.29999999999995</v>
      </c>
      <c r="E6" s="44">
        <v>0.25</v>
      </c>
      <c r="F6" s="143">
        <f t="shared" si="0"/>
        <v>153.32499999999999</v>
      </c>
      <c r="G6" s="143">
        <f t="shared" si="1"/>
        <v>153.32499999999999</v>
      </c>
      <c r="H6" s="143">
        <f t="shared" si="2"/>
        <v>0</v>
      </c>
      <c r="I6" s="46">
        <v>1276058</v>
      </c>
      <c r="J6" s="52" t="s">
        <v>92</v>
      </c>
      <c r="K6" s="48" t="s">
        <v>17</v>
      </c>
      <c r="L6" s="49" t="s">
        <v>18</v>
      </c>
      <c r="M6" s="51">
        <v>99498549</v>
      </c>
      <c r="N6" s="116"/>
    </row>
    <row r="7" spans="1:14" x14ac:dyDescent="0.25">
      <c r="A7" s="90">
        <v>4</v>
      </c>
      <c r="B7" s="84">
        <v>1071</v>
      </c>
      <c r="C7" s="54" t="s">
        <v>31</v>
      </c>
      <c r="D7" s="55">
        <v>534.4</v>
      </c>
      <c r="E7" s="56">
        <v>0.25</v>
      </c>
      <c r="F7" s="57">
        <f t="shared" si="0"/>
        <v>133.6</v>
      </c>
      <c r="G7" s="143">
        <f t="shared" si="1"/>
        <v>133.6</v>
      </c>
      <c r="H7" s="57">
        <f t="shared" ref="H7:H13" si="3">F7-G7</f>
        <v>0</v>
      </c>
      <c r="I7" s="58">
        <v>390741</v>
      </c>
      <c r="J7" s="168" t="s">
        <v>93</v>
      </c>
      <c r="K7" s="59" t="s">
        <v>94</v>
      </c>
      <c r="L7" s="169" t="s">
        <v>95</v>
      </c>
      <c r="M7" s="60">
        <v>99589144</v>
      </c>
      <c r="N7" s="91">
        <v>45679</v>
      </c>
    </row>
    <row r="8" spans="1:14" x14ac:dyDescent="0.25">
      <c r="A8" s="90">
        <v>5</v>
      </c>
      <c r="B8" s="84">
        <v>1086</v>
      </c>
      <c r="C8" s="54" t="s">
        <v>27</v>
      </c>
      <c r="D8" s="55">
        <v>1159.9000000000001</v>
      </c>
      <c r="E8" s="56">
        <v>0.25</v>
      </c>
      <c r="F8" s="57">
        <f t="shared" si="0"/>
        <v>289.97500000000002</v>
      </c>
      <c r="G8" s="143">
        <f t="shared" si="1"/>
        <v>289.97500000000002</v>
      </c>
      <c r="H8" s="57">
        <f t="shared" si="3"/>
        <v>0</v>
      </c>
      <c r="I8" s="58">
        <v>2379573</v>
      </c>
      <c r="J8" s="151" t="s">
        <v>96</v>
      </c>
      <c r="K8" s="59" t="s">
        <v>94</v>
      </c>
      <c r="L8" s="169" t="s">
        <v>95</v>
      </c>
      <c r="M8" s="60">
        <v>92917899</v>
      </c>
      <c r="N8" s="91">
        <v>45684</v>
      </c>
    </row>
    <row r="9" spans="1:14" x14ac:dyDescent="0.25">
      <c r="A9" s="117">
        <v>6</v>
      </c>
      <c r="B9" s="118">
        <v>1123</v>
      </c>
      <c r="C9" s="119" t="s">
        <v>33</v>
      </c>
      <c r="D9" s="120">
        <v>1196.0999999999999</v>
      </c>
      <c r="E9" s="121">
        <v>0.25</v>
      </c>
      <c r="F9" s="122">
        <f t="shared" si="0"/>
        <v>299.02499999999998</v>
      </c>
      <c r="G9" s="143">
        <f t="shared" si="1"/>
        <v>299.02499999999998</v>
      </c>
      <c r="H9" s="122">
        <f t="shared" si="3"/>
        <v>0</v>
      </c>
      <c r="I9" s="123">
        <v>655141</v>
      </c>
      <c r="J9" s="173" t="s">
        <v>97</v>
      </c>
      <c r="K9" s="174" t="s">
        <v>98</v>
      </c>
      <c r="L9" s="175" t="s">
        <v>99</v>
      </c>
      <c r="M9" s="145">
        <v>99485623</v>
      </c>
      <c r="N9" s="124" t="s">
        <v>145</v>
      </c>
    </row>
    <row r="10" spans="1:14" x14ac:dyDescent="0.25">
      <c r="A10" s="85">
        <v>7</v>
      </c>
      <c r="B10" s="61">
        <v>1130</v>
      </c>
      <c r="C10" s="52" t="s">
        <v>51</v>
      </c>
      <c r="D10" s="185">
        <v>1178.5999999999999</v>
      </c>
      <c r="E10" s="44">
        <v>0.25</v>
      </c>
      <c r="F10" s="143">
        <f t="shared" si="0"/>
        <v>294.64999999999998</v>
      </c>
      <c r="G10" s="143">
        <f t="shared" si="1"/>
        <v>294.64999999999998</v>
      </c>
      <c r="H10" s="143">
        <f t="shared" si="3"/>
        <v>0</v>
      </c>
      <c r="I10" s="63">
        <v>5485645</v>
      </c>
      <c r="J10" s="155" t="s">
        <v>101</v>
      </c>
      <c r="K10" s="156" t="s">
        <v>17</v>
      </c>
      <c r="L10" s="49" t="s">
        <v>18</v>
      </c>
      <c r="M10" s="64">
        <v>90977488</v>
      </c>
      <c r="N10" s="125"/>
    </row>
    <row r="11" spans="1:14" x14ac:dyDescent="0.25">
      <c r="A11" s="85">
        <v>8</v>
      </c>
      <c r="B11" s="41">
        <v>1152</v>
      </c>
      <c r="C11" s="42" t="s">
        <v>52</v>
      </c>
      <c r="D11" s="185">
        <v>1734.9</v>
      </c>
      <c r="E11" s="44">
        <v>0.25</v>
      </c>
      <c r="F11" s="143">
        <f t="shared" si="0"/>
        <v>433.72500000000002</v>
      </c>
      <c r="G11" s="143">
        <f t="shared" si="1"/>
        <v>433.72500000000002</v>
      </c>
      <c r="H11" s="143">
        <f t="shared" si="3"/>
        <v>0</v>
      </c>
      <c r="I11" s="46">
        <v>5254327</v>
      </c>
      <c r="J11" s="52" t="s">
        <v>102</v>
      </c>
      <c r="K11" s="48" t="s">
        <v>94</v>
      </c>
      <c r="L11" s="49" t="s">
        <v>95</v>
      </c>
      <c r="M11" s="51">
        <v>99692328</v>
      </c>
      <c r="N11" s="116"/>
    </row>
    <row r="12" spans="1:14" x14ac:dyDescent="0.25">
      <c r="A12" s="90">
        <v>9</v>
      </c>
      <c r="B12" s="84">
        <v>1200</v>
      </c>
      <c r="C12" s="54" t="s">
        <v>53</v>
      </c>
      <c r="D12" s="55">
        <v>259.3</v>
      </c>
      <c r="E12" s="56">
        <v>0.25</v>
      </c>
      <c r="F12" s="57">
        <f t="shared" si="0"/>
        <v>64.825000000000003</v>
      </c>
      <c r="G12" s="143">
        <f t="shared" si="1"/>
        <v>64.825000000000003</v>
      </c>
      <c r="H12" s="57">
        <f t="shared" si="3"/>
        <v>0</v>
      </c>
      <c r="I12" s="58">
        <v>7287174</v>
      </c>
      <c r="J12" s="151" t="s">
        <v>103</v>
      </c>
      <c r="K12" s="59" t="s">
        <v>94</v>
      </c>
      <c r="L12" s="169" t="s">
        <v>95</v>
      </c>
      <c r="M12" s="60">
        <v>99673747</v>
      </c>
      <c r="N12" s="91">
        <v>45677</v>
      </c>
    </row>
    <row r="13" spans="1:14" x14ac:dyDescent="0.25">
      <c r="A13" s="85">
        <v>10</v>
      </c>
      <c r="B13" s="41">
        <v>1276</v>
      </c>
      <c r="C13" s="42" t="s">
        <v>54</v>
      </c>
      <c r="D13" s="185">
        <v>524.4</v>
      </c>
      <c r="E13" s="44">
        <v>0.25</v>
      </c>
      <c r="F13" s="143">
        <f t="shared" si="0"/>
        <v>131.1</v>
      </c>
      <c r="G13" s="143">
        <f t="shared" si="1"/>
        <v>131.1</v>
      </c>
      <c r="H13" s="143">
        <f t="shared" si="3"/>
        <v>0</v>
      </c>
      <c r="I13" s="46">
        <v>334495</v>
      </c>
      <c r="J13" s="47" t="s">
        <v>104</v>
      </c>
      <c r="K13" s="48" t="s">
        <v>17</v>
      </c>
      <c r="L13" s="49" t="s">
        <v>18</v>
      </c>
      <c r="M13" s="51">
        <v>99170505</v>
      </c>
      <c r="N13" s="116"/>
    </row>
    <row r="14" spans="1:14" x14ac:dyDescent="0.25">
      <c r="A14" s="85">
        <v>11</v>
      </c>
      <c r="B14" s="41">
        <v>1281</v>
      </c>
      <c r="C14" s="42" t="s">
        <v>55</v>
      </c>
      <c r="D14" s="185">
        <v>1739</v>
      </c>
      <c r="E14" s="44">
        <v>0.25</v>
      </c>
      <c r="F14" s="143">
        <f t="shared" si="0"/>
        <v>434.75</v>
      </c>
      <c r="G14" s="143">
        <f t="shared" si="1"/>
        <v>434.75</v>
      </c>
      <c r="H14" s="143">
        <f t="shared" ref="H14:H17" si="4">F14-G14</f>
        <v>0</v>
      </c>
      <c r="I14" s="46">
        <v>6310986</v>
      </c>
      <c r="J14" s="52" t="s">
        <v>105</v>
      </c>
      <c r="K14" s="48" t="s">
        <v>17</v>
      </c>
      <c r="L14" s="49" t="s">
        <v>18</v>
      </c>
      <c r="M14" s="51">
        <v>92922944</v>
      </c>
      <c r="N14" s="116"/>
    </row>
    <row r="15" spans="1:14" x14ac:dyDescent="0.25">
      <c r="A15" s="85">
        <v>12</v>
      </c>
      <c r="B15" s="41">
        <v>1308</v>
      </c>
      <c r="C15" s="42" t="s">
        <v>35</v>
      </c>
      <c r="D15" s="185">
        <v>610.70000000000005</v>
      </c>
      <c r="E15" s="44">
        <v>0.25</v>
      </c>
      <c r="F15" s="143">
        <f t="shared" si="0"/>
        <v>152.67500000000001</v>
      </c>
      <c r="G15" s="143">
        <f t="shared" si="1"/>
        <v>152.67500000000001</v>
      </c>
      <c r="H15" s="143">
        <f t="shared" si="4"/>
        <v>0</v>
      </c>
      <c r="I15" s="46">
        <v>6225641</v>
      </c>
      <c r="J15" s="47" t="s">
        <v>106</v>
      </c>
      <c r="K15" s="48" t="s">
        <v>94</v>
      </c>
      <c r="L15" s="49" t="s">
        <v>95</v>
      </c>
      <c r="M15" s="51">
        <v>92055550</v>
      </c>
      <c r="N15" s="116"/>
    </row>
    <row r="16" spans="1:14" x14ac:dyDescent="0.25">
      <c r="A16" s="85">
        <v>13</v>
      </c>
      <c r="B16" s="41">
        <v>1337</v>
      </c>
      <c r="C16" s="42" t="s">
        <v>56</v>
      </c>
      <c r="D16" s="185">
        <v>568.79999999999995</v>
      </c>
      <c r="E16" s="44">
        <v>0.25</v>
      </c>
      <c r="F16" s="143">
        <f t="shared" si="0"/>
        <v>142.19999999999999</v>
      </c>
      <c r="G16" s="143">
        <f t="shared" si="1"/>
        <v>142.19999999999999</v>
      </c>
      <c r="H16" s="143">
        <f t="shared" si="4"/>
        <v>0</v>
      </c>
      <c r="I16" s="46">
        <v>6719626</v>
      </c>
      <c r="J16" s="52" t="s">
        <v>107</v>
      </c>
      <c r="K16" s="48" t="s">
        <v>17</v>
      </c>
      <c r="L16" s="49" t="s">
        <v>18</v>
      </c>
      <c r="M16" s="51">
        <v>97726288</v>
      </c>
      <c r="N16" s="116"/>
    </row>
    <row r="17" spans="1:15" s="65" customFormat="1" ht="15" customHeight="1" x14ac:dyDescent="0.25">
      <c r="A17" s="85">
        <v>14</v>
      </c>
      <c r="B17" s="41">
        <v>1339</v>
      </c>
      <c r="C17" s="42" t="s">
        <v>57</v>
      </c>
      <c r="D17" s="185">
        <v>5067.5</v>
      </c>
      <c r="E17" s="44">
        <v>0.25</v>
      </c>
      <c r="F17" s="143">
        <f t="shared" si="0"/>
        <v>1266.875</v>
      </c>
      <c r="G17" s="143">
        <f t="shared" si="1"/>
        <v>1266.875</v>
      </c>
      <c r="H17" s="143">
        <f t="shared" si="4"/>
        <v>0</v>
      </c>
      <c r="I17" s="46">
        <v>3090574</v>
      </c>
      <c r="J17" s="47" t="s">
        <v>108</v>
      </c>
      <c r="K17" s="46" t="s">
        <v>94</v>
      </c>
      <c r="L17" s="46" t="s">
        <v>95</v>
      </c>
      <c r="M17" s="51">
        <v>99292421</v>
      </c>
      <c r="N17" s="116"/>
    </row>
    <row r="18" spans="1:15" s="65" customFormat="1" ht="15" customHeight="1" x14ac:dyDescent="0.25">
      <c r="A18" s="90">
        <v>15</v>
      </c>
      <c r="B18" s="84">
        <v>1340</v>
      </c>
      <c r="C18" s="58" t="s">
        <v>36</v>
      </c>
      <c r="D18" s="55">
        <v>974.6</v>
      </c>
      <c r="E18" s="56">
        <v>0.25</v>
      </c>
      <c r="F18" s="57">
        <f t="shared" si="0"/>
        <v>243.65</v>
      </c>
      <c r="G18" s="143">
        <f t="shared" si="1"/>
        <v>243.65</v>
      </c>
      <c r="H18" s="57">
        <f>F18-G18</f>
        <v>0</v>
      </c>
      <c r="I18" s="60">
        <v>7279274</v>
      </c>
      <c r="J18" s="176" t="s">
        <v>109</v>
      </c>
      <c r="K18" s="59" t="s">
        <v>110</v>
      </c>
      <c r="L18" s="176" t="s">
        <v>18</v>
      </c>
      <c r="M18" s="60">
        <v>93808816</v>
      </c>
      <c r="N18" s="91">
        <v>45684</v>
      </c>
    </row>
    <row r="19" spans="1:15" x14ac:dyDescent="0.25">
      <c r="A19" s="85">
        <v>16</v>
      </c>
      <c r="B19" s="41">
        <v>1341</v>
      </c>
      <c r="C19" s="42" t="s">
        <v>58</v>
      </c>
      <c r="D19" s="185">
        <v>1302.2</v>
      </c>
      <c r="E19" s="44">
        <v>0.25</v>
      </c>
      <c r="F19" s="143">
        <f t="shared" si="0"/>
        <v>325.55</v>
      </c>
      <c r="G19" s="143">
        <f t="shared" si="1"/>
        <v>325.55</v>
      </c>
      <c r="H19" s="143">
        <f>F19-G19</f>
        <v>0</v>
      </c>
      <c r="I19" s="46">
        <v>15977579</v>
      </c>
      <c r="J19" s="52" t="s">
        <v>111</v>
      </c>
      <c r="K19" s="48" t="s">
        <v>110</v>
      </c>
      <c r="L19" s="49" t="s">
        <v>18</v>
      </c>
      <c r="M19" s="51">
        <v>92578822</v>
      </c>
      <c r="N19" s="116"/>
    </row>
    <row r="20" spans="1:15" x14ac:dyDescent="0.25">
      <c r="A20" s="90">
        <v>17</v>
      </c>
      <c r="B20" s="84">
        <v>1342</v>
      </c>
      <c r="C20" s="54" t="s">
        <v>59</v>
      </c>
      <c r="D20" s="66">
        <v>543.9</v>
      </c>
      <c r="E20" s="56">
        <v>0.25</v>
      </c>
      <c r="F20" s="57">
        <f t="shared" si="0"/>
        <v>135.97499999999999</v>
      </c>
      <c r="G20" s="143">
        <f t="shared" si="1"/>
        <v>135.97499999999999</v>
      </c>
      <c r="H20" s="57">
        <f>F20-G20</f>
        <v>0</v>
      </c>
      <c r="I20" s="58">
        <v>13950469</v>
      </c>
      <c r="J20" s="168" t="s">
        <v>112</v>
      </c>
      <c r="K20" s="59" t="s">
        <v>110</v>
      </c>
      <c r="L20" s="169" t="s">
        <v>18</v>
      </c>
      <c r="M20" s="60">
        <v>92341118</v>
      </c>
      <c r="N20" s="91">
        <v>45686</v>
      </c>
      <c r="O20" s="130">
        <v>45691</v>
      </c>
    </row>
    <row r="21" spans="1:15" x14ac:dyDescent="0.25">
      <c r="A21" s="90">
        <v>18</v>
      </c>
      <c r="B21" s="84">
        <v>1343</v>
      </c>
      <c r="C21" s="54" t="s">
        <v>29</v>
      </c>
      <c r="D21" s="55">
        <v>1111.7</v>
      </c>
      <c r="E21" s="56">
        <v>0.25</v>
      </c>
      <c r="F21" s="57">
        <f t="shared" si="0"/>
        <v>277.92500000000001</v>
      </c>
      <c r="G21" s="143">
        <f t="shared" si="1"/>
        <v>277.92500000000001</v>
      </c>
      <c r="H21" s="57">
        <f>F21-G21</f>
        <v>0</v>
      </c>
      <c r="I21" s="58">
        <v>5160297</v>
      </c>
      <c r="J21" s="151" t="s">
        <v>113</v>
      </c>
      <c r="K21" s="59" t="s">
        <v>94</v>
      </c>
      <c r="L21" s="169" t="s">
        <v>95</v>
      </c>
      <c r="M21" s="60">
        <v>93501199</v>
      </c>
      <c r="N21" s="91">
        <v>45691</v>
      </c>
    </row>
    <row r="22" spans="1:15" x14ac:dyDescent="0.25">
      <c r="A22" s="85">
        <v>19</v>
      </c>
      <c r="B22" s="41">
        <v>1345</v>
      </c>
      <c r="C22" s="63" t="s">
        <v>60</v>
      </c>
      <c r="D22" s="185">
        <v>5508</v>
      </c>
      <c r="E22" s="67">
        <v>0.25</v>
      </c>
      <c r="F22" s="143">
        <f t="shared" si="0"/>
        <v>1377</v>
      </c>
      <c r="G22" s="143">
        <f t="shared" si="1"/>
        <v>1377</v>
      </c>
      <c r="H22" s="143">
        <f>F22-G22</f>
        <v>0</v>
      </c>
      <c r="I22" s="63">
        <v>10578952</v>
      </c>
      <c r="J22" s="155" t="s">
        <v>114</v>
      </c>
      <c r="K22" s="156" t="s">
        <v>115</v>
      </c>
      <c r="L22" s="49" t="s">
        <v>116</v>
      </c>
      <c r="M22" s="64">
        <v>92194382</v>
      </c>
      <c r="N22" s="125"/>
    </row>
    <row r="23" spans="1:15" x14ac:dyDescent="0.25">
      <c r="A23" s="85">
        <v>20</v>
      </c>
      <c r="B23" s="41">
        <v>1349</v>
      </c>
      <c r="C23" s="42" t="s">
        <v>38</v>
      </c>
      <c r="D23" s="185">
        <v>2035.8</v>
      </c>
      <c r="E23" s="44">
        <v>0.25</v>
      </c>
      <c r="F23" s="143">
        <f t="shared" si="0"/>
        <v>508.95</v>
      </c>
      <c r="G23" s="143">
        <f t="shared" si="1"/>
        <v>508.95</v>
      </c>
      <c r="H23" s="143">
        <f t="shared" ref="H23:H34" si="5">F23-G23</f>
        <v>0</v>
      </c>
      <c r="I23" s="46">
        <v>7128679</v>
      </c>
      <c r="J23" s="52" t="s">
        <v>117</v>
      </c>
      <c r="K23" s="48" t="s">
        <v>17</v>
      </c>
      <c r="L23" s="49" t="s">
        <v>18</v>
      </c>
      <c r="M23" s="51">
        <v>91408836</v>
      </c>
      <c r="N23" s="116"/>
    </row>
    <row r="24" spans="1:15" x14ac:dyDescent="0.25">
      <c r="A24" s="85">
        <v>21</v>
      </c>
      <c r="B24" s="41">
        <v>1350</v>
      </c>
      <c r="C24" s="42" t="s">
        <v>61</v>
      </c>
      <c r="D24" s="185">
        <v>4168.8</v>
      </c>
      <c r="E24" s="44">
        <v>0.25</v>
      </c>
      <c r="F24" s="143">
        <f t="shared" si="0"/>
        <v>1042.2</v>
      </c>
      <c r="G24" s="143">
        <f t="shared" si="1"/>
        <v>1042.2</v>
      </c>
      <c r="H24" s="143">
        <f t="shared" si="5"/>
        <v>0</v>
      </c>
      <c r="I24" s="46">
        <v>6752017</v>
      </c>
      <c r="J24" s="52" t="s">
        <v>118</v>
      </c>
      <c r="K24" s="48" t="s">
        <v>17</v>
      </c>
      <c r="L24" s="49" t="s">
        <v>18</v>
      </c>
      <c r="M24" s="51">
        <v>92520708</v>
      </c>
      <c r="N24" s="116"/>
    </row>
    <row r="25" spans="1:15" x14ac:dyDescent="0.25">
      <c r="A25" s="85">
        <v>22</v>
      </c>
      <c r="B25" s="41">
        <v>1353</v>
      </c>
      <c r="C25" s="42" t="s">
        <v>62</v>
      </c>
      <c r="D25" s="187">
        <v>5799.5</v>
      </c>
      <c r="E25" s="44">
        <v>0.25</v>
      </c>
      <c r="F25" s="143">
        <f t="shared" si="0"/>
        <v>1449.875</v>
      </c>
      <c r="G25" s="143">
        <f t="shared" si="1"/>
        <v>1449.875</v>
      </c>
      <c r="H25" s="143">
        <f t="shared" si="5"/>
        <v>0</v>
      </c>
      <c r="I25" s="46">
        <v>5217694</v>
      </c>
      <c r="J25" s="52" t="s">
        <v>142</v>
      </c>
      <c r="K25" s="48" t="s">
        <v>94</v>
      </c>
      <c r="L25" s="49" t="s">
        <v>95</v>
      </c>
      <c r="M25" s="51">
        <v>92749180</v>
      </c>
      <c r="N25" s="116"/>
    </row>
    <row r="26" spans="1:15" s="154" customFormat="1" x14ac:dyDescent="0.25">
      <c r="A26" s="90">
        <v>23</v>
      </c>
      <c r="B26" s="84">
        <v>1355</v>
      </c>
      <c r="C26" s="54" t="s">
        <v>64</v>
      </c>
      <c r="D26" s="55">
        <v>2342.8000000000002</v>
      </c>
      <c r="E26" s="56">
        <v>0.25</v>
      </c>
      <c r="F26" s="57">
        <f t="shared" si="0"/>
        <v>585.70000000000005</v>
      </c>
      <c r="G26" s="143">
        <f t="shared" si="1"/>
        <v>585.70000000000005</v>
      </c>
      <c r="H26" s="57">
        <f t="shared" si="5"/>
        <v>0</v>
      </c>
      <c r="I26" s="58">
        <v>585058</v>
      </c>
      <c r="J26" s="151" t="s">
        <v>119</v>
      </c>
      <c r="K26" s="59" t="s">
        <v>94</v>
      </c>
      <c r="L26" s="169" t="s">
        <v>95</v>
      </c>
      <c r="M26" s="60">
        <v>99055262</v>
      </c>
      <c r="N26" s="91">
        <v>45963</v>
      </c>
    </row>
    <row r="27" spans="1:15" x14ac:dyDescent="0.25">
      <c r="A27" s="85">
        <v>24</v>
      </c>
      <c r="B27" s="41">
        <v>1356</v>
      </c>
      <c r="C27" s="42" t="s">
        <v>65</v>
      </c>
      <c r="D27" s="185">
        <v>636.4</v>
      </c>
      <c r="E27" s="44">
        <v>0.25</v>
      </c>
      <c r="F27" s="143">
        <f t="shared" si="0"/>
        <v>159.1</v>
      </c>
      <c r="G27" s="143">
        <f t="shared" si="1"/>
        <v>159.1</v>
      </c>
      <c r="H27" s="143">
        <f t="shared" si="5"/>
        <v>0</v>
      </c>
      <c r="I27" s="46">
        <v>7494112</v>
      </c>
      <c r="J27" s="52" t="s">
        <v>143</v>
      </c>
      <c r="K27" s="48" t="s">
        <v>17</v>
      </c>
      <c r="L27" s="49" t="s">
        <v>18</v>
      </c>
      <c r="M27" s="51">
        <v>99488186</v>
      </c>
      <c r="N27" s="116"/>
    </row>
    <row r="28" spans="1:15" x14ac:dyDescent="0.25">
      <c r="A28" s="85">
        <v>25</v>
      </c>
      <c r="B28" s="41">
        <v>1362</v>
      </c>
      <c r="C28" s="42" t="s">
        <v>15</v>
      </c>
      <c r="D28" s="185">
        <v>2329.6</v>
      </c>
      <c r="E28" s="44">
        <v>0.25</v>
      </c>
      <c r="F28" s="143">
        <f t="shared" si="0"/>
        <v>582.4</v>
      </c>
      <c r="G28" s="143">
        <f t="shared" si="1"/>
        <v>582.4</v>
      </c>
      <c r="H28" s="143">
        <f t="shared" si="5"/>
        <v>0</v>
      </c>
      <c r="I28" s="46">
        <v>2429041</v>
      </c>
      <c r="J28" s="52" t="s">
        <v>16</v>
      </c>
      <c r="K28" s="48" t="s">
        <v>17</v>
      </c>
      <c r="L28" s="49" t="s">
        <v>18</v>
      </c>
      <c r="M28" s="51">
        <v>93663694</v>
      </c>
      <c r="N28" s="116"/>
    </row>
    <row r="29" spans="1:15" x14ac:dyDescent="0.25">
      <c r="A29" s="85">
        <v>26</v>
      </c>
      <c r="B29" s="41">
        <v>1363</v>
      </c>
      <c r="C29" s="42" t="s">
        <v>67</v>
      </c>
      <c r="D29" s="185">
        <v>2444.1</v>
      </c>
      <c r="E29" s="44">
        <v>0.25</v>
      </c>
      <c r="F29" s="143">
        <f t="shared" si="0"/>
        <v>611.02499999999998</v>
      </c>
      <c r="G29" s="143">
        <f t="shared" si="1"/>
        <v>611.02499999999998</v>
      </c>
      <c r="H29" s="143">
        <f t="shared" si="5"/>
        <v>0</v>
      </c>
      <c r="I29" s="46">
        <v>322352</v>
      </c>
      <c r="J29" s="52" t="s">
        <v>120</v>
      </c>
      <c r="K29" s="48" t="s">
        <v>17</v>
      </c>
      <c r="L29" s="49" t="s">
        <v>18</v>
      </c>
      <c r="M29" s="51">
        <v>98842645</v>
      </c>
      <c r="N29" s="116"/>
    </row>
    <row r="30" spans="1:15" x14ac:dyDescent="0.25">
      <c r="A30" s="85">
        <v>27</v>
      </c>
      <c r="B30" s="41">
        <v>1364</v>
      </c>
      <c r="C30" s="42" t="s">
        <v>68</v>
      </c>
      <c r="D30" s="185">
        <v>572.9</v>
      </c>
      <c r="E30" s="44">
        <v>0.25</v>
      </c>
      <c r="F30" s="143">
        <f t="shared" si="0"/>
        <v>143.22499999999999</v>
      </c>
      <c r="G30" s="143">
        <f t="shared" si="1"/>
        <v>143.22499999999999</v>
      </c>
      <c r="H30" s="143">
        <f t="shared" si="5"/>
        <v>0</v>
      </c>
      <c r="I30" s="46">
        <v>7113811</v>
      </c>
      <c r="J30" s="52" t="s">
        <v>121</v>
      </c>
      <c r="K30" s="48" t="s">
        <v>94</v>
      </c>
      <c r="L30" s="49" t="s">
        <v>95</v>
      </c>
      <c r="M30" s="51">
        <v>92969982</v>
      </c>
      <c r="N30" s="116"/>
    </row>
    <row r="31" spans="1:15" s="154" customFormat="1" x14ac:dyDescent="0.25">
      <c r="A31" s="90">
        <v>28</v>
      </c>
      <c r="B31" s="84">
        <v>1366</v>
      </c>
      <c r="C31" s="54" t="s">
        <v>39</v>
      </c>
      <c r="D31" s="55">
        <v>2331</v>
      </c>
      <c r="E31" s="56">
        <v>0.25</v>
      </c>
      <c r="F31" s="57">
        <f t="shared" si="0"/>
        <v>582.75</v>
      </c>
      <c r="G31" s="143">
        <f t="shared" si="1"/>
        <v>582.75</v>
      </c>
      <c r="H31" s="57">
        <f t="shared" si="5"/>
        <v>0</v>
      </c>
      <c r="I31" s="58">
        <v>8318385</v>
      </c>
      <c r="J31" s="151" t="s">
        <v>122</v>
      </c>
      <c r="K31" s="59" t="s">
        <v>17</v>
      </c>
      <c r="L31" s="169" t="s">
        <v>18</v>
      </c>
      <c r="M31" s="60">
        <v>90660210</v>
      </c>
      <c r="N31" s="91">
        <v>45963</v>
      </c>
    </row>
    <row r="32" spans="1:15" x14ac:dyDescent="0.25">
      <c r="A32" s="85">
        <v>29</v>
      </c>
      <c r="B32" s="61">
        <v>1370</v>
      </c>
      <c r="C32" s="52" t="s">
        <v>20</v>
      </c>
      <c r="D32" s="185">
        <v>1546.6</v>
      </c>
      <c r="E32" s="44">
        <v>0.25</v>
      </c>
      <c r="F32" s="143">
        <f t="shared" si="0"/>
        <v>386.65</v>
      </c>
      <c r="G32" s="143">
        <f t="shared" si="1"/>
        <v>386.65</v>
      </c>
      <c r="H32" s="143">
        <f t="shared" si="5"/>
        <v>0</v>
      </c>
      <c r="I32" s="42">
        <v>14431965</v>
      </c>
      <c r="J32" s="47" t="s">
        <v>21</v>
      </c>
      <c r="K32" s="48" t="s">
        <v>17</v>
      </c>
      <c r="L32" s="49" t="s">
        <v>18</v>
      </c>
      <c r="M32" s="70">
        <v>99693775</v>
      </c>
      <c r="N32" s="126"/>
    </row>
    <row r="33" spans="1:15" x14ac:dyDescent="0.25">
      <c r="A33" s="85">
        <v>30</v>
      </c>
      <c r="B33" s="61">
        <v>1371</v>
      </c>
      <c r="C33" s="52" t="s">
        <v>40</v>
      </c>
      <c r="D33" s="185">
        <v>1698.6</v>
      </c>
      <c r="E33" s="44">
        <v>0.25</v>
      </c>
      <c r="F33" s="143">
        <f t="shared" si="0"/>
        <v>424.65</v>
      </c>
      <c r="G33" s="143">
        <f t="shared" si="1"/>
        <v>424.65</v>
      </c>
      <c r="H33" s="143">
        <f t="shared" si="5"/>
        <v>0</v>
      </c>
      <c r="I33" s="42">
        <v>990755</v>
      </c>
      <c r="J33" s="47" t="s">
        <v>123</v>
      </c>
      <c r="K33" s="48" t="s">
        <v>89</v>
      </c>
      <c r="L33" s="49" t="s">
        <v>90</v>
      </c>
      <c r="M33" s="70">
        <v>92556210</v>
      </c>
      <c r="N33" s="126"/>
    </row>
    <row r="34" spans="1:15" x14ac:dyDescent="0.25">
      <c r="A34" s="85">
        <v>31</v>
      </c>
      <c r="B34" s="61">
        <v>1372</v>
      </c>
      <c r="C34" s="52" t="s">
        <v>69</v>
      </c>
      <c r="D34" s="185">
        <v>1436.1</v>
      </c>
      <c r="E34" s="44">
        <v>0.25</v>
      </c>
      <c r="F34" s="143">
        <f t="shared" si="0"/>
        <v>359.02499999999998</v>
      </c>
      <c r="G34" s="143">
        <f t="shared" si="1"/>
        <v>359.02499999999998</v>
      </c>
      <c r="H34" s="143">
        <f t="shared" si="5"/>
        <v>0</v>
      </c>
      <c r="I34" s="48">
        <v>628655</v>
      </c>
      <c r="J34" s="47" t="s">
        <v>124</v>
      </c>
      <c r="K34" s="48" t="s">
        <v>94</v>
      </c>
      <c r="L34" s="49" t="s">
        <v>95</v>
      </c>
      <c r="M34" s="70">
        <v>98976629</v>
      </c>
      <c r="N34" s="126"/>
    </row>
    <row r="35" spans="1:15" x14ac:dyDescent="0.25">
      <c r="A35" s="117">
        <v>32</v>
      </c>
      <c r="B35" s="203">
        <v>1373</v>
      </c>
      <c r="C35" s="204" t="s">
        <v>70</v>
      </c>
      <c r="D35" s="120">
        <v>610.20000000000005</v>
      </c>
      <c r="E35" s="121">
        <v>0.25</v>
      </c>
      <c r="F35" s="122">
        <f t="shared" si="0"/>
        <v>152.55000000000001</v>
      </c>
      <c r="G35" s="143">
        <f t="shared" si="1"/>
        <v>152.55000000000001</v>
      </c>
      <c r="H35" s="122">
        <f t="shared" ref="H35:H47" si="6">F35-G35</f>
        <v>0</v>
      </c>
      <c r="I35" s="174">
        <v>734281</v>
      </c>
      <c r="J35" s="205" t="s">
        <v>125</v>
      </c>
      <c r="K35" s="174" t="s">
        <v>17</v>
      </c>
      <c r="L35" s="175" t="s">
        <v>18</v>
      </c>
      <c r="M35" s="206">
        <v>99891516</v>
      </c>
      <c r="N35" s="207" t="s">
        <v>85</v>
      </c>
    </row>
    <row r="36" spans="1:15" x14ac:dyDescent="0.25">
      <c r="A36" s="85">
        <v>33</v>
      </c>
      <c r="B36" s="61">
        <v>1375</v>
      </c>
      <c r="C36" s="52" t="s">
        <v>71</v>
      </c>
      <c r="D36" s="185">
        <v>602.70000000000005</v>
      </c>
      <c r="E36" s="44">
        <v>0.25</v>
      </c>
      <c r="F36" s="143">
        <f t="shared" si="0"/>
        <v>150.67500000000001</v>
      </c>
      <c r="G36" s="143">
        <f t="shared" si="1"/>
        <v>150.67500000000001</v>
      </c>
      <c r="H36" s="143">
        <f t="shared" si="6"/>
        <v>0</v>
      </c>
      <c r="I36" s="48">
        <v>6748627</v>
      </c>
      <c r="J36" s="158" t="s">
        <v>126</v>
      </c>
      <c r="K36" s="159" t="s">
        <v>127</v>
      </c>
      <c r="L36" s="159" t="s">
        <v>128</v>
      </c>
      <c r="M36" s="70">
        <v>93707700</v>
      </c>
      <c r="N36" s="126"/>
    </row>
    <row r="37" spans="1:15" x14ac:dyDescent="0.25">
      <c r="A37" s="85">
        <v>34</v>
      </c>
      <c r="B37" s="61">
        <v>1377</v>
      </c>
      <c r="C37" s="52" t="s">
        <v>72</v>
      </c>
      <c r="D37" s="185">
        <v>564.79999999999995</v>
      </c>
      <c r="E37" s="44">
        <v>0.25</v>
      </c>
      <c r="F37" s="143">
        <f t="shared" si="0"/>
        <v>141.19999999999999</v>
      </c>
      <c r="G37" s="143">
        <f t="shared" si="1"/>
        <v>141.19999999999999</v>
      </c>
      <c r="H37" s="143">
        <f t="shared" si="6"/>
        <v>0</v>
      </c>
      <c r="I37" s="48">
        <v>5160404</v>
      </c>
      <c r="J37" s="47" t="s">
        <v>129</v>
      </c>
      <c r="K37" s="48" t="s">
        <v>94</v>
      </c>
      <c r="L37" s="49" t="s">
        <v>95</v>
      </c>
      <c r="M37" s="70">
        <v>91120322</v>
      </c>
      <c r="N37" s="126"/>
    </row>
    <row r="38" spans="1:15" x14ac:dyDescent="0.25">
      <c r="A38" s="85">
        <v>35</v>
      </c>
      <c r="B38" s="61">
        <v>1378</v>
      </c>
      <c r="C38" s="52" t="s">
        <v>42</v>
      </c>
      <c r="D38" s="185">
        <v>2092.9</v>
      </c>
      <c r="E38" s="44">
        <v>0.25</v>
      </c>
      <c r="F38" s="143">
        <f t="shared" si="0"/>
        <v>523.22500000000002</v>
      </c>
      <c r="G38" s="143">
        <f t="shared" si="1"/>
        <v>523.22500000000002</v>
      </c>
      <c r="H38" s="143">
        <f t="shared" si="6"/>
        <v>0</v>
      </c>
      <c r="I38" s="48">
        <v>5996404</v>
      </c>
      <c r="J38" s="160" t="s">
        <v>130</v>
      </c>
      <c r="K38" s="42" t="s">
        <v>110</v>
      </c>
      <c r="L38" s="42" t="s">
        <v>18</v>
      </c>
      <c r="M38" s="70">
        <v>98976878</v>
      </c>
      <c r="N38" s="126"/>
    </row>
    <row r="39" spans="1:15" s="65" customFormat="1" x14ac:dyDescent="0.25">
      <c r="A39" s="90">
        <v>36</v>
      </c>
      <c r="B39" s="105">
        <v>1381</v>
      </c>
      <c r="C39" s="151" t="s">
        <v>43</v>
      </c>
      <c r="D39" s="55">
        <v>595.20000000000005</v>
      </c>
      <c r="E39" s="56">
        <v>0.25</v>
      </c>
      <c r="F39" s="57">
        <f t="shared" si="0"/>
        <v>148.80000000000001</v>
      </c>
      <c r="G39" s="143">
        <f t="shared" si="1"/>
        <v>148.80000000000001</v>
      </c>
      <c r="H39" s="57">
        <f t="shared" si="6"/>
        <v>0</v>
      </c>
      <c r="I39" s="59">
        <v>19847623</v>
      </c>
      <c r="J39" s="168" t="s">
        <v>131</v>
      </c>
      <c r="K39" s="59" t="s">
        <v>89</v>
      </c>
      <c r="L39" s="169" t="s">
        <v>90</v>
      </c>
      <c r="M39" s="172">
        <v>92802427</v>
      </c>
      <c r="N39" s="177">
        <v>45684</v>
      </c>
    </row>
    <row r="40" spans="1:15" s="65" customFormat="1" x14ac:dyDescent="0.25">
      <c r="A40" s="85">
        <v>37</v>
      </c>
      <c r="B40" s="41">
        <v>1390</v>
      </c>
      <c r="C40" s="42" t="s">
        <v>44</v>
      </c>
      <c r="D40" s="185">
        <v>542.20000000000005</v>
      </c>
      <c r="E40" s="44">
        <v>0.25</v>
      </c>
      <c r="F40" s="143">
        <f t="shared" si="0"/>
        <v>135.55000000000001</v>
      </c>
      <c r="G40" s="143">
        <f t="shared" si="1"/>
        <v>135.55000000000001</v>
      </c>
      <c r="H40" s="143">
        <f t="shared" si="6"/>
        <v>0</v>
      </c>
      <c r="I40" s="46">
        <v>13826903</v>
      </c>
      <c r="J40" s="47" t="s">
        <v>132</v>
      </c>
      <c r="K40" s="46" t="s">
        <v>17</v>
      </c>
      <c r="L40" s="46" t="s">
        <v>18</v>
      </c>
      <c r="M40" s="51"/>
      <c r="N40" s="116"/>
    </row>
    <row r="41" spans="1:15" s="65" customFormat="1" x14ac:dyDescent="0.25">
      <c r="A41" s="85">
        <v>38</v>
      </c>
      <c r="B41" s="41">
        <v>1392</v>
      </c>
      <c r="C41" s="42" t="s">
        <v>73</v>
      </c>
      <c r="D41" s="185">
        <v>1450.5</v>
      </c>
      <c r="E41" s="44">
        <v>0.25</v>
      </c>
      <c r="F41" s="143">
        <f t="shared" si="0"/>
        <v>362.625</v>
      </c>
      <c r="G41" s="143">
        <f t="shared" si="1"/>
        <v>362.625</v>
      </c>
      <c r="H41" s="143">
        <f t="shared" si="6"/>
        <v>0</v>
      </c>
      <c r="I41" s="46">
        <v>1353348</v>
      </c>
      <c r="J41" s="47" t="s">
        <v>133</v>
      </c>
      <c r="K41" s="48" t="s">
        <v>94</v>
      </c>
      <c r="L41" s="49" t="s">
        <v>95</v>
      </c>
      <c r="M41" s="51"/>
      <c r="N41" s="116"/>
    </row>
    <row r="42" spans="1:15" s="65" customFormat="1" x14ac:dyDescent="0.25">
      <c r="A42" s="85">
        <v>39</v>
      </c>
      <c r="B42" s="61">
        <v>1393</v>
      </c>
      <c r="C42" s="52" t="s">
        <v>45</v>
      </c>
      <c r="D42" s="185">
        <v>576.5</v>
      </c>
      <c r="E42" s="44">
        <v>0.25</v>
      </c>
      <c r="F42" s="143">
        <f t="shared" si="0"/>
        <v>144.125</v>
      </c>
      <c r="G42" s="143">
        <f t="shared" si="1"/>
        <v>144.125</v>
      </c>
      <c r="H42" s="143">
        <f t="shared" si="6"/>
        <v>0</v>
      </c>
      <c r="I42" s="48">
        <v>1650389</v>
      </c>
      <c r="J42" s="160" t="s">
        <v>134</v>
      </c>
      <c r="K42" s="42" t="s">
        <v>17</v>
      </c>
      <c r="L42" s="42" t="s">
        <v>18</v>
      </c>
      <c r="M42" s="70">
        <v>94264109</v>
      </c>
      <c r="N42" s="126"/>
    </row>
    <row r="43" spans="1:15" s="65" customFormat="1" x14ac:dyDescent="0.25">
      <c r="A43" s="85">
        <v>40</v>
      </c>
      <c r="B43" s="61">
        <v>1500</v>
      </c>
      <c r="C43" s="52" t="s">
        <v>75</v>
      </c>
      <c r="D43" s="185">
        <v>46.1</v>
      </c>
      <c r="E43" s="44">
        <v>0.25</v>
      </c>
      <c r="F43" s="143">
        <f t="shared" si="0"/>
        <v>11.525</v>
      </c>
      <c r="G43" s="143">
        <f t="shared" si="1"/>
        <v>11.525</v>
      </c>
      <c r="H43" s="143">
        <f t="shared" si="6"/>
        <v>0</v>
      </c>
      <c r="I43" s="48">
        <v>19567469</v>
      </c>
      <c r="J43" s="47" t="s">
        <v>135</v>
      </c>
      <c r="K43" s="48" t="s">
        <v>94</v>
      </c>
      <c r="L43" s="161" t="s">
        <v>95</v>
      </c>
      <c r="M43" s="70">
        <v>92265154</v>
      </c>
      <c r="N43" s="126"/>
    </row>
    <row r="44" spans="1:15" s="65" customFormat="1" x14ac:dyDescent="0.25">
      <c r="A44" s="85">
        <v>41</v>
      </c>
      <c r="B44" s="61">
        <v>1501</v>
      </c>
      <c r="C44" s="202" t="s">
        <v>76</v>
      </c>
      <c r="D44" s="185">
        <v>182.5</v>
      </c>
      <c r="E44" s="44">
        <v>0.25</v>
      </c>
      <c r="F44" s="143">
        <f t="shared" si="0"/>
        <v>45.625</v>
      </c>
      <c r="G44" s="143">
        <f t="shared" si="1"/>
        <v>45.625</v>
      </c>
      <c r="H44" s="143">
        <f t="shared" si="6"/>
        <v>0</v>
      </c>
      <c r="I44" s="48">
        <v>25657583</v>
      </c>
      <c r="J44" s="47" t="s">
        <v>136</v>
      </c>
      <c r="K44" s="48" t="s">
        <v>17</v>
      </c>
      <c r="L44" s="161" t="s">
        <v>18</v>
      </c>
      <c r="M44" s="70"/>
      <c r="N44" s="126"/>
    </row>
    <row r="45" spans="1:15" s="65" customFormat="1" x14ac:dyDescent="0.25">
      <c r="A45" s="85">
        <v>42</v>
      </c>
      <c r="B45" s="61">
        <v>1503</v>
      </c>
      <c r="C45" s="89" t="s">
        <v>77</v>
      </c>
      <c r="D45" s="186">
        <v>606.6</v>
      </c>
      <c r="E45" s="44">
        <v>0.25</v>
      </c>
      <c r="F45" s="143">
        <f t="shared" si="0"/>
        <v>151.65</v>
      </c>
      <c r="G45" s="143">
        <f t="shared" si="1"/>
        <v>151.65</v>
      </c>
      <c r="H45" s="143">
        <f t="shared" si="6"/>
        <v>0</v>
      </c>
      <c r="I45" s="48">
        <v>8930607</v>
      </c>
      <c r="J45" s="162" t="s">
        <v>137</v>
      </c>
      <c r="K45" s="48" t="s">
        <v>17</v>
      </c>
      <c r="L45" s="161" t="s">
        <v>18</v>
      </c>
      <c r="M45" s="70">
        <v>92621425</v>
      </c>
      <c r="N45" s="126"/>
      <c r="O45" s="7"/>
    </row>
    <row r="46" spans="1:15" s="154" customFormat="1" x14ac:dyDescent="0.25">
      <c r="A46" s="90">
        <v>43</v>
      </c>
      <c r="B46" s="105">
        <v>1504</v>
      </c>
      <c r="C46" s="170" t="s">
        <v>79</v>
      </c>
      <c r="D46" s="132">
        <v>726.3</v>
      </c>
      <c r="E46" s="56">
        <v>0.25</v>
      </c>
      <c r="F46" s="57">
        <f t="shared" si="0"/>
        <v>181.57499999999999</v>
      </c>
      <c r="G46" s="143">
        <f t="shared" si="1"/>
        <v>181.57499999999999</v>
      </c>
      <c r="H46" s="57">
        <f t="shared" si="6"/>
        <v>0</v>
      </c>
      <c r="I46" s="59">
        <v>381215</v>
      </c>
      <c r="J46" s="168" t="s">
        <v>138</v>
      </c>
      <c r="K46" s="59" t="s">
        <v>17</v>
      </c>
      <c r="L46" s="171" t="s">
        <v>18</v>
      </c>
      <c r="M46" s="172">
        <v>95110746</v>
      </c>
      <c r="N46" s="133">
        <v>45810</v>
      </c>
    </row>
    <row r="47" spans="1:15" x14ac:dyDescent="0.25">
      <c r="A47" s="90">
        <v>44</v>
      </c>
      <c r="B47" s="105">
        <v>1505</v>
      </c>
      <c r="C47" s="170" t="s">
        <v>86</v>
      </c>
      <c r="D47" s="55">
        <v>543.20000000000005</v>
      </c>
      <c r="E47" s="56">
        <v>0.25</v>
      </c>
      <c r="F47" s="57">
        <f t="shared" si="0"/>
        <v>135.80000000000001</v>
      </c>
      <c r="G47" s="143">
        <f t="shared" si="1"/>
        <v>135.80000000000001</v>
      </c>
      <c r="H47" s="57">
        <f t="shared" si="6"/>
        <v>0</v>
      </c>
      <c r="I47" s="59"/>
      <c r="J47" s="168"/>
      <c r="K47" s="59"/>
      <c r="L47" s="171"/>
      <c r="M47" s="172"/>
      <c r="N47" s="133">
        <v>45684</v>
      </c>
    </row>
    <row r="48" spans="1:15" x14ac:dyDescent="0.25">
      <c r="A48" s="86"/>
      <c r="B48" s="86"/>
      <c r="C48" s="86"/>
      <c r="D48" s="185">
        <f>SUM(D4:D47)</f>
        <v>64887.299999999988</v>
      </c>
      <c r="E48" s="44">
        <v>0.25</v>
      </c>
      <c r="F48" s="143">
        <f>SUM(F4:F47)</f>
        <v>16221.824999999997</v>
      </c>
      <c r="G48" s="143">
        <f>SUM(G4:G47)</f>
        <v>16221.824999999997</v>
      </c>
      <c r="H48" s="143">
        <f>SUM(H4:H47)</f>
        <v>0</v>
      </c>
      <c r="I48" s="86"/>
      <c r="J48" s="163"/>
      <c r="K48" s="164"/>
      <c r="L48" s="86"/>
      <c r="M48" s="79"/>
      <c r="N48" s="128"/>
    </row>
    <row r="50" spans="2:14" x14ac:dyDescent="0.25">
      <c r="J50" s="81" t="s">
        <v>23</v>
      </c>
    </row>
    <row r="51" spans="2:14" x14ac:dyDescent="0.25">
      <c r="B51" s="83"/>
      <c r="C51" s="83"/>
      <c r="D51" s="7"/>
      <c r="J51" s="7"/>
      <c r="K51" s="7"/>
      <c r="M51" s="7"/>
      <c r="N51" s="130"/>
    </row>
    <row r="52" spans="2:14" x14ac:dyDescent="0.25">
      <c r="B52" s="83"/>
      <c r="C52" s="83"/>
      <c r="D52" s="7"/>
      <c r="J52" s="7"/>
      <c r="K52" s="7"/>
      <c r="M52" s="7"/>
      <c r="N52" s="130"/>
    </row>
    <row r="53" spans="2:14" x14ac:dyDescent="0.25">
      <c r="B53" s="83"/>
      <c r="C53" s="83"/>
      <c r="D53" s="7"/>
      <c r="J53" s="7"/>
      <c r="K53" s="7"/>
      <c r="M53" s="7"/>
      <c r="N53" s="130"/>
    </row>
    <row r="54" spans="2:14" x14ac:dyDescent="0.25">
      <c r="B54" s="83"/>
      <c r="C54" s="83"/>
      <c r="D54" s="7"/>
      <c r="J54" s="7"/>
      <c r="K54" s="7"/>
      <c r="M54" s="7"/>
      <c r="N54" s="130"/>
    </row>
    <row r="55" spans="2:14" x14ac:dyDescent="0.25">
      <c r="B55" s="83"/>
      <c r="C55" s="83"/>
      <c r="D55" s="7"/>
      <c r="J55" s="7"/>
      <c r="K55" s="7"/>
      <c r="M55" s="7"/>
      <c r="N55" s="130"/>
    </row>
  </sheetData>
  <mergeCells count="15">
    <mergeCell ref="K2:K3"/>
    <mergeCell ref="L2:L3"/>
    <mergeCell ref="M2:M3"/>
    <mergeCell ref="N2:N3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conditionalFormatting sqref="J36">
    <cfRule type="duplicateValues" dxfId="6" priority="1"/>
  </conditionalFormatting>
  <pageMargins left="0.7" right="0.7" top="0.75" bottom="0.75" header="0.3" footer="0.3"/>
  <pageSetup paperSize="8" scale="8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EE55-600C-4801-803A-785205AE7BA0}">
  <dimension ref="A1:P55"/>
  <sheetViews>
    <sheetView view="pageBreakPreview" zoomScale="96" zoomScaleNormal="96" zoomScaleSheetLayoutView="96" workbookViewId="0">
      <pane xSplit="3" ySplit="3" topLeftCell="D32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" defaultRowHeight="15.75" x14ac:dyDescent="0.25"/>
  <cols>
    <col min="1" max="1" width="5.85546875" style="7" customWidth="1"/>
    <col min="2" max="2" width="11.7109375" style="7" customWidth="1"/>
    <col min="3" max="3" width="41.5703125" style="7" customWidth="1"/>
    <col min="4" max="4" width="13.42578125" style="80" customWidth="1"/>
    <col min="5" max="5" width="16.5703125" style="7" customWidth="1"/>
    <col min="6" max="8" width="17.42578125" style="7" customWidth="1"/>
    <col min="9" max="9" width="12.140625" style="7" customWidth="1"/>
    <col min="10" max="10" width="24.42578125" style="81" hidden="1" customWidth="1"/>
    <col min="11" max="11" width="19.140625" style="82" hidden="1" customWidth="1"/>
    <col min="12" max="12" width="15.140625" style="7" hidden="1" customWidth="1"/>
    <col min="13" max="13" width="11.140625" style="83" hidden="1" customWidth="1"/>
    <col min="14" max="14" width="14.5703125" style="83" customWidth="1"/>
    <col min="15" max="16384" width="9" style="7"/>
  </cols>
  <sheetData>
    <row r="1" spans="1:14" x14ac:dyDescent="0.25">
      <c r="A1" s="246" t="s">
        <v>197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39"/>
    </row>
    <row r="2" spans="1:14" ht="15.75" customHeight="1" x14ac:dyDescent="0.25">
      <c r="A2" s="247" t="s">
        <v>1</v>
      </c>
      <c r="B2" s="247" t="s">
        <v>2</v>
      </c>
      <c r="C2" s="247" t="s">
        <v>3</v>
      </c>
      <c r="D2" s="250" t="s">
        <v>4</v>
      </c>
      <c r="E2" s="247" t="s">
        <v>5</v>
      </c>
      <c r="F2" s="250" t="s">
        <v>6</v>
      </c>
      <c r="G2" s="250" t="s">
        <v>7</v>
      </c>
      <c r="H2" s="250" t="s">
        <v>8</v>
      </c>
      <c r="I2" s="247" t="s">
        <v>9</v>
      </c>
      <c r="J2" s="247" t="s">
        <v>10</v>
      </c>
      <c r="K2" s="249" t="s">
        <v>11</v>
      </c>
      <c r="L2" s="247" t="s">
        <v>12</v>
      </c>
      <c r="M2" s="245" t="s">
        <v>13</v>
      </c>
      <c r="N2" s="245" t="s">
        <v>14</v>
      </c>
    </row>
    <row r="3" spans="1:14" x14ac:dyDescent="0.25">
      <c r="A3" s="247"/>
      <c r="B3" s="247"/>
      <c r="C3" s="247"/>
      <c r="D3" s="250"/>
      <c r="E3" s="247"/>
      <c r="F3" s="250"/>
      <c r="G3" s="250"/>
      <c r="H3" s="250"/>
      <c r="I3" s="247"/>
      <c r="J3" s="247"/>
      <c r="K3" s="249"/>
      <c r="L3" s="247"/>
      <c r="M3" s="245"/>
      <c r="N3" s="245"/>
    </row>
    <row r="4" spans="1:14" x14ac:dyDescent="0.25">
      <c r="A4" s="85">
        <v>1</v>
      </c>
      <c r="B4" s="41">
        <v>1010</v>
      </c>
      <c r="C4" s="42" t="s">
        <v>47</v>
      </c>
      <c r="D4" s="188">
        <v>2229.1999999999998</v>
      </c>
      <c r="E4" s="44">
        <v>0.25</v>
      </c>
      <c r="F4" s="143">
        <f t="shared" ref="F4:F44" si="0">SUM(D4*E4)</f>
        <v>557.29999999999995</v>
      </c>
      <c r="G4" s="143">
        <f>F4</f>
        <v>557.29999999999995</v>
      </c>
      <c r="H4" s="143">
        <f>F4-G4</f>
        <v>0</v>
      </c>
      <c r="I4" s="46">
        <v>315313</v>
      </c>
      <c r="J4" s="47" t="s">
        <v>88</v>
      </c>
      <c r="K4" s="48" t="s">
        <v>89</v>
      </c>
      <c r="L4" s="49" t="s">
        <v>90</v>
      </c>
      <c r="M4" s="51">
        <v>92600441</v>
      </c>
      <c r="N4" s="51"/>
    </row>
    <row r="5" spans="1:14" x14ac:dyDescent="0.25">
      <c r="A5" s="85">
        <v>2</v>
      </c>
      <c r="B5" s="41">
        <v>1038</v>
      </c>
      <c r="C5" s="42" t="s">
        <v>48</v>
      </c>
      <c r="D5" s="188">
        <v>2034</v>
      </c>
      <c r="E5" s="44">
        <v>0.25</v>
      </c>
      <c r="F5" s="143">
        <f t="shared" si="0"/>
        <v>508.5</v>
      </c>
      <c r="G5" s="143">
        <f t="shared" ref="G5:G47" si="1">F5</f>
        <v>508.5</v>
      </c>
      <c r="H5" s="143">
        <f t="shared" ref="H5:H47" si="2">F5-G5</f>
        <v>0</v>
      </c>
      <c r="I5" s="46">
        <v>5247837</v>
      </c>
      <c r="J5" s="47" t="s">
        <v>91</v>
      </c>
      <c r="K5" s="48" t="s">
        <v>17</v>
      </c>
      <c r="L5" s="49" t="s">
        <v>18</v>
      </c>
      <c r="M5" s="51">
        <v>99441537</v>
      </c>
      <c r="N5" s="51"/>
    </row>
    <row r="6" spans="1:14" x14ac:dyDescent="0.25">
      <c r="A6" s="85">
        <v>3</v>
      </c>
      <c r="B6" s="41">
        <v>1065</v>
      </c>
      <c r="C6" s="42" t="s">
        <v>49</v>
      </c>
      <c r="D6" s="188">
        <v>637.9</v>
      </c>
      <c r="E6" s="44">
        <v>0.25</v>
      </c>
      <c r="F6" s="143">
        <f t="shared" si="0"/>
        <v>159.47499999999999</v>
      </c>
      <c r="G6" s="143">
        <f t="shared" si="1"/>
        <v>159.47499999999999</v>
      </c>
      <c r="H6" s="143">
        <f t="shared" si="2"/>
        <v>0</v>
      </c>
      <c r="I6" s="46">
        <v>1276058</v>
      </c>
      <c r="J6" s="52" t="s">
        <v>92</v>
      </c>
      <c r="K6" s="48" t="s">
        <v>17</v>
      </c>
      <c r="L6" s="49" t="s">
        <v>18</v>
      </c>
      <c r="M6" s="51">
        <v>99498549</v>
      </c>
      <c r="N6" s="51"/>
    </row>
    <row r="7" spans="1:14" x14ac:dyDescent="0.25">
      <c r="A7" s="85">
        <v>4</v>
      </c>
      <c r="B7" s="41">
        <v>1071</v>
      </c>
      <c r="C7" s="42" t="s">
        <v>31</v>
      </c>
      <c r="D7" s="185">
        <v>591.1</v>
      </c>
      <c r="E7" s="44">
        <v>0.25</v>
      </c>
      <c r="F7" s="143">
        <f t="shared" si="0"/>
        <v>147.77500000000001</v>
      </c>
      <c r="G7" s="143">
        <f t="shared" si="1"/>
        <v>147.77500000000001</v>
      </c>
      <c r="H7" s="143">
        <f t="shared" si="2"/>
        <v>0</v>
      </c>
      <c r="I7" s="46">
        <v>390741</v>
      </c>
      <c r="J7" s="47" t="s">
        <v>93</v>
      </c>
      <c r="K7" s="48" t="s">
        <v>94</v>
      </c>
      <c r="L7" s="49" t="s">
        <v>95</v>
      </c>
      <c r="M7" s="51">
        <v>99589144</v>
      </c>
      <c r="N7" s="51"/>
    </row>
    <row r="8" spans="1:14" x14ac:dyDescent="0.25">
      <c r="A8" s="85">
        <v>5</v>
      </c>
      <c r="B8" s="41">
        <v>1086</v>
      </c>
      <c r="C8" s="42" t="s">
        <v>27</v>
      </c>
      <c r="D8" s="185">
        <v>1289.5</v>
      </c>
      <c r="E8" s="44">
        <v>0.25</v>
      </c>
      <c r="F8" s="143">
        <f t="shared" si="0"/>
        <v>322.375</v>
      </c>
      <c r="G8" s="143">
        <f t="shared" si="1"/>
        <v>322.375</v>
      </c>
      <c r="H8" s="143">
        <f t="shared" si="2"/>
        <v>0</v>
      </c>
      <c r="I8" s="46">
        <v>2379573</v>
      </c>
      <c r="J8" s="52" t="s">
        <v>96</v>
      </c>
      <c r="K8" s="48" t="s">
        <v>94</v>
      </c>
      <c r="L8" s="49" t="s">
        <v>95</v>
      </c>
      <c r="M8" s="51">
        <v>92917899</v>
      </c>
      <c r="N8" s="51"/>
    </row>
    <row r="9" spans="1:14" s="211" customFormat="1" x14ac:dyDescent="0.25">
      <c r="A9" s="117">
        <v>6</v>
      </c>
      <c r="B9" s="118">
        <v>1123</v>
      </c>
      <c r="C9" s="119" t="s">
        <v>33</v>
      </c>
      <c r="D9" s="120">
        <v>1132.8</v>
      </c>
      <c r="E9" s="121">
        <v>0.25</v>
      </c>
      <c r="F9" s="122">
        <f t="shared" si="0"/>
        <v>283.2</v>
      </c>
      <c r="G9" s="143">
        <f t="shared" si="1"/>
        <v>283.2</v>
      </c>
      <c r="H9" s="122">
        <f t="shared" si="2"/>
        <v>0</v>
      </c>
      <c r="I9" s="123">
        <v>655141</v>
      </c>
      <c r="J9" s="173" t="s">
        <v>97</v>
      </c>
      <c r="K9" s="174" t="s">
        <v>98</v>
      </c>
      <c r="L9" s="175" t="s">
        <v>99</v>
      </c>
      <c r="M9" s="145">
        <v>99485623</v>
      </c>
      <c r="N9" s="145" t="s">
        <v>198</v>
      </c>
    </row>
    <row r="10" spans="1:14" x14ac:dyDescent="0.25">
      <c r="A10" s="85">
        <v>7</v>
      </c>
      <c r="B10" s="61">
        <v>1130</v>
      </c>
      <c r="C10" s="52" t="s">
        <v>51</v>
      </c>
      <c r="D10" s="185">
        <v>1225.0999999999999</v>
      </c>
      <c r="E10" s="44">
        <v>0.25</v>
      </c>
      <c r="F10" s="143">
        <f t="shared" si="0"/>
        <v>306.27499999999998</v>
      </c>
      <c r="G10" s="143">
        <f t="shared" si="1"/>
        <v>306.27499999999998</v>
      </c>
      <c r="H10" s="143">
        <f t="shared" si="2"/>
        <v>0</v>
      </c>
      <c r="I10" s="63">
        <v>5485645</v>
      </c>
      <c r="J10" s="155" t="s">
        <v>101</v>
      </c>
      <c r="K10" s="156" t="s">
        <v>17</v>
      </c>
      <c r="L10" s="49" t="s">
        <v>18</v>
      </c>
      <c r="M10" s="64">
        <v>90977488</v>
      </c>
      <c r="N10" s="64"/>
    </row>
    <row r="11" spans="1:14" x14ac:dyDescent="0.25">
      <c r="A11" s="85">
        <v>8</v>
      </c>
      <c r="B11" s="41">
        <v>1152</v>
      </c>
      <c r="C11" s="42" t="s">
        <v>52</v>
      </c>
      <c r="D11" s="185">
        <v>1860</v>
      </c>
      <c r="E11" s="44">
        <v>0.25</v>
      </c>
      <c r="F11" s="143">
        <f t="shared" si="0"/>
        <v>465</v>
      </c>
      <c r="G11" s="143">
        <f t="shared" si="1"/>
        <v>465</v>
      </c>
      <c r="H11" s="143">
        <f t="shared" si="2"/>
        <v>0</v>
      </c>
      <c r="I11" s="46">
        <v>5254327</v>
      </c>
      <c r="J11" s="52" t="s">
        <v>102</v>
      </c>
      <c r="K11" s="48" t="s">
        <v>94</v>
      </c>
      <c r="L11" s="49" t="s">
        <v>95</v>
      </c>
      <c r="M11" s="51">
        <v>99692328</v>
      </c>
      <c r="N11" s="51"/>
    </row>
    <row r="12" spans="1:14" x14ac:dyDescent="0.25">
      <c r="A12" s="85">
        <v>9</v>
      </c>
      <c r="B12" s="41">
        <v>1200</v>
      </c>
      <c r="C12" s="42" t="s">
        <v>53</v>
      </c>
      <c r="D12" s="185">
        <v>243.2</v>
      </c>
      <c r="E12" s="44">
        <v>0.25</v>
      </c>
      <c r="F12" s="143">
        <f t="shared" si="0"/>
        <v>60.8</v>
      </c>
      <c r="G12" s="143">
        <f t="shared" si="1"/>
        <v>60.8</v>
      </c>
      <c r="H12" s="143">
        <f t="shared" si="2"/>
        <v>0</v>
      </c>
      <c r="I12" s="46">
        <v>7287174</v>
      </c>
      <c r="J12" s="52" t="s">
        <v>103</v>
      </c>
      <c r="K12" s="48" t="s">
        <v>94</v>
      </c>
      <c r="L12" s="49" t="s">
        <v>95</v>
      </c>
      <c r="M12" s="51">
        <v>99673747</v>
      </c>
      <c r="N12" s="51"/>
    </row>
    <row r="13" spans="1:14" x14ac:dyDescent="0.25">
      <c r="A13" s="85">
        <v>10</v>
      </c>
      <c r="B13" s="41">
        <v>1276</v>
      </c>
      <c r="C13" s="42" t="s">
        <v>54</v>
      </c>
      <c r="D13" s="185">
        <v>497.5</v>
      </c>
      <c r="E13" s="44">
        <v>0.25</v>
      </c>
      <c r="F13" s="143">
        <f t="shared" si="0"/>
        <v>124.375</v>
      </c>
      <c r="G13" s="143">
        <f t="shared" si="1"/>
        <v>124.375</v>
      </c>
      <c r="H13" s="143">
        <f t="shared" si="2"/>
        <v>0</v>
      </c>
      <c r="I13" s="46">
        <v>334495</v>
      </c>
      <c r="J13" s="47" t="s">
        <v>104</v>
      </c>
      <c r="K13" s="48" t="s">
        <v>17</v>
      </c>
      <c r="L13" s="49" t="s">
        <v>18</v>
      </c>
      <c r="M13" s="51">
        <v>99170505</v>
      </c>
      <c r="N13" s="51"/>
    </row>
    <row r="14" spans="1:14" x14ac:dyDescent="0.25">
      <c r="A14" s="85">
        <v>11</v>
      </c>
      <c r="B14" s="41">
        <v>1281</v>
      </c>
      <c r="C14" s="42" t="s">
        <v>55</v>
      </c>
      <c r="D14" s="185">
        <v>1860</v>
      </c>
      <c r="E14" s="44">
        <v>0.25</v>
      </c>
      <c r="F14" s="143">
        <f t="shared" si="0"/>
        <v>465</v>
      </c>
      <c r="G14" s="143">
        <f t="shared" si="1"/>
        <v>465</v>
      </c>
      <c r="H14" s="143">
        <f t="shared" si="2"/>
        <v>0</v>
      </c>
      <c r="I14" s="46">
        <v>6310986</v>
      </c>
      <c r="J14" s="52" t="s">
        <v>105</v>
      </c>
      <c r="K14" s="48" t="s">
        <v>17</v>
      </c>
      <c r="L14" s="49" t="s">
        <v>18</v>
      </c>
      <c r="M14" s="51">
        <v>92922944</v>
      </c>
      <c r="N14" s="51"/>
    </row>
    <row r="15" spans="1:14" x14ac:dyDescent="0.25">
      <c r="A15" s="85">
        <v>12</v>
      </c>
      <c r="B15" s="41">
        <v>1308</v>
      </c>
      <c r="C15" s="42" t="s">
        <v>35</v>
      </c>
      <c r="D15" s="185">
        <v>650.29999999999995</v>
      </c>
      <c r="E15" s="44">
        <v>0.25</v>
      </c>
      <c r="F15" s="143">
        <f t="shared" si="0"/>
        <v>162.57499999999999</v>
      </c>
      <c r="G15" s="143">
        <f t="shared" si="1"/>
        <v>162.57499999999999</v>
      </c>
      <c r="H15" s="143">
        <f t="shared" si="2"/>
        <v>0</v>
      </c>
      <c r="I15" s="46">
        <v>6225641</v>
      </c>
      <c r="J15" s="47" t="s">
        <v>106</v>
      </c>
      <c r="K15" s="48" t="s">
        <v>94</v>
      </c>
      <c r="L15" s="49" t="s">
        <v>95</v>
      </c>
      <c r="M15" s="51">
        <v>92055550</v>
      </c>
      <c r="N15" s="51"/>
    </row>
    <row r="16" spans="1:14" x14ac:dyDescent="0.25">
      <c r="A16" s="85">
        <v>13</v>
      </c>
      <c r="B16" s="41">
        <v>1337</v>
      </c>
      <c r="C16" s="42" t="s">
        <v>56</v>
      </c>
      <c r="D16" s="185">
        <v>632</v>
      </c>
      <c r="E16" s="44">
        <v>0.25</v>
      </c>
      <c r="F16" s="143">
        <f t="shared" si="0"/>
        <v>158</v>
      </c>
      <c r="G16" s="143">
        <f t="shared" si="1"/>
        <v>158</v>
      </c>
      <c r="H16" s="143">
        <f t="shared" si="2"/>
        <v>0</v>
      </c>
      <c r="I16" s="46">
        <v>6719626</v>
      </c>
      <c r="J16" s="52" t="s">
        <v>107</v>
      </c>
      <c r="K16" s="48" t="s">
        <v>17</v>
      </c>
      <c r="L16" s="49" t="s">
        <v>18</v>
      </c>
      <c r="M16" s="51">
        <v>97726288</v>
      </c>
      <c r="N16" s="51"/>
    </row>
    <row r="17" spans="1:16" s="65" customFormat="1" ht="15" customHeight="1" x14ac:dyDescent="0.25">
      <c r="A17" s="85">
        <v>14</v>
      </c>
      <c r="B17" s="41">
        <v>1339</v>
      </c>
      <c r="C17" s="42" t="s">
        <v>57</v>
      </c>
      <c r="D17" s="185">
        <v>5643.5</v>
      </c>
      <c r="E17" s="44">
        <v>0.25</v>
      </c>
      <c r="F17" s="143">
        <f t="shared" si="0"/>
        <v>1410.875</v>
      </c>
      <c r="G17" s="143">
        <f t="shared" si="1"/>
        <v>1410.875</v>
      </c>
      <c r="H17" s="143">
        <f t="shared" si="2"/>
        <v>0</v>
      </c>
      <c r="I17" s="46">
        <v>3090574</v>
      </c>
      <c r="J17" s="47" t="s">
        <v>108</v>
      </c>
      <c r="K17" s="46" t="s">
        <v>94</v>
      </c>
      <c r="L17" s="46" t="s">
        <v>95</v>
      </c>
      <c r="M17" s="51">
        <v>99292421</v>
      </c>
      <c r="N17" s="51"/>
    </row>
    <row r="18" spans="1:16" s="65" customFormat="1" ht="15" customHeight="1" x14ac:dyDescent="0.25">
      <c r="A18" s="85">
        <v>15</v>
      </c>
      <c r="B18" s="41">
        <v>1340</v>
      </c>
      <c r="C18" s="63" t="s">
        <v>36</v>
      </c>
      <c r="D18" s="185">
        <v>607.5</v>
      </c>
      <c r="E18" s="44">
        <v>0.25</v>
      </c>
      <c r="F18" s="143">
        <f t="shared" si="0"/>
        <v>151.875</v>
      </c>
      <c r="G18" s="143">
        <f t="shared" si="1"/>
        <v>151.875</v>
      </c>
      <c r="H18" s="143">
        <f t="shared" si="2"/>
        <v>0</v>
      </c>
      <c r="I18" s="64">
        <v>7279274</v>
      </c>
      <c r="J18" s="210" t="s">
        <v>109</v>
      </c>
      <c r="K18" s="48" t="s">
        <v>110</v>
      </c>
      <c r="L18" s="210" t="s">
        <v>18</v>
      </c>
      <c r="M18" s="64">
        <v>93808816</v>
      </c>
      <c r="N18" s="64"/>
    </row>
    <row r="19" spans="1:16" x14ac:dyDescent="0.25">
      <c r="A19" s="85">
        <v>16</v>
      </c>
      <c r="B19" s="41">
        <v>1341</v>
      </c>
      <c r="C19" s="42" t="s">
        <v>58</v>
      </c>
      <c r="D19" s="185">
        <v>1388.8</v>
      </c>
      <c r="E19" s="44">
        <v>0.25</v>
      </c>
      <c r="F19" s="143">
        <f t="shared" si="0"/>
        <v>347.2</v>
      </c>
      <c r="G19" s="143">
        <f t="shared" si="1"/>
        <v>347.2</v>
      </c>
      <c r="H19" s="143">
        <f t="shared" si="2"/>
        <v>0</v>
      </c>
      <c r="I19" s="46">
        <v>15977579</v>
      </c>
      <c r="J19" s="52" t="s">
        <v>111</v>
      </c>
      <c r="K19" s="48" t="s">
        <v>110</v>
      </c>
      <c r="L19" s="49" t="s">
        <v>18</v>
      </c>
      <c r="M19" s="51">
        <v>92578822</v>
      </c>
      <c r="N19" s="51"/>
    </row>
    <row r="20" spans="1:16" s="154" customFormat="1" x14ac:dyDescent="0.25">
      <c r="A20" s="90">
        <v>17</v>
      </c>
      <c r="B20" s="84">
        <v>1342</v>
      </c>
      <c r="C20" s="54" t="s">
        <v>59</v>
      </c>
      <c r="D20" s="66">
        <v>627.1</v>
      </c>
      <c r="E20" s="56">
        <v>0.25</v>
      </c>
      <c r="F20" s="57">
        <f t="shared" si="0"/>
        <v>156.77500000000001</v>
      </c>
      <c r="G20" s="143">
        <f t="shared" si="1"/>
        <v>156.77500000000001</v>
      </c>
      <c r="H20" s="57">
        <f t="shared" si="2"/>
        <v>0</v>
      </c>
      <c r="I20" s="58">
        <v>13950469</v>
      </c>
      <c r="J20" s="168" t="s">
        <v>112</v>
      </c>
      <c r="K20" s="59" t="s">
        <v>110</v>
      </c>
      <c r="L20" s="169" t="s">
        <v>18</v>
      </c>
      <c r="M20" s="60">
        <v>92341118</v>
      </c>
      <c r="N20" s="91">
        <v>45692</v>
      </c>
    </row>
    <row r="21" spans="1:16" x14ac:dyDescent="0.25">
      <c r="A21" s="85">
        <v>18</v>
      </c>
      <c r="B21" s="41">
        <v>1343</v>
      </c>
      <c r="C21" s="42" t="s">
        <v>29</v>
      </c>
      <c r="D21" s="185">
        <v>1223.9000000000001</v>
      </c>
      <c r="E21" s="44">
        <v>0.25</v>
      </c>
      <c r="F21" s="143">
        <f t="shared" si="0"/>
        <v>305.97500000000002</v>
      </c>
      <c r="G21" s="143">
        <f t="shared" si="1"/>
        <v>305.97500000000002</v>
      </c>
      <c r="H21" s="143">
        <f t="shared" si="2"/>
        <v>0</v>
      </c>
      <c r="I21" s="46">
        <v>5160297</v>
      </c>
      <c r="J21" s="52" t="s">
        <v>113</v>
      </c>
      <c r="K21" s="48" t="s">
        <v>94</v>
      </c>
      <c r="L21" s="49" t="s">
        <v>95</v>
      </c>
      <c r="M21" s="51">
        <v>93501199</v>
      </c>
      <c r="N21" s="51"/>
    </row>
    <row r="22" spans="1:16" x14ac:dyDescent="0.25">
      <c r="A22" s="85">
        <v>19</v>
      </c>
      <c r="B22" s="41">
        <v>1345</v>
      </c>
      <c r="C22" s="63" t="s">
        <v>60</v>
      </c>
      <c r="D22" s="185">
        <v>6192.9</v>
      </c>
      <c r="E22" s="67">
        <v>0.25</v>
      </c>
      <c r="F22" s="143">
        <f>SUM(D22*E22)</f>
        <v>1548.2249999999999</v>
      </c>
      <c r="G22" s="143">
        <f t="shared" si="1"/>
        <v>1548.2249999999999</v>
      </c>
      <c r="H22" s="143">
        <f t="shared" si="2"/>
        <v>0</v>
      </c>
      <c r="I22" s="63">
        <v>10578952</v>
      </c>
      <c r="J22" s="155" t="s">
        <v>114</v>
      </c>
      <c r="K22" s="156" t="s">
        <v>115</v>
      </c>
      <c r="L22" s="49" t="s">
        <v>116</v>
      </c>
      <c r="M22" s="64">
        <v>92194382</v>
      </c>
      <c r="N22" s="64"/>
    </row>
    <row r="23" spans="1:16" x14ac:dyDescent="0.25">
      <c r="A23" s="85">
        <v>20</v>
      </c>
      <c r="B23" s="41">
        <v>1349</v>
      </c>
      <c r="C23" s="42" t="s">
        <v>38</v>
      </c>
      <c r="D23" s="185">
        <v>2338.1999999999998</v>
      </c>
      <c r="E23" s="44">
        <v>0.25</v>
      </c>
      <c r="F23" s="143">
        <f t="shared" si="0"/>
        <v>584.54999999999995</v>
      </c>
      <c r="G23" s="143">
        <f t="shared" si="1"/>
        <v>584.54999999999995</v>
      </c>
      <c r="H23" s="143">
        <f t="shared" si="2"/>
        <v>0</v>
      </c>
      <c r="I23" s="46">
        <v>7128679</v>
      </c>
      <c r="J23" s="52" t="s">
        <v>117</v>
      </c>
      <c r="K23" s="48" t="s">
        <v>17</v>
      </c>
      <c r="L23" s="49" t="s">
        <v>18</v>
      </c>
      <c r="M23" s="51">
        <v>91408836</v>
      </c>
      <c r="N23" s="51"/>
    </row>
    <row r="24" spans="1:16" x14ac:dyDescent="0.25">
      <c r="A24" s="85">
        <v>21</v>
      </c>
      <c r="B24" s="41">
        <v>1350</v>
      </c>
      <c r="C24" s="42" t="s">
        <v>61</v>
      </c>
      <c r="D24" s="185">
        <v>4434.3</v>
      </c>
      <c r="E24" s="44">
        <v>0.25</v>
      </c>
      <c r="F24" s="143">
        <f t="shared" si="0"/>
        <v>1108.575</v>
      </c>
      <c r="G24" s="143">
        <f t="shared" si="1"/>
        <v>1108.575</v>
      </c>
      <c r="H24" s="143">
        <f t="shared" si="2"/>
        <v>0</v>
      </c>
      <c r="I24" s="46">
        <v>6752017</v>
      </c>
      <c r="J24" s="52" t="s">
        <v>118</v>
      </c>
      <c r="K24" s="48" t="s">
        <v>17</v>
      </c>
      <c r="L24" s="49" t="s">
        <v>18</v>
      </c>
      <c r="M24" s="51">
        <v>92520708</v>
      </c>
      <c r="N24" s="51"/>
    </row>
    <row r="25" spans="1:16" s="154" customFormat="1" x14ac:dyDescent="0.25">
      <c r="A25" s="90">
        <v>22</v>
      </c>
      <c r="B25" s="84">
        <v>1353</v>
      </c>
      <c r="C25" s="54" t="s">
        <v>62</v>
      </c>
      <c r="D25" s="66">
        <v>6180.3</v>
      </c>
      <c r="E25" s="56">
        <v>0.25</v>
      </c>
      <c r="F25" s="57">
        <f t="shared" si="0"/>
        <v>1545.075</v>
      </c>
      <c r="G25" s="143">
        <f t="shared" si="1"/>
        <v>1545.075</v>
      </c>
      <c r="H25" s="57">
        <f t="shared" si="2"/>
        <v>0</v>
      </c>
      <c r="I25" s="58">
        <v>5217694</v>
      </c>
      <c r="J25" s="151" t="s">
        <v>142</v>
      </c>
      <c r="K25" s="59" t="s">
        <v>94</v>
      </c>
      <c r="L25" s="169" t="s">
        <v>95</v>
      </c>
      <c r="M25" s="60">
        <v>92749180</v>
      </c>
      <c r="N25" s="60" t="s">
        <v>199</v>
      </c>
      <c r="O25" s="154" t="s">
        <v>201</v>
      </c>
      <c r="P25" s="154" t="s">
        <v>200</v>
      </c>
    </row>
    <row r="26" spans="1:16" x14ac:dyDescent="0.25">
      <c r="A26" s="85">
        <v>23</v>
      </c>
      <c r="B26" s="41">
        <v>1355</v>
      </c>
      <c r="C26" s="42" t="s">
        <v>64</v>
      </c>
      <c r="D26" s="185">
        <v>2483.6</v>
      </c>
      <c r="E26" s="44">
        <v>0.25</v>
      </c>
      <c r="F26" s="143">
        <f t="shared" si="0"/>
        <v>620.9</v>
      </c>
      <c r="G26" s="143">
        <f t="shared" si="1"/>
        <v>620.9</v>
      </c>
      <c r="H26" s="143">
        <f t="shared" si="2"/>
        <v>0</v>
      </c>
      <c r="I26" s="46">
        <v>585058</v>
      </c>
      <c r="J26" s="52" t="s">
        <v>119</v>
      </c>
      <c r="K26" s="48" t="s">
        <v>94</v>
      </c>
      <c r="L26" s="49" t="s">
        <v>95</v>
      </c>
      <c r="M26" s="51">
        <v>99055262</v>
      </c>
      <c r="N26" s="51"/>
    </row>
    <row r="27" spans="1:16" x14ac:dyDescent="0.25">
      <c r="A27" s="85">
        <v>24</v>
      </c>
      <c r="B27" s="41">
        <v>1356</v>
      </c>
      <c r="C27" s="42" t="s">
        <v>65</v>
      </c>
      <c r="D27" s="185">
        <v>759.9</v>
      </c>
      <c r="E27" s="44">
        <v>0.25</v>
      </c>
      <c r="F27" s="143">
        <f t="shared" si="0"/>
        <v>189.97499999999999</v>
      </c>
      <c r="G27" s="143">
        <f t="shared" si="1"/>
        <v>189.97499999999999</v>
      </c>
      <c r="H27" s="143">
        <f t="shared" si="2"/>
        <v>0</v>
      </c>
      <c r="I27" s="46">
        <v>7494112</v>
      </c>
      <c r="J27" s="52" t="s">
        <v>143</v>
      </c>
      <c r="K27" s="48" t="s">
        <v>17</v>
      </c>
      <c r="L27" s="49" t="s">
        <v>18</v>
      </c>
      <c r="M27" s="51">
        <v>99488186</v>
      </c>
      <c r="N27" s="51"/>
    </row>
    <row r="28" spans="1:16" x14ac:dyDescent="0.25">
      <c r="A28" s="85">
        <v>25</v>
      </c>
      <c r="B28" s="41">
        <v>1362</v>
      </c>
      <c r="C28" s="42" t="s">
        <v>15</v>
      </c>
      <c r="D28" s="185">
        <v>2503.8000000000002</v>
      </c>
      <c r="E28" s="44">
        <v>0.25</v>
      </c>
      <c r="F28" s="143">
        <f t="shared" si="0"/>
        <v>625.95000000000005</v>
      </c>
      <c r="G28" s="143">
        <f t="shared" si="1"/>
        <v>625.95000000000005</v>
      </c>
      <c r="H28" s="143">
        <f t="shared" si="2"/>
        <v>0</v>
      </c>
      <c r="I28" s="46">
        <v>2429041</v>
      </c>
      <c r="J28" s="52" t="s">
        <v>16</v>
      </c>
      <c r="K28" s="48" t="s">
        <v>17</v>
      </c>
      <c r="L28" s="49" t="s">
        <v>18</v>
      </c>
      <c r="M28" s="51">
        <v>93663694</v>
      </c>
      <c r="N28" s="51"/>
    </row>
    <row r="29" spans="1:16" x14ac:dyDescent="0.25">
      <c r="A29" s="85">
        <v>26</v>
      </c>
      <c r="B29" s="41">
        <v>1363</v>
      </c>
      <c r="C29" s="42" t="s">
        <v>67</v>
      </c>
      <c r="D29" s="185">
        <v>2633.7</v>
      </c>
      <c r="E29" s="44">
        <v>0.25</v>
      </c>
      <c r="F29" s="143">
        <f t="shared" si="0"/>
        <v>658.42499999999995</v>
      </c>
      <c r="G29" s="143">
        <f t="shared" si="1"/>
        <v>658.42499999999995</v>
      </c>
      <c r="H29" s="143">
        <f t="shared" si="2"/>
        <v>0</v>
      </c>
      <c r="I29" s="46">
        <v>322352</v>
      </c>
      <c r="J29" s="52" t="s">
        <v>120</v>
      </c>
      <c r="K29" s="48" t="s">
        <v>17</v>
      </c>
      <c r="L29" s="49" t="s">
        <v>18</v>
      </c>
      <c r="M29" s="51">
        <v>98842645</v>
      </c>
      <c r="N29" s="51"/>
    </row>
    <row r="30" spans="1:16" x14ac:dyDescent="0.25">
      <c r="A30" s="85">
        <v>27</v>
      </c>
      <c r="B30" s="41">
        <v>1364</v>
      </c>
      <c r="C30" s="42" t="s">
        <v>68</v>
      </c>
      <c r="D30" s="185">
        <v>614.5</v>
      </c>
      <c r="E30" s="44">
        <v>0.25</v>
      </c>
      <c r="F30" s="143">
        <f t="shared" si="0"/>
        <v>153.625</v>
      </c>
      <c r="G30" s="143">
        <f t="shared" si="1"/>
        <v>153.625</v>
      </c>
      <c r="H30" s="143">
        <f t="shared" si="2"/>
        <v>0</v>
      </c>
      <c r="I30" s="46">
        <v>7113811</v>
      </c>
      <c r="J30" s="52" t="s">
        <v>121</v>
      </c>
      <c r="K30" s="48" t="s">
        <v>94</v>
      </c>
      <c r="L30" s="49" t="s">
        <v>95</v>
      </c>
      <c r="M30" s="51">
        <v>92969982</v>
      </c>
      <c r="N30" s="51"/>
    </row>
    <row r="31" spans="1:16" x14ac:dyDescent="0.25">
      <c r="A31" s="85">
        <v>28</v>
      </c>
      <c r="B31" s="41">
        <v>1366</v>
      </c>
      <c r="C31" s="42" t="s">
        <v>39</v>
      </c>
      <c r="D31" s="185">
        <v>2498.1</v>
      </c>
      <c r="E31" s="44">
        <v>0.25</v>
      </c>
      <c r="F31" s="143">
        <f t="shared" si="0"/>
        <v>624.52499999999998</v>
      </c>
      <c r="G31" s="143">
        <f t="shared" si="1"/>
        <v>624.52499999999998</v>
      </c>
      <c r="H31" s="143">
        <f t="shared" si="2"/>
        <v>0</v>
      </c>
      <c r="I31" s="46">
        <v>8318385</v>
      </c>
      <c r="J31" s="52" t="s">
        <v>122</v>
      </c>
      <c r="K31" s="48" t="s">
        <v>17</v>
      </c>
      <c r="L31" s="49" t="s">
        <v>18</v>
      </c>
      <c r="M31" s="51">
        <v>90660210</v>
      </c>
      <c r="N31" s="51"/>
    </row>
    <row r="32" spans="1:16" x14ac:dyDescent="0.25">
      <c r="A32" s="85">
        <v>29</v>
      </c>
      <c r="B32" s="61">
        <v>1370</v>
      </c>
      <c r="C32" s="52" t="s">
        <v>20</v>
      </c>
      <c r="D32" s="185">
        <v>1345.4</v>
      </c>
      <c r="E32" s="44">
        <v>0.25</v>
      </c>
      <c r="F32" s="143">
        <f t="shared" si="0"/>
        <v>336.35</v>
      </c>
      <c r="G32" s="143">
        <f t="shared" si="1"/>
        <v>336.35</v>
      </c>
      <c r="H32" s="143">
        <f t="shared" si="2"/>
        <v>0</v>
      </c>
      <c r="I32" s="42">
        <v>14431965</v>
      </c>
      <c r="J32" s="47" t="s">
        <v>21</v>
      </c>
      <c r="K32" s="48" t="s">
        <v>17</v>
      </c>
      <c r="L32" s="49" t="s">
        <v>18</v>
      </c>
      <c r="M32" s="70">
        <v>99693775</v>
      </c>
      <c r="N32" s="70"/>
    </row>
    <row r="33" spans="1:16" x14ac:dyDescent="0.25">
      <c r="A33" s="85">
        <v>30</v>
      </c>
      <c r="B33" s="61">
        <v>1371</v>
      </c>
      <c r="C33" s="52" t="s">
        <v>40</v>
      </c>
      <c r="D33" s="185">
        <v>1851.7</v>
      </c>
      <c r="E33" s="44">
        <v>0.25</v>
      </c>
      <c r="F33" s="143">
        <f t="shared" si="0"/>
        <v>462.92500000000001</v>
      </c>
      <c r="G33" s="143">
        <f t="shared" si="1"/>
        <v>462.92500000000001</v>
      </c>
      <c r="H33" s="143">
        <f t="shared" si="2"/>
        <v>0</v>
      </c>
      <c r="I33" s="42">
        <v>990755</v>
      </c>
      <c r="J33" s="47" t="s">
        <v>123</v>
      </c>
      <c r="K33" s="48" t="s">
        <v>89</v>
      </c>
      <c r="L33" s="49" t="s">
        <v>90</v>
      </c>
      <c r="M33" s="70">
        <v>92556210</v>
      </c>
      <c r="N33" s="70"/>
    </row>
    <row r="34" spans="1:16" x14ac:dyDescent="0.25">
      <c r="A34" s="85">
        <v>31</v>
      </c>
      <c r="B34" s="61">
        <v>1372</v>
      </c>
      <c r="C34" s="52" t="s">
        <v>69</v>
      </c>
      <c r="D34" s="185">
        <v>1794.1</v>
      </c>
      <c r="E34" s="44">
        <v>0.25</v>
      </c>
      <c r="F34" s="143">
        <f t="shared" si="0"/>
        <v>448.52499999999998</v>
      </c>
      <c r="G34" s="143">
        <f t="shared" si="1"/>
        <v>448.52499999999998</v>
      </c>
      <c r="H34" s="143">
        <f t="shared" si="2"/>
        <v>0</v>
      </c>
      <c r="I34" s="48">
        <v>628655</v>
      </c>
      <c r="J34" s="47" t="s">
        <v>124</v>
      </c>
      <c r="K34" s="48" t="s">
        <v>94</v>
      </c>
      <c r="L34" s="49" t="s">
        <v>95</v>
      </c>
      <c r="M34" s="70">
        <v>98976629</v>
      </c>
      <c r="N34" s="70"/>
    </row>
    <row r="35" spans="1:16" s="211" customFormat="1" x14ac:dyDescent="0.25">
      <c r="A35" s="117">
        <v>32</v>
      </c>
      <c r="B35" s="203">
        <v>1373</v>
      </c>
      <c r="C35" s="204" t="s">
        <v>70</v>
      </c>
      <c r="D35" s="120">
        <v>654.4</v>
      </c>
      <c r="E35" s="121">
        <v>0.25</v>
      </c>
      <c r="F35" s="122">
        <f t="shared" si="0"/>
        <v>163.6</v>
      </c>
      <c r="G35" s="143">
        <f t="shared" si="1"/>
        <v>163.6</v>
      </c>
      <c r="H35" s="122">
        <f t="shared" si="2"/>
        <v>0</v>
      </c>
      <c r="I35" s="174">
        <v>734281</v>
      </c>
      <c r="J35" s="205" t="s">
        <v>125</v>
      </c>
      <c r="K35" s="174" t="s">
        <v>17</v>
      </c>
      <c r="L35" s="175" t="s">
        <v>18</v>
      </c>
      <c r="M35" s="206">
        <v>99891516</v>
      </c>
      <c r="N35" s="206" t="s">
        <v>204</v>
      </c>
    </row>
    <row r="36" spans="1:16" x14ac:dyDescent="0.25">
      <c r="A36" s="85">
        <v>33</v>
      </c>
      <c r="B36" s="61">
        <v>1375</v>
      </c>
      <c r="C36" s="52" t="s">
        <v>71</v>
      </c>
      <c r="D36" s="185">
        <v>655</v>
      </c>
      <c r="E36" s="44">
        <v>0.25</v>
      </c>
      <c r="F36" s="143">
        <f t="shared" si="0"/>
        <v>163.75</v>
      </c>
      <c r="G36" s="143">
        <f t="shared" si="1"/>
        <v>163.75</v>
      </c>
      <c r="H36" s="143">
        <f t="shared" si="2"/>
        <v>0</v>
      </c>
      <c r="I36" s="48">
        <v>6748627</v>
      </c>
      <c r="J36" s="158" t="s">
        <v>126</v>
      </c>
      <c r="K36" s="159" t="s">
        <v>127</v>
      </c>
      <c r="L36" s="159" t="s">
        <v>128</v>
      </c>
      <c r="M36" s="70">
        <v>93707700</v>
      </c>
      <c r="N36" s="70"/>
    </row>
    <row r="37" spans="1:16" x14ac:dyDescent="0.25">
      <c r="A37" s="85">
        <v>34</v>
      </c>
      <c r="B37" s="61">
        <v>1377</v>
      </c>
      <c r="C37" s="52" t="s">
        <v>72</v>
      </c>
      <c r="D37" s="185">
        <v>572.70000000000005</v>
      </c>
      <c r="E37" s="44">
        <v>0.25</v>
      </c>
      <c r="F37" s="143">
        <f t="shared" si="0"/>
        <v>143.17500000000001</v>
      </c>
      <c r="G37" s="143">
        <f t="shared" si="1"/>
        <v>143.17500000000001</v>
      </c>
      <c r="H37" s="143">
        <f t="shared" si="2"/>
        <v>0</v>
      </c>
      <c r="I37" s="48">
        <v>5160404</v>
      </c>
      <c r="J37" s="47" t="s">
        <v>129</v>
      </c>
      <c r="K37" s="48" t="s">
        <v>94</v>
      </c>
      <c r="L37" s="49" t="s">
        <v>95</v>
      </c>
      <c r="M37" s="70">
        <v>91120322</v>
      </c>
      <c r="N37" s="70"/>
    </row>
    <row r="38" spans="1:16" x14ac:dyDescent="0.25">
      <c r="A38" s="85">
        <v>35</v>
      </c>
      <c r="B38" s="61">
        <v>1378</v>
      </c>
      <c r="C38" s="52" t="s">
        <v>42</v>
      </c>
      <c r="D38" s="185">
        <v>2039.8</v>
      </c>
      <c r="E38" s="44">
        <v>0.25</v>
      </c>
      <c r="F38" s="143">
        <f t="shared" si="0"/>
        <v>509.95</v>
      </c>
      <c r="G38" s="143">
        <f t="shared" si="1"/>
        <v>509.95</v>
      </c>
      <c r="H38" s="143">
        <f t="shared" si="2"/>
        <v>0</v>
      </c>
      <c r="I38" s="48">
        <v>5996404</v>
      </c>
      <c r="J38" s="160" t="s">
        <v>130</v>
      </c>
      <c r="K38" s="42" t="s">
        <v>110</v>
      </c>
      <c r="L38" s="42" t="s">
        <v>18</v>
      </c>
      <c r="M38" s="70">
        <v>98976878</v>
      </c>
      <c r="N38" s="70"/>
    </row>
    <row r="39" spans="1:16" s="154" customFormat="1" x14ac:dyDescent="0.25">
      <c r="A39" s="90">
        <v>36</v>
      </c>
      <c r="B39" s="105">
        <v>1381</v>
      </c>
      <c r="C39" s="151" t="s">
        <v>43</v>
      </c>
      <c r="D39" s="55">
        <v>633.79999999999995</v>
      </c>
      <c r="E39" s="56">
        <v>0.25</v>
      </c>
      <c r="F39" s="57">
        <f t="shared" si="0"/>
        <v>158.44999999999999</v>
      </c>
      <c r="G39" s="143">
        <f t="shared" si="1"/>
        <v>158.44999999999999</v>
      </c>
      <c r="H39" s="57">
        <f t="shared" si="2"/>
        <v>0</v>
      </c>
      <c r="I39" s="59">
        <v>19847623</v>
      </c>
      <c r="J39" s="168" t="s">
        <v>131</v>
      </c>
      <c r="K39" s="59" t="s">
        <v>89</v>
      </c>
      <c r="L39" s="169" t="s">
        <v>90</v>
      </c>
      <c r="M39" s="172">
        <v>92802427</v>
      </c>
      <c r="N39" s="172" t="s">
        <v>202</v>
      </c>
      <c r="P39" s="154" t="s">
        <v>203</v>
      </c>
    </row>
    <row r="40" spans="1:16" s="65" customFormat="1" x14ac:dyDescent="0.25">
      <c r="A40" s="85">
        <v>37</v>
      </c>
      <c r="B40" s="41">
        <v>1390</v>
      </c>
      <c r="C40" s="42" t="s">
        <v>44</v>
      </c>
      <c r="D40" s="185">
        <v>484.3</v>
      </c>
      <c r="E40" s="44">
        <v>0.25</v>
      </c>
      <c r="F40" s="143">
        <f t="shared" si="0"/>
        <v>121.075</v>
      </c>
      <c r="G40" s="143">
        <f t="shared" si="1"/>
        <v>121.075</v>
      </c>
      <c r="H40" s="143">
        <f t="shared" si="2"/>
        <v>0</v>
      </c>
      <c r="I40" s="46">
        <v>13826903</v>
      </c>
      <c r="J40" s="47" t="s">
        <v>132</v>
      </c>
      <c r="K40" s="46" t="s">
        <v>17</v>
      </c>
      <c r="L40" s="46" t="s">
        <v>18</v>
      </c>
      <c r="M40" s="51"/>
      <c r="N40" s="51"/>
    </row>
    <row r="41" spans="1:16" s="65" customFormat="1" x14ac:dyDescent="0.25">
      <c r="A41" s="85">
        <v>38</v>
      </c>
      <c r="B41" s="41">
        <v>1392</v>
      </c>
      <c r="C41" s="42" t="s">
        <v>73</v>
      </c>
      <c r="D41" s="185">
        <v>1549.2</v>
      </c>
      <c r="E41" s="44">
        <v>0.25</v>
      </c>
      <c r="F41" s="143">
        <f t="shared" si="0"/>
        <v>387.3</v>
      </c>
      <c r="G41" s="143">
        <f t="shared" si="1"/>
        <v>387.3</v>
      </c>
      <c r="H41" s="143">
        <f t="shared" si="2"/>
        <v>0</v>
      </c>
      <c r="I41" s="46">
        <v>1353348</v>
      </c>
      <c r="J41" s="47" t="s">
        <v>133</v>
      </c>
      <c r="K41" s="48" t="s">
        <v>94</v>
      </c>
      <c r="L41" s="49" t="s">
        <v>95</v>
      </c>
      <c r="M41" s="51"/>
      <c r="N41" s="51"/>
    </row>
    <row r="42" spans="1:16" s="65" customFormat="1" x14ac:dyDescent="0.25">
      <c r="A42" s="85">
        <v>39</v>
      </c>
      <c r="B42" s="61">
        <v>1393</v>
      </c>
      <c r="C42" s="52" t="s">
        <v>45</v>
      </c>
      <c r="D42" s="185">
        <v>628.29999999999995</v>
      </c>
      <c r="E42" s="44">
        <v>0.25</v>
      </c>
      <c r="F42" s="143">
        <f t="shared" si="0"/>
        <v>157.07499999999999</v>
      </c>
      <c r="G42" s="143">
        <f t="shared" si="1"/>
        <v>157.07499999999999</v>
      </c>
      <c r="H42" s="143">
        <f t="shared" si="2"/>
        <v>0</v>
      </c>
      <c r="I42" s="48">
        <v>1650389</v>
      </c>
      <c r="J42" s="160" t="s">
        <v>134</v>
      </c>
      <c r="K42" s="42" t="s">
        <v>17</v>
      </c>
      <c r="L42" s="42" t="s">
        <v>18</v>
      </c>
      <c r="M42" s="70">
        <v>94264109</v>
      </c>
      <c r="N42" s="70"/>
    </row>
    <row r="43" spans="1:16" s="65" customFormat="1" x14ac:dyDescent="0.25">
      <c r="A43" s="85">
        <v>40</v>
      </c>
      <c r="B43" s="61">
        <v>1500</v>
      </c>
      <c r="C43" s="52" t="s">
        <v>75</v>
      </c>
      <c r="D43" s="185">
        <v>234.3</v>
      </c>
      <c r="E43" s="44">
        <v>0.25</v>
      </c>
      <c r="F43" s="143">
        <f t="shared" si="0"/>
        <v>58.575000000000003</v>
      </c>
      <c r="G43" s="143">
        <f t="shared" si="1"/>
        <v>58.575000000000003</v>
      </c>
      <c r="H43" s="143">
        <f t="shared" si="2"/>
        <v>0</v>
      </c>
      <c r="I43" s="48">
        <v>19567469</v>
      </c>
      <c r="J43" s="47" t="s">
        <v>135</v>
      </c>
      <c r="K43" s="48" t="s">
        <v>94</v>
      </c>
      <c r="L43" s="161" t="s">
        <v>95</v>
      </c>
      <c r="M43" s="70">
        <v>92265154</v>
      </c>
      <c r="N43" s="70"/>
    </row>
    <row r="44" spans="1:16" s="65" customFormat="1" x14ac:dyDescent="0.25">
      <c r="A44" s="85">
        <v>41</v>
      </c>
      <c r="B44" s="61">
        <v>1501</v>
      </c>
      <c r="C44" s="202" t="s">
        <v>76</v>
      </c>
      <c r="D44" s="185">
        <v>382.3</v>
      </c>
      <c r="E44" s="44">
        <v>0.25</v>
      </c>
      <c r="F44" s="143">
        <f t="shared" si="0"/>
        <v>95.575000000000003</v>
      </c>
      <c r="G44" s="143">
        <f t="shared" si="1"/>
        <v>95.575000000000003</v>
      </c>
      <c r="H44" s="143">
        <f t="shared" si="2"/>
        <v>0</v>
      </c>
      <c r="I44" s="48">
        <v>25657583</v>
      </c>
      <c r="J44" s="47" t="s">
        <v>136</v>
      </c>
      <c r="K44" s="48" t="s">
        <v>17</v>
      </c>
      <c r="L44" s="161" t="s">
        <v>18</v>
      </c>
      <c r="M44" s="70"/>
      <c r="N44" s="70"/>
    </row>
    <row r="45" spans="1:16" s="65" customFormat="1" x14ac:dyDescent="0.25">
      <c r="A45" s="85">
        <v>42</v>
      </c>
      <c r="B45" s="61">
        <v>1503</v>
      </c>
      <c r="C45" s="89" t="s">
        <v>77</v>
      </c>
      <c r="D45" s="186">
        <v>650.9</v>
      </c>
      <c r="E45" s="44">
        <v>0.25</v>
      </c>
      <c r="F45" s="143">
        <f>SUM(D45*E45)</f>
        <v>162.72499999999999</v>
      </c>
      <c r="G45" s="143">
        <f t="shared" si="1"/>
        <v>162.72499999999999</v>
      </c>
      <c r="H45" s="143">
        <f t="shared" si="2"/>
        <v>0</v>
      </c>
      <c r="I45" s="48">
        <v>8930607</v>
      </c>
      <c r="J45" s="162" t="s">
        <v>137</v>
      </c>
      <c r="K45" s="48" t="s">
        <v>17</v>
      </c>
      <c r="L45" s="161" t="s">
        <v>18</v>
      </c>
      <c r="M45" s="70">
        <v>92621425</v>
      </c>
      <c r="N45" s="70"/>
      <c r="O45" s="7"/>
    </row>
    <row r="46" spans="1:16" s="65" customFormat="1" x14ac:dyDescent="0.25">
      <c r="A46" s="85">
        <v>43</v>
      </c>
      <c r="B46" s="61">
        <v>1504</v>
      </c>
      <c r="C46" s="71" t="s">
        <v>79</v>
      </c>
      <c r="D46" s="186">
        <v>780.5</v>
      </c>
      <c r="E46" s="44">
        <v>0.25</v>
      </c>
      <c r="F46" s="143">
        <f>SUM(D46*E46)</f>
        <v>195.125</v>
      </c>
      <c r="G46" s="143">
        <f t="shared" si="1"/>
        <v>195.125</v>
      </c>
      <c r="H46" s="143">
        <f t="shared" si="2"/>
        <v>0</v>
      </c>
      <c r="I46" s="48">
        <v>381215</v>
      </c>
      <c r="J46" s="47" t="s">
        <v>138</v>
      </c>
      <c r="K46" s="48" t="s">
        <v>17</v>
      </c>
      <c r="L46" s="161" t="s">
        <v>18</v>
      </c>
      <c r="M46" s="70">
        <v>95110746</v>
      </c>
      <c r="N46" s="70"/>
      <c r="O46" s="7"/>
    </row>
    <row r="47" spans="1:16" x14ac:dyDescent="0.25">
      <c r="A47" s="85">
        <v>44</v>
      </c>
      <c r="B47" s="61">
        <v>1505</v>
      </c>
      <c r="C47" s="71" t="s">
        <v>86</v>
      </c>
      <c r="D47" s="185">
        <v>611.9</v>
      </c>
      <c r="E47" s="44">
        <v>0.25</v>
      </c>
      <c r="F47" s="143">
        <f>SUM(D47*E47)</f>
        <v>152.97499999999999</v>
      </c>
      <c r="G47" s="143">
        <f t="shared" si="1"/>
        <v>152.97499999999999</v>
      </c>
      <c r="H47" s="143">
        <f t="shared" si="2"/>
        <v>0</v>
      </c>
      <c r="I47" s="48">
        <v>6668659</v>
      </c>
      <c r="J47" s="47" t="s">
        <v>139</v>
      </c>
      <c r="K47" s="48" t="s">
        <v>17</v>
      </c>
      <c r="L47" s="161" t="s">
        <v>18</v>
      </c>
      <c r="M47" s="70"/>
      <c r="N47" s="70"/>
    </row>
    <row r="48" spans="1:16" x14ac:dyDescent="0.25">
      <c r="A48" s="86"/>
      <c r="B48" s="86"/>
      <c r="C48" s="86"/>
      <c r="D48" s="185">
        <f>SUM(D4:D47)</f>
        <v>69881.3</v>
      </c>
      <c r="E48" s="44">
        <v>0.25</v>
      </c>
      <c r="F48" s="143">
        <f>SUM(F4:F47)</f>
        <v>17470.325000000001</v>
      </c>
      <c r="G48" s="143">
        <f t="shared" ref="G48:H48" si="3">SUM(G4:G47)</f>
        <v>17470.325000000001</v>
      </c>
      <c r="H48" s="143">
        <f t="shared" si="3"/>
        <v>0</v>
      </c>
      <c r="I48" s="86"/>
      <c r="J48" s="163"/>
      <c r="K48" s="164"/>
      <c r="L48" s="86"/>
      <c r="M48" s="79"/>
      <c r="N48" s="79"/>
    </row>
    <row r="50" spans="2:14" x14ac:dyDescent="0.25">
      <c r="J50" s="81" t="s">
        <v>23</v>
      </c>
    </row>
    <row r="51" spans="2:14" x14ac:dyDescent="0.25">
      <c r="B51" s="83"/>
      <c r="C51" s="83"/>
      <c r="D51" s="7"/>
      <c r="J51" s="7"/>
      <c r="K51" s="7"/>
      <c r="M51" s="7"/>
      <c r="N51" s="7"/>
    </row>
    <row r="52" spans="2:14" x14ac:dyDescent="0.25">
      <c r="B52" s="83"/>
      <c r="C52" s="83"/>
      <c r="D52" s="7"/>
      <c r="J52" s="7"/>
      <c r="K52" s="7"/>
      <c r="M52" s="7"/>
      <c r="N52" s="7"/>
    </row>
    <row r="53" spans="2:14" x14ac:dyDescent="0.25">
      <c r="B53" s="83"/>
      <c r="C53" s="83"/>
      <c r="D53" s="7"/>
      <c r="J53" s="7"/>
      <c r="K53" s="7"/>
      <c r="M53" s="7"/>
      <c r="N53" s="7"/>
    </row>
    <row r="54" spans="2:14" x14ac:dyDescent="0.25">
      <c r="B54" s="83"/>
      <c r="C54" s="83"/>
      <c r="D54" s="7"/>
      <c r="J54" s="7"/>
      <c r="K54" s="7"/>
      <c r="M54" s="7"/>
      <c r="N54" s="7"/>
    </row>
    <row r="55" spans="2:14" x14ac:dyDescent="0.25">
      <c r="B55" s="83"/>
      <c r="C55" s="83"/>
      <c r="D55" s="7"/>
      <c r="J55" s="7"/>
      <c r="K55" s="7"/>
      <c r="M55" s="7"/>
      <c r="N55" s="7"/>
    </row>
  </sheetData>
  <mergeCells count="15">
    <mergeCell ref="N2:N3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conditionalFormatting sqref="J36">
    <cfRule type="duplicateValues" dxfId="5" priority="1"/>
  </conditionalFormatting>
  <pageMargins left="0.7" right="0.7" top="0.75" bottom="0.75" header="0.3" footer="0.3"/>
  <pageSetup paperSize="8" scale="8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4443-3D63-443A-9A41-350712310A99}">
  <sheetPr codeName="Sheet1"/>
  <dimension ref="A6:O38"/>
  <sheetViews>
    <sheetView showGridLines="0" view="pageBreakPreview" topLeftCell="A9" zoomScaleNormal="100" zoomScaleSheetLayoutView="100" workbookViewId="0">
      <selection activeCell="F26" sqref="F26"/>
    </sheetView>
  </sheetViews>
  <sheetFormatPr defaultRowHeight="15" x14ac:dyDescent="0.25"/>
  <cols>
    <col min="1" max="1" width="24.5703125" customWidth="1"/>
    <col min="2" max="2" width="39.140625" customWidth="1"/>
    <col min="3" max="3" width="18.5703125" bestFit="1" customWidth="1"/>
    <col min="4" max="4" width="23.140625" bestFit="1" customWidth="1"/>
    <col min="5" max="5" width="26.42578125" bestFit="1" customWidth="1"/>
    <col min="6" max="6" width="16.7109375" bestFit="1" customWidth="1"/>
  </cols>
  <sheetData>
    <row r="6" spans="1:7" ht="18.75" x14ac:dyDescent="0.3">
      <c r="A6" s="251" t="s">
        <v>146</v>
      </c>
      <c r="B6" s="251"/>
      <c r="C6" s="251"/>
      <c r="D6" s="251"/>
      <c r="E6" s="251"/>
    </row>
    <row r="7" spans="1:7" ht="18.75" x14ac:dyDescent="0.3">
      <c r="A7" s="251" t="s">
        <v>147</v>
      </c>
      <c r="B7" s="251"/>
      <c r="C7" s="251"/>
      <c r="D7" s="251"/>
      <c r="E7" s="251"/>
    </row>
    <row r="8" spans="1:7" ht="18.75" x14ac:dyDescent="0.3">
      <c r="A8" s="251" t="s">
        <v>148</v>
      </c>
      <c r="B8" s="251"/>
      <c r="C8" s="251"/>
      <c r="D8" s="251"/>
      <c r="E8" s="251"/>
    </row>
    <row r="9" spans="1:7" ht="18.75" x14ac:dyDescent="0.3">
      <c r="A9" s="251" t="s">
        <v>149</v>
      </c>
      <c r="B9" s="251"/>
      <c r="C9" s="251"/>
      <c r="D9" s="251"/>
      <c r="E9" s="251"/>
    </row>
    <row r="10" spans="1:7" ht="18.75" x14ac:dyDescent="0.3">
      <c r="A10" s="251" t="s">
        <v>150</v>
      </c>
      <c r="B10" s="251"/>
      <c r="C10" s="251"/>
      <c r="D10" s="251"/>
      <c r="E10" s="251"/>
    </row>
    <row r="11" spans="1:7" ht="18.75" x14ac:dyDescent="0.3">
      <c r="A11" s="9"/>
      <c r="B11" s="9"/>
      <c r="C11" s="9"/>
      <c r="D11" s="9"/>
      <c r="E11" s="9"/>
    </row>
    <row r="12" spans="1:7" ht="18.75" x14ac:dyDescent="0.3">
      <c r="A12" s="251" t="s">
        <v>151</v>
      </c>
      <c r="B12" s="251"/>
      <c r="C12" s="251"/>
      <c r="D12" s="251"/>
      <c r="E12" s="251"/>
    </row>
    <row r="13" spans="1:7" x14ac:dyDescent="0.25">
      <c r="A13" s="3"/>
      <c r="B13" s="3"/>
      <c r="C13" s="3"/>
      <c r="D13" s="3"/>
      <c r="E13" s="3"/>
    </row>
    <row r="14" spans="1:7" ht="18.75" x14ac:dyDescent="0.3">
      <c r="A14" s="10" t="s">
        <v>3</v>
      </c>
      <c r="B14" s="254" t="str">
        <f>IFERROR(VLOOKUP(B15,#REF!, 2, FALSE), "")</f>
        <v/>
      </c>
      <c r="C14" s="254"/>
      <c r="D14" s="11" t="s">
        <v>152</v>
      </c>
      <c r="E14" s="96"/>
      <c r="G14" s="93"/>
    </row>
    <row r="15" spans="1:7" ht="18.75" x14ac:dyDescent="0.3">
      <c r="A15" s="10" t="s">
        <v>2</v>
      </c>
      <c r="B15" s="95">
        <v>1343</v>
      </c>
      <c r="C15" s="7"/>
      <c r="D15" s="11" t="s">
        <v>153</v>
      </c>
      <c r="E15" s="97">
        <f ca="1">TODAY()</f>
        <v>46033</v>
      </c>
      <c r="G15" s="93"/>
    </row>
    <row r="16" spans="1:7" ht="18.75" x14ac:dyDescent="0.3">
      <c r="A16" s="10" t="s">
        <v>154</v>
      </c>
      <c r="B16" s="14" t="str">
        <f>IFERROR(VLOOKUP(B15,#REF!, 8, FALSE), "")</f>
        <v/>
      </c>
      <c r="C16" s="7"/>
      <c r="D16" s="7"/>
      <c r="E16" s="7"/>
      <c r="G16" s="93"/>
    </row>
    <row r="17" spans="1:15" ht="18.75" x14ac:dyDescent="0.3">
      <c r="A17" s="7"/>
      <c r="B17" s="7"/>
      <c r="C17" s="7"/>
      <c r="D17" s="7"/>
      <c r="E17" s="7"/>
      <c r="G17" s="93"/>
    </row>
    <row r="18" spans="1:15" ht="28.15" customHeight="1" x14ac:dyDescent="0.3">
      <c r="A18" s="16" t="s">
        <v>155</v>
      </c>
      <c r="B18" s="15" t="s">
        <v>156</v>
      </c>
      <c r="C18" s="15" t="s">
        <v>157</v>
      </c>
      <c r="D18" s="15" t="s">
        <v>158</v>
      </c>
      <c r="E18" s="144" t="s">
        <v>159</v>
      </c>
      <c r="G18" s="93"/>
    </row>
    <row r="19" spans="1:15" ht="37.5" x14ac:dyDescent="0.3">
      <c r="A19" s="5" t="s">
        <v>160</v>
      </c>
      <c r="B19" s="17">
        <v>50</v>
      </c>
      <c r="C19" s="18">
        <v>6.25</v>
      </c>
      <c r="D19" s="94">
        <v>0</v>
      </c>
      <c r="E19" s="18">
        <f>C19*D19</f>
        <v>0</v>
      </c>
      <c r="F19" s="13" t="str">
        <f>IFERROR(VLOOKUP(B15,#REF!,7,FALSE),"")</f>
        <v/>
      </c>
      <c r="G19" s="93">
        <v>1</v>
      </c>
      <c r="H19" t="str">
        <f>IFERROR(VLOOKUP(B15,#REF!,3,FALSE),"")</f>
        <v/>
      </c>
      <c r="K19" t="s">
        <v>161</v>
      </c>
    </row>
    <row r="20" spans="1:15" ht="37.5" x14ac:dyDescent="0.3">
      <c r="A20" s="5" t="s">
        <v>160</v>
      </c>
      <c r="B20" s="17">
        <v>40</v>
      </c>
      <c r="C20" s="18">
        <v>4.8499999999999996</v>
      </c>
      <c r="D20" s="94">
        <v>0</v>
      </c>
      <c r="E20" s="18">
        <f>C20*D20</f>
        <v>0</v>
      </c>
      <c r="F20" s="13" t="str">
        <f>IFERROR(VLOOKUP(B15,#REF!,7,FALSE),"")</f>
        <v/>
      </c>
      <c r="G20" s="189">
        <v>2</v>
      </c>
      <c r="H20" t="str">
        <f>IFERROR(VLOOKUP(B15,#REF!,3,FALSE),"")</f>
        <v/>
      </c>
    </row>
    <row r="21" spans="1:15" ht="37.5" x14ac:dyDescent="0.3">
      <c r="A21" s="5" t="s">
        <v>162</v>
      </c>
      <c r="B21" s="17">
        <v>40</v>
      </c>
      <c r="C21" s="18">
        <v>4.75</v>
      </c>
      <c r="D21" s="94">
        <v>0</v>
      </c>
      <c r="E21" s="18">
        <f>C21*D21</f>
        <v>0</v>
      </c>
      <c r="F21" s="13" t="str">
        <f>IFERROR(VLOOKUP(B15,#REF!,7,FALSE),"")</f>
        <v/>
      </c>
      <c r="G21" s="189">
        <v>3</v>
      </c>
      <c r="H21" t="str">
        <f>IFERROR(VLOOKUP(B15,#REF!,3,FALSE),"")</f>
        <v/>
      </c>
    </row>
    <row r="22" spans="1:15" ht="37.5" x14ac:dyDescent="0.3">
      <c r="A22" s="5" t="s">
        <v>163</v>
      </c>
      <c r="B22" s="17">
        <v>50</v>
      </c>
      <c r="C22" s="18">
        <v>6.85</v>
      </c>
      <c r="D22" s="94">
        <v>0</v>
      </c>
      <c r="E22" s="18">
        <f t="shared" ref="E22" si="0">C22*D22</f>
        <v>0</v>
      </c>
      <c r="F22" s="13" t="str">
        <f>IFERROR(VLOOKUP(B15,#REF!, 7,FALSE),"")</f>
        <v/>
      </c>
      <c r="G22" s="189">
        <v>4</v>
      </c>
      <c r="H22" t="str">
        <f>IFERROR(VLOOKUP(B15,#REF!, 3,FALSE),"")</f>
        <v/>
      </c>
    </row>
    <row r="23" spans="1:15" ht="37.5" x14ac:dyDescent="0.3">
      <c r="A23" s="5" t="s">
        <v>165</v>
      </c>
      <c r="B23" s="17">
        <v>40</v>
      </c>
      <c r="C23" s="18">
        <v>5.35</v>
      </c>
      <c r="D23" s="94">
        <v>0</v>
      </c>
      <c r="E23" s="18">
        <f>C23*D23</f>
        <v>0</v>
      </c>
      <c r="G23" t="s">
        <v>23</v>
      </c>
      <c r="O23" t="s">
        <v>166</v>
      </c>
    </row>
    <row r="24" spans="1:15" ht="37.5" x14ac:dyDescent="0.3">
      <c r="A24" s="5" t="s">
        <v>167</v>
      </c>
      <c r="B24" s="17">
        <v>45</v>
      </c>
      <c r="C24" s="18">
        <v>4.1500000000000004</v>
      </c>
      <c r="D24" s="94">
        <v>0</v>
      </c>
      <c r="E24" s="18">
        <f t="shared" ref="E24" si="1">C24*D24</f>
        <v>0</v>
      </c>
      <c r="F24" s="13">
        <f>SUM(F16:F23)</f>
        <v>0</v>
      </c>
      <c r="G24" s="165" t="s">
        <v>164</v>
      </c>
    </row>
    <row r="25" spans="1:15" ht="56.25" x14ac:dyDescent="0.3">
      <c r="A25" s="5" t="s">
        <v>168</v>
      </c>
      <c r="B25" s="17">
        <v>50</v>
      </c>
      <c r="C25" s="18">
        <v>7.25</v>
      </c>
      <c r="D25" s="94">
        <v>0</v>
      </c>
      <c r="E25" s="18">
        <f>C25*D25</f>
        <v>0</v>
      </c>
      <c r="F25" s="99">
        <v>3</v>
      </c>
      <c r="G25" s="98" t="s">
        <v>169</v>
      </c>
    </row>
    <row r="26" spans="1:15" ht="33" customHeight="1" x14ac:dyDescent="0.35">
      <c r="A26" s="31" t="s">
        <v>170</v>
      </c>
      <c r="B26" s="32"/>
      <c r="C26" s="32"/>
      <c r="D26" s="33">
        <v>0</v>
      </c>
      <c r="E26" s="29">
        <f>SUM(E19:E25)</f>
        <v>0</v>
      </c>
      <c r="F26" s="216" t="e">
        <f>IF(TRIM(F25)="1",
VLOOKUP(B15,#REF!,7,FALSE)-E26,
IF(TRIM(F25)="2",
VLOOKUP(B15,#REF!,7,FALSE)-E26,
IF(TRIM(F25)="1,2",
VLOOKUP(B15,#REF!,7,FALSE)+VLOOKUP(B15,#REF!,7,FALSE)-E26,
IF(TRIM(F25)="1,2,3",
VLOOKUP(B15,#REF!,7,FALSE)+VLOOKUP(B15,#REF!,7,FALSE)+VLOOKUP(B15,#REF!,7,FALSE)-E26,
IF(TRIM(F25)="2,3",
VLOOKUP(B15,#REF!,7,FALSE)+VLOOKUP(B15,#REF!,7,FALSE)-E26,
IF(TRIM(F25)="3",
VLOOKUP(B15,#REF!,7,FALSE)-E26,
""))))))</f>
        <v>#REF!</v>
      </c>
      <c r="H26" s="30"/>
      <c r="I26" s="30"/>
    </row>
    <row r="27" spans="1:15" ht="15.75" x14ac:dyDescent="0.25">
      <c r="F27" s="212"/>
    </row>
    <row r="28" spans="1:15" ht="15.75" x14ac:dyDescent="0.25">
      <c r="F28" s="212"/>
      <c r="H28" s="30"/>
    </row>
    <row r="29" spans="1:15" ht="18.75" x14ac:dyDescent="0.3">
      <c r="D29" s="9"/>
      <c r="E29" s="9"/>
      <c r="F29" s="212"/>
      <c r="H29" s="30"/>
      <c r="I29" s="30"/>
    </row>
    <row r="30" spans="1:15" ht="21" x14ac:dyDescent="0.3">
      <c r="A30" s="12"/>
      <c r="B30" s="9"/>
      <c r="C30" s="9"/>
      <c r="D30" s="253"/>
      <c r="E30" s="253"/>
      <c r="F30" s="212"/>
    </row>
    <row r="31" spans="1:15" ht="21" x14ac:dyDescent="0.3">
      <c r="A31" s="13" t="s">
        <v>171</v>
      </c>
      <c r="B31" s="9"/>
      <c r="C31" s="9"/>
      <c r="D31" s="9"/>
      <c r="E31" s="9"/>
      <c r="F31" s="212"/>
    </row>
    <row r="32" spans="1:15" ht="18.75" x14ac:dyDescent="0.3">
      <c r="A32" s="9"/>
      <c r="B32" s="9"/>
      <c r="C32" s="9"/>
      <c r="D32" s="251"/>
      <c r="E32" s="251"/>
      <c r="F32" s="212"/>
    </row>
    <row r="33" spans="1:5" ht="18.75" x14ac:dyDescent="0.3">
      <c r="A33" s="8" t="s">
        <v>172</v>
      </c>
      <c r="B33" s="9"/>
      <c r="C33" s="9"/>
      <c r="D33" s="9"/>
      <c r="E33" s="9"/>
    </row>
    <row r="34" spans="1:5" ht="18.75" x14ac:dyDescent="0.3">
      <c r="A34" s="9"/>
      <c r="B34" s="9"/>
      <c r="C34" s="9"/>
    </row>
    <row r="35" spans="1:5" x14ac:dyDescent="0.25">
      <c r="A35" s="4" t="s">
        <v>23</v>
      </c>
    </row>
    <row r="36" spans="1:5" ht="18.75" x14ac:dyDescent="0.3">
      <c r="D36" s="8"/>
      <c r="E36" s="8"/>
    </row>
    <row r="37" spans="1:5" ht="18.75" x14ac:dyDescent="0.3">
      <c r="A37" s="251" t="s">
        <v>173</v>
      </c>
      <c r="B37" s="251"/>
      <c r="C37" s="251"/>
      <c r="D37" s="251"/>
      <c r="E37" s="251"/>
    </row>
    <row r="38" spans="1:5" ht="15.75" x14ac:dyDescent="0.25">
      <c r="A38" s="252" t="s">
        <v>174</v>
      </c>
      <c r="B38" s="252"/>
      <c r="C38" s="252"/>
      <c r="D38" s="252"/>
      <c r="E38" s="252"/>
    </row>
  </sheetData>
  <mergeCells count="11">
    <mergeCell ref="A37:E37"/>
    <mergeCell ref="A38:E38"/>
    <mergeCell ref="D32:E32"/>
    <mergeCell ref="A6:E6"/>
    <mergeCell ref="A8:E8"/>
    <mergeCell ref="A10:E10"/>
    <mergeCell ref="A12:E12"/>
    <mergeCell ref="A9:E9"/>
    <mergeCell ref="A7:E7"/>
    <mergeCell ref="D30:E30"/>
    <mergeCell ref="B14:C14"/>
  </mergeCells>
  <pageMargins left="0.7" right="0.7" top="0.75" bottom="0.75" header="0.3" footer="0.3"/>
  <pageSetup scale="6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A542-3F4E-4F15-BA9B-EAD5F43167DA}">
  <sheetPr codeName="Sheet2"/>
  <dimension ref="A1:G41"/>
  <sheetViews>
    <sheetView showGridLines="0" view="pageBreakPreview" zoomScale="112" zoomScaleNormal="100" zoomScaleSheetLayoutView="112" workbookViewId="0">
      <selection activeCell="F26" sqref="F26"/>
    </sheetView>
  </sheetViews>
  <sheetFormatPr defaultRowHeight="15" x14ac:dyDescent="0.25"/>
  <cols>
    <col min="1" max="1" width="16.140625" customWidth="1"/>
    <col min="2" max="2" width="32" customWidth="1"/>
    <col min="3" max="3" width="38.42578125" customWidth="1"/>
    <col min="4" max="4" width="24.42578125" bestFit="1" customWidth="1"/>
  </cols>
  <sheetData>
    <row r="1" spans="1:4" x14ac:dyDescent="0.25">
      <c r="D1" t="s">
        <v>23</v>
      </c>
    </row>
    <row r="6" spans="1:4" ht="18.75" x14ac:dyDescent="0.3">
      <c r="A6" s="251" t="s">
        <v>146</v>
      </c>
      <c r="B6" s="251"/>
      <c r="C6" s="251"/>
      <c r="D6" s="251"/>
    </row>
    <row r="7" spans="1:4" ht="18.75" x14ac:dyDescent="0.3">
      <c r="A7" s="251" t="s">
        <v>147</v>
      </c>
      <c r="B7" s="251"/>
      <c r="C7" s="251"/>
      <c r="D7" s="251"/>
    </row>
    <row r="8" spans="1:4" ht="18.75" x14ac:dyDescent="0.3">
      <c r="A8" s="251" t="s">
        <v>148</v>
      </c>
      <c r="B8" s="251"/>
      <c r="C8" s="251"/>
      <c r="D8" s="251"/>
    </row>
    <row r="9" spans="1:4" ht="18.75" x14ac:dyDescent="0.3">
      <c r="A9" s="251" t="s">
        <v>149</v>
      </c>
      <c r="B9" s="251"/>
      <c r="C9" s="251"/>
      <c r="D9" s="251"/>
    </row>
    <row r="10" spans="1:4" ht="18.75" x14ac:dyDescent="0.3">
      <c r="A10" s="251" t="s">
        <v>150</v>
      </c>
      <c r="B10" s="251"/>
      <c r="C10" s="251"/>
      <c r="D10" s="251"/>
    </row>
    <row r="11" spans="1:4" ht="18.75" x14ac:dyDescent="0.3">
      <c r="A11" s="9"/>
      <c r="B11" s="9"/>
      <c r="C11" s="9"/>
      <c r="D11" s="9"/>
    </row>
    <row r="12" spans="1:4" ht="21" x14ac:dyDescent="0.45">
      <c r="A12" s="256" t="s">
        <v>151</v>
      </c>
      <c r="B12" s="251"/>
      <c r="C12" s="251"/>
      <c r="D12" s="251"/>
    </row>
    <row r="13" spans="1:4" x14ac:dyDescent="0.25">
      <c r="A13" s="3"/>
      <c r="B13" s="3"/>
      <c r="C13" s="3"/>
      <c r="D13" s="3"/>
    </row>
    <row r="14" spans="1:4" ht="18.75" x14ac:dyDescent="0.3">
      <c r="A14" s="10" t="s">
        <v>3</v>
      </c>
      <c r="B14" s="104" t="str">
        <f>IFERROR(VLOOKUP(B15,'Center-Nov'!B4:J47, 2, FALSE), "")</f>
        <v>Masoud Mahad Masoud Baitsaid</v>
      </c>
      <c r="C14" s="35" t="s">
        <v>152</v>
      </c>
      <c r="D14" s="36"/>
    </row>
    <row r="15" spans="1:4" ht="18.75" x14ac:dyDescent="0.3">
      <c r="A15" s="10" t="s">
        <v>2</v>
      </c>
      <c r="B15" s="14">
        <v>1343</v>
      </c>
      <c r="C15" s="26" t="s">
        <v>175</v>
      </c>
      <c r="D15" s="37">
        <f ca="1">TODAY()</f>
        <v>46033</v>
      </c>
    </row>
    <row r="16" spans="1:4" ht="18.75" x14ac:dyDescent="0.3">
      <c r="A16" s="10" t="s">
        <v>154</v>
      </c>
      <c r="B16" s="14">
        <f>IFERROR(VLOOKUP(B15,'Center-Nov'!B4:I47, 6, FALSE),"")</f>
        <v>277.92500000000001</v>
      </c>
      <c r="C16" s="7"/>
    </row>
    <row r="17" spans="1:7" ht="15.75" x14ac:dyDescent="0.25">
      <c r="A17" s="7"/>
      <c r="B17" s="7"/>
      <c r="C17" s="7"/>
    </row>
    <row r="18" spans="1:7" ht="22.5" x14ac:dyDescent="0.25">
      <c r="A18" s="16" t="s">
        <v>176</v>
      </c>
      <c r="B18" s="16" t="s">
        <v>155</v>
      </c>
      <c r="C18" s="15" t="s">
        <v>156</v>
      </c>
      <c r="D18" s="15" t="s">
        <v>158</v>
      </c>
    </row>
    <row r="19" spans="1:7" ht="37.5" x14ac:dyDescent="0.3">
      <c r="A19" s="25">
        <v>1</v>
      </c>
      <c r="B19" s="5" t="s">
        <v>160</v>
      </c>
      <c r="C19" s="17">
        <v>50</v>
      </c>
      <c r="D19" s="21">
        <f>'Purcahse Request'!D19</f>
        <v>0</v>
      </c>
      <c r="G19" s="23"/>
    </row>
    <row r="20" spans="1:7" ht="37.5" x14ac:dyDescent="0.3">
      <c r="A20" s="25">
        <v>2</v>
      </c>
      <c r="B20" s="5" t="s">
        <v>160</v>
      </c>
      <c r="C20" s="17">
        <v>40</v>
      </c>
      <c r="D20" s="21">
        <f>'Purcahse Request'!D20</f>
        <v>0</v>
      </c>
    </row>
    <row r="21" spans="1:7" ht="37.5" x14ac:dyDescent="0.3">
      <c r="A21" s="25">
        <v>3</v>
      </c>
      <c r="B21" s="5" t="s">
        <v>162</v>
      </c>
      <c r="C21" s="17">
        <v>40</v>
      </c>
      <c r="D21" s="21">
        <f>'Purcahse Request'!D21</f>
        <v>0</v>
      </c>
    </row>
    <row r="22" spans="1:7" ht="37.5" x14ac:dyDescent="0.3">
      <c r="A22" s="25">
        <v>4</v>
      </c>
      <c r="B22" s="5" t="s">
        <v>163</v>
      </c>
      <c r="C22" s="17">
        <v>50</v>
      </c>
      <c r="D22" s="21">
        <f>'Purcahse Request'!D22</f>
        <v>0</v>
      </c>
    </row>
    <row r="23" spans="1:7" ht="37.5" x14ac:dyDescent="0.3">
      <c r="A23" s="25">
        <v>5</v>
      </c>
      <c r="B23" s="5" t="s">
        <v>165</v>
      </c>
      <c r="C23" s="17">
        <v>40</v>
      </c>
      <c r="D23" s="21">
        <f>'Purcahse Request'!D23</f>
        <v>0</v>
      </c>
    </row>
    <row r="24" spans="1:7" ht="48" customHeight="1" x14ac:dyDescent="0.3">
      <c r="A24" s="25">
        <v>6</v>
      </c>
      <c r="B24" s="5" t="s">
        <v>167</v>
      </c>
      <c r="C24" s="17">
        <v>45</v>
      </c>
      <c r="D24" s="21">
        <f>'Purcahse Request'!D24</f>
        <v>0</v>
      </c>
      <c r="G24" s="34"/>
    </row>
    <row r="25" spans="1:7" ht="37.5" x14ac:dyDescent="0.3">
      <c r="A25" s="25">
        <v>7</v>
      </c>
      <c r="B25" s="5" t="s">
        <v>168</v>
      </c>
      <c r="C25" s="17">
        <v>50</v>
      </c>
      <c r="D25" s="21">
        <f>'Purcahse Request'!D25</f>
        <v>0</v>
      </c>
    </row>
    <row r="27" spans="1:7" ht="18.75" x14ac:dyDescent="0.3">
      <c r="A27" s="24" t="s">
        <v>177</v>
      </c>
      <c r="B27" s="22"/>
      <c r="C27" s="22"/>
      <c r="D27" s="22" t="s">
        <v>178</v>
      </c>
    </row>
    <row r="28" spans="1:7" ht="33.75" customHeight="1" x14ac:dyDescent="0.25">
      <c r="A28" s="257" t="s">
        <v>179</v>
      </c>
      <c r="B28" s="257"/>
      <c r="C28" s="258" t="s">
        <v>180</v>
      </c>
      <c r="D28" s="258"/>
    </row>
    <row r="29" spans="1:7" ht="36" customHeight="1" x14ac:dyDescent="0.25">
      <c r="A29" s="259" t="s">
        <v>181</v>
      </c>
      <c r="B29" s="259"/>
      <c r="C29" s="260" t="s">
        <v>182</v>
      </c>
      <c r="D29" s="260"/>
    </row>
    <row r="30" spans="1:7" ht="20.25" x14ac:dyDescent="0.3">
      <c r="A30" s="255"/>
      <c r="B30" s="255"/>
      <c r="C30" s="255"/>
      <c r="D30" s="255"/>
    </row>
    <row r="31" spans="1:7" ht="18.75" x14ac:dyDescent="0.3">
      <c r="A31" s="24"/>
      <c r="B31" s="22"/>
      <c r="C31" s="22"/>
      <c r="D31" s="22"/>
    </row>
    <row r="37" spans="1:4" x14ac:dyDescent="0.25">
      <c r="A37" s="19"/>
    </row>
    <row r="38" spans="1:4" ht="18.75" x14ac:dyDescent="0.25">
      <c r="A38" s="20" t="s">
        <v>183</v>
      </c>
    </row>
    <row r="39" spans="1:4" ht="18.75" x14ac:dyDescent="0.25">
      <c r="A39" s="27" t="s">
        <v>184</v>
      </c>
      <c r="C39" s="28" t="s">
        <v>23</v>
      </c>
      <c r="D39" t="s">
        <v>23</v>
      </c>
    </row>
    <row r="41" spans="1:4" x14ac:dyDescent="0.25">
      <c r="D41" t="s">
        <v>23</v>
      </c>
    </row>
  </sheetData>
  <mergeCells count="11">
    <mergeCell ref="A30:D30"/>
    <mergeCell ref="A6:D6"/>
    <mergeCell ref="A7:D7"/>
    <mergeCell ref="A8:D8"/>
    <mergeCell ref="A9:D9"/>
    <mergeCell ref="A10:D10"/>
    <mergeCell ref="A12:D12"/>
    <mergeCell ref="A28:B28"/>
    <mergeCell ref="C28:D28"/>
    <mergeCell ref="A29:B29"/>
    <mergeCell ref="C29:D29"/>
  </mergeCells>
  <pageMargins left="0.7" right="0.7" top="0.75" bottom="0.75" header="0.3" footer="0.3"/>
  <pageSetup paperSize="9" scale="7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563F-4BA3-4596-A156-A5FF210EF9DC}">
  <dimension ref="A1:X55"/>
  <sheetViews>
    <sheetView view="pageBreakPreview" zoomScale="84" zoomScaleNormal="100" zoomScaleSheetLayoutView="84" workbookViewId="0">
      <pane xSplit="2" ySplit="3" topLeftCell="C4" activePane="bottomRight" state="frozen"/>
      <selection pane="topRight" activeCell="D1" sqref="D1"/>
      <selection pane="bottomLeft" activeCell="A4" sqref="A4"/>
      <selection pane="bottomRight" sqref="A1:A1048576"/>
    </sheetView>
  </sheetViews>
  <sheetFormatPr defaultColWidth="9" defaultRowHeight="15.75" x14ac:dyDescent="0.25"/>
  <cols>
    <col min="1" max="1" width="92.5703125" style="7" bestFit="1" customWidth="1"/>
    <col min="2" max="2" width="41.5703125" style="7" customWidth="1"/>
    <col min="3" max="3" width="13.42578125" style="80" customWidth="1"/>
    <col min="4" max="4" width="16.5703125" style="7" customWidth="1"/>
    <col min="5" max="7" width="17.42578125" style="7" customWidth="1"/>
    <col min="8" max="8" width="12.140625" style="7" customWidth="1"/>
    <col min="9" max="9" width="24.42578125" style="81" customWidth="1"/>
    <col min="10" max="10" width="19.140625" style="82" customWidth="1"/>
    <col min="11" max="11" width="15.140625" style="7" customWidth="1"/>
    <col min="12" max="12" width="11.140625" style="83" customWidth="1"/>
    <col min="13" max="13" width="14.5703125" style="83" customWidth="1"/>
    <col min="14" max="14" width="16.42578125" style="7" customWidth="1"/>
    <col min="15" max="16" width="10.140625" style="7" customWidth="1"/>
    <col min="17" max="17" width="42.28515625" style="7" bestFit="1" customWidth="1"/>
    <col min="18" max="18" width="12.42578125" style="7" customWidth="1"/>
    <col min="19" max="19" width="10.5703125" style="7" bestFit="1" customWidth="1"/>
    <col min="20" max="20" width="10.5703125" style="7" customWidth="1"/>
    <col min="21" max="21" width="20.140625" style="7" bestFit="1" customWidth="1"/>
    <col min="22" max="22" width="20.140625" style="7" customWidth="1"/>
    <col min="23" max="23" width="17.140625" style="7" bestFit="1" customWidth="1"/>
    <col min="24" max="16384" width="9" style="7"/>
  </cols>
  <sheetData>
    <row r="1" spans="1:14" x14ac:dyDescent="0.25">
      <c r="A1" s="233" t="s">
        <v>208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39"/>
    </row>
    <row r="2" spans="1:14" ht="15.75" customHeight="1" x14ac:dyDescent="0.25">
      <c r="A2" s="247" t="s">
        <v>2</v>
      </c>
      <c r="B2" s="247" t="s">
        <v>3</v>
      </c>
      <c r="C2" s="250" t="s">
        <v>4</v>
      </c>
      <c r="D2" s="247" t="s">
        <v>5</v>
      </c>
      <c r="E2" s="250" t="s">
        <v>6</v>
      </c>
      <c r="F2" s="250" t="s">
        <v>7</v>
      </c>
      <c r="G2" s="250" t="s">
        <v>8</v>
      </c>
      <c r="H2" s="247" t="s">
        <v>9</v>
      </c>
      <c r="I2" s="247" t="s">
        <v>10</v>
      </c>
      <c r="J2" s="249" t="s">
        <v>11</v>
      </c>
      <c r="K2" s="247" t="s">
        <v>12</v>
      </c>
      <c r="L2" s="245" t="s">
        <v>13</v>
      </c>
      <c r="M2" s="245" t="s">
        <v>14</v>
      </c>
    </row>
    <row r="3" spans="1:14" x14ac:dyDescent="0.25">
      <c r="A3" s="247"/>
      <c r="B3" s="247"/>
      <c r="C3" s="250"/>
      <c r="D3" s="247"/>
      <c r="E3" s="250"/>
      <c r="F3" s="250"/>
      <c r="G3" s="250"/>
      <c r="H3" s="247"/>
      <c r="I3" s="247"/>
      <c r="J3" s="249"/>
      <c r="K3" s="247"/>
      <c r="L3" s="245"/>
      <c r="M3" s="245"/>
    </row>
    <row r="4" spans="1:14" x14ac:dyDescent="0.25">
      <c r="A4" s="41">
        <v>1010</v>
      </c>
      <c r="B4" s="42" t="s">
        <v>47</v>
      </c>
      <c r="C4" s="188">
        <v>2130.5</v>
      </c>
      <c r="D4" s="44">
        <v>0.25</v>
      </c>
      <c r="E4" s="143">
        <f t="shared" ref="E4:E44" si="0">SUM(C4*D4)</f>
        <v>532.625</v>
      </c>
      <c r="F4" s="143">
        <f>495.145+37.48</f>
        <v>532.625</v>
      </c>
      <c r="G4" s="143">
        <f>E4-F4</f>
        <v>0</v>
      </c>
      <c r="H4" s="46">
        <v>315313</v>
      </c>
      <c r="I4" s="47" t="s">
        <v>88</v>
      </c>
      <c r="J4" s="48" t="s">
        <v>89</v>
      </c>
      <c r="K4" s="49" t="s">
        <v>90</v>
      </c>
      <c r="L4" s="51">
        <v>92600441</v>
      </c>
      <c r="M4" s="211" t="s">
        <v>213</v>
      </c>
    </row>
    <row r="5" spans="1:14" x14ac:dyDescent="0.25">
      <c r="A5" s="41">
        <v>1038</v>
      </c>
      <c r="B5" s="42" t="s">
        <v>48</v>
      </c>
      <c r="C5" s="188">
        <v>2037.8</v>
      </c>
      <c r="D5" s="44">
        <v>0.25</v>
      </c>
      <c r="E5" s="143">
        <f t="shared" si="0"/>
        <v>509.45</v>
      </c>
      <c r="F5" s="143"/>
      <c r="G5" s="143">
        <f t="shared" ref="G5:G47" si="1">E5-F5</f>
        <v>509.45</v>
      </c>
      <c r="H5" s="46">
        <v>5247837</v>
      </c>
      <c r="I5" s="47" t="s">
        <v>91</v>
      </c>
      <c r="J5" s="48" t="s">
        <v>17</v>
      </c>
      <c r="K5" s="49" t="s">
        <v>18</v>
      </c>
      <c r="L5" s="51">
        <v>99441537</v>
      </c>
      <c r="M5" s="51"/>
    </row>
    <row r="6" spans="1:14" x14ac:dyDescent="0.25">
      <c r="A6" s="41">
        <v>1065</v>
      </c>
      <c r="B6" s="42" t="s">
        <v>49</v>
      </c>
      <c r="C6" s="188">
        <v>620</v>
      </c>
      <c r="D6" s="44">
        <v>0.25</v>
      </c>
      <c r="E6" s="143">
        <f t="shared" si="0"/>
        <v>155</v>
      </c>
      <c r="F6" s="143">
        <f>E6</f>
        <v>155</v>
      </c>
      <c r="G6" s="143">
        <f t="shared" si="1"/>
        <v>0</v>
      </c>
      <c r="H6" s="46">
        <v>1276058</v>
      </c>
      <c r="I6" s="52" t="s">
        <v>92</v>
      </c>
      <c r="J6" s="48" t="s">
        <v>17</v>
      </c>
      <c r="K6" s="49" t="s">
        <v>18</v>
      </c>
      <c r="L6" s="51">
        <v>99498549</v>
      </c>
      <c r="M6" s="145" t="s">
        <v>212</v>
      </c>
    </row>
    <row r="7" spans="1:14" s="211" customFormat="1" x14ac:dyDescent="0.25">
      <c r="A7" s="118">
        <v>1071</v>
      </c>
      <c r="B7" s="119" t="s">
        <v>31</v>
      </c>
      <c r="C7" s="120">
        <v>620</v>
      </c>
      <c r="D7" s="121">
        <v>0.25</v>
      </c>
      <c r="E7" s="122">
        <f t="shared" si="0"/>
        <v>155</v>
      </c>
      <c r="F7" s="122">
        <f>154.04+0.96</f>
        <v>155</v>
      </c>
      <c r="G7" s="122">
        <f t="shared" si="1"/>
        <v>0</v>
      </c>
      <c r="H7" s="123">
        <v>390741</v>
      </c>
      <c r="I7" s="173" t="s">
        <v>93</v>
      </c>
      <c r="J7" s="174" t="s">
        <v>94</v>
      </c>
      <c r="K7" s="175" t="s">
        <v>95</v>
      </c>
      <c r="L7" s="145">
        <v>99589144</v>
      </c>
      <c r="M7" s="145" t="s">
        <v>211</v>
      </c>
      <c r="N7" s="124">
        <v>45972</v>
      </c>
    </row>
    <row r="8" spans="1:14" s="211" customFormat="1" x14ac:dyDescent="0.25">
      <c r="A8" s="118">
        <v>1086</v>
      </c>
      <c r="B8" s="119" t="s">
        <v>27</v>
      </c>
      <c r="C8" s="120">
        <v>1240</v>
      </c>
      <c r="D8" s="121">
        <v>0.25</v>
      </c>
      <c r="E8" s="122">
        <f t="shared" si="0"/>
        <v>310</v>
      </c>
      <c r="F8" s="122">
        <f>307.49+2.51</f>
        <v>310</v>
      </c>
      <c r="G8" s="122">
        <f t="shared" si="1"/>
        <v>0</v>
      </c>
      <c r="H8" s="123">
        <v>2379573</v>
      </c>
      <c r="I8" s="204" t="s">
        <v>96</v>
      </c>
      <c r="J8" s="174" t="s">
        <v>94</v>
      </c>
      <c r="K8" s="175" t="s">
        <v>95</v>
      </c>
      <c r="L8" s="145">
        <v>92917899</v>
      </c>
      <c r="M8" s="228">
        <v>45945</v>
      </c>
      <c r="N8" s="145" t="s">
        <v>214</v>
      </c>
    </row>
    <row r="9" spans="1:14" s="211" customFormat="1" x14ac:dyDescent="0.25">
      <c r="A9" s="118">
        <v>1123</v>
      </c>
      <c r="B9" s="119" t="s">
        <v>33</v>
      </c>
      <c r="C9" s="120">
        <v>1324.9</v>
      </c>
      <c r="D9" s="121">
        <v>0.25</v>
      </c>
      <c r="E9" s="122">
        <f t="shared" si="0"/>
        <v>331.22500000000002</v>
      </c>
      <c r="F9" s="122">
        <f>328.7+2.525</f>
        <v>331.22499999999997</v>
      </c>
      <c r="G9" s="122">
        <f t="shared" si="1"/>
        <v>0</v>
      </c>
      <c r="H9" s="123">
        <v>655141</v>
      </c>
      <c r="I9" s="173" t="s">
        <v>97</v>
      </c>
      <c r="J9" s="174" t="s">
        <v>98</v>
      </c>
      <c r="K9" s="175" t="s">
        <v>99</v>
      </c>
      <c r="L9" s="145">
        <v>99485623</v>
      </c>
      <c r="M9" s="228">
        <v>45945</v>
      </c>
      <c r="N9" s="145" t="s">
        <v>214</v>
      </c>
    </row>
    <row r="10" spans="1:14" x14ac:dyDescent="0.25">
      <c r="A10" s="61">
        <v>1130</v>
      </c>
      <c r="B10" s="52" t="s">
        <v>51</v>
      </c>
      <c r="C10" s="185">
        <v>1129.9000000000001</v>
      </c>
      <c r="D10" s="44">
        <v>0.25</v>
      </c>
      <c r="E10" s="143">
        <f t="shared" si="0"/>
        <v>282.47500000000002</v>
      </c>
      <c r="F10" s="143"/>
      <c r="G10" s="143">
        <f t="shared" si="1"/>
        <v>282.47500000000002</v>
      </c>
      <c r="H10" s="63">
        <v>5485645</v>
      </c>
      <c r="I10" s="155" t="s">
        <v>101</v>
      </c>
      <c r="J10" s="156" t="s">
        <v>17</v>
      </c>
      <c r="K10" s="49" t="s">
        <v>18</v>
      </c>
      <c r="L10" s="64">
        <v>90977488</v>
      </c>
      <c r="M10" s="64"/>
    </row>
    <row r="11" spans="1:14" x14ac:dyDescent="0.25">
      <c r="A11" s="41">
        <v>1152</v>
      </c>
      <c r="B11" s="42" t="s">
        <v>52</v>
      </c>
      <c r="C11" s="185">
        <v>1859</v>
      </c>
      <c r="D11" s="44">
        <v>0.25</v>
      </c>
      <c r="E11" s="143">
        <f t="shared" si="0"/>
        <v>464.75</v>
      </c>
      <c r="F11" s="143"/>
      <c r="G11" s="143">
        <f t="shared" si="1"/>
        <v>464.75</v>
      </c>
      <c r="H11" s="46">
        <v>5254327</v>
      </c>
      <c r="I11" s="52" t="s">
        <v>102</v>
      </c>
      <c r="J11" s="48" t="s">
        <v>94</v>
      </c>
      <c r="K11" s="49" t="s">
        <v>95</v>
      </c>
      <c r="L11" s="51">
        <v>99692328</v>
      </c>
      <c r="M11" s="51"/>
    </row>
    <row r="12" spans="1:14" x14ac:dyDescent="0.25">
      <c r="A12" s="41">
        <v>1200</v>
      </c>
      <c r="B12" s="42" t="s">
        <v>53</v>
      </c>
      <c r="C12" s="185">
        <v>733.4</v>
      </c>
      <c r="D12" s="44">
        <v>0.25</v>
      </c>
      <c r="E12" s="143">
        <f t="shared" si="0"/>
        <v>183.35</v>
      </c>
      <c r="F12" s="143"/>
      <c r="G12" s="143">
        <f t="shared" si="1"/>
        <v>183.35</v>
      </c>
      <c r="H12" s="46">
        <v>7287174</v>
      </c>
      <c r="I12" s="52" t="s">
        <v>103</v>
      </c>
      <c r="J12" s="48" t="s">
        <v>94</v>
      </c>
      <c r="K12" s="49" t="s">
        <v>95</v>
      </c>
      <c r="L12" s="51">
        <v>99673747</v>
      </c>
      <c r="M12" s="51"/>
    </row>
    <row r="13" spans="1:14" x14ac:dyDescent="0.25">
      <c r="A13" s="41">
        <v>1276</v>
      </c>
      <c r="B13" s="42" t="s">
        <v>54</v>
      </c>
      <c r="C13" s="185">
        <v>619.5</v>
      </c>
      <c r="D13" s="44">
        <v>0.25</v>
      </c>
      <c r="E13" s="143">
        <f t="shared" si="0"/>
        <v>154.875</v>
      </c>
      <c r="F13" s="143"/>
      <c r="G13" s="143">
        <f t="shared" si="1"/>
        <v>154.875</v>
      </c>
      <c r="H13" s="46">
        <v>334495</v>
      </c>
      <c r="I13" s="47" t="s">
        <v>104</v>
      </c>
      <c r="J13" s="48" t="s">
        <v>17</v>
      </c>
      <c r="K13" s="49" t="s">
        <v>18</v>
      </c>
      <c r="L13" s="51">
        <v>99170505</v>
      </c>
      <c r="M13" s="51"/>
    </row>
    <row r="14" spans="1:14" x14ac:dyDescent="0.25">
      <c r="A14" s="41">
        <v>1281</v>
      </c>
      <c r="B14" s="42" t="s">
        <v>55</v>
      </c>
      <c r="C14" s="185">
        <v>1858</v>
      </c>
      <c r="D14" s="44">
        <v>0.25</v>
      </c>
      <c r="E14" s="143">
        <f t="shared" si="0"/>
        <v>464.5</v>
      </c>
      <c r="F14" s="143"/>
      <c r="G14" s="143">
        <f t="shared" si="1"/>
        <v>464.5</v>
      </c>
      <c r="H14" s="46">
        <v>6310986</v>
      </c>
      <c r="I14" s="52" t="s">
        <v>105</v>
      </c>
      <c r="J14" s="48" t="s">
        <v>17</v>
      </c>
      <c r="K14" s="49" t="s">
        <v>18</v>
      </c>
      <c r="L14" s="51">
        <v>92922944</v>
      </c>
      <c r="M14" s="51"/>
    </row>
    <row r="15" spans="1:14" x14ac:dyDescent="0.25">
      <c r="A15" s="41">
        <v>1308</v>
      </c>
      <c r="B15" s="42" t="s">
        <v>35</v>
      </c>
      <c r="C15" s="185">
        <v>619.5</v>
      </c>
      <c r="D15" s="44">
        <v>0.25</v>
      </c>
      <c r="E15" s="143">
        <f t="shared" si="0"/>
        <v>154.875</v>
      </c>
      <c r="F15" s="143"/>
      <c r="G15" s="143">
        <f t="shared" si="1"/>
        <v>154.875</v>
      </c>
      <c r="H15" s="46">
        <v>6225641</v>
      </c>
      <c r="I15" s="47" t="s">
        <v>106</v>
      </c>
      <c r="J15" s="48" t="s">
        <v>94</v>
      </c>
      <c r="K15" s="49" t="s">
        <v>95</v>
      </c>
      <c r="L15" s="51">
        <v>92055550</v>
      </c>
      <c r="M15" s="51"/>
    </row>
    <row r="16" spans="1:14" s="211" customFormat="1" x14ac:dyDescent="0.25">
      <c r="A16" s="118">
        <v>1337</v>
      </c>
      <c r="B16" s="119" t="s">
        <v>56</v>
      </c>
      <c r="C16" s="120">
        <v>620</v>
      </c>
      <c r="D16" s="121">
        <v>0.25</v>
      </c>
      <c r="E16" s="122">
        <f t="shared" si="0"/>
        <v>155</v>
      </c>
      <c r="F16" s="122">
        <f>152.67+2.33</f>
        <v>155</v>
      </c>
      <c r="G16" s="122">
        <f t="shared" si="1"/>
        <v>0</v>
      </c>
      <c r="H16" s="123">
        <v>6719626</v>
      </c>
      <c r="I16" s="204" t="s">
        <v>107</v>
      </c>
      <c r="J16" s="174" t="s">
        <v>17</v>
      </c>
      <c r="K16" s="175" t="s">
        <v>18</v>
      </c>
      <c r="L16" s="145">
        <v>97726288</v>
      </c>
      <c r="M16" s="145" t="s">
        <v>210</v>
      </c>
    </row>
    <row r="17" spans="1:21" s="211" customFormat="1" ht="15" customHeight="1" x14ac:dyDescent="0.25">
      <c r="A17" s="118">
        <v>1339</v>
      </c>
      <c r="B17" s="119" t="s">
        <v>57</v>
      </c>
      <c r="C17" s="120">
        <v>5675.2</v>
      </c>
      <c r="D17" s="121">
        <v>0.25</v>
      </c>
      <c r="E17" s="122">
        <f t="shared" si="0"/>
        <v>1418.8</v>
      </c>
      <c r="F17" s="122">
        <v>1414.3200000000002</v>
      </c>
      <c r="G17" s="122">
        <f t="shared" si="1"/>
        <v>4.4799999999997908</v>
      </c>
      <c r="H17" s="123">
        <v>3090574</v>
      </c>
      <c r="I17" s="173" t="s">
        <v>108</v>
      </c>
      <c r="J17" s="123" t="s">
        <v>94</v>
      </c>
      <c r="K17" s="123" t="s">
        <v>95</v>
      </c>
      <c r="L17" s="145">
        <v>99292421</v>
      </c>
      <c r="M17" s="124">
        <v>45758</v>
      </c>
    </row>
    <row r="18" spans="1:21" s="211" customFormat="1" ht="15" customHeight="1" x14ac:dyDescent="0.25">
      <c r="A18" s="118">
        <v>1340</v>
      </c>
      <c r="B18" s="123" t="s">
        <v>36</v>
      </c>
      <c r="C18" s="120">
        <v>1103.0999999999999</v>
      </c>
      <c r="D18" s="121">
        <v>0.25</v>
      </c>
      <c r="E18" s="122">
        <f t="shared" si="0"/>
        <v>275.77499999999998</v>
      </c>
      <c r="F18" s="122">
        <f>273.045+2.73</f>
        <v>275.77500000000003</v>
      </c>
      <c r="G18" s="122">
        <f t="shared" si="1"/>
        <v>0</v>
      </c>
      <c r="H18" s="145">
        <v>7279274</v>
      </c>
      <c r="I18" s="221" t="s">
        <v>109</v>
      </c>
      <c r="J18" s="174" t="s">
        <v>110</v>
      </c>
      <c r="K18" s="221" t="s">
        <v>18</v>
      </c>
      <c r="L18" s="145">
        <v>93808816</v>
      </c>
      <c r="M18" s="145" t="s">
        <v>211</v>
      </c>
      <c r="N18" s="124">
        <v>45972</v>
      </c>
    </row>
    <row r="19" spans="1:21" x14ac:dyDescent="0.25">
      <c r="A19" s="41">
        <v>1341</v>
      </c>
      <c r="B19" s="42" t="s">
        <v>58</v>
      </c>
      <c r="C19" s="185">
        <v>1422.3</v>
      </c>
      <c r="D19" s="44">
        <v>0.25</v>
      </c>
      <c r="E19" s="143">
        <f t="shared" si="0"/>
        <v>355.57499999999999</v>
      </c>
      <c r="F19" s="143"/>
      <c r="G19" s="143">
        <f t="shared" si="1"/>
        <v>355.57499999999999</v>
      </c>
      <c r="H19" s="46">
        <v>15977579</v>
      </c>
      <c r="I19" s="52" t="s">
        <v>111</v>
      </c>
      <c r="J19" s="48" t="s">
        <v>110</v>
      </c>
      <c r="K19" s="49" t="s">
        <v>18</v>
      </c>
      <c r="L19" s="51">
        <v>92578822</v>
      </c>
      <c r="M19" s="51"/>
    </row>
    <row r="20" spans="1:21" s="211" customFormat="1" x14ac:dyDescent="0.25">
      <c r="A20" s="118">
        <v>1342</v>
      </c>
      <c r="B20" s="119" t="s">
        <v>59</v>
      </c>
      <c r="C20" s="120">
        <v>468.1</v>
      </c>
      <c r="D20" s="121">
        <v>0.25</v>
      </c>
      <c r="E20" s="122">
        <f t="shared" si="0"/>
        <v>117.02500000000001</v>
      </c>
      <c r="F20" s="122">
        <f>E20</f>
        <v>117.02500000000001</v>
      </c>
      <c r="G20" s="122">
        <f t="shared" si="1"/>
        <v>0</v>
      </c>
      <c r="H20" s="123">
        <v>13950469</v>
      </c>
      <c r="I20" s="173" t="s">
        <v>112</v>
      </c>
      <c r="J20" s="174" t="s">
        <v>110</v>
      </c>
      <c r="K20" s="175" t="s">
        <v>18</v>
      </c>
      <c r="L20" s="145">
        <v>92341118</v>
      </c>
      <c r="M20" s="145" t="s">
        <v>214</v>
      </c>
    </row>
    <row r="21" spans="1:21" x14ac:dyDescent="0.25">
      <c r="A21" s="41">
        <v>1343</v>
      </c>
      <c r="B21" s="42" t="s">
        <v>29</v>
      </c>
      <c r="C21" s="187">
        <v>1240</v>
      </c>
      <c r="D21" s="44">
        <v>0.25</v>
      </c>
      <c r="E21" s="143">
        <f t="shared" si="0"/>
        <v>310</v>
      </c>
      <c r="F21" s="143">
        <f>309.9+0.1</f>
        <v>310</v>
      </c>
      <c r="G21" s="143">
        <f t="shared" si="1"/>
        <v>0</v>
      </c>
      <c r="H21" s="46">
        <v>5160297</v>
      </c>
      <c r="I21" s="52" t="s">
        <v>113</v>
      </c>
      <c r="J21" s="48" t="s">
        <v>94</v>
      </c>
      <c r="K21" s="49" t="s">
        <v>95</v>
      </c>
      <c r="L21" s="51">
        <v>93501199</v>
      </c>
      <c r="M21" s="124">
        <v>45972</v>
      </c>
      <c r="N21" s="7" t="s">
        <v>220</v>
      </c>
    </row>
    <row r="22" spans="1:21" x14ac:dyDescent="0.25">
      <c r="A22" s="41">
        <v>1345</v>
      </c>
      <c r="B22" s="63" t="s">
        <v>60</v>
      </c>
      <c r="C22" s="185">
        <v>5283.5</v>
      </c>
      <c r="D22" s="67">
        <v>0.25</v>
      </c>
      <c r="E22" s="143">
        <f>SUM(C22*D22)</f>
        <v>1320.875</v>
      </c>
      <c r="F22" s="143"/>
      <c r="G22" s="143">
        <f t="shared" si="1"/>
        <v>1320.875</v>
      </c>
      <c r="H22" s="63">
        <v>10578952</v>
      </c>
      <c r="I22" s="155" t="s">
        <v>114</v>
      </c>
      <c r="J22" s="156" t="s">
        <v>115</v>
      </c>
      <c r="K22" s="49" t="s">
        <v>116</v>
      </c>
      <c r="L22" s="64">
        <v>92194382</v>
      </c>
      <c r="M22" s="64"/>
      <c r="U22" s="226"/>
    </row>
    <row r="23" spans="1:21" x14ac:dyDescent="0.25">
      <c r="A23" s="41">
        <v>1349</v>
      </c>
      <c r="B23" s="42" t="s">
        <v>38</v>
      </c>
      <c r="C23" s="185">
        <v>688.1</v>
      </c>
      <c r="D23" s="44">
        <v>0.25</v>
      </c>
      <c r="E23" s="143">
        <f t="shared" si="0"/>
        <v>172.02500000000001</v>
      </c>
      <c r="F23" s="143"/>
      <c r="G23" s="143">
        <f t="shared" si="1"/>
        <v>172.02500000000001</v>
      </c>
      <c r="H23" s="46">
        <v>7128679</v>
      </c>
      <c r="I23" s="52" t="s">
        <v>117</v>
      </c>
      <c r="J23" s="48" t="s">
        <v>17</v>
      </c>
      <c r="K23" s="49" t="s">
        <v>18</v>
      </c>
      <c r="L23" s="51">
        <v>91408836</v>
      </c>
      <c r="M23" s="51"/>
    </row>
    <row r="24" spans="1:21" x14ac:dyDescent="0.25">
      <c r="A24" s="41">
        <v>1350</v>
      </c>
      <c r="B24" s="42" t="s">
        <v>61</v>
      </c>
      <c r="C24" s="185">
        <v>4440.3999999999996</v>
      </c>
      <c r="D24" s="44">
        <v>0.25</v>
      </c>
      <c r="E24" s="143">
        <f t="shared" si="0"/>
        <v>1110.0999999999999</v>
      </c>
      <c r="F24" s="143"/>
      <c r="G24" s="143">
        <f t="shared" si="1"/>
        <v>1110.0999999999999</v>
      </c>
      <c r="H24" s="46">
        <v>6752017</v>
      </c>
      <c r="I24" s="52" t="s">
        <v>118</v>
      </c>
      <c r="J24" s="48" t="s">
        <v>17</v>
      </c>
      <c r="K24" s="49" t="s">
        <v>18</v>
      </c>
      <c r="L24" s="51">
        <v>92520708</v>
      </c>
      <c r="M24" s="51"/>
    </row>
    <row r="25" spans="1:21" s="211" customFormat="1" x14ac:dyDescent="0.25">
      <c r="A25" s="118">
        <v>1353</v>
      </c>
      <c r="B25" s="119" t="s">
        <v>62</v>
      </c>
      <c r="C25" s="120">
        <v>6200</v>
      </c>
      <c r="D25" s="121">
        <v>0.25</v>
      </c>
      <c r="E25" s="122">
        <f t="shared" si="0"/>
        <v>1550</v>
      </c>
      <c r="F25" s="122">
        <f>E25</f>
        <v>1550</v>
      </c>
      <c r="G25" s="122">
        <f t="shared" si="1"/>
        <v>0</v>
      </c>
      <c r="H25" s="123">
        <v>5217694</v>
      </c>
      <c r="I25" s="204" t="s">
        <v>142</v>
      </c>
      <c r="J25" s="174" t="s">
        <v>94</v>
      </c>
      <c r="K25" s="175" t="s">
        <v>95</v>
      </c>
      <c r="L25" s="145">
        <v>92749180</v>
      </c>
      <c r="M25" s="228">
        <v>45945</v>
      </c>
    </row>
    <row r="26" spans="1:21" x14ac:dyDescent="0.25">
      <c r="A26" s="41">
        <v>1355</v>
      </c>
      <c r="B26" s="42" t="s">
        <v>64</v>
      </c>
      <c r="C26" s="187">
        <v>2053.1</v>
      </c>
      <c r="D26" s="44">
        <v>0.25</v>
      </c>
      <c r="E26" s="143">
        <f t="shared" si="0"/>
        <v>513.27499999999998</v>
      </c>
      <c r="F26" s="143"/>
      <c r="G26" s="143">
        <f t="shared" si="1"/>
        <v>513.27499999999998</v>
      </c>
      <c r="H26" s="46">
        <v>585058</v>
      </c>
      <c r="I26" s="52" t="s">
        <v>119</v>
      </c>
      <c r="J26" s="48" t="s">
        <v>94</v>
      </c>
      <c r="K26" s="49" t="s">
        <v>95</v>
      </c>
      <c r="L26" s="51">
        <v>99055262</v>
      </c>
      <c r="M26" s="51"/>
    </row>
    <row r="27" spans="1:21" x14ac:dyDescent="0.25">
      <c r="A27" s="41">
        <v>1356</v>
      </c>
      <c r="B27" s="42" t="s">
        <v>65</v>
      </c>
      <c r="C27" s="185">
        <v>1240</v>
      </c>
      <c r="D27" s="44">
        <v>0.25</v>
      </c>
      <c r="E27" s="143">
        <f t="shared" si="0"/>
        <v>310</v>
      </c>
      <c r="F27" s="143"/>
      <c r="G27" s="143">
        <f t="shared" si="1"/>
        <v>310</v>
      </c>
      <c r="H27" s="46">
        <v>7494112</v>
      </c>
      <c r="I27" s="52" t="s">
        <v>143</v>
      </c>
      <c r="J27" s="48" t="s">
        <v>17</v>
      </c>
      <c r="K27" s="49" t="s">
        <v>18</v>
      </c>
      <c r="L27" s="51">
        <v>99488186</v>
      </c>
      <c r="M27" s="51"/>
    </row>
    <row r="28" spans="1:21" s="211" customFormat="1" ht="15" customHeight="1" x14ac:dyDescent="0.25">
      <c r="A28" s="118">
        <v>1362</v>
      </c>
      <c r="B28" s="119" t="s">
        <v>15</v>
      </c>
      <c r="C28" s="120">
        <v>1921.7</v>
      </c>
      <c r="D28" s="121">
        <v>0.25</v>
      </c>
      <c r="E28" s="122">
        <f t="shared" si="0"/>
        <v>480.42500000000001</v>
      </c>
      <c r="F28" s="122">
        <f>E28</f>
        <v>480.42500000000001</v>
      </c>
      <c r="G28" s="122">
        <f t="shared" si="1"/>
        <v>0</v>
      </c>
      <c r="H28" s="123">
        <v>2429041</v>
      </c>
      <c r="I28" s="204" t="s">
        <v>16</v>
      </c>
      <c r="J28" s="174" t="s">
        <v>17</v>
      </c>
      <c r="K28" s="175" t="s">
        <v>18</v>
      </c>
      <c r="L28" s="145">
        <v>93663694</v>
      </c>
      <c r="M28" s="145" t="s">
        <v>212</v>
      </c>
    </row>
    <row r="29" spans="1:21" x14ac:dyDescent="0.25">
      <c r="A29" s="41">
        <v>1363</v>
      </c>
      <c r="B29" s="42" t="s">
        <v>67</v>
      </c>
      <c r="C29" s="185">
        <v>1990.7</v>
      </c>
      <c r="D29" s="44">
        <v>0.25</v>
      </c>
      <c r="E29" s="143">
        <f t="shared" si="0"/>
        <v>497.67500000000001</v>
      </c>
      <c r="F29" s="143"/>
      <c r="G29" s="143">
        <f t="shared" si="1"/>
        <v>497.67500000000001</v>
      </c>
      <c r="H29" s="46">
        <v>322352</v>
      </c>
      <c r="I29" s="52" t="s">
        <v>120</v>
      </c>
      <c r="J29" s="48" t="s">
        <v>17</v>
      </c>
      <c r="K29" s="49" t="s">
        <v>18</v>
      </c>
      <c r="L29" s="51">
        <v>98842645</v>
      </c>
      <c r="M29" s="51"/>
    </row>
    <row r="30" spans="1:21" x14ac:dyDescent="0.25">
      <c r="A30" s="41">
        <v>1364</v>
      </c>
      <c r="B30" s="42" t="s">
        <v>68</v>
      </c>
      <c r="C30" s="185">
        <v>528.1</v>
      </c>
      <c r="D30" s="44">
        <v>0.25</v>
      </c>
      <c r="E30" s="143">
        <f t="shared" si="0"/>
        <v>132.02500000000001</v>
      </c>
      <c r="F30" s="143"/>
      <c r="G30" s="143">
        <f t="shared" si="1"/>
        <v>132.02500000000001</v>
      </c>
      <c r="H30" s="46">
        <v>7113811</v>
      </c>
      <c r="I30" s="52" t="s">
        <v>121</v>
      </c>
      <c r="J30" s="48" t="s">
        <v>94</v>
      </c>
      <c r="K30" s="49" t="s">
        <v>95</v>
      </c>
      <c r="L30" s="51">
        <v>92969982</v>
      </c>
      <c r="M30" s="51"/>
    </row>
    <row r="31" spans="1:21" s="211" customFormat="1" x14ac:dyDescent="0.25">
      <c r="A31" s="118">
        <v>1366</v>
      </c>
      <c r="B31" s="119" t="s">
        <v>39</v>
      </c>
      <c r="C31" s="120">
        <v>2491.6</v>
      </c>
      <c r="D31" s="121">
        <v>0.25</v>
      </c>
      <c r="E31" s="122">
        <f t="shared" si="0"/>
        <v>622.9</v>
      </c>
      <c r="F31" s="122">
        <f>622.41+0.49</f>
        <v>622.9</v>
      </c>
      <c r="G31" s="122">
        <f t="shared" si="1"/>
        <v>0</v>
      </c>
      <c r="H31" s="123">
        <v>8318385</v>
      </c>
      <c r="I31" s="204" t="s">
        <v>122</v>
      </c>
      <c r="J31" s="174" t="s">
        <v>17</v>
      </c>
      <c r="K31" s="175" t="s">
        <v>18</v>
      </c>
      <c r="L31" s="145">
        <v>90660210</v>
      </c>
      <c r="M31" s="145" t="s">
        <v>212</v>
      </c>
      <c r="N31" s="124">
        <v>45758</v>
      </c>
    </row>
    <row r="32" spans="1:21" x14ac:dyDescent="0.25">
      <c r="A32" s="61">
        <v>1370</v>
      </c>
      <c r="B32" s="52" t="s">
        <v>20</v>
      </c>
      <c r="C32" s="185">
        <v>1854.2</v>
      </c>
      <c r="D32" s="44">
        <v>0.25</v>
      </c>
      <c r="E32" s="143">
        <f t="shared" si="0"/>
        <v>463.55</v>
      </c>
      <c r="F32" s="143"/>
      <c r="G32" s="143">
        <f t="shared" si="1"/>
        <v>463.55</v>
      </c>
      <c r="H32" s="42">
        <v>14431965</v>
      </c>
      <c r="I32" s="47" t="s">
        <v>21</v>
      </c>
      <c r="J32" s="48" t="s">
        <v>17</v>
      </c>
      <c r="K32" s="49" t="s">
        <v>18</v>
      </c>
      <c r="L32" s="70">
        <v>99693775</v>
      </c>
      <c r="M32" s="70"/>
    </row>
    <row r="33" spans="1:24" x14ac:dyDescent="0.25">
      <c r="A33" s="61">
        <v>1371</v>
      </c>
      <c r="B33" s="52" t="s">
        <v>40</v>
      </c>
      <c r="C33" s="185">
        <v>1860</v>
      </c>
      <c r="D33" s="44">
        <v>0.25</v>
      </c>
      <c r="E33" s="143">
        <f t="shared" si="0"/>
        <v>465</v>
      </c>
      <c r="F33" s="143"/>
      <c r="G33" s="143">
        <f t="shared" si="1"/>
        <v>465</v>
      </c>
      <c r="H33" s="42">
        <v>990755</v>
      </c>
      <c r="I33" s="47" t="s">
        <v>123</v>
      </c>
      <c r="J33" s="48" t="s">
        <v>89</v>
      </c>
      <c r="K33" s="49" t="s">
        <v>90</v>
      </c>
      <c r="L33" s="70">
        <v>92556210</v>
      </c>
      <c r="M33" s="70"/>
    </row>
    <row r="34" spans="1:24" x14ac:dyDescent="0.25">
      <c r="A34" s="61">
        <v>1372</v>
      </c>
      <c r="B34" s="52" t="s">
        <v>69</v>
      </c>
      <c r="C34" s="185">
        <v>1776.5</v>
      </c>
      <c r="D34" s="44">
        <v>0.25</v>
      </c>
      <c r="E34" s="143">
        <f t="shared" si="0"/>
        <v>444.125</v>
      </c>
      <c r="F34" s="143"/>
      <c r="G34" s="143">
        <f t="shared" si="1"/>
        <v>444.125</v>
      </c>
      <c r="H34" s="48">
        <v>628655</v>
      </c>
      <c r="I34" s="47" t="s">
        <v>124</v>
      </c>
      <c r="J34" s="48" t="s">
        <v>94</v>
      </c>
      <c r="K34" s="49" t="s">
        <v>95</v>
      </c>
      <c r="L34" s="70">
        <v>98976629</v>
      </c>
      <c r="M34" s="70"/>
    </row>
    <row r="35" spans="1:24" s="211" customFormat="1" x14ac:dyDescent="0.25">
      <c r="A35" s="203">
        <v>1373</v>
      </c>
      <c r="B35" s="204" t="s">
        <v>70</v>
      </c>
      <c r="C35" s="120">
        <v>619.79999999999995</v>
      </c>
      <c r="D35" s="121">
        <v>0.25</v>
      </c>
      <c r="E35" s="122">
        <f t="shared" si="0"/>
        <v>154.94999999999999</v>
      </c>
      <c r="F35" s="122">
        <f>154.49+0.46</f>
        <v>154.95000000000002</v>
      </c>
      <c r="G35" s="122">
        <f t="shared" si="1"/>
        <v>0</v>
      </c>
      <c r="H35" s="174">
        <v>734281</v>
      </c>
      <c r="I35" s="205" t="s">
        <v>125</v>
      </c>
      <c r="J35" s="174" t="s">
        <v>17</v>
      </c>
      <c r="K35" s="175" t="s">
        <v>18</v>
      </c>
      <c r="L35" s="206">
        <v>99891516</v>
      </c>
      <c r="M35" s="228">
        <v>45945</v>
      </c>
      <c r="N35" s="124">
        <v>45788</v>
      </c>
    </row>
    <row r="36" spans="1:24" x14ac:dyDescent="0.25">
      <c r="A36" s="61">
        <v>1375</v>
      </c>
      <c r="B36" s="52" t="s">
        <v>71</v>
      </c>
      <c r="C36" s="185">
        <v>617.70000000000005</v>
      </c>
      <c r="D36" s="44">
        <v>0.25</v>
      </c>
      <c r="E36" s="143">
        <f t="shared" si="0"/>
        <v>154.42500000000001</v>
      </c>
      <c r="F36" s="143"/>
      <c r="G36" s="143">
        <f t="shared" si="1"/>
        <v>154.42500000000001</v>
      </c>
      <c r="H36" s="48">
        <v>6748627</v>
      </c>
      <c r="I36" s="158" t="s">
        <v>126</v>
      </c>
      <c r="J36" s="159" t="s">
        <v>127</v>
      </c>
      <c r="K36" s="159" t="s">
        <v>128</v>
      </c>
      <c r="L36" s="70">
        <v>93707700</v>
      </c>
      <c r="M36" s="70"/>
    </row>
    <row r="37" spans="1:24" s="211" customFormat="1" x14ac:dyDescent="0.25">
      <c r="A37" s="203">
        <v>1377</v>
      </c>
      <c r="B37" s="204" t="s">
        <v>72</v>
      </c>
      <c r="C37" s="120">
        <v>606</v>
      </c>
      <c r="D37" s="121">
        <v>0.25</v>
      </c>
      <c r="E37" s="122">
        <f t="shared" si="0"/>
        <v>151.5</v>
      </c>
      <c r="F37" s="122">
        <f>150.1+1.4</f>
        <v>151.5</v>
      </c>
      <c r="G37" s="122">
        <f t="shared" si="1"/>
        <v>0</v>
      </c>
      <c r="H37" s="174">
        <v>5160404</v>
      </c>
      <c r="I37" s="173" t="s">
        <v>129</v>
      </c>
      <c r="J37" s="174" t="s">
        <v>94</v>
      </c>
      <c r="K37" s="175" t="s">
        <v>95</v>
      </c>
      <c r="L37" s="206">
        <v>91120322</v>
      </c>
      <c r="M37" s="228">
        <v>45945</v>
      </c>
      <c r="N37" s="206" t="s">
        <v>219</v>
      </c>
    </row>
    <row r="38" spans="1:24" s="211" customFormat="1" x14ac:dyDescent="0.25">
      <c r="A38" s="203">
        <v>1378</v>
      </c>
      <c r="B38" s="204" t="s">
        <v>42</v>
      </c>
      <c r="C38" s="120">
        <v>2471.6999999999998</v>
      </c>
      <c r="D38" s="121">
        <v>0.25</v>
      </c>
      <c r="E38" s="122">
        <f t="shared" si="0"/>
        <v>617.92499999999995</v>
      </c>
      <c r="F38" s="122">
        <f>E38</f>
        <v>617.92499999999995</v>
      </c>
      <c r="G38" s="122">
        <f t="shared" si="1"/>
        <v>0</v>
      </c>
      <c r="H38" s="174">
        <v>5996404</v>
      </c>
      <c r="I38" s="214" t="s">
        <v>130</v>
      </c>
      <c r="J38" s="119" t="s">
        <v>110</v>
      </c>
      <c r="K38" s="119" t="s">
        <v>18</v>
      </c>
      <c r="L38" s="206">
        <v>98976878</v>
      </c>
      <c r="M38" s="206" t="s">
        <v>209</v>
      </c>
    </row>
    <row r="39" spans="1:24" s="211" customFormat="1" x14ac:dyDescent="0.25">
      <c r="A39" s="203">
        <v>1381</v>
      </c>
      <c r="B39" s="204" t="s">
        <v>43</v>
      </c>
      <c r="C39" s="120">
        <v>615.1</v>
      </c>
      <c r="D39" s="121">
        <v>0.25</v>
      </c>
      <c r="E39" s="122">
        <f t="shared" si="0"/>
        <v>153.77500000000001</v>
      </c>
      <c r="F39" s="122">
        <f>E39</f>
        <v>153.77500000000001</v>
      </c>
      <c r="G39" s="122">
        <f t="shared" si="1"/>
        <v>0</v>
      </c>
      <c r="H39" s="174">
        <v>19847623</v>
      </c>
      <c r="I39" s="173" t="s">
        <v>131</v>
      </c>
      <c r="J39" s="174" t="s">
        <v>89</v>
      </c>
      <c r="K39" s="175" t="s">
        <v>90</v>
      </c>
      <c r="L39" s="206">
        <v>92802427</v>
      </c>
      <c r="M39" s="206" t="s">
        <v>209</v>
      </c>
      <c r="U39" s="227"/>
    </row>
    <row r="40" spans="1:24" s="211" customFormat="1" x14ac:dyDescent="0.25">
      <c r="A40" s="118">
        <v>1390</v>
      </c>
      <c r="B40" s="119" t="s">
        <v>206</v>
      </c>
      <c r="C40" s="120">
        <v>596.6</v>
      </c>
      <c r="D40" s="121">
        <v>0.25</v>
      </c>
      <c r="E40" s="122">
        <f t="shared" si="0"/>
        <v>149.15</v>
      </c>
      <c r="F40" s="122">
        <f>146.45+2.7</f>
        <v>149.14999999999998</v>
      </c>
      <c r="G40" s="122">
        <f t="shared" si="1"/>
        <v>0</v>
      </c>
      <c r="H40" s="123">
        <v>13826903</v>
      </c>
      <c r="I40" s="214" t="s">
        <v>205</v>
      </c>
      <c r="J40" s="123" t="s">
        <v>17</v>
      </c>
      <c r="K40" s="123" t="s">
        <v>18</v>
      </c>
      <c r="L40" s="145"/>
      <c r="M40" s="145" t="s">
        <v>211</v>
      </c>
      <c r="N40" s="229" t="s">
        <v>221</v>
      </c>
    </row>
    <row r="41" spans="1:24" s="65" customFormat="1" x14ac:dyDescent="0.25">
      <c r="A41" s="41">
        <v>1392</v>
      </c>
      <c r="B41" s="42" t="s">
        <v>73</v>
      </c>
      <c r="C41" s="185">
        <v>1550</v>
      </c>
      <c r="D41" s="44">
        <v>0.25</v>
      </c>
      <c r="E41" s="143">
        <f t="shared" si="0"/>
        <v>387.5</v>
      </c>
      <c r="F41" s="143"/>
      <c r="G41" s="143">
        <f t="shared" si="1"/>
        <v>387.5</v>
      </c>
      <c r="H41" s="46">
        <v>1353348</v>
      </c>
      <c r="I41" s="47" t="s">
        <v>133</v>
      </c>
      <c r="J41" s="48" t="s">
        <v>94</v>
      </c>
      <c r="K41" s="49" t="s">
        <v>95</v>
      </c>
      <c r="L41" s="51"/>
      <c r="M41" s="51"/>
      <c r="P41" s="7"/>
      <c r="R41" s="7"/>
      <c r="T41" s="7"/>
      <c r="V41" s="7"/>
      <c r="X41" s="7"/>
    </row>
    <row r="42" spans="1:24" s="211" customFormat="1" x14ac:dyDescent="0.25">
      <c r="A42" s="203">
        <v>1393</v>
      </c>
      <c r="B42" s="204" t="s">
        <v>45</v>
      </c>
      <c r="C42" s="120">
        <v>615.5</v>
      </c>
      <c r="D42" s="121">
        <v>0.25</v>
      </c>
      <c r="E42" s="122">
        <f t="shared" si="0"/>
        <v>153.875</v>
      </c>
      <c r="F42" s="122">
        <f>153.68+0.195</f>
        <v>153.875</v>
      </c>
      <c r="G42" s="122">
        <f t="shared" si="1"/>
        <v>0</v>
      </c>
      <c r="H42" s="174">
        <v>1650389</v>
      </c>
      <c r="I42" s="214" t="s">
        <v>134</v>
      </c>
      <c r="J42" s="119" t="s">
        <v>17</v>
      </c>
      <c r="K42" s="119" t="s">
        <v>18</v>
      </c>
      <c r="L42" s="206">
        <v>94264109</v>
      </c>
      <c r="M42" s="228">
        <v>45945</v>
      </c>
      <c r="N42" s="124">
        <v>45758</v>
      </c>
    </row>
    <row r="43" spans="1:24" s="65" customFormat="1" x14ac:dyDescent="0.25">
      <c r="A43" s="61">
        <v>1500</v>
      </c>
      <c r="B43" s="52" t="s">
        <v>75</v>
      </c>
      <c r="C43" s="185">
        <v>0</v>
      </c>
      <c r="D43" s="44">
        <v>0.25</v>
      </c>
      <c r="E43" s="143">
        <f t="shared" si="0"/>
        <v>0</v>
      </c>
      <c r="F43" s="143"/>
      <c r="G43" s="143">
        <f t="shared" si="1"/>
        <v>0</v>
      </c>
      <c r="H43" s="48">
        <v>19567469</v>
      </c>
      <c r="I43" s="47" t="s">
        <v>135</v>
      </c>
      <c r="J43" s="48" t="s">
        <v>94</v>
      </c>
      <c r="K43" s="161" t="s">
        <v>95</v>
      </c>
      <c r="L43" s="70">
        <v>92265154</v>
      </c>
      <c r="M43" s="70"/>
      <c r="P43" s="7"/>
      <c r="R43" s="7"/>
      <c r="T43" s="7"/>
      <c r="V43" s="7"/>
      <c r="X43" s="7"/>
    </row>
    <row r="44" spans="1:24" s="211" customFormat="1" x14ac:dyDescent="0.25">
      <c r="A44" s="203">
        <v>1501</v>
      </c>
      <c r="B44" s="222" t="s">
        <v>76</v>
      </c>
      <c r="C44" s="120">
        <v>486.9</v>
      </c>
      <c r="D44" s="121">
        <v>0.25</v>
      </c>
      <c r="E44" s="122">
        <f t="shared" si="0"/>
        <v>121.72499999999999</v>
      </c>
      <c r="F44" s="122">
        <f>E44</f>
        <v>121.72499999999999</v>
      </c>
      <c r="G44" s="122">
        <f t="shared" si="1"/>
        <v>0</v>
      </c>
      <c r="H44" s="174">
        <v>25657583</v>
      </c>
      <c r="I44" s="173" t="s">
        <v>136</v>
      </c>
      <c r="J44" s="174" t="s">
        <v>17</v>
      </c>
      <c r="K44" s="220" t="s">
        <v>18</v>
      </c>
      <c r="L44" s="206"/>
      <c r="M44" s="213">
        <v>45669</v>
      </c>
      <c r="U44" s="227"/>
    </row>
    <row r="45" spans="1:24" s="65" customFormat="1" x14ac:dyDescent="0.25">
      <c r="A45" s="61">
        <v>1503</v>
      </c>
      <c r="B45" s="89" t="s">
        <v>77</v>
      </c>
      <c r="C45" s="185">
        <v>614.4</v>
      </c>
      <c r="D45" s="44">
        <v>0.25</v>
      </c>
      <c r="E45" s="143">
        <f>SUM(C45*D45)</f>
        <v>153.6</v>
      </c>
      <c r="F45" s="143"/>
      <c r="G45" s="143">
        <f t="shared" si="1"/>
        <v>153.6</v>
      </c>
      <c r="H45" s="48">
        <v>8930607</v>
      </c>
      <c r="I45" s="162" t="s">
        <v>137</v>
      </c>
      <c r="J45" s="48" t="s">
        <v>17</v>
      </c>
      <c r="K45" s="161" t="s">
        <v>18</v>
      </c>
      <c r="L45" s="70">
        <v>92621425</v>
      </c>
      <c r="M45" s="70"/>
      <c r="N45" s="7"/>
      <c r="P45" s="7"/>
      <c r="R45" s="7"/>
      <c r="T45" s="7"/>
      <c r="V45" s="7"/>
      <c r="X45" s="7"/>
    </row>
    <row r="46" spans="1:24" s="211" customFormat="1" x14ac:dyDescent="0.25">
      <c r="A46" s="203">
        <v>1504</v>
      </c>
      <c r="B46" s="218" t="s">
        <v>79</v>
      </c>
      <c r="C46" s="120">
        <v>942.4</v>
      </c>
      <c r="D46" s="121">
        <v>0.25</v>
      </c>
      <c r="E46" s="122">
        <f>SUM(C46*D46)</f>
        <v>235.6</v>
      </c>
      <c r="F46" s="122">
        <f>233.275+2.325</f>
        <v>235.6</v>
      </c>
      <c r="G46" s="122">
        <f t="shared" si="1"/>
        <v>0</v>
      </c>
      <c r="H46" s="174">
        <v>381215</v>
      </c>
      <c r="I46" s="173" t="s">
        <v>138</v>
      </c>
      <c r="J46" s="174" t="s">
        <v>17</v>
      </c>
      <c r="K46" s="220" t="s">
        <v>18</v>
      </c>
      <c r="L46" s="206">
        <v>95110746</v>
      </c>
      <c r="M46" s="228">
        <v>45945</v>
      </c>
      <c r="N46" s="206" t="s">
        <v>216</v>
      </c>
    </row>
    <row r="47" spans="1:24" s="211" customFormat="1" x14ac:dyDescent="0.25">
      <c r="A47" s="203">
        <v>1505</v>
      </c>
      <c r="B47" s="218" t="s">
        <v>86</v>
      </c>
      <c r="C47" s="219">
        <v>608.29999999999995</v>
      </c>
      <c r="D47" s="121">
        <v>0.25</v>
      </c>
      <c r="E47" s="122">
        <f>SUM(C47*D47)</f>
        <v>152.07499999999999</v>
      </c>
      <c r="F47" s="122">
        <f>148.9+3.175</f>
        <v>152.07500000000002</v>
      </c>
      <c r="G47" s="122">
        <f t="shared" si="1"/>
        <v>0</v>
      </c>
      <c r="H47" s="174">
        <v>6668659</v>
      </c>
      <c r="I47" s="173" t="s">
        <v>139</v>
      </c>
      <c r="J47" s="174" t="s">
        <v>17</v>
      </c>
      <c r="K47" s="220" t="s">
        <v>18</v>
      </c>
      <c r="L47" s="206"/>
      <c r="M47" s="228">
        <v>45945</v>
      </c>
      <c r="N47" s="124">
        <v>45788</v>
      </c>
    </row>
    <row r="48" spans="1:24" x14ac:dyDescent="0.25">
      <c r="A48" s="86"/>
      <c r="B48" s="86"/>
      <c r="C48" s="185">
        <f>SUM(C4:C47)</f>
        <v>67993.499999999971</v>
      </c>
      <c r="D48" s="44">
        <v>0.25</v>
      </c>
      <c r="E48" s="143">
        <f>SUM(E4:E47)</f>
        <v>16998.374999999993</v>
      </c>
      <c r="F48" s="143">
        <f t="shared" ref="F48:G48" si="2">SUM(F4:F47)</f>
        <v>8299.8700000000008</v>
      </c>
      <c r="G48" s="143">
        <f t="shared" si="2"/>
        <v>8698.5049999999992</v>
      </c>
      <c r="H48" s="86"/>
      <c r="I48" s="163"/>
      <c r="J48" s="164"/>
      <c r="K48" s="86"/>
      <c r="L48" s="79"/>
      <c r="M48" s="79"/>
    </row>
    <row r="50" spans="1:13" x14ac:dyDescent="0.25">
      <c r="I50" s="81" t="s">
        <v>23</v>
      </c>
    </row>
    <row r="51" spans="1:13" x14ac:dyDescent="0.25">
      <c r="A51" s="83"/>
      <c r="B51" s="83"/>
      <c r="C51" s="7"/>
      <c r="I51" s="7"/>
      <c r="J51" s="7"/>
      <c r="L51" s="7"/>
      <c r="M51" s="7"/>
    </row>
    <row r="52" spans="1:13" x14ac:dyDescent="0.25">
      <c r="A52" s="83"/>
      <c r="B52" s="83"/>
      <c r="C52" s="7"/>
      <c r="I52" s="7"/>
      <c r="J52" s="7"/>
      <c r="L52" s="7"/>
      <c r="M52" s="7"/>
    </row>
    <row r="53" spans="1:13" x14ac:dyDescent="0.25">
      <c r="A53" s="83"/>
      <c r="B53" s="83"/>
      <c r="C53" s="7"/>
      <c r="I53" s="7"/>
      <c r="J53" s="7"/>
      <c r="L53" s="7"/>
      <c r="M53" s="7"/>
    </row>
    <row r="54" spans="1:13" x14ac:dyDescent="0.25">
      <c r="A54" s="83"/>
      <c r="B54" s="83"/>
      <c r="C54" s="7"/>
      <c r="I54" s="7"/>
      <c r="J54" s="7"/>
      <c r="L54" s="7"/>
      <c r="M54" s="7"/>
    </row>
    <row r="55" spans="1:13" x14ac:dyDescent="0.25">
      <c r="A55" s="83"/>
      <c r="B55" s="83"/>
      <c r="C55" s="7"/>
      <c r="I55" s="7"/>
      <c r="J55" s="7"/>
      <c r="L55" s="7"/>
      <c r="M55" s="7"/>
    </row>
  </sheetData>
  <autoFilter ref="A2:M48" xr:uid="{C340563F-4BA3-4596-A156-A5FF210EF9DC}"/>
  <mergeCells count="13">
    <mergeCell ref="M2:M3"/>
    <mergeCell ref="F2:F3"/>
    <mergeCell ref="G2:G3"/>
    <mergeCell ref="A2:A3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conditionalFormatting sqref="I36">
    <cfRule type="duplicateValues" dxfId="4" priority="1"/>
  </conditionalFormatting>
  <pageMargins left="0.7" right="0.7" top="0.75" bottom="0.75" header="0.3" footer="0.3"/>
  <pageSetup paperSize="9" scale="3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DF8C-A979-4D85-B17E-7A00FAC11DBF}">
  <dimension ref="A1:X55"/>
  <sheetViews>
    <sheetView view="pageBreakPreview" zoomScale="98" zoomScaleNormal="100" zoomScaleSheetLayoutView="98" workbookViewId="0">
      <selection activeCell="G2" sqref="G2:G3"/>
    </sheetView>
  </sheetViews>
  <sheetFormatPr defaultColWidth="9" defaultRowHeight="15.75" x14ac:dyDescent="0.25"/>
  <cols>
    <col min="1" max="1" width="94.42578125" style="7" bestFit="1" customWidth="1"/>
    <col min="2" max="2" width="41.5703125" style="7" customWidth="1"/>
    <col min="3" max="3" width="13.42578125" style="80" customWidth="1"/>
    <col min="4" max="4" width="16.5703125" style="7" customWidth="1"/>
    <col min="5" max="7" width="17.42578125" style="7" customWidth="1"/>
    <col min="8" max="8" width="12.140625" style="7" customWidth="1"/>
    <col min="9" max="9" width="24.42578125" style="81" hidden="1" customWidth="1"/>
    <col min="10" max="10" width="19.140625" style="82" hidden="1" customWidth="1"/>
    <col min="11" max="11" width="15.140625" style="7" hidden="1" customWidth="1"/>
    <col min="12" max="12" width="11.140625" style="83" hidden="1" customWidth="1"/>
    <col min="13" max="13" width="14.5703125" style="83" customWidth="1"/>
    <col min="14" max="14" width="14.140625" style="7" customWidth="1"/>
    <col min="15" max="16" width="10.140625" style="7" customWidth="1"/>
    <col min="17" max="17" width="42.28515625" style="7" bestFit="1" customWidth="1"/>
    <col min="18" max="18" width="12.42578125" style="7" customWidth="1"/>
    <col min="19" max="19" width="10.5703125" style="7" bestFit="1" customWidth="1"/>
    <col min="20" max="20" width="10.5703125" style="7" customWidth="1"/>
    <col min="21" max="21" width="20.140625" style="7" bestFit="1" customWidth="1"/>
    <col min="22" max="22" width="20.140625" style="7" customWidth="1"/>
    <col min="23" max="23" width="17.140625" style="7" bestFit="1" customWidth="1"/>
    <col min="24" max="16384" width="9" style="7"/>
  </cols>
  <sheetData>
    <row r="1" spans="1:14" x14ac:dyDescent="0.25">
      <c r="A1" s="233" t="s">
        <v>208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39"/>
    </row>
    <row r="2" spans="1:14" ht="15.75" customHeight="1" x14ac:dyDescent="0.25">
      <c r="A2" s="247" t="s">
        <v>2</v>
      </c>
      <c r="B2" s="247" t="s">
        <v>3</v>
      </c>
      <c r="C2" s="250" t="s">
        <v>4</v>
      </c>
      <c r="D2" s="247" t="s">
        <v>5</v>
      </c>
      <c r="E2" s="250" t="s">
        <v>6</v>
      </c>
      <c r="F2" s="250" t="s">
        <v>6</v>
      </c>
      <c r="G2" s="250" t="s">
        <v>8</v>
      </c>
      <c r="H2" s="247" t="s">
        <v>9</v>
      </c>
      <c r="I2" s="247" t="s">
        <v>10</v>
      </c>
      <c r="J2" s="249" t="s">
        <v>11</v>
      </c>
      <c r="K2" s="247" t="s">
        <v>12</v>
      </c>
      <c r="L2" s="245" t="s">
        <v>13</v>
      </c>
      <c r="M2" s="245" t="s">
        <v>14</v>
      </c>
    </row>
    <row r="3" spans="1:14" x14ac:dyDescent="0.25">
      <c r="A3" s="247"/>
      <c r="B3" s="247"/>
      <c r="C3" s="250"/>
      <c r="D3" s="247"/>
      <c r="E3" s="250"/>
      <c r="F3" s="250"/>
      <c r="G3" s="250"/>
      <c r="H3" s="247"/>
      <c r="I3" s="247"/>
      <c r="J3" s="249"/>
      <c r="K3" s="247"/>
      <c r="L3" s="245"/>
      <c r="M3" s="245"/>
    </row>
    <row r="4" spans="1:14" s="211" customFormat="1" x14ac:dyDescent="0.25">
      <c r="A4" s="118">
        <v>1010</v>
      </c>
      <c r="B4" s="119" t="s">
        <v>47</v>
      </c>
      <c r="C4" s="215">
        <v>1860</v>
      </c>
      <c r="D4" s="121">
        <v>0.25</v>
      </c>
      <c r="E4" s="122">
        <f t="shared" ref="E4:E47" si="0">SUM(C4*D4)</f>
        <v>465</v>
      </c>
      <c r="F4" s="122">
        <f>462.57+2.43</f>
        <v>465</v>
      </c>
      <c r="G4" s="122">
        <f>E4-F4</f>
        <v>0</v>
      </c>
      <c r="H4" s="123">
        <v>315313</v>
      </c>
      <c r="I4" s="173" t="s">
        <v>88</v>
      </c>
      <c r="J4" s="174" t="s">
        <v>89</v>
      </c>
      <c r="K4" s="175" t="s">
        <v>90</v>
      </c>
      <c r="L4" s="145">
        <v>92600441</v>
      </c>
      <c r="M4" s="211" t="s">
        <v>213</v>
      </c>
      <c r="N4" s="229" t="s">
        <v>221</v>
      </c>
    </row>
    <row r="5" spans="1:14" x14ac:dyDescent="0.25">
      <c r="A5" s="41">
        <v>1038</v>
      </c>
      <c r="B5" s="42" t="s">
        <v>48</v>
      </c>
      <c r="C5" s="188">
        <v>1912.7</v>
      </c>
      <c r="D5" s="44">
        <v>0.25</v>
      </c>
      <c r="E5" s="143">
        <f t="shared" si="0"/>
        <v>478.17500000000001</v>
      </c>
      <c r="F5" s="143"/>
      <c r="G5" s="143">
        <f t="shared" ref="G5:G47" si="1">E5-F5</f>
        <v>478.17500000000001</v>
      </c>
      <c r="H5" s="46">
        <v>5247837</v>
      </c>
      <c r="I5" s="47" t="s">
        <v>91</v>
      </c>
      <c r="J5" s="48" t="s">
        <v>17</v>
      </c>
      <c r="K5" s="49" t="s">
        <v>18</v>
      </c>
      <c r="L5" s="51">
        <v>99441537</v>
      </c>
      <c r="M5" s="51"/>
    </row>
    <row r="6" spans="1:14" s="211" customFormat="1" x14ac:dyDescent="0.25">
      <c r="A6" s="118">
        <v>1065</v>
      </c>
      <c r="B6" s="119" t="s">
        <v>49</v>
      </c>
      <c r="C6" s="215">
        <v>578.6</v>
      </c>
      <c r="D6" s="121">
        <v>0.25</v>
      </c>
      <c r="E6" s="122">
        <f t="shared" si="0"/>
        <v>144.65</v>
      </c>
      <c r="F6" s="122">
        <f>141.64+3.01</f>
        <v>144.64999999999998</v>
      </c>
      <c r="G6" s="122">
        <f t="shared" si="1"/>
        <v>0</v>
      </c>
      <c r="H6" s="123">
        <v>1276058</v>
      </c>
      <c r="I6" s="204" t="s">
        <v>92</v>
      </c>
      <c r="J6" s="174" t="s">
        <v>17</v>
      </c>
      <c r="K6" s="175" t="s">
        <v>18</v>
      </c>
      <c r="L6" s="145">
        <v>99498549</v>
      </c>
      <c r="M6" s="145" t="s">
        <v>212</v>
      </c>
      <c r="N6" s="229" t="s">
        <v>221</v>
      </c>
    </row>
    <row r="7" spans="1:14" s="211" customFormat="1" x14ac:dyDescent="0.25">
      <c r="A7" s="118">
        <v>1071</v>
      </c>
      <c r="B7" s="119" t="s">
        <v>31</v>
      </c>
      <c r="C7" s="120">
        <v>575.9</v>
      </c>
      <c r="D7" s="121">
        <v>0.25</v>
      </c>
      <c r="E7" s="122">
        <f t="shared" si="0"/>
        <v>143.97499999999999</v>
      </c>
      <c r="F7" s="122">
        <f>141.39+2.585</f>
        <v>143.97499999999999</v>
      </c>
      <c r="G7" s="122">
        <f t="shared" si="1"/>
        <v>0</v>
      </c>
      <c r="H7" s="123">
        <v>390741</v>
      </c>
      <c r="I7" s="173" t="s">
        <v>93</v>
      </c>
      <c r="J7" s="174" t="s">
        <v>94</v>
      </c>
      <c r="K7" s="175" t="s">
        <v>95</v>
      </c>
      <c r="L7" s="145">
        <v>99589144</v>
      </c>
      <c r="M7" s="124">
        <v>45972</v>
      </c>
      <c r="N7" s="229" t="s">
        <v>221</v>
      </c>
    </row>
    <row r="8" spans="1:14" s="211" customFormat="1" x14ac:dyDescent="0.25">
      <c r="A8" s="118">
        <v>1086</v>
      </c>
      <c r="B8" s="119" t="s">
        <v>27</v>
      </c>
      <c r="C8" s="120">
        <v>1160</v>
      </c>
      <c r="D8" s="121">
        <v>0.25</v>
      </c>
      <c r="E8" s="122">
        <f t="shared" si="0"/>
        <v>290</v>
      </c>
      <c r="F8" s="122">
        <f>287.24+2.76</f>
        <v>290</v>
      </c>
      <c r="G8" s="122">
        <f t="shared" si="1"/>
        <v>0</v>
      </c>
      <c r="H8" s="123">
        <v>2379573</v>
      </c>
      <c r="I8" s="204" t="s">
        <v>96</v>
      </c>
      <c r="J8" s="174" t="s">
        <v>94</v>
      </c>
      <c r="K8" s="175" t="s">
        <v>95</v>
      </c>
      <c r="L8" s="145">
        <v>92917899</v>
      </c>
      <c r="M8" s="145" t="s">
        <v>214</v>
      </c>
      <c r="N8" s="124">
        <v>45942</v>
      </c>
    </row>
    <row r="9" spans="1:14" x14ac:dyDescent="0.25">
      <c r="A9" s="118">
        <v>1123</v>
      </c>
      <c r="B9" s="119" t="s">
        <v>33</v>
      </c>
      <c r="C9" s="120">
        <v>1250.4000000000001</v>
      </c>
      <c r="D9" s="121">
        <v>0.25</v>
      </c>
      <c r="E9" s="122">
        <f t="shared" si="0"/>
        <v>312.60000000000002</v>
      </c>
      <c r="F9" s="122">
        <f>309.32+3.28</f>
        <v>312.59999999999997</v>
      </c>
      <c r="G9" s="122">
        <f t="shared" si="1"/>
        <v>0</v>
      </c>
      <c r="H9" s="123">
        <v>655141</v>
      </c>
      <c r="I9" s="173" t="s">
        <v>97</v>
      </c>
      <c r="J9" s="174" t="s">
        <v>98</v>
      </c>
      <c r="K9" s="175" t="s">
        <v>99</v>
      </c>
      <c r="L9" s="145">
        <v>99485623</v>
      </c>
      <c r="M9" s="145" t="s">
        <v>214</v>
      </c>
      <c r="N9" s="229" t="s">
        <v>221</v>
      </c>
    </row>
    <row r="10" spans="1:14" x14ac:dyDescent="0.25">
      <c r="A10" s="61">
        <v>1130</v>
      </c>
      <c r="B10" s="52" t="s">
        <v>51</v>
      </c>
      <c r="C10" s="185">
        <v>1092.7</v>
      </c>
      <c r="D10" s="44">
        <v>0.25</v>
      </c>
      <c r="E10" s="143">
        <f t="shared" si="0"/>
        <v>273.17500000000001</v>
      </c>
      <c r="F10" s="143"/>
      <c r="G10" s="143">
        <f t="shared" si="1"/>
        <v>273.17500000000001</v>
      </c>
      <c r="H10" s="63">
        <v>5485645</v>
      </c>
      <c r="I10" s="155" t="s">
        <v>101</v>
      </c>
      <c r="J10" s="156" t="s">
        <v>17</v>
      </c>
      <c r="K10" s="49" t="s">
        <v>18</v>
      </c>
      <c r="L10" s="64">
        <v>90977488</v>
      </c>
      <c r="M10" s="64"/>
    </row>
    <row r="11" spans="1:14" x14ac:dyDescent="0.25">
      <c r="A11" s="41">
        <v>1152</v>
      </c>
      <c r="B11" s="42" t="s">
        <v>52</v>
      </c>
      <c r="C11" s="185">
        <v>1675.5</v>
      </c>
      <c r="D11" s="44">
        <v>0.25</v>
      </c>
      <c r="E11" s="143">
        <f t="shared" si="0"/>
        <v>418.875</v>
      </c>
      <c r="F11" s="143"/>
      <c r="G11" s="143">
        <f t="shared" si="1"/>
        <v>418.875</v>
      </c>
      <c r="H11" s="46">
        <v>5254327</v>
      </c>
      <c r="I11" s="52" t="s">
        <v>102</v>
      </c>
      <c r="J11" s="48" t="s">
        <v>94</v>
      </c>
      <c r="K11" s="49" t="s">
        <v>95</v>
      </c>
      <c r="L11" s="51">
        <v>99692328</v>
      </c>
      <c r="M11" s="51"/>
    </row>
    <row r="12" spans="1:14" x14ac:dyDescent="0.25">
      <c r="A12" s="41">
        <v>1200</v>
      </c>
      <c r="B12" s="42" t="s">
        <v>53</v>
      </c>
      <c r="C12" s="185">
        <v>857.9</v>
      </c>
      <c r="D12" s="44">
        <v>0.25</v>
      </c>
      <c r="E12" s="143">
        <f t="shared" si="0"/>
        <v>214.47499999999999</v>
      </c>
      <c r="F12" s="143"/>
      <c r="G12" s="143">
        <f t="shared" si="1"/>
        <v>214.47499999999999</v>
      </c>
      <c r="H12" s="46">
        <v>7287174</v>
      </c>
      <c r="I12" s="52" t="s">
        <v>103</v>
      </c>
      <c r="J12" s="48" t="s">
        <v>94</v>
      </c>
      <c r="K12" s="49" t="s">
        <v>95</v>
      </c>
      <c r="L12" s="51">
        <v>99673747</v>
      </c>
      <c r="M12" s="51"/>
    </row>
    <row r="13" spans="1:14" x14ac:dyDescent="0.25">
      <c r="A13" s="41">
        <v>1276</v>
      </c>
      <c r="B13" s="42" t="s">
        <v>54</v>
      </c>
      <c r="C13" s="185">
        <v>550</v>
      </c>
      <c r="D13" s="44">
        <v>0.25</v>
      </c>
      <c r="E13" s="143">
        <f t="shared" si="0"/>
        <v>137.5</v>
      </c>
      <c r="F13" s="143"/>
      <c r="G13" s="143">
        <f t="shared" si="1"/>
        <v>137.5</v>
      </c>
      <c r="H13" s="46">
        <v>334495</v>
      </c>
      <c r="I13" s="47" t="s">
        <v>104</v>
      </c>
      <c r="J13" s="48" t="s">
        <v>17</v>
      </c>
      <c r="K13" s="49" t="s">
        <v>18</v>
      </c>
      <c r="L13" s="51">
        <v>99170505</v>
      </c>
      <c r="M13" s="51"/>
    </row>
    <row r="14" spans="1:14" x14ac:dyDescent="0.25">
      <c r="A14" s="41">
        <v>1281</v>
      </c>
      <c r="B14" s="42" t="s">
        <v>55</v>
      </c>
      <c r="C14" s="185">
        <v>1703.2</v>
      </c>
      <c r="D14" s="44">
        <v>0.25</v>
      </c>
      <c r="E14" s="143">
        <f t="shared" si="0"/>
        <v>425.8</v>
      </c>
      <c r="F14" s="143"/>
      <c r="G14" s="143">
        <f t="shared" si="1"/>
        <v>425.8</v>
      </c>
      <c r="H14" s="46">
        <v>6310986</v>
      </c>
      <c r="I14" s="52" t="s">
        <v>105</v>
      </c>
      <c r="J14" s="48" t="s">
        <v>17</v>
      </c>
      <c r="K14" s="49" t="s">
        <v>18</v>
      </c>
      <c r="L14" s="51">
        <v>92922944</v>
      </c>
      <c r="M14" s="51"/>
    </row>
    <row r="15" spans="1:14" x14ac:dyDescent="0.25">
      <c r="A15" s="41">
        <v>1308</v>
      </c>
      <c r="B15" s="42" t="s">
        <v>35</v>
      </c>
      <c r="C15" s="185">
        <v>580</v>
      </c>
      <c r="D15" s="44">
        <v>0.25</v>
      </c>
      <c r="E15" s="143">
        <f t="shared" si="0"/>
        <v>145</v>
      </c>
      <c r="F15" s="143"/>
      <c r="G15" s="143">
        <f t="shared" si="1"/>
        <v>145</v>
      </c>
      <c r="H15" s="46">
        <v>6225641</v>
      </c>
      <c r="I15" s="47" t="s">
        <v>106</v>
      </c>
      <c r="J15" s="48" t="s">
        <v>94</v>
      </c>
      <c r="K15" s="49" t="s">
        <v>95</v>
      </c>
      <c r="L15" s="51">
        <v>92055550</v>
      </c>
      <c r="M15" s="51"/>
    </row>
    <row r="16" spans="1:14" s="141" customFormat="1" x14ac:dyDescent="0.25">
      <c r="A16" s="135">
        <v>1337</v>
      </c>
      <c r="B16" s="136" t="s">
        <v>56</v>
      </c>
      <c r="C16" s="148">
        <v>576.70000000000005</v>
      </c>
      <c r="D16" s="138">
        <v>0.25</v>
      </c>
      <c r="E16" s="139">
        <f t="shared" si="0"/>
        <v>144.17500000000001</v>
      </c>
      <c r="F16" s="139">
        <f>E16</f>
        <v>144.17500000000001</v>
      </c>
      <c r="G16" s="139">
        <f t="shared" si="1"/>
        <v>0</v>
      </c>
      <c r="H16" s="140">
        <v>6719626</v>
      </c>
      <c r="I16" s="223" t="s">
        <v>107</v>
      </c>
      <c r="J16" s="149" t="s">
        <v>17</v>
      </c>
      <c r="K16" s="224" t="s">
        <v>18</v>
      </c>
      <c r="L16" s="225">
        <v>97726288</v>
      </c>
      <c r="M16" s="225" t="s">
        <v>215</v>
      </c>
    </row>
    <row r="17" spans="1:24" s="65" customFormat="1" ht="15" customHeight="1" x14ac:dyDescent="0.25">
      <c r="A17" s="41">
        <v>1339</v>
      </c>
      <c r="B17" s="42" t="s">
        <v>57</v>
      </c>
      <c r="C17" s="185">
        <v>5317</v>
      </c>
      <c r="D17" s="44">
        <v>0.25</v>
      </c>
      <c r="E17" s="143">
        <f t="shared" si="0"/>
        <v>1329.25</v>
      </c>
      <c r="F17" s="143"/>
      <c r="G17" s="143">
        <f t="shared" si="1"/>
        <v>1329.25</v>
      </c>
      <c r="H17" s="46">
        <v>3090574</v>
      </c>
      <c r="I17" s="47" t="s">
        <v>108</v>
      </c>
      <c r="J17" s="46" t="s">
        <v>94</v>
      </c>
      <c r="K17" s="46" t="s">
        <v>95</v>
      </c>
      <c r="L17" s="51">
        <v>99292421</v>
      </c>
      <c r="M17" s="51"/>
      <c r="P17" s="7"/>
      <c r="R17" s="7"/>
      <c r="T17" s="7"/>
      <c r="V17" s="7"/>
      <c r="X17" s="7"/>
    </row>
    <row r="18" spans="1:24" s="211" customFormat="1" ht="15" customHeight="1" x14ac:dyDescent="0.25">
      <c r="A18" s="118">
        <v>1340</v>
      </c>
      <c r="B18" s="123" t="s">
        <v>36</v>
      </c>
      <c r="C18" s="120">
        <v>602.29999999999995</v>
      </c>
      <c r="D18" s="121">
        <v>0.25</v>
      </c>
      <c r="E18" s="122">
        <f t="shared" si="0"/>
        <v>150.57499999999999</v>
      </c>
      <c r="F18" s="122">
        <f>150.57+0.005</f>
        <v>150.57499999999999</v>
      </c>
      <c r="G18" s="122">
        <f t="shared" si="1"/>
        <v>0</v>
      </c>
      <c r="H18" s="145">
        <v>7279274</v>
      </c>
      <c r="I18" s="221" t="s">
        <v>109</v>
      </c>
      <c r="J18" s="174" t="s">
        <v>110</v>
      </c>
      <c r="K18" s="221" t="s">
        <v>18</v>
      </c>
      <c r="L18" s="145">
        <v>93808816</v>
      </c>
      <c r="M18" s="124">
        <v>45972</v>
      </c>
      <c r="N18" s="145" t="s">
        <v>225</v>
      </c>
    </row>
    <row r="19" spans="1:24" x14ac:dyDescent="0.25">
      <c r="A19" s="41">
        <v>1341</v>
      </c>
      <c r="B19" s="42" t="s">
        <v>58</v>
      </c>
      <c r="C19" s="185">
        <v>1334</v>
      </c>
      <c r="D19" s="44">
        <v>0.25</v>
      </c>
      <c r="E19" s="143">
        <f t="shared" si="0"/>
        <v>333.5</v>
      </c>
      <c r="F19" s="143"/>
      <c r="G19" s="143">
        <f t="shared" si="1"/>
        <v>333.5</v>
      </c>
      <c r="H19" s="46">
        <v>15977579</v>
      </c>
      <c r="I19" s="52" t="s">
        <v>111</v>
      </c>
      <c r="J19" s="48" t="s">
        <v>110</v>
      </c>
      <c r="K19" s="49" t="s">
        <v>18</v>
      </c>
      <c r="L19" s="51">
        <v>92578822</v>
      </c>
      <c r="M19" s="51"/>
    </row>
    <row r="20" spans="1:24" s="211" customFormat="1" x14ac:dyDescent="0.25">
      <c r="A20" s="118">
        <v>1342</v>
      </c>
      <c r="B20" s="119" t="s">
        <v>59</v>
      </c>
      <c r="C20" s="120">
        <v>210.2</v>
      </c>
      <c r="D20" s="121">
        <v>0.25</v>
      </c>
      <c r="E20" s="122">
        <f t="shared" si="0"/>
        <v>52.55</v>
      </c>
      <c r="F20" s="122">
        <f>48.78+3.77</f>
        <v>52.550000000000004</v>
      </c>
      <c r="G20" s="122">
        <f t="shared" si="1"/>
        <v>0</v>
      </c>
      <c r="H20" s="123">
        <v>13950469</v>
      </c>
      <c r="I20" s="173" t="s">
        <v>112</v>
      </c>
      <c r="J20" s="174" t="s">
        <v>110</v>
      </c>
      <c r="K20" s="175" t="s">
        <v>18</v>
      </c>
      <c r="L20" s="145">
        <v>92341118</v>
      </c>
      <c r="M20" s="145" t="s">
        <v>214</v>
      </c>
      <c r="N20" s="229" t="s">
        <v>222</v>
      </c>
    </row>
    <row r="21" spans="1:24" s="141" customFormat="1" x14ac:dyDescent="0.25">
      <c r="A21" s="135">
        <v>1343</v>
      </c>
      <c r="B21" s="136" t="s">
        <v>29</v>
      </c>
      <c r="C21" s="137">
        <v>1160</v>
      </c>
      <c r="D21" s="138">
        <v>0.25</v>
      </c>
      <c r="E21" s="139">
        <f t="shared" si="0"/>
        <v>290</v>
      </c>
      <c r="F21" s="139">
        <f>E21</f>
        <v>290</v>
      </c>
      <c r="G21" s="139">
        <f t="shared" si="1"/>
        <v>0</v>
      </c>
      <c r="H21" s="140">
        <v>5160297</v>
      </c>
      <c r="I21" s="223" t="s">
        <v>113</v>
      </c>
      <c r="J21" s="149" t="s">
        <v>94</v>
      </c>
      <c r="K21" s="224" t="s">
        <v>95</v>
      </c>
      <c r="L21" s="225">
        <v>93501199</v>
      </c>
      <c r="M21" s="141" t="s">
        <v>220</v>
      </c>
    </row>
    <row r="22" spans="1:24" x14ac:dyDescent="0.25">
      <c r="A22" s="41">
        <v>1345</v>
      </c>
      <c r="B22" s="63" t="s">
        <v>60</v>
      </c>
      <c r="C22" s="185">
        <v>5310.5</v>
      </c>
      <c r="D22" s="67">
        <v>0.25</v>
      </c>
      <c r="E22" s="143">
        <f t="shared" si="0"/>
        <v>1327.625</v>
      </c>
      <c r="F22" s="143"/>
      <c r="G22" s="143">
        <f t="shared" si="1"/>
        <v>1327.625</v>
      </c>
      <c r="H22" s="63">
        <v>10578952</v>
      </c>
      <c r="I22" s="155" t="s">
        <v>114</v>
      </c>
      <c r="J22" s="156" t="s">
        <v>115</v>
      </c>
      <c r="K22" s="49" t="s">
        <v>116</v>
      </c>
      <c r="L22" s="64">
        <v>92194382</v>
      </c>
      <c r="M22" s="64"/>
      <c r="U22" s="226"/>
    </row>
    <row r="23" spans="1:24" x14ac:dyDescent="0.25">
      <c r="A23" s="41">
        <v>1349</v>
      </c>
      <c r="B23" s="42" t="s">
        <v>38</v>
      </c>
      <c r="C23" s="185">
        <v>549.79999999999995</v>
      </c>
      <c r="D23" s="44">
        <v>0.25</v>
      </c>
      <c r="E23" s="143">
        <f t="shared" si="0"/>
        <v>137.44999999999999</v>
      </c>
      <c r="F23" s="143"/>
      <c r="G23" s="143">
        <f t="shared" si="1"/>
        <v>137.44999999999999</v>
      </c>
      <c r="H23" s="46">
        <v>7128679</v>
      </c>
      <c r="I23" s="52" t="s">
        <v>117</v>
      </c>
      <c r="J23" s="48" t="s">
        <v>17</v>
      </c>
      <c r="K23" s="49" t="s">
        <v>18</v>
      </c>
      <c r="L23" s="51">
        <v>91408836</v>
      </c>
      <c r="M23" s="51"/>
    </row>
    <row r="24" spans="1:24" x14ac:dyDescent="0.25">
      <c r="A24" s="41">
        <v>1350</v>
      </c>
      <c r="B24" s="42" t="s">
        <v>61</v>
      </c>
      <c r="C24" s="185">
        <v>4167</v>
      </c>
      <c r="D24" s="44">
        <v>0.25</v>
      </c>
      <c r="E24" s="143">
        <f t="shared" si="0"/>
        <v>1041.75</v>
      </c>
      <c r="F24" s="143"/>
      <c r="G24" s="143">
        <f t="shared" si="1"/>
        <v>1041.75</v>
      </c>
      <c r="H24" s="46">
        <v>6752017</v>
      </c>
      <c r="I24" s="52" t="s">
        <v>118</v>
      </c>
      <c r="J24" s="48" t="s">
        <v>17</v>
      </c>
      <c r="K24" s="49" t="s">
        <v>18</v>
      </c>
      <c r="L24" s="51">
        <v>92520708</v>
      </c>
      <c r="M24" s="51"/>
    </row>
    <row r="25" spans="1:24" s="211" customFormat="1" x14ac:dyDescent="0.25">
      <c r="A25" s="118">
        <v>1353</v>
      </c>
      <c r="B25" s="119" t="s">
        <v>62</v>
      </c>
      <c r="C25" s="120">
        <v>5800</v>
      </c>
      <c r="D25" s="121">
        <v>0.25</v>
      </c>
      <c r="E25" s="122">
        <f t="shared" si="0"/>
        <v>1450</v>
      </c>
      <c r="F25" s="122">
        <f>0.63+1445.3+4.07</f>
        <v>1450</v>
      </c>
      <c r="G25" s="122">
        <f t="shared" si="1"/>
        <v>0</v>
      </c>
      <c r="H25" s="123">
        <v>5217694</v>
      </c>
      <c r="I25" s="204" t="s">
        <v>142</v>
      </c>
      <c r="J25" s="174" t="s">
        <v>94</v>
      </c>
      <c r="K25" s="175" t="s">
        <v>95</v>
      </c>
      <c r="L25" s="145">
        <v>92749180</v>
      </c>
      <c r="M25" s="228">
        <v>45945</v>
      </c>
      <c r="N25" s="211" t="s">
        <v>217</v>
      </c>
      <c r="O25" s="229" t="s">
        <v>221</v>
      </c>
    </row>
    <row r="26" spans="1:24" x14ac:dyDescent="0.25">
      <c r="A26" s="41">
        <v>1355</v>
      </c>
      <c r="B26" s="42" t="s">
        <v>64</v>
      </c>
      <c r="C26" s="187">
        <v>2290.1</v>
      </c>
      <c r="D26" s="44">
        <v>0.25</v>
      </c>
      <c r="E26" s="143">
        <f t="shared" si="0"/>
        <v>572.52499999999998</v>
      </c>
      <c r="F26" s="143"/>
      <c r="G26" s="143">
        <f t="shared" si="1"/>
        <v>572.52499999999998</v>
      </c>
      <c r="H26" s="46">
        <v>585058</v>
      </c>
      <c r="I26" s="52" t="s">
        <v>119</v>
      </c>
      <c r="J26" s="48" t="s">
        <v>94</v>
      </c>
      <c r="K26" s="49" t="s">
        <v>95</v>
      </c>
      <c r="L26" s="51">
        <v>99055262</v>
      </c>
      <c r="M26" s="51"/>
    </row>
    <row r="27" spans="1:24" x14ac:dyDescent="0.25">
      <c r="A27" s="41">
        <v>1356</v>
      </c>
      <c r="B27" s="42" t="s">
        <v>65</v>
      </c>
      <c r="C27" s="185">
        <v>1160</v>
      </c>
      <c r="D27" s="44">
        <v>0.25</v>
      </c>
      <c r="E27" s="143">
        <f t="shared" si="0"/>
        <v>290</v>
      </c>
      <c r="F27" s="143"/>
      <c r="G27" s="143">
        <f t="shared" si="1"/>
        <v>290</v>
      </c>
      <c r="H27" s="46">
        <v>7494112</v>
      </c>
      <c r="I27" s="52" t="s">
        <v>143</v>
      </c>
      <c r="J27" s="48" t="s">
        <v>17</v>
      </c>
      <c r="K27" s="49" t="s">
        <v>18</v>
      </c>
      <c r="L27" s="51">
        <v>99488186</v>
      </c>
      <c r="M27" s="51"/>
    </row>
    <row r="28" spans="1:24" s="211" customFormat="1" x14ac:dyDescent="0.25">
      <c r="A28" s="118">
        <v>1362</v>
      </c>
      <c r="B28" s="119" t="s">
        <v>15</v>
      </c>
      <c r="C28" s="120">
        <v>1706.9</v>
      </c>
      <c r="D28" s="121">
        <v>0.25</v>
      </c>
      <c r="E28" s="122">
        <f t="shared" si="0"/>
        <v>426.72500000000002</v>
      </c>
      <c r="F28" s="122">
        <f>418.273+8.452</f>
        <v>426.72500000000002</v>
      </c>
      <c r="G28" s="122">
        <f t="shared" si="1"/>
        <v>0</v>
      </c>
      <c r="H28" s="123">
        <v>2429041</v>
      </c>
      <c r="I28" s="204" t="s">
        <v>16</v>
      </c>
      <c r="J28" s="174" t="s">
        <v>17</v>
      </c>
      <c r="K28" s="175" t="s">
        <v>18</v>
      </c>
      <c r="L28" s="145">
        <v>93663694</v>
      </c>
      <c r="M28" s="145" t="s">
        <v>212</v>
      </c>
      <c r="N28" s="229" t="s">
        <v>224</v>
      </c>
    </row>
    <row r="29" spans="1:24" x14ac:dyDescent="0.25">
      <c r="A29" s="41">
        <v>1363</v>
      </c>
      <c r="B29" s="42" t="s">
        <v>67</v>
      </c>
      <c r="C29" s="185">
        <v>2107.6</v>
      </c>
      <c r="D29" s="44">
        <v>0.25</v>
      </c>
      <c r="E29" s="143">
        <f t="shared" si="0"/>
        <v>526.9</v>
      </c>
      <c r="F29" s="143"/>
      <c r="G29" s="143">
        <f t="shared" si="1"/>
        <v>526.9</v>
      </c>
      <c r="H29" s="46">
        <v>322352</v>
      </c>
      <c r="I29" s="52" t="s">
        <v>120</v>
      </c>
      <c r="J29" s="48" t="s">
        <v>17</v>
      </c>
      <c r="K29" s="49" t="s">
        <v>18</v>
      </c>
      <c r="L29" s="51">
        <v>98842645</v>
      </c>
      <c r="M29" s="51"/>
    </row>
    <row r="30" spans="1:24" x14ac:dyDescent="0.25">
      <c r="A30" s="41">
        <v>1364</v>
      </c>
      <c r="B30" s="42" t="s">
        <v>68</v>
      </c>
      <c r="C30" s="185">
        <v>537.20000000000005</v>
      </c>
      <c r="D30" s="44">
        <v>0.25</v>
      </c>
      <c r="E30" s="143">
        <f t="shared" si="0"/>
        <v>134.30000000000001</v>
      </c>
      <c r="F30" s="143"/>
      <c r="G30" s="143">
        <f t="shared" si="1"/>
        <v>134.30000000000001</v>
      </c>
      <c r="H30" s="46">
        <v>7113811</v>
      </c>
      <c r="I30" s="52" t="s">
        <v>121</v>
      </c>
      <c r="J30" s="48" t="s">
        <v>94</v>
      </c>
      <c r="K30" s="49" t="s">
        <v>95</v>
      </c>
      <c r="L30" s="51">
        <v>92969982</v>
      </c>
      <c r="M30" s="51"/>
    </row>
    <row r="31" spans="1:24" s="211" customFormat="1" x14ac:dyDescent="0.25">
      <c r="A31" s="118">
        <v>1366</v>
      </c>
      <c r="B31" s="119" t="s">
        <v>39</v>
      </c>
      <c r="C31" s="120">
        <v>2275.8000000000002</v>
      </c>
      <c r="D31" s="121">
        <v>0.25</v>
      </c>
      <c r="E31" s="122">
        <f t="shared" si="0"/>
        <v>568.95000000000005</v>
      </c>
      <c r="F31" s="122">
        <f>568.91+0.04</f>
        <v>568.94999999999993</v>
      </c>
      <c r="G31" s="122">
        <f t="shared" si="1"/>
        <v>0</v>
      </c>
      <c r="H31" s="123">
        <v>8318385</v>
      </c>
      <c r="I31" s="204" t="s">
        <v>122</v>
      </c>
      <c r="J31" s="174" t="s">
        <v>17</v>
      </c>
      <c r="K31" s="175" t="s">
        <v>18</v>
      </c>
      <c r="L31" s="145">
        <v>90660210</v>
      </c>
      <c r="M31" s="124">
        <v>45758</v>
      </c>
      <c r="N31" s="145" t="s">
        <v>217</v>
      </c>
    </row>
    <row r="32" spans="1:24" x14ac:dyDescent="0.25">
      <c r="A32" s="61">
        <v>1370</v>
      </c>
      <c r="B32" s="52" t="s">
        <v>20</v>
      </c>
      <c r="C32" s="185">
        <v>1738.5</v>
      </c>
      <c r="D32" s="44">
        <v>0.25</v>
      </c>
      <c r="E32" s="143">
        <f t="shared" si="0"/>
        <v>434.625</v>
      </c>
      <c r="F32" s="143"/>
      <c r="G32" s="143">
        <f t="shared" si="1"/>
        <v>434.625</v>
      </c>
      <c r="H32" s="42">
        <v>14431965</v>
      </c>
      <c r="I32" s="47" t="s">
        <v>21</v>
      </c>
      <c r="J32" s="48" t="s">
        <v>17</v>
      </c>
      <c r="K32" s="49" t="s">
        <v>18</v>
      </c>
      <c r="L32" s="70">
        <v>99693775</v>
      </c>
      <c r="M32" s="70"/>
    </row>
    <row r="33" spans="1:24" x14ac:dyDescent="0.25">
      <c r="A33" s="61">
        <v>1371</v>
      </c>
      <c r="B33" s="52" t="s">
        <v>40</v>
      </c>
      <c r="C33" s="185">
        <v>1740</v>
      </c>
      <c r="D33" s="44">
        <v>0.25</v>
      </c>
      <c r="E33" s="143">
        <f t="shared" si="0"/>
        <v>435</v>
      </c>
      <c r="F33" s="143"/>
      <c r="G33" s="143">
        <f t="shared" si="1"/>
        <v>435</v>
      </c>
      <c r="H33" s="42">
        <v>990755</v>
      </c>
      <c r="I33" s="47" t="s">
        <v>123</v>
      </c>
      <c r="J33" s="48" t="s">
        <v>89</v>
      </c>
      <c r="K33" s="49" t="s">
        <v>90</v>
      </c>
      <c r="L33" s="70">
        <v>92556210</v>
      </c>
      <c r="M33" s="70"/>
    </row>
    <row r="34" spans="1:24" x14ac:dyDescent="0.25">
      <c r="A34" s="61">
        <v>1372</v>
      </c>
      <c r="B34" s="52" t="s">
        <v>69</v>
      </c>
      <c r="C34" s="185">
        <v>1667.8</v>
      </c>
      <c r="D34" s="44">
        <v>0.25</v>
      </c>
      <c r="E34" s="143">
        <f t="shared" si="0"/>
        <v>416.95</v>
      </c>
      <c r="F34" s="143"/>
      <c r="G34" s="143">
        <f t="shared" si="1"/>
        <v>416.95</v>
      </c>
      <c r="H34" s="48">
        <v>628655</v>
      </c>
      <c r="I34" s="47" t="s">
        <v>124</v>
      </c>
      <c r="J34" s="48" t="s">
        <v>94</v>
      </c>
      <c r="K34" s="49" t="s">
        <v>95</v>
      </c>
      <c r="L34" s="70">
        <v>98976629</v>
      </c>
      <c r="M34" s="70"/>
    </row>
    <row r="35" spans="1:24" s="211" customFormat="1" x14ac:dyDescent="0.25">
      <c r="A35" s="203">
        <v>1373</v>
      </c>
      <c r="B35" s="204" t="s">
        <v>70</v>
      </c>
      <c r="C35" s="120">
        <v>511.5</v>
      </c>
      <c r="D35" s="121">
        <v>0.25</v>
      </c>
      <c r="E35" s="122">
        <f t="shared" si="0"/>
        <v>127.875</v>
      </c>
      <c r="F35" s="122">
        <f>127.79+0.085</f>
        <v>127.875</v>
      </c>
      <c r="G35" s="122">
        <f t="shared" si="1"/>
        <v>0</v>
      </c>
      <c r="H35" s="174">
        <v>734281</v>
      </c>
      <c r="I35" s="205" t="s">
        <v>125</v>
      </c>
      <c r="J35" s="174" t="s">
        <v>17</v>
      </c>
      <c r="K35" s="175" t="s">
        <v>18</v>
      </c>
      <c r="L35" s="206">
        <v>99891516</v>
      </c>
      <c r="M35" s="124">
        <v>45788</v>
      </c>
      <c r="N35" s="229" t="s">
        <v>221</v>
      </c>
    </row>
    <row r="36" spans="1:24" x14ac:dyDescent="0.25">
      <c r="A36" s="61">
        <v>1375</v>
      </c>
      <c r="B36" s="52" t="s">
        <v>71</v>
      </c>
      <c r="C36" s="185">
        <v>578</v>
      </c>
      <c r="D36" s="44">
        <v>0.25</v>
      </c>
      <c r="E36" s="143">
        <f t="shared" si="0"/>
        <v>144.5</v>
      </c>
      <c r="F36" s="143"/>
      <c r="G36" s="143">
        <f t="shared" si="1"/>
        <v>144.5</v>
      </c>
      <c r="H36" s="48">
        <v>6748627</v>
      </c>
      <c r="I36" s="158" t="s">
        <v>126</v>
      </c>
      <c r="J36" s="159" t="s">
        <v>127</v>
      </c>
      <c r="K36" s="159" t="s">
        <v>128</v>
      </c>
      <c r="L36" s="70">
        <v>93707700</v>
      </c>
      <c r="M36" s="70"/>
    </row>
    <row r="37" spans="1:24" s="211" customFormat="1" x14ac:dyDescent="0.25">
      <c r="A37" s="203">
        <v>1377</v>
      </c>
      <c r="B37" s="204" t="s">
        <v>72</v>
      </c>
      <c r="C37" s="120">
        <v>550.1</v>
      </c>
      <c r="D37" s="121">
        <v>0.25</v>
      </c>
      <c r="E37" s="122">
        <f t="shared" si="0"/>
        <v>137.52500000000001</v>
      </c>
      <c r="F37" s="122">
        <f>136.35+1.175</f>
        <v>137.52500000000001</v>
      </c>
      <c r="G37" s="122">
        <f t="shared" si="1"/>
        <v>0</v>
      </c>
      <c r="H37" s="174">
        <v>5160404</v>
      </c>
      <c r="I37" s="173" t="s">
        <v>129</v>
      </c>
      <c r="J37" s="174" t="s">
        <v>94</v>
      </c>
      <c r="K37" s="175" t="s">
        <v>95</v>
      </c>
      <c r="L37" s="206">
        <v>91120322</v>
      </c>
      <c r="M37" s="206" t="s">
        <v>219</v>
      </c>
      <c r="N37" s="229" t="s">
        <v>222</v>
      </c>
    </row>
    <row r="38" spans="1:24" s="211" customFormat="1" x14ac:dyDescent="0.25">
      <c r="A38" s="203">
        <v>1378</v>
      </c>
      <c r="B38" s="204" t="s">
        <v>42</v>
      </c>
      <c r="C38" s="120">
        <v>2295.6999999999998</v>
      </c>
      <c r="D38" s="121">
        <v>0.25</v>
      </c>
      <c r="E38" s="122">
        <f t="shared" si="0"/>
        <v>573.92499999999995</v>
      </c>
      <c r="F38" s="122">
        <f>0.909999999999961+570+3.015</f>
        <v>573.92499999999995</v>
      </c>
      <c r="G38" s="122">
        <f t="shared" si="1"/>
        <v>0</v>
      </c>
      <c r="H38" s="174">
        <v>5996404</v>
      </c>
      <c r="I38" s="214" t="s">
        <v>130</v>
      </c>
      <c r="J38" s="119" t="s">
        <v>110</v>
      </c>
      <c r="K38" s="119" t="s">
        <v>18</v>
      </c>
      <c r="L38" s="206">
        <v>98976878</v>
      </c>
      <c r="M38" s="206" t="s">
        <v>209</v>
      </c>
      <c r="N38" s="124">
        <v>45788</v>
      </c>
      <c r="O38" s="229" t="s">
        <v>221</v>
      </c>
    </row>
    <row r="39" spans="1:24" s="211" customFormat="1" x14ac:dyDescent="0.25">
      <c r="A39" s="203">
        <v>1381</v>
      </c>
      <c r="B39" s="204" t="s">
        <v>43</v>
      </c>
      <c r="C39" s="120">
        <v>575.9</v>
      </c>
      <c r="D39" s="121">
        <v>0.25</v>
      </c>
      <c r="E39" s="122">
        <f t="shared" si="0"/>
        <v>143.97499999999999</v>
      </c>
      <c r="F39" s="122">
        <f>1.08+142.5+0.395</f>
        <v>143.97500000000002</v>
      </c>
      <c r="G39" s="122">
        <f t="shared" si="1"/>
        <v>0</v>
      </c>
      <c r="H39" s="174">
        <v>19847623</v>
      </c>
      <c r="I39" s="173" t="s">
        <v>131</v>
      </c>
      <c r="J39" s="174" t="s">
        <v>89</v>
      </c>
      <c r="K39" s="175" t="s">
        <v>90</v>
      </c>
      <c r="L39" s="206">
        <v>92802427</v>
      </c>
      <c r="M39" s="206" t="s">
        <v>209</v>
      </c>
      <c r="N39" s="124">
        <v>45788</v>
      </c>
      <c r="O39" s="229" t="s">
        <v>221</v>
      </c>
      <c r="U39" s="227"/>
    </row>
    <row r="40" spans="1:24" s="65" customFormat="1" x14ac:dyDescent="0.25">
      <c r="A40" s="41">
        <v>1390</v>
      </c>
      <c r="B40" s="42" t="s">
        <v>206</v>
      </c>
      <c r="C40" s="185">
        <v>574.1</v>
      </c>
      <c r="D40" s="44">
        <v>0.25</v>
      </c>
      <c r="E40" s="143">
        <f t="shared" si="0"/>
        <v>143.52500000000001</v>
      </c>
      <c r="F40" s="143">
        <f>E40</f>
        <v>143.52500000000001</v>
      </c>
      <c r="G40" s="143">
        <f t="shared" si="1"/>
        <v>0</v>
      </c>
      <c r="H40" s="46">
        <v>13826903</v>
      </c>
      <c r="I40" s="160" t="s">
        <v>205</v>
      </c>
      <c r="J40" s="46" t="s">
        <v>17</v>
      </c>
      <c r="K40" s="46" t="s">
        <v>18</v>
      </c>
      <c r="L40" s="51"/>
      <c r="M40" s="229" t="s">
        <v>221</v>
      </c>
      <c r="P40" s="7"/>
      <c r="R40" s="7"/>
      <c r="T40" s="7"/>
      <c r="V40" s="7"/>
      <c r="X40" s="7"/>
    </row>
    <row r="41" spans="1:24" s="65" customFormat="1" x14ac:dyDescent="0.25">
      <c r="A41" s="41">
        <v>1392</v>
      </c>
      <c r="B41" s="42" t="s">
        <v>73</v>
      </c>
      <c r="C41" s="185">
        <v>1450</v>
      </c>
      <c r="D41" s="44">
        <v>0.25</v>
      </c>
      <c r="E41" s="143">
        <f t="shared" si="0"/>
        <v>362.5</v>
      </c>
      <c r="F41" s="143"/>
      <c r="G41" s="143">
        <f t="shared" si="1"/>
        <v>362.5</v>
      </c>
      <c r="H41" s="46">
        <v>1353348</v>
      </c>
      <c r="I41" s="47" t="s">
        <v>133</v>
      </c>
      <c r="J41" s="48" t="s">
        <v>94</v>
      </c>
      <c r="K41" s="49" t="s">
        <v>95</v>
      </c>
      <c r="L41" s="51"/>
      <c r="M41" s="51"/>
      <c r="P41" s="7"/>
      <c r="R41" s="7"/>
      <c r="T41" s="7"/>
      <c r="V41" s="7"/>
      <c r="X41" s="7"/>
    </row>
    <row r="42" spans="1:24" s="65" customFormat="1" x14ac:dyDescent="0.25">
      <c r="A42" s="61">
        <v>1393</v>
      </c>
      <c r="B42" s="52" t="s">
        <v>45</v>
      </c>
      <c r="C42" s="185">
        <v>578.29999999999995</v>
      </c>
      <c r="D42" s="44">
        <v>0.25</v>
      </c>
      <c r="E42" s="143">
        <f t="shared" si="0"/>
        <v>144.57499999999999</v>
      </c>
      <c r="F42" s="143">
        <f>142.31+2.265</f>
        <v>144.57499999999999</v>
      </c>
      <c r="G42" s="143">
        <f t="shared" si="1"/>
        <v>0</v>
      </c>
      <c r="H42" s="48">
        <v>1650389</v>
      </c>
      <c r="I42" s="160" t="s">
        <v>134</v>
      </c>
      <c r="J42" s="42" t="s">
        <v>17</v>
      </c>
      <c r="K42" s="42" t="s">
        <v>18</v>
      </c>
      <c r="L42" s="70">
        <v>94264109</v>
      </c>
      <c r="M42" s="124">
        <v>45758</v>
      </c>
      <c r="N42" s="229" t="s">
        <v>221</v>
      </c>
      <c r="P42" s="7"/>
      <c r="R42" s="7"/>
      <c r="T42" s="7"/>
      <c r="V42" s="7"/>
      <c r="X42" s="7"/>
    </row>
    <row r="43" spans="1:24" s="65" customFormat="1" x14ac:dyDescent="0.25">
      <c r="A43" s="61">
        <v>1500</v>
      </c>
      <c r="B43" s="52" t="s">
        <v>75</v>
      </c>
      <c r="C43" s="185">
        <v>33.299999999999997</v>
      </c>
      <c r="D43" s="44">
        <v>0.25</v>
      </c>
      <c r="E43" s="143">
        <f t="shared" si="0"/>
        <v>8.3249999999999993</v>
      </c>
      <c r="F43" s="143"/>
      <c r="G43" s="143">
        <f t="shared" si="1"/>
        <v>8.3249999999999993</v>
      </c>
      <c r="H43" s="48">
        <v>19567469</v>
      </c>
      <c r="I43" s="47" t="s">
        <v>135</v>
      </c>
      <c r="J43" s="48" t="s">
        <v>94</v>
      </c>
      <c r="K43" s="161" t="s">
        <v>95</v>
      </c>
      <c r="L43" s="70">
        <v>92265154</v>
      </c>
      <c r="M43" s="70"/>
      <c r="P43" s="7"/>
      <c r="R43" s="7"/>
      <c r="T43" s="7"/>
      <c r="V43" s="7"/>
      <c r="X43" s="7"/>
    </row>
    <row r="44" spans="1:24" s="211" customFormat="1" x14ac:dyDescent="0.25">
      <c r="A44" s="203">
        <v>1501</v>
      </c>
      <c r="B44" s="222" t="s">
        <v>76</v>
      </c>
      <c r="C44" s="120">
        <v>237</v>
      </c>
      <c r="D44" s="121">
        <v>0.25</v>
      </c>
      <c r="E44" s="122">
        <f t="shared" si="0"/>
        <v>59.25</v>
      </c>
      <c r="F44" s="122">
        <f>55.26</f>
        <v>55.26</v>
      </c>
      <c r="G44" s="122">
        <f t="shared" si="1"/>
        <v>3.990000000000002</v>
      </c>
      <c r="H44" s="174">
        <v>25657583</v>
      </c>
      <c r="I44" s="173" t="s">
        <v>136</v>
      </c>
      <c r="J44" s="174" t="s">
        <v>17</v>
      </c>
      <c r="K44" s="220" t="s">
        <v>18</v>
      </c>
      <c r="L44" s="206"/>
      <c r="M44" s="213">
        <v>45669</v>
      </c>
      <c r="U44" s="227"/>
    </row>
    <row r="45" spans="1:24" s="65" customFormat="1" x14ac:dyDescent="0.25">
      <c r="A45" s="61">
        <v>1503</v>
      </c>
      <c r="B45" s="89" t="s">
        <v>77</v>
      </c>
      <c r="C45" s="185">
        <v>563.9</v>
      </c>
      <c r="D45" s="44">
        <v>0.25</v>
      </c>
      <c r="E45" s="143">
        <f t="shared" si="0"/>
        <v>140.97499999999999</v>
      </c>
      <c r="F45" s="143"/>
      <c r="G45" s="143">
        <f t="shared" si="1"/>
        <v>140.97499999999999</v>
      </c>
      <c r="H45" s="48">
        <v>8930607</v>
      </c>
      <c r="I45" s="162" t="s">
        <v>137</v>
      </c>
      <c r="J45" s="48" t="s">
        <v>17</v>
      </c>
      <c r="K45" s="161" t="s">
        <v>18</v>
      </c>
      <c r="L45" s="70">
        <v>92621425</v>
      </c>
      <c r="M45" s="70"/>
      <c r="N45" s="7"/>
      <c r="P45" s="7"/>
      <c r="R45" s="7"/>
      <c r="T45" s="7"/>
      <c r="V45" s="7"/>
      <c r="X45" s="7"/>
    </row>
    <row r="46" spans="1:24" s="211" customFormat="1" x14ac:dyDescent="0.25">
      <c r="A46" s="203">
        <v>1504</v>
      </c>
      <c r="B46" s="218" t="s">
        <v>79</v>
      </c>
      <c r="C46" s="120">
        <v>830.1</v>
      </c>
      <c r="D46" s="121">
        <v>0.25</v>
      </c>
      <c r="E46" s="122">
        <f t="shared" si="0"/>
        <v>207.52500000000001</v>
      </c>
      <c r="F46" s="122">
        <f>206.67+0.855</f>
        <v>207.52499999999998</v>
      </c>
      <c r="G46" s="122">
        <f t="shared" si="1"/>
        <v>0</v>
      </c>
      <c r="H46" s="174">
        <v>381215</v>
      </c>
      <c r="I46" s="173" t="s">
        <v>138</v>
      </c>
      <c r="J46" s="174" t="s">
        <v>17</v>
      </c>
      <c r="K46" s="220" t="s">
        <v>18</v>
      </c>
      <c r="L46" s="206">
        <v>95110746</v>
      </c>
      <c r="M46" s="206" t="s">
        <v>216</v>
      </c>
      <c r="N46" s="229" t="s">
        <v>221</v>
      </c>
    </row>
    <row r="47" spans="1:24" x14ac:dyDescent="0.25">
      <c r="A47" s="61">
        <v>1505</v>
      </c>
      <c r="B47" s="71" t="s">
        <v>86</v>
      </c>
      <c r="C47" s="186">
        <v>541.6</v>
      </c>
      <c r="D47" s="44">
        <v>0.25</v>
      </c>
      <c r="E47" s="143">
        <f t="shared" si="0"/>
        <v>135.4</v>
      </c>
      <c r="F47" s="143">
        <f>134.58+0.82</f>
        <v>135.4</v>
      </c>
      <c r="G47" s="143">
        <f t="shared" si="1"/>
        <v>0</v>
      </c>
      <c r="H47" s="48">
        <v>6668659</v>
      </c>
      <c r="I47" s="47" t="s">
        <v>139</v>
      </c>
      <c r="J47" s="48" t="s">
        <v>17</v>
      </c>
      <c r="K47" s="161" t="s">
        <v>18</v>
      </c>
      <c r="L47" s="70"/>
      <c r="M47" s="124">
        <v>45788</v>
      </c>
      <c r="N47" s="229" t="s">
        <v>221</v>
      </c>
      <c r="O47" s="65"/>
      <c r="Q47" s="65"/>
      <c r="S47" s="65"/>
      <c r="U47" s="65"/>
      <c r="W47" s="65"/>
    </row>
    <row r="48" spans="1:24" x14ac:dyDescent="0.25">
      <c r="A48" s="86"/>
      <c r="B48" s="86"/>
      <c r="C48" s="185">
        <f>SUM(C4:C47)</f>
        <v>63367.8</v>
      </c>
      <c r="D48" s="44">
        <v>0.25</v>
      </c>
      <c r="E48" s="143">
        <f>SUM(E4:E47)</f>
        <v>15841.95</v>
      </c>
      <c r="F48" s="143">
        <f t="shared" ref="F48:G48" si="2">SUM(F4:F47)</f>
        <v>6108.7849999999989</v>
      </c>
      <c r="G48" s="143">
        <f t="shared" si="2"/>
        <v>9733.1650000000009</v>
      </c>
      <c r="H48" s="86"/>
      <c r="I48" s="163"/>
      <c r="J48" s="164"/>
      <c r="K48" s="86"/>
      <c r="L48" s="79"/>
      <c r="M48" s="79"/>
    </row>
    <row r="50" spans="1:13" x14ac:dyDescent="0.25">
      <c r="I50" s="81" t="s">
        <v>23</v>
      </c>
    </row>
    <row r="51" spans="1:13" x14ac:dyDescent="0.25">
      <c r="A51" s="83"/>
      <c r="B51" s="83"/>
      <c r="C51" s="7"/>
      <c r="I51" s="7"/>
      <c r="J51" s="7"/>
      <c r="L51" s="7"/>
      <c r="M51" s="7"/>
    </row>
    <row r="52" spans="1:13" x14ac:dyDescent="0.25">
      <c r="A52" s="83"/>
      <c r="B52" s="83"/>
      <c r="C52" s="7"/>
      <c r="I52" s="7"/>
      <c r="J52" s="7"/>
      <c r="L52" s="7"/>
      <c r="M52" s="7"/>
    </row>
    <row r="53" spans="1:13" x14ac:dyDescent="0.25">
      <c r="A53" s="83"/>
      <c r="B53" s="83"/>
      <c r="C53" s="7"/>
      <c r="I53" s="7"/>
      <c r="J53" s="7"/>
      <c r="L53" s="7"/>
      <c r="M53" s="7"/>
    </row>
    <row r="54" spans="1:13" x14ac:dyDescent="0.25">
      <c r="A54" s="83"/>
      <c r="B54" s="83"/>
      <c r="C54" s="7"/>
      <c r="I54" s="7"/>
      <c r="J54" s="7"/>
      <c r="L54" s="7"/>
      <c r="M54" s="7"/>
    </row>
    <row r="55" spans="1:13" x14ac:dyDescent="0.25">
      <c r="A55" s="83"/>
      <c r="B55" s="83"/>
      <c r="C55" s="7"/>
      <c r="I55" s="7"/>
      <c r="J55" s="7"/>
      <c r="L55" s="7"/>
      <c r="M55" s="7"/>
    </row>
  </sheetData>
  <autoFilter ref="A2:X3" xr:uid="{11CEDF8C-A979-4D85-B17E-7A00FAC11DBF}"/>
  <mergeCells count="13">
    <mergeCell ref="K2:K3"/>
    <mergeCell ref="L2:L3"/>
    <mergeCell ref="M2:M3"/>
    <mergeCell ref="A2:A3"/>
    <mergeCell ref="B2:B3"/>
    <mergeCell ref="C2:C3"/>
    <mergeCell ref="D2:D3"/>
    <mergeCell ref="E2:E3"/>
    <mergeCell ref="H2:H3"/>
    <mergeCell ref="I2:I3"/>
    <mergeCell ref="J2:J3"/>
    <mergeCell ref="F2:F3"/>
    <mergeCell ref="G2:G3"/>
  </mergeCells>
  <conditionalFormatting sqref="I36">
    <cfRule type="duplicateValues" dxfId="3" priority="1"/>
  </conditionalFormatting>
  <pageMargins left="0.7" right="0.7" top="0.75" bottom="0.75" header="0.3" footer="0.3"/>
  <pageSetup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C304-E7CD-4568-B9DE-56B002A1BB9E}">
  <dimension ref="A1:N55"/>
  <sheetViews>
    <sheetView view="pageBreakPreview" zoomScale="112" zoomScaleNormal="100" zoomScaleSheetLayoutView="112" workbookViewId="0">
      <selection sqref="A1:A1048576"/>
    </sheetView>
  </sheetViews>
  <sheetFormatPr defaultColWidth="9" defaultRowHeight="15.75" x14ac:dyDescent="0.25"/>
  <cols>
    <col min="1" max="1" width="94.42578125" style="7" bestFit="1" customWidth="1"/>
    <col min="2" max="2" width="41.5703125" style="7" customWidth="1"/>
    <col min="3" max="3" width="13.42578125" style="80" customWidth="1"/>
    <col min="4" max="4" width="16.5703125" style="7" customWidth="1"/>
    <col min="5" max="7" width="17.42578125" style="7" customWidth="1"/>
    <col min="8" max="8" width="12.140625" style="7" customWidth="1"/>
    <col min="9" max="9" width="24.42578125" style="81" hidden="1" customWidth="1"/>
    <col min="10" max="10" width="19.140625" style="82" hidden="1" customWidth="1"/>
    <col min="11" max="11" width="15.140625" style="7" hidden="1" customWidth="1"/>
    <col min="12" max="12" width="11.140625" style="83" hidden="1" customWidth="1"/>
    <col min="13" max="13" width="14.5703125" style="83" customWidth="1"/>
    <col min="14" max="16384" width="9" style="7"/>
  </cols>
  <sheetData>
    <row r="1" spans="1:14" x14ac:dyDescent="0.25">
      <c r="A1" s="233" t="s">
        <v>218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39"/>
    </row>
    <row r="2" spans="1:14" ht="15.75" customHeight="1" x14ac:dyDescent="0.25">
      <c r="A2" s="247" t="s">
        <v>2</v>
      </c>
      <c r="B2" s="247" t="s">
        <v>3</v>
      </c>
      <c r="C2" s="250" t="s">
        <v>4</v>
      </c>
      <c r="D2" s="247" t="s">
        <v>5</v>
      </c>
      <c r="E2" s="250" t="s">
        <v>6</v>
      </c>
      <c r="F2" s="250" t="s">
        <v>7</v>
      </c>
      <c r="G2" s="250" t="s">
        <v>8</v>
      </c>
      <c r="H2" s="247" t="s">
        <v>9</v>
      </c>
      <c r="I2" s="247" t="s">
        <v>10</v>
      </c>
      <c r="J2" s="249" t="s">
        <v>11</v>
      </c>
      <c r="K2" s="247" t="s">
        <v>12</v>
      </c>
      <c r="L2" s="245" t="s">
        <v>13</v>
      </c>
      <c r="M2" s="245" t="s">
        <v>14</v>
      </c>
    </row>
    <row r="3" spans="1:14" x14ac:dyDescent="0.25">
      <c r="A3" s="247"/>
      <c r="B3" s="247"/>
      <c r="C3" s="250"/>
      <c r="D3" s="247"/>
      <c r="E3" s="250"/>
      <c r="F3" s="250"/>
      <c r="G3" s="250"/>
      <c r="H3" s="247"/>
      <c r="I3" s="247"/>
      <c r="J3" s="249"/>
      <c r="K3" s="247"/>
      <c r="L3" s="245"/>
      <c r="M3" s="245"/>
    </row>
    <row r="4" spans="1:14" s="211" customFormat="1" x14ac:dyDescent="0.25">
      <c r="A4" s="118">
        <v>1010</v>
      </c>
      <c r="B4" s="119" t="s">
        <v>47</v>
      </c>
      <c r="C4" s="215">
        <v>1376.5</v>
      </c>
      <c r="D4" s="121">
        <v>0.25</v>
      </c>
      <c r="E4" s="122">
        <f t="shared" ref="E4:E47" si="0">SUM(C4*D4)</f>
        <v>344.125</v>
      </c>
      <c r="F4" s="122">
        <f>170.82+173.25</f>
        <v>344.07</v>
      </c>
      <c r="G4" s="122">
        <f t="shared" ref="G4:G47" si="1">E4-F4</f>
        <v>5.5000000000006821E-2</v>
      </c>
      <c r="H4" s="123">
        <v>315313</v>
      </c>
      <c r="I4" s="173" t="s">
        <v>88</v>
      </c>
      <c r="J4" s="174" t="s">
        <v>89</v>
      </c>
      <c r="K4" s="175" t="s">
        <v>90</v>
      </c>
      <c r="L4" s="145">
        <v>92600441</v>
      </c>
      <c r="M4" s="229" t="s">
        <v>221</v>
      </c>
      <c r="N4" s="229" t="s">
        <v>224</v>
      </c>
    </row>
    <row r="5" spans="1:14" x14ac:dyDescent="0.25">
      <c r="A5" s="41">
        <v>1038</v>
      </c>
      <c r="B5" s="42" t="s">
        <v>48</v>
      </c>
      <c r="C5" s="188">
        <v>2045.5</v>
      </c>
      <c r="D5" s="44">
        <v>0.25</v>
      </c>
      <c r="E5" s="143">
        <f t="shared" si="0"/>
        <v>511.375</v>
      </c>
      <c r="F5" s="143"/>
      <c r="G5" s="143">
        <f t="shared" si="1"/>
        <v>511.375</v>
      </c>
      <c r="H5" s="46">
        <v>5247837</v>
      </c>
      <c r="I5" s="47" t="s">
        <v>91</v>
      </c>
      <c r="J5" s="48" t="s">
        <v>17</v>
      </c>
      <c r="K5" s="49" t="s">
        <v>18</v>
      </c>
      <c r="L5" s="51">
        <v>99441537</v>
      </c>
      <c r="M5" s="51"/>
    </row>
    <row r="6" spans="1:14" s="211" customFormat="1" x14ac:dyDescent="0.25">
      <c r="A6" s="118">
        <v>1065</v>
      </c>
      <c r="B6" s="119" t="s">
        <v>49</v>
      </c>
      <c r="C6" s="215">
        <v>598.20000000000005</v>
      </c>
      <c r="D6" s="121">
        <v>0.25</v>
      </c>
      <c r="E6" s="122">
        <f t="shared" si="0"/>
        <v>149.55000000000001</v>
      </c>
      <c r="F6" s="122">
        <v>148.99</v>
      </c>
      <c r="G6" s="122">
        <f t="shared" si="1"/>
        <v>0.56000000000000227</v>
      </c>
      <c r="H6" s="123">
        <v>1276058</v>
      </c>
      <c r="I6" s="204" t="s">
        <v>92</v>
      </c>
      <c r="J6" s="174" t="s">
        <v>17</v>
      </c>
      <c r="K6" s="175" t="s">
        <v>18</v>
      </c>
      <c r="L6" s="145">
        <v>99498549</v>
      </c>
      <c r="M6" s="229" t="s">
        <v>221</v>
      </c>
    </row>
    <row r="7" spans="1:14" s="211" customFormat="1" x14ac:dyDescent="0.25">
      <c r="A7" s="118">
        <v>1071</v>
      </c>
      <c r="B7" s="119" t="s">
        <v>31</v>
      </c>
      <c r="C7" s="120">
        <v>614.70000000000005</v>
      </c>
      <c r="D7" s="121">
        <v>0.25</v>
      </c>
      <c r="E7" s="122">
        <f t="shared" si="0"/>
        <v>153.67500000000001</v>
      </c>
      <c r="F7" s="122">
        <v>150.85999999999999</v>
      </c>
      <c r="G7" s="122">
        <f t="shared" si="1"/>
        <v>2.8150000000000261</v>
      </c>
      <c r="H7" s="123">
        <v>390741</v>
      </c>
      <c r="I7" s="173" t="s">
        <v>93</v>
      </c>
      <c r="J7" s="174" t="s">
        <v>94</v>
      </c>
      <c r="K7" s="175" t="s">
        <v>95</v>
      </c>
      <c r="L7" s="145">
        <v>99589144</v>
      </c>
      <c r="M7" s="229" t="s">
        <v>221</v>
      </c>
    </row>
    <row r="8" spans="1:14" s="211" customFormat="1" x14ac:dyDescent="0.25">
      <c r="A8" s="118">
        <v>1086</v>
      </c>
      <c r="B8" s="119" t="s">
        <v>27</v>
      </c>
      <c r="C8" s="120">
        <v>1215</v>
      </c>
      <c r="D8" s="121">
        <v>0.25</v>
      </c>
      <c r="E8" s="122">
        <f t="shared" si="0"/>
        <v>303.75</v>
      </c>
      <c r="F8" s="122">
        <f>E8</f>
        <v>303.75</v>
      </c>
      <c r="G8" s="122">
        <f t="shared" si="1"/>
        <v>0</v>
      </c>
      <c r="H8" s="123">
        <v>2379573</v>
      </c>
      <c r="I8" s="204" t="s">
        <v>96</v>
      </c>
      <c r="J8" s="174" t="s">
        <v>94</v>
      </c>
      <c r="K8" s="175" t="s">
        <v>95</v>
      </c>
      <c r="L8" s="145">
        <v>92917899</v>
      </c>
      <c r="M8" s="124">
        <v>45942</v>
      </c>
      <c r="N8" s="211">
        <v>0.39000000000003221</v>
      </c>
    </row>
    <row r="9" spans="1:14" s="211" customFormat="1" x14ac:dyDescent="0.25">
      <c r="A9" s="118">
        <v>1123</v>
      </c>
      <c r="B9" s="119" t="s">
        <v>33</v>
      </c>
      <c r="C9" s="120">
        <v>1340.1</v>
      </c>
      <c r="D9" s="121">
        <v>0.25</v>
      </c>
      <c r="E9" s="122">
        <f t="shared" si="0"/>
        <v>335.02499999999998</v>
      </c>
      <c r="F9" s="122">
        <v>328.37</v>
      </c>
      <c r="G9" s="122">
        <f t="shared" si="1"/>
        <v>6.6549999999999727</v>
      </c>
      <c r="H9" s="123">
        <v>655141</v>
      </c>
      <c r="I9" s="173" t="s">
        <v>97</v>
      </c>
      <c r="J9" s="174" t="s">
        <v>98</v>
      </c>
      <c r="K9" s="175" t="s">
        <v>99</v>
      </c>
      <c r="L9" s="145">
        <v>99485623</v>
      </c>
      <c r="M9" s="229" t="s">
        <v>221</v>
      </c>
    </row>
    <row r="10" spans="1:14" x14ac:dyDescent="0.25">
      <c r="A10" s="61">
        <v>1130</v>
      </c>
      <c r="B10" s="52" t="s">
        <v>51</v>
      </c>
      <c r="C10" s="185">
        <v>1151.7</v>
      </c>
      <c r="D10" s="44">
        <v>0.25</v>
      </c>
      <c r="E10" s="143">
        <f t="shared" si="0"/>
        <v>287.92500000000001</v>
      </c>
      <c r="F10" s="143"/>
      <c r="G10" s="143">
        <f t="shared" si="1"/>
        <v>287.92500000000001</v>
      </c>
      <c r="H10" s="63">
        <v>5485645</v>
      </c>
      <c r="I10" s="155" t="s">
        <v>101</v>
      </c>
      <c r="J10" s="156" t="s">
        <v>17</v>
      </c>
      <c r="K10" s="49" t="s">
        <v>18</v>
      </c>
      <c r="L10" s="64">
        <v>90977488</v>
      </c>
      <c r="M10" s="64"/>
    </row>
    <row r="11" spans="1:14" x14ac:dyDescent="0.25">
      <c r="A11" s="41">
        <v>1152</v>
      </c>
      <c r="B11" s="42" t="s">
        <v>52</v>
      </c>
      <c r="C11" s="185">
        <v>1495.3</v>
      </c>
      <c r="D11" s="44">
        <v>0.25</v>
      </c>
      <c r="E11" s="143">
        <f t="shared" si="0"/>
        <v>373.82499999999999</v>
      </c>
      <c r="F11" s="143"/>
      <c r="G11" s="143">
        <f t="shared" si="1"/>
        <v>373.82499999999999</v>
      </c>
      <c r="H11" s="46">
        <v>5254327</v>
      </c>
      <c r="I11" s="52" t="s">
        <v>102</v>
      </c>
      <c r="J11" s="48" t="s">
        <v>94</v>
      </c>
      <c r="K11" s="49" t="s">
        <v>95</v>
      </c>
      <c r="L11" s="51">
        <v>99692328</v>
      </c>
      <c r="M11" s="51"/>
    </row>
    <row r="12" spans="1:14" x14ac:dyDescent="0.25">
      <c r="A12" s="41">
        <v>1200</v>
      </c>
      <c r="B12" s="42" t="s">
        <v>53</v>
      </c>
      <c r="C12" s="185">
        <v>889.4</v>
      </c>
      <c r="D12" s="44">
        <v>0.25</v>
      </c>
      <c r="E12" s="143">
        <f t="shared" si="0"/>
        <v>222.35</v>
      </c>
      <c r="F12" s="143"/>
      <c r="G12" s="143">
        <f t="shared" si="1"/>
        <v>222.35</v>
      </c>
      <c r="H12" s="46">
        <v>7287174</v>
      </c>
      <c r="I12" s="52" t="s">
        <v>103</v>
      </c>
      <c r="J12" s="48" t="s">
        <v>94</v>
      </c>
      <c r="K12" s="49" t="s">
        <v>95</v>
      </c>
      <c r="L12" s="51">
        <v>99673747</v>
      </c>
      <c r="M12" s="51"/>
    </row>
    <row r="13" spans="1:14" x14ac:dyDescent="0.25">
      <c r="A13" s="41">
        <v>1276</v>
      </c>
      <c r="B13" s="42" t="s">
        <v>54</v>
      </c>
      <c r="C13" s="185">
        <v>591.79999999999995</v>
      </c>
      <c r="D13" s="44">
        <v>0.25</v>
      </c>
      <c r="E13" s="143">
        <f t="shared" si="0"/>
        <v>147.94999999999999</v>
      </c>
      <c r="F13" s="143"/>
      <c r="G13" s="143">
        <f t="shared" si="1"/>
        <v>147.94999999999999</v>
      </c>
      <c r="H13" s="46">
        <v>334495</v>
      </c>
      <c r="I13" s="47" t="s">
        <v>104</v>
      </c>
      <c r="J13" s="48" t="s">
        <v>17</v>
      </c>
      <c r="K13" s="49" t="s">
        <v>18</v>
      </c>
      <c r="L13" s="51">
        <v>99170505</v>
      </c>
      <c r="M13" s="51"/>
    </row>
    <row r="14" spans="1:14" x14ac:dyDescent="0.25">
      <c r="A14" s="41">
        <v>1281</v>
      </c>
      <c r="B14" s="42" t="s">
        <v>55</v>
      </c>
      <c r="C14" s="185">
        <v>1759.8</v>
      </c>
      <c r="D14" s="44">
        <v>0.25</v>
      </c>
      <c r="E14" s="143">
        <f t="shared" si="0"/>
        <v>439.95</v>
      </c>
      <c r="F14" s="143"/>
      <c r="G14" s="143">
        <f t="shared" si="1"/>
        <v>439.95</v>
      </c>
      <c r="H14" s="46">
        <v>6310986</v>
      </c>
      <c r="I14" s="52" t="s">
        <v>105</v>
      </c>
      <c r="J14" s="48" t="s">
        <v>17</v>
      </c>
      <c r="K14" s="49" t="s">
        <v>18</v>
      </c>
      <c r="L14" s="51">
        <v>92922944</v>
      </c>
      <c r="M14" s="51"/>
    </row>
    <row r="15" spans="1:14" x14ac:dyDescent="0.25">
      <c r="A15" s="41">
        <v>1308</v>
      </c>
      <c r="B15" s="42" t="s">
        <v>35</v>
      </c>
      <c r="C15" s="185">
        <v>616.6</v>
      </c>
      <c r="D15" s="44">
        <v>0.25</v>
      </c>
      <c r="E15" s="143">
        <f t="shared" si="0"/>
        <v>154.15</v>
      </c>
      <c r="F15" s="143"/>
      <c r="G15" s="143">
        <f t="shared" si="1"/>
        <v>154.15</v>
      </c>
      <c r="H15" s="46">
        <v>6225641</v>
      </c>
      <c r="I15" s="47" t="s">
        <v>106</v>
      </c>
      <c r="J15" s="48" t="s">
        <v>94</v>
      </c>
      <c r="K15" s="49" t="s">
        <v>95</v>
      </c>
      <c r="L15" s="51">
        <v>92055550</v>
      </c>
      <c r="M15" s="51"/>
    </row>
    <row r="16" spans="1:14" s="211" customFormat="1" x14ac:dyDescent="0.25">
      <c r="A16" s="118">
        <v>1337</v>
      </c>
      <c r="B16" s="119" t="s">
        <v>56</v>
      </c>
      <c r="C16" s="120">
        <v>585.70000000000005</v>
      </c>
      <c r="D16" s="121">
        <v>0.25</v>
      </c>
      <c r="E16" s="122">
        <f t="shared" si="0"/>
        <v>146.42500000000001</v>
      </c>
      <c r="F16" s="122">
        <v>142.5</v>
      </c>
      <c r="G16" s="122">
        <f t="shared" si="1"/>
        <v>3.9250000000000114</v>
      </c>
      <c r="H16" s="123">
        <v>6719626</v>
      </c>
      <c r="I16" s="204" t="s">
        <v>107</v>
      </c>
      <c r="J16" s="174" t="s">
        <v>17</v>
      </c>
      <c r="K16" s="175" t="s">
        <v>18</v>
      </c>
      <c r="L16" s="145">
        <v>97726288</v>
      </c>
      <c r="M16" s="145" t="s">
        <v>225</v>
      </c>
    </row>
    <row r="17" spans="1:13" s="65" customFormat="1" ht="15" customHeight="1" x14ac:dyDescent="0.25">
      <c r="A17" s="41">
        <v>1339</v>
      </c>
      <c r="B17" s="42" t="s">
        <v>57</v>
      </c>
      <c r="C17" s="185">
        <v>5664.8</v>
      </c>
      <c r="D17" s="44">
        <v>0.25</v>
      </c>
      <c r="E17" s="143">
        <f t="shared" si="0"/>
        <v>1416.2</v>
      </c>
      <c r="F17" s="143"/>
      <c r="G17" s="143">
        <f t="shared" si="1"/>
        <v>1416.2</v>
      </c>
      <c r="H17" s="46">
        <v>3090574</v>
      </c>
      <c r="I17" s="47" t="s">
        <v>108</v>
      </c>
      <c r="J17" s="46" t="s">
        <v>94</v>
      </c>
      <c r="K17" s="46" t="s">
        <v>95</v>
      </c>
      <c r="L17" s="51">
        <v>99292421</v>
      </c>
      <c r="M17" s="51"/>
    </row>
    <row r="18" spans="1:13" s="211" customFormat="1" ht="15" customHeight="1" x14ac:dyDescent="0.25">
      <c r="A18" s="118">
        <v>1340</v>
      </c>
      <c r="B18" s="123" t="s">
        <v>36</v>
      </c>
      <c r="C18" s="120">
        <v>973.9</v>
      </c>
      <c r="D18" s="121">
        <v>0.25</v>
      </c>
      <c r="E18" s="122">
        <f t="shared" si="0"/>
        <v>243.47499999999999</v>
      </c>
      <c r="F18" s="122">
        <v>240.89497936726269</v>
      </c>
      <c r="G18" s="122">
        <f t="shared" si="1"/>
        <v>2.5800206327373019</v>
      </c>
      <c r="H18" s="145">
        <v>7279274</v>
      </c>
      <c r="I18" s="221" t="s">
        <v>109</v>
      </c>
      <c r="J18" s="174" t="s">
        <v>110</v>
      </c>
      <c r="K18" s="221" t="s">
        <v>18</v>
      </c>
      <c r="L18" s="145">
        <v>93808816</v>
      </c>
      <c r="M18" s="145" t="s">
        <v>225</v>
      </c>
    </row>
    <row r="19" spans="1:13" x14ac:dyDescent="0.25">
      <c r="A19" s="41">
        <v>1341</v>
      </c>
      <c r="B19" s="42" t="s">
        <v>58</v>
      </c>
      <c r="C19" s="185">
        <v>1423.7</v>
      </c>
      <c r="D19" s="44">
        <v>0.25</v>
      </c>
      <c r="E19" s="143">
        <f t="shared" si="0"/>
        <v>355.92500000000001</v>
      </c>
      <c r="F19" s="143"/>
      <c r="G19" s="143">
        <f t="shared" si="1"/>
        <v>355.92500000000001</v>
      </c>
      <c r="H19" s="46">
        <v>15977579</v>
      </c>
      <c r="I19" s="52" t="s">
        <v>111</v>
      </c>
      <c r="J19" s="48" t="s">
        <v>110</v>
      </c>
      <c r="K19" s="49" t="s">
        <v>18</v>
      </c>
      <c r="L19" s="51">
        <v>92578822</v>
      </c>
      <c r="M19" s="51"/>
    </row>
    <row r="20" spans="1:13" x14ac:dyDescent="0.25">
      <c r="A20" s="41">
        <v>1342</v>
      </c>
      <c r="B20" s="42" t="s">
        <v>59</v>
      </c>
      <c r="C20" s="185">
        <v>352.2</v>
      </c>
      <c r="D20" s="44">
        <v>0.25</v>
      </c>
      <c r="E20" s="143">
        <f t="shared" si="0"/>
        <v>88.05</v>
      </c>
      <c r="F20" s="143">
        <v>86.48</v>
      </c>
      <c r="G20" s="143">
        <f t="shared" si="1"/>
        <v>1.5699999999999932</v>
      </c>
      <c r="H20" s="46">
        <v>13950469</v>
      </c>
      <c r="I20" s="47" t="s">
        <v>112</v>
      </c>
      <c r="J20" s="48" t="s">
        <v>110</v>
      </c>
      <c r="K20" s="49" t="s">
        <v>18</v>
      </c>
      <c r="L20" s="51">
        <v>92341118</v>
      </c>
      <c r="M20" s="229" t="s">
        <v>222</v>
      </c>
    </row>
    <row r="21" spans="1:13" s="211" customFormat="1" x14ac:dyDescent="0.25">
      <c r="A21" s="118">
        <v>1343</v>
      </c>
      <c r="B21" s="119" t="s">
        <v>29</v>
      </c>
      <c r="C21" s="217">
        <v>1231</v>
      </c>
      <c r="D21" s="121">
        <v>0.25</v>
      </c>
      <c r="E21" s="122">
        <f t="shared" si="0"/>
        <v>307.75</v>
      </c>
      <c r="F21" s="122">
        <f>306.9</f>
        <v>306.89999999999998</v>
      </c>
      <c r="G21" s="122">
        <f t="shared" si="1"/>
        <v>0.85000000000002274</v>
      </c>
      <c r="H21" s="123">
        <v>5160297</v>
      </c>
      <c r="I21" s="204" t="s">
        <v>113</v>
      </c>
      <c r="J21" s="174" t="s">
        <v>94</v>
      </c>
      <c r="K21" s="175" t="s">
        <v>95</v>
      </c>
      <c r="L21" s="145">
        <v>93501199</v>
      </c>
      <c r="M21" s="229" t="s">
        <v>221</v>
      </c>
    </row>
    <row r="22" spans="1:13" x14ac:dyDescent="0.25">
      <c r="A22" s="41">
        <v>1345</v>
      </c>
      <c r="B22" s="63" t="s">
        <v>60</v>
      </c>
      <c r="C22" s="185">
        <v>5429</v>
      </c>
      <c r="D22" s="67">
        <v>0.25</v>
      </c>
      <c r="E22" s="143">
        <f t="shared" si="0"/>
        <v>1357.25</v>
      </c>
      <c r="F22" s="143"/>
      <c r="G22" s="143">
        <f t="shared" si="1"/>
        <v>1357.25</v>
      </c>
      <c r="H22" s="63">
        <v>10578952</v>
      </c>
      <c r="I22" s="155" t="s">
        <v>114</v>
      </c>
      <c r="J22" s="156" t="s">
        <v>115</v>
      </c>
      <c r="K22" s="49" t="s">
        <v>116</v>
      </c>
      <c r="L22" s="64">
        <v>92194382</v>
      </c>
      <c r="M22" s="64"/>
    </row>
    <row r="23" spans="1:13" x14ac:dyDescent="0.25">
      <c r="A23" s="41">
        <v>1349</v>
      </c>
      <c r="B23" s="42" t="s">
        <v>38</v>
      </c>
      <c r="C23" s="185">
        <v>1845</v>
      </c>
      <c r="D23" s="44">
        <v>0.25</v>
      </c>
      <c r="E23" s="143">
        <f t="shared" si="0"/>
        <v>461.25</v>
      </c>
      <c r="F23" s="143"/>
      <c r="G23" s="143">
        <f t="shared" si="1"/>
        <v>461.25</v>
      </c>
      <c r="H23" s="46">
        <v>7128679</v>
      </c>
      <c r="I23" s="52" t="s">
        <v>117</v>
      </c>
      <c r="J23" s="48" t="s">
        <v>17</v>
      </c>
      <c r="K23" s="49" t="s">
        <v>18</v>
      </c>
      <c r="L23" s="51">
        <v>91408836</v>
      </c>
      <c r="M23" s="51"/>
    </row>
    <row r="24" spans="1:13" x14ac:dyDescent="0.25">
      <c r="A24" s="41">
        <v>1350</v>
      </c>
      <c r="B24" s="42" t="s">
        <v>61</v>
      </c>
      <c r="C24" s="185">
        <v>4469.5</v>
      </c>
      <c r="D24" s="44">
        <v>0.25</v>
      </c>
      <c r="E24" s="143">
        <f t="shared" si="0"/>
        <v>1117.375</v>
      </c>
      <c r="F24" s="143"/>
      <c r="G24" s="143">
        <f t="shared" si="1"/>
        <v>1117.375</v>
      </c>
      <c r="H24" s="46">
        <v>6752017</v>
      </c>
      <c r="I24" s="52" t="s">
        <v>118</v>
      </c>
      <c r="J24" s="48" t="s">
        <v>17</v>
      </c>
      <c r="K24" s="49" t="s">
        <v>18</v>
      </c>
      <c r="L24" s="51">
        <v>92520708</v>
      </c>
      <c r="M24" s="51"/>
    </row>
    <row r="25" spans="1:13" s="211" customFormat="1" x14ac:dyDescent="0.25">
      <c r="A25" s="118">
        <v>1353</v>
      </c>
      <c r="B25" s="119" t="s">
        <v>62</v>
      </c>
      <c r="C25" s="120">
        <v>5984.6</v>
      </c>
      <c r="D25" s="121">
        <v>0.25</v>
      </c>
      <c r="E25" s="122">
        <f t="shared" si="0"/>
        <v>1496.15</v>
      </c>
      <c r="F25" s="122">
        <v>1495.7800000000002</v>
      </c>
      <c r="G25" s="122">
        <f t="shared" si="1"/>
        <v>0.36999999999989086</v>
      </c>
      <c r="H25" s="123">
        <v>5217694</v>
      </c>
      <c r="I25" s="204" t="s">
        <v>142</v>
      </c>
      <c r="J25" s="174" t="s">
        <v>94</v>
      </c>
      <c r="K25" s="175" t="s">
        <v>95</v>
      </c>
      <c r="L25" s="145">
        <v>92749180</v>
      </c>
      <c r="M25" s="229" t="s">
        <v>221</v>
      </c>
    </row>
    <row r="26" spans="1:13" x14ac:dyDescent="0.25">
      <c r="A26" s="41">
        <v>1355</v>
      </c>
      <c r="B26" s="42" t="s">
        <v>64</v>
      </c>
      <c r="C26" s="187">
        <v>2081.4</v>
      </c>
      <c r="D26" s="44">
        <v>0.25</v>
      </c>
      <c r="E26" s="143">
        <f t="shared" si="0"/>
        <v>520.35</v>
      </c>
      <c r="F26" s="143"/>
      <c r="G26" s="143">
        <f t="shared" si="1"/>
        <v>520.35</v>
      </c>
      <c r="H26" s="46">
        <v>585058</v>
      </c>
      <c r="I26" s="52" t="s">
        <v>119</v>
      </c>
      <c r="J26" s="48" t="s">
        <v>94</v>
      </c>
      <c r="K26" s="49" t="s">
        <v>95</v>
      </c>
      <c r="L26" s="51">
        <v>99055262</v>
      </c>
      <c r="M26" s="51"/>
    </row>
    <row r="27" spans="1:13" x14ac:dyDescent="0.25">
      <c r="A27" s="41">
        <v>1356</v>
      </c>
      <c r="B27" s="42" t="s">
        <v>65</v>
      </c>
      <c r="C27" s="185">
        <v>1235.9000000000001</v>
      </c>
      <c r="D27" s="44">
        <v>0.25</v>
      </c>
      <c r="E27" s="143">
        <f t="shared" si="0"/>
        <v>308.97500000000002</v>
      </c>
      <c r="F27" s="143"/>
      <c r="G27" s="143">
        <f t="shared" si="1"/>
        <v>308.97500000000002</v>
      </c>
      <c r="H27" s="46">
        <v>7494112</v>
      </c>
      <c r="I27" s="52" t="s">
        <v>143</v>
      </c>
      <c r="J27" s="48" t="s">
        <v>17</v>
      </c>
      <c r="K27" s="49" t="s">
        <v>18</v>
      </c>
      <c r="L27" s="51">
        <v>99488186</v>
      </c>
      <c r="M27" s="51"/>
    </row>
    <row r="28" spans="1:13" s="211" customFormat="1" x14ac:dyDescent="0.25">
      <c r="A28" s="118">
        <v>1362</v>
      </c>
      <c r="B28" s="119" t="s">
        <v>15</v>
      </c>
      <c r="C28" s="120">
        <v>1850</v>
      </c>
      <c r="D28" s="121">
        <v>0.25</v>
      </c>
      <c r="E28" s="122">
        <f t="shared" si="0"/>
        <v>462.5</v>
      </c>
      <c r="F28" s="122">
        <v>461.79999999999995</v>
      </c>
      <c r="G28" s="122">
        <f t="shared" si="1"/>
        <v>0.70000000000004547</v>
      </c>
      <c r="H28" s="123">
        <v>2429041</v>
      </c>
      <c r="I28" s="204" t="s">
        <v>16</v>
      </c>
      <c r="J28" s="174" t="s">
        <v>17</v>
      </c>
      <c r="K28" s="175" t="s">
        <v>18</v>
      </c>
      <c r="L28" s="145">
        <v>93663694</v>
      </c>
      <c r="M28" s="229" t="s">
        <v>224</v>
      </c>
    </row>
    <row r="29" spans="1:13" x14ac:dyDescent="0.25">
      <c r="A29" s="41">
        <v>1363</v>
      </c>
      <c r="B29" s="42" t="s">
        <v>67</v>
      </c>
      <c r="C29" s="185">
        <v>2570.8000000000002</v>
      </c>
      <c r="D29" s="44">
        <v>0.25</v>
      </c>
      <c r="E29" s="143">
        <f t="shared" si="0"/>
        <v>642.70000000000005</v>
      </c>
      <c r="F29" s="143"/>
      <c r="G29" s="143">
        <f t="shared" si="1"/>
        <v>642.70000000000005</v>
      </c>
      <c r="H29" s="46">
        <v>322352</v>
      </c>
      <c r="I29" s="52" t="s">
        <v>120</v>
      </c>
      <c r="J29" s="48" t="s">
        <v>17</v>
      </c>
      <c r="K29" s="49" t="s">
        <v>18</v>
      </c>
      <c r="L29" s="51">
        <v>98842645</v>
      </c>
      <c r="M29" s="51"/>
    </row>
    <row r="30" spans="1:13" x14ac:dyDescent="0.25">
      <c r="A30" s="41">
        <v>1364</v>
      </c>
      <c r="B30" s="42" t="s">
        <v>68</v>
      </c>
      <c r="C30" s="185">
        <v>611.70000000000005</v>
      </c>
      <c r="D30" s="44">
        <v>0.25</v>
      </c>
      <c r="E30" s="143">
        <f t="shared" si="0"/>
        <v>152.92500000000001</v>
      </c>
      <c r="F30" s="143"/>
      <c r="G30" s="143">
        <f t="shared" si="1"/>
        <v>152.92500000000001</v>
      </c>
      <c r="H30" s="46">
        <v>7113811</v>
      </c>
      <c r="I30" s="52" t="s">
        <v>121</v>
      </c>
      <c r="J30" s="48" t="s">
        <v>94</v>
      </c>
      <c r="K30" s="49" t="s">
        <v>95</v>
      </c>
      <c r="L30" s="51">
        <v>92969982</v>
      </c>
      <c r="M30" s="51"/>
    </row>
    <row r="31" spans="1:13" s="211" customFormat="1" x14ac:dyDescent="0.25">
      <c r="A31" s="118">
        <v>1366</v>
      </c>
      <c r="B31" s="119" t="s">
        <v>39</v>
      </c>
      <c r="C31" s="120">
        <v>2482.3000000000002</v>
      </c>
      <c r="D31" s="121">
        <v>0.25</v>
      </c>
      <c r="E31" s="122">
        <f t="shared" si="0"/>
        <v>620.57500000000005</v>
      </c>
      <c r="F31" s="122">
        <v>620.45999999999992</v>
      </c>
      <c r="G31" s="122">
        <f t="shared" si="1"/>
        <v>0.11500000000012278</v>
      </c>
      <c r="H31" s="123">
        <v>8318385</v>
      </c>
      <c r="I31" s="204" t="s">
        <v>122</v>
      </c>
      <c r="J31" s="174" t="s">
        <v>17</v>
      </c>
      <c r="K31" s="175" t="s">
        <v>18</v>
      </c>
      <c r="L31" s="145">
        <v>90660210</v>
      </c>
      <c r="M31" s="145" t="s">
        <v>217</v>
      </c>
    </row>
    <row r="32" spans="1:13" x14ac:dyDescent="0.25">
      <c r="A32" s="61">
        <v>1370</v>
      </c>
      <c r="B32" s="52" t="s">
        <v>20</v>
      </c>
      <c r="C32" s="185">
        <v>1860</v>
      </c>
      <c r="D32" s="44">
        <v>0.25</v>
      </c>
      <c r="E32" s="143">
        <f t="shared" si="0"/>
        <v>465</v>
      </c>
      <c r="F32" s="143"/>
      <c r="G32" s="143">
        <f t="shared" si="1"/>
        <v>465</v>
      </c>
      <c r="H32" s="42">
        <v>14431965</v>
      </c>
      <c r="I32" s="47" t="s">
        <v>21</v>
      </c>
      <c r="J32" s="48" t="s">
        <v>17</v>
      </c>
      <c r="K32" s="49" t="s">
        <v>18</v>
      </c>
      <c r="L32" s="70">
        <v>99693775</v>
      </c>
      <c r="M32" s="70"/>
    </row>
    <row r="33" spans="1:14" x14ac:dyDescent="0.25">
      <c r="A33" s="61">
        <v>1371</v>
      </c>
      <c r="B33" s="52" t="s">
        <v>40</v>
      </c>
      <c r="C33" s="185">
        <v>1841</v>
      </c>
      <c r="D33" s="44">
        <v>0.25</v>
      </c>
      <c r="E33" s="143">
        <f t="shared" si="0"/>
        <v>460.25</v>
      </c>
      <c r="F33" s="143"/>
      <c r="G33" s="143">
        <f t="shared" si="1"/>
        <v>460.25</v>
      </c>
      <c r="H33" s="42">
        <v>990755</v>
      </c>
      <c r="I33" s="47" t="s">
        <v>123</v>
      </c>
      <c r="J33" s="48" t="s">
        <v>89</v>
      </c>
      <c r="K33" s="49" t="s">
        <v>90</v>
      </c>
      <c r="L33" s="70">
        <v>92556210</v>
      </c>
      <c r="M33" s="70"/>
    </row>
    <row r="34" spans="1:14" x14ac:dyDescent="0.25">
      <c r="A34" s="61">
        <v>1372</v>
      </c>
      <c r="B34" s="52" t="s">
        <v>69</v>
      </c>
      <c r="C34" s="185">
        <v>1243.3</v>
      </c>
      <c r="D34" s="44">
        <v>0.25</v>
      </c>
      <c r="E34" s="143">
        <f t="shared" si="0"/>
        <v>310.82499999999999</v>
      </c>
      <c r="F34" s="143"/>
      <c r="G34" s="143">
        <f t="shared" si="1"/>
        <v>310.82499999999999</v>
      </c>
      <c r="H34" s="48">
        <v>628655</v>
      </c>
      <c r="I34" s="47" t="s">
        <v>124</v>
      </c>
      <c r="J34" s="48" t="s">
        <v>94</v>
      </c>
      <c r="K34" s="49" t="s">
        <v>95</v>
      </c>
      <c r="L34" s="70">
        <v>98976629</v>
      </c>
      <c r="M34" s="70"/>
    </row>
    <row r="35" spans="1:14" s="211" customFormat="1" x14ac:dyDescent="0.25">
      <c r="A35" s="203">
        <v>1373</v>
      </c>
      <c r="B35" s="204" t="s">
        <v>70</v>
      </c>
      <c r="C35" s="120">
        <v>476.1</v>
      </c>
      <c r="D35" s="121">
        <v>0.25</v>
      </c>
      <c r="E35" s="122">
        <f t="shared" si="0"/>
        <v>119.02500000000001</v>
      </c>
      <c r="F35" s="122">
        <v>118.72000000000001</v>
      </c>
      <c r="G35" s="122">
        <f t="shared" si="1"/>
        <v>0.30499999999999261</v>
      </c>
      <c r="H35" s="174">
        <v>734281</v>
      </c>
      <c r="I35" s="205" t="s">
        <v>125</v>
      </c>
      <c r="J35" s="174" t="s">
        <v>17</v>
      </c>
      <c r="K35" s="175" t="s">
        <v>18</v>
      </c>
      <c r="L35" s="206">
        <v>99891516</v>
      </c>
      <c r="M35" s="229" t="s">
        <v>221</v>
      </c>
    </row>
    <row r="36" spans="1:14" x14ac:dyDescent="0.25">
      <c r="A36" s="61">
        <v>1375</v>
      </c>
      <c r="B36" s="52" t="s">
        <v>71</v>
      </c>
      <c r="C36" s="185">
        <v>618</v>
      </c>
      <c r="D36" s="44">
        <v>0.25</v>
      </c>
      <c r="E36" s="143">
        <f t="shared" si="0"/>
        <v>154.5</v>
      </c>
      <c r="F36" s="143"/>
      <c r="G36" s="143">
        <f t="shared" si="1"/>
        <v>154.5</v>
      </c>
      <c r="H36" s="48">
        <v>6748627</v>
      </c>
      <c r="I36" s="158" t="s">
        <v>126</v>
      </c>
      <c r="J36" s="159" t="s">
        <v>127</v>
      </c>
      <c r="K36" s="159" t="s">
        <v>128</v>
      </c>
      <c r="L36" s="70">
        <v>93707700</v>
      </c>
      <c r="M36" s="70"/>
    </row>
    <row r="37" spans="1:14" s="211" customFormat="1" x14ac:dyDescent="0.25">
      <c r="A37" s="203">
        <v>1377</v>
      </c>
      <c r="B37" s="204" t="s">
        <v>72</v>
      </c>
      <c r="C37" s="120">
        <v>592.1</v>
      </c>
      <c r="D37" s="121">
        <v>0.25</v>
      </c>
      <c r="E37" s="122">
        <f t="shared" si="0"/>
        <v>148.02500000000001</v>
      </c>
      <c r="F37" s="122">
        <v>146.07</v>
      </c>
      <c r="G37" s="122">
        <f t="shared" si="1"/>
        <v>1.9550000000000125</v>
      </c>
      <c r="H37" s="174">
        <v>5160404</v>
      </c>
      <c r="I37" s="173" t="s">
        <v>129</v>
      </c>
      <c r="J37" s="174" t="s">
        <v>94</v>
      </c>
      <c r="K37" s="175" t="s">
        <v>95</v>
      </c>
      <c r="L37" s="206">
        <v>91120322</v>
      </c>
      <c r="M37" s="229" t="s">
        <v>222</v>
      </c>
    </row>
    <row r="38" spans="1:14" s="211" customFormat="1" x14ac:dyDescent="0.25">
      <c r="A38" s="203">
        <v>1378</v>
      </c>
      <c r="B38" s="204" t="s">
        <v>42</v>
      </c>
      <c r="C38" s="120">
        <v>2322.5</v>
      </c>
      <c r="D38" s="121">
        <v>0.25</v>
      </c>
      <c r="E38" s="122">
        <f t="shared" si="0"/>
        <v>580.625</v>
      </c>
      <c r="F38" s="122">
        <v>576.49</v>
      </c>
      <c r="G38" s="122">
        <f t="shared" si="1"/>
        <v>4.1349999999999909</v>
      </c>
      <c r="H38" s="174">
        <v>5996404</v>
      </c>
      <c r="I38" s="214" t="s">
        <v>130</v>
      </c>
      <c r="J38" s="119" t="s">
        <v>110</v>
      </c>
      <c r="K38" s="119" t="s">
        <v>18</v>
      </c>
      <c r="L38" s="206">
        <v>98976878</v>
      </c>
      <c r="M38" s="229" t="s">
        <v>221</v>
      </c>
    </row>
    <row r="39" spans="1:14" s="211" customFormat="1" x14ac:dyDescent="0.25">
      <c r="A39" s="203">
        <v>1381</v>
      </c>
      <c r="B39" s="204" t="s">
        <v>43</v>
      </c>
      <c r="C39" s="120">
        <v>611</v>
      </c>
      <c r="D39" s="121">
        <v>0.25</v>
      </c>
      <c r="E39" s="122">
        <f t="shared" si="0"/>
        <v>152.75</v>
      </c>
      <c r="F39" s="122">
        <v>148.11000000000001</v>
      </c>
      <c r="G39" s="122">
        <f t="shared" si="1"/>
        <v>4.6399999999999864</v>
      </c>
      <c r="H39" s="174">
        <v>19847623</v>
      </c>
      <c r="I39" s="173" t="s">
        <v>131</v>
      </c>
      <c r="J39" s="174" t="s">
        <v>89</v>
      </c>
      <c r="K39" s="175" t="s">
        <v>90</v>
      </c>
      <c r="L39" s="206">
        <v>92802427</v>
      </c>
      <c r="M39" s="229" t="s">
        <v>221</v>
      </c>
    </row>
    <row r="40" spans="1:14" s="211" customFormat="1" x14ac:dyDescent="0.25">
      <c r="A40" s="118">
        <v>1390</v>
      </c>
      <c r="B40" s="119" t="s">
        <v>206</v>
      </c>
      <c r="C40" s="120">
        <v>610.5</v>
      </c>
      <c r="D40" s="121">
        <v>0.25</v>
      </c>
      <c r="E40" s="122">
        <f t="shared" si="0"/>
        <v>152.625</v>
      </c>
      <c r="F40" s="122">
        <v>148.27499999999998</v>
      </c>
      <c r="G40" s="122">
        <f t="shared" si="1"/>
        <v>4.3500000000000227</v>
      </c>
      <c r="H40" s="123">
        <v>13826903</v>
      </c>
      <c r="I40" s="214" t="s">
        <v>205</v>
      </c>
      <c r="J40" s="123" t="s">
        <v>17</v>
      </c>
      <c r="K40" s="123" t="s">
        <v>18</v>
      </c>
      <c r="L40" s="145"/>
      <c r="M40" s="229" t="s">
        <v>221</v>
      </c>
    </row>
    <row r="41" spans="1:14" s="65" customFormat="1" x14ac:dyDescent="0.25">
      <c r="A41" s="41">
        <v>1392</v>
      </c>
      <c r="B41" s="42" t="s">
        <v>73</v>
      </c>
      <c r="C41" s="185">
        <v>1550</v>
      </c>
      <c r="D41" s="44">
        <v>0.25</v>
      </c>
      <c r="E41" s="143">
        <f t="shared" si="0"/>
        <v>387.5</v>
      </c>
      <c r="F41" s="143"/>
      <c r="G41" s="143">
        <f t="shared" si="1"/>
        <v>387.5</v>
      </c>
      <c r="H41" s="46">
        <v>1353348</v>
      </c>
      <c r="I41" s="47" t="s">
        <v>133</v>
      </c>
      <c r="J41" s="48" t="s">
        <v>94</v>
      </c>
      <c r="K41" s="49" t="s">
        <v>95</v>
      </c>
      <c r="L41" s="51"/>
      <c r="M41" s="51"/>
    </row>
    <row r="42" spans="1:14" s="211" customFormat="1" x14ac:dyDescent="0.25">
      <c r="A42" s="203">
        <v>1393</v>
      </c>
      <c r="B42" s="204" t="s">
        <v>45</v>
      </c>
      <c r="C42" s="120">
        <v>615.29999999999995</v>
      </c>
      <c r="D42" s="121">
        <v>0.25</v>
      </c>
      <c r="E42" s="122">
        <f t="shared" si="0"/>
        <v>153.82499999999999</v>
      </c>
      <c r="F42" s="122">
        <f>149.74</f>
        <v>149.74</v>
      </c>
      <c r="G42" s="122">
        <f t="shared" si="1"/>
        <v>4.0849999999999795</v>
      </c>
      <c r="H42" s="174">
        <v>1650389</v>
      </c>
      <c r="I42" s="214" t="s">
        <v>134</v>
      </c>
      <c r="J42" s="119" t="s">
        <v>17</v>
      </c>
      <c r="K42" s="119" t="s">
        <v>18</v>
      </c>
      <c r="L42" s="206">
        <v>94264109</v>
      </c>
      <c r="M42" s="229" t="s">
        <v>221</v>
      </c>
    </row>
    <row r="43" spans="1:14" s="65" customFormat="1" x14ac:dyDescent="0.25">
      <c r="A43" s="61">
        <v>1500</v>
      </c>
      <c r="B43" s="52" t="s">
        <v>75</v>
      </c>
      <c r="C43" s="185">
        <v>0</v>
      </c>
      <c r="D43" s="44">
        <v>0.25</v>
      </c>
      <c r="E43" s="143">
        <f t="shared" si="0"/>
        <v>0</v>
      </c>
      <c r="F43" s="143"/>
      <c r="G43" s="143">
        <f t="shared" si="1"/>
        <v>0</v>
      </c>
      <c r="H43" s="48">
        <v>19567469</v>
      </c>
      <c r="I43" s="47" t="s">
        <v>135</v>
      </c>
      <c r="J43" s="48" t="s">
        <v>94</v>
      </c>
      <c r="K43" s="161" t="s">
        <v>95</v>
      </c>
      <c r="L43" s="70">
        <v>92265154</v>
      </c>
      <c r="M43" s="70"/>
    </row>
    <row r="44" spans="1:14" s="65" customFormat="1" x14ac:dyDescent="0.25">
      <c r="A44" s="61">
        <v>1501</v>
      </c>
      <c r="B44" s="202" t="s">
        <v>76</v>
      </c>
      <c r="C44" s="185">
        <v>148.5</v>
      </c>
      <c r="D44" s="44">
        <v>0.25</v>
      </c>
      <c r="E44" s="143">
        <f t="shared" si="0"/>
        <v>37.125</v>
      </c>
      <c r="F44" s="143"/>
      <c r="G44" s="143">
        <f t="shared" si="1"/>
        <v>37.125</v>
      </c>
      <c r="H44" s="48">
        <v>25657583</v>
      </c>
      <c r="I44" s="47" t="s">
        <v>136</v>
      </c>
      <c r="J44" s="48" t="s">
        <v>17</v>
      </c>
      <c r="K44" s="161" t="s">
        <v>18</v>
      </c>
      <c r="L44" s="70">
        <v>93972300</v>
      </c>
      <c r="M44" s="70"/>
    </row>
    <row r="45" spans="1:14" s="65" customFormat="1" x14ac:dyDescent="0.25">
      <c r="A45" s="61">
        <v>1503</v>
      </c>
      <c r="B45" s="89" t="s">
        <v>77</v>
      </c>
      <c r="C45" s="185">
        <v>596.29999999999995</v>
      </c>
      <c r="D45" s="44">
        <v>0.25</v>
      </c>
      <c r="E45" s="143">
        <f t="shared" si="0"/>
        <v>149.07499999999999</v>
      </c>
      <c r="F45" s="143"/>
      <c r="G45" s="143">
        <f t="shared" si="1"/>
        <v>149.07499999999999</v>
      </c>
      <c r="H45" s="48">
        <v>8930607</v>
      </c>
      <c r="I45" s="162" t="s">
        <v>137</v>
      </c>
      <c r="J45" s="48" t="s">
        <v>17</v>
      </c>
      <c r="K45" s="161" t="s">
        <v>18</v>
      </c>
      <c r="L45" s="70">
        <v>92621425</v>
      </c>
      <c r="M45" s="70"/>
      <c r="N45" s="7"/>
    </row>
    <row r="46" spans="1:14" s="211" customFormat="1" ht="17.25" customHeight="1" x14ac:dyDescent="0.25">
      <c r="A46" s="203">
        <v>1504</v>
      </c>
      <c r="B46" s="218" t="s">
        <v>79</v>
      </c>
      <c r="C46" s="120">
        <v>1172</v>
      </c>
      <c r="D46" s="121">
        <v>0.25</v>
      </c>
      <c r="E46" s="122">
        <f t="shared" si="0"/>
        <v>293</v>
      </c>
      <c r="F46" s="122">
        <v>291.19</v>
      </c>
      <c r="G46" s="122">
        <f t="shared" si="1"/>
        <v>1.8100000000000023</v>
      </c>
      <c r="H46" s="174">
        <v>381215</v>
      </c>
      <c r="I46" s="173" t="s">
        <v>138</v>
      </c>
      <c r="J46" s="174" t="s">
        <v>17</v>
      </c>
      <c r="K46" s="220" t="s">
        <v>18</v>
      </c>
      <c r="L46" s="206">
        <v>95110746</v>
      </c>
      <c r="M46" s="229" t="s">
        <v>221</v>
      </c>
    </row>
    <row r="47" spans="1:14" s="211" customFormat="1" x14ac:dyDescent="0.25">
      <c r="A47" s="203">
        <v>1505</v>
      </c>
      <c r="B47" s="218" t="s">
        <v>86</v>
      </c>
      <c r="C47" s="219">
        <v>553.20000000000005</v>
      </c>
      <c r="D47" s="121">
        <v>0.25</v>
      </c>
      <c r="E47" s="122">
        <f t="shared" si="0"/>
        <v>138.30000000000001</v>
      </c>
      <c r="F47" s="122">
        <v>137.78</v>
      </c>
      <c r="G47" s="122">
        <f t="shared" si="1"/>
        <v>0.52000000000001023</v>
      </c>
      <c r="H47" s="174">
        <v>6668659</v>
      </c>
      <c r="I47" s="173" t="s">
        <v>139</v>
      </c>
      <c r="J47" s="174" t="s">
        <v>17</v>
      </c>
      <c r="K47" s="220" t="s">
        <v>18</v>
      </c>
      <c r="L47" s="206">
        <v>92142246</v>
      </c>
      <c r="M47" s="229" t="s">
        <v>221</v>
      </c>
    </row>
    <row r="48" spans="1:14" x14ac:dyDescent="0.25">
      <c r="A48" s="86"/>
      <c r="B48" s="86"/>
      <c r="C48" s="185">
        <f>SUM(C4:C47)</f>
        <v>67295.900000000009</v>
      </c>
      <c r="D48" s="44">
        <v>0.25</v>
      </c>
      <c r="E48" s="143">
        <f>SUM(E4:E47)</f>
        <v>16823.975000000002</v>
      </c>
      <c r="F48" s="143">
        <f>SUM(F4:F47)</f>
        <v>6347.229979367261</v>
      </c>
      <c r="G48" s="143">
        <f>SUM(G4:G47)</f>
        <v>10476.745020632739</v>
      </c>
      <c r="H48" s="86"/>
      <c r="I48" s="163"/>
      <c r="J48" s="164"/>
      <c r="K48" s="86"/>
      <c r="L48" s="79"/>
      <c r="M48" s="79"/>
    </row>
    <row r="50" spans="1:13" x14ac:dyDescent="0.25">
      <c r="I50" s="81" t="s">
        <v>23</v>
      </c>
    </row>
    <row r="51" spans="1:13" x14ac:dyDescent="0.25">
      <c r="A51" s="83"/>
      <c r="B51" s="83"/>
      <c r="C51" s="7"/>
      <c r="I51" s="7"/>
      <c r="J51" s="7"/>
      <c r="L51" s="7"/>
      <c r="M51" s="7"/>
    </row>
    <row r="52" spans="1:13" x14ac:dyDescent="0.25">
      <c r="A52" s="83"/>
      <c r="B52" s="83"/>
      <c r="C52" s="7"/>
      <c r="I52" s="7"/>
      <c r="J52" s="7"/>
      <c r="L52" s="7"/>
      <c r="M52" s="7"/>
    </row>
    <row r="53" spans="1:13" x14ac:dyDescent="0.25">
      <c r="A53" s="83"/>
      <c r="B53" s="83"/>
      <c r="C53" s="7"/>
      <c r="I53" s="7"/>
      <c r="J53" s="7"/>
      <c r="L53" s="7"/>
      <c r="M53" s="7"/>
    </row>
    <row r="54" spans="1:13" x14ac:dyDescent="0.25">
      <c r="A54" s="83"/>
      <c r="B54" s="83"/>
      <c r="C54" s="7"/>
      <c r="I54" s="7"/>
      <c r="J54" s="7"/>
      <c r="L54" s="7"/>
      <c r="M54" s="7"/>
    </row>
    <row r="55" spans="1:13" x14ac:dyDescent="0.25">
      <c r="A55" s="83"/>
      <c r="B55" s="83"/>
      <c r="C55" s="7"/>
      <c r="I55" s="7"/>
      <c r="J55" s="7"/>
      <c r="L55" s="7"/>
      <c r="M55" s="7"/>
    </row>
  </sheetData>
  <mergeCells count="13">
    <mergeCell ref="K2:K3"/>
    <mergeCell ref="L2:L3"/>
    <mergeCell ref="M2:M3"/>
    <mergeCell ref="A2:A3"/>
    <mergeCell ref="B2:B3"/>
    <mergeCell ref="C2:C3"/>
    <mergeCell ref="D2:D3"/>
    <mergeCell ref="E2:E3"/>
    <mergeCell ref="H2:H3"/>
    <mergeCell ref="I2:I3"/>
    <mergeCell ref="J2:J3"/>
    <mergeCell ref="F2:F3"/>
    <mergeCell ref="G2:G3"/>
  </mergeCells>
  <conditionalFormatting sqref="I36">
    <cfRule type="duplicateValues" dxfId="2" priority="1"/>
  </conditionalFormatting>
  <pageMargins left="0.7" right="0.7" top="0.75" bottom="0.75" header="0.3" footer="0.3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1865-8662-48D7-832D-7B9D01A13065}">
  <dimension ref="A1:N55"/>
  <sheetViews>
    <sheetView workbookViewId="0">
      <selection activeCell="G4" sqref="G4"/>
    </sheetView>
  </sheetViews>
  <sheetFormatPr defaultColWidth="9" defaultRowHeight="15.75" x14ac:dyDescent="0.25"/>
  <cols>
    <col min="1" max="1" width="92.5703125" style="7" bestFit="1" customWidth="1"/>
    <col min="2" max="2" width="41.5703125" style="7" customWidth="1"/>
    <col min="3" max="3" width="13.42578125" style="80" customWidth="1"/>
    <col min="4" max="4" width="16.5703125" style="7" customWidth="1"/>
    <col min="5" max="7" width="17.42578125" style="7" customWidth="1"/>
    <col min="8" max="8" width="12.140625" style="7" customWidth="1"/>
    <col min="9" max="9" width="24.42578125" style="81" hidden="1" customWidth="1"/>
    <col min="10" max="10" width="19.140625" style="82" hidden="1" customWidth="1"/>
    <col min="11" max="11" width="15.140625" style="7" hidden="1" customWidth="1"/>
    <col min="12" max="12" width="11.140625" style="83" hidden="1" customWidth="1"/>
    <col min="13" max="13" width="14.5703125" style="83" customWidth="1"/>
    <col min="14" max="16384" width="9" style="7"/>
  </cols>
  <sheetData>
    <row r="1" spans="1:13" x14ac:dyDescent="0.25">
      <c r="A1" s="233" t="s">
        <v>223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39"/>
    </row>
    <row r="2" spans="1:13" ht="15.75" customHeight="1" x14ac:dyDescent="0.25">
      <c r="A2" s="247" t="s">
        <v>2</v>
      </c>
      <c r="B2" s="247" t="s">
        <v>3</v>
      </c>
      <c r="C2" s="250" t="s">
        <v>4</v>
      </c>
      <c r="D2" s="247" t="s">
        <v>5</v>
      </c>
      <c r="E2" s="250" t="s">
        <v>6</v>
      </c>
      <c r="F2" s="230"/>
      <c r="G2" s="262" t="s">
        <v>8</v>
      </c>
      <c r="H2" s="247" t="s">
        <v>9</v>
      </c>
      <c r="I2" s="247" t="s">
        <v>10</v>
      </c>
      <c r="J2" s="249" t="s">
        <v>11</v>
      </c>
      <c r="K2" s="247" t="s">
        <v>12</v>
      </c>
      <c r="L2" s="245" t="s">
        <v>13</v>
      </c>
      <c r="M2" s="245" t="s">
        <v>14</v>
      </c>
    </row>
    <row r="3" spans="1:13" x14ac:dyDescent="0.25">
      <c r="A3" s="247"/>
      <c r="B3" s="247"/>
      <c r="C3" s="250"/>
      <c r="D3" s="247"/>
      <c r="E3" s="250"/>
      <c r="F3" s="230"/>
      <c r="G3" s="263"/>
      <c r="H3" s="247"/>
      <c r="I3" s="247"/>
      <c r="J3" s="249"/>
      <c r="K3" s="247"/>
      <c r="L3" s="245"/>
      <c r="M3" s="245"/>
    </row>
    <row r="4" spans="1:13" x14ac:dyDescent="0.25">
      <c r="A4" s="41">
        <v>1010</v>
      </c>
      <c r="B4" s="42" t="s">
        <v>47</v>
      </c>
      <c r="C4" s="188">
        <v>1081.8</v>
      </c>
      <c r="D4" s="44">
        <v>0.25</v>
      </c>
      <c r="E4" s="143">
        <f t="shared" ref="E4:E47" si="0">SUM(C4*D4)</f>
        <v>270.45</v>
      </c>
      <c r="F4" s="143"/>
      <c r="G4" s="143">
        <f>E4-F4</f>
        <v>270.45</v>
      </c>
      <c r="H4" s="46">
        <v>315313</v>
      </c>
      <c r="I4" s="47" t="s">
        <v>88</v>
      </c>
      <c r="J4" s="48" t="s">
        <v>89</v>
      </c>
      <c r="K4" s="49" t="s">
        <v>90</v>
      </c>
      <c r="L4" s="51">
        <v>92600441</v>
      </c>
      <c r="M4" s="51"/>
    </row>
    <row r="5" spans="1:13" x14ac:dyDescent="0.25">
      <c r="A5" s="41">
        <v>1038</v>
      </c>
      <c r="B5" s="42" t="s">
        <v>48</v>
      </c>
      <c r="C5" s="188">
        <v>1778.2</v>
      </c>
      <c r="D5" s="44">
        <v>0.25</v>
      </c>
      <c r="E5" s="143">
        <f t="shared" si="0"/>
        <v>444.55</v>
      </c>
      <c r="F5" s="143"/>
      <c r="G5" s="143">
        <f t="shared" ref="G5:G47" si="1">E5-F5</f>
        <v>444.55</v>
      </c>
      <c r="H5" s="46">
        <v>5247837</v>
      </c>
      <c r="I5" s="47" t="s">
        <v>91</v>
      </c>
      <c r="J5" s="48" t="s">
        <v>17</v>
      </c>
      <c r="K5" s="49" t="s">
        <v>18</v>
      </c>
      <c r="L5" s="51">
        <v>99441537</v>
      </c>
      <c r="M5" s="51"/>
    </row>
    <row r="6" spans="1:13" x14ac:dyDescent="0.25">
      <c r="A6" s="41">
        <v>1065</v>
      </c>
      <c r="B6" s="42" t="s">
        <v>49</v>
      </c>
      <c r="C6" s="188">
        <v>539.70000000000005</v>
      </c>
      <c r="D6" s="44">
        <v>0.25</v>
      </c>
      <c r="E6" s="143">
        <f t="shared" si="0"/>
        <v>134.92500000000001</v>
      </c>
      <c r="F6" s="143"/>
      <c r="G6" s="143">
        <f t="shared" si="1"/>
        <v>134.92500000000001</v>
      </c>
      <c r="H6" s="46">
        <v>1276058</v>
      </c>
      <c r="I6" s="52" t="s">
        <v>92</v>
      </c>
      <c r="J6" s="48" t="s">
        <v>17</v>
      </c>
      <c r="K6" s="49" t="s">
        <v>18</v>
      </c>
      <c r="L6" s="51">
        <v>99498549</v>
      </c>
      <c r="M6" s="51"/>
    </row>
    <row r="7" spans="1:13" x14ac:dyDescent="0.25">
      <c r="A7" s="41">
        <v>1071</v>
      </c>
      <c r="B7" s="42" t="s">
        <v>31</v>
      </c>
      <c r="C7" s="185">
        <v>535.9</v>
      </c>
      <c r="D7" s="44">
        <v>0.25</v>
      </c>
      <c r="E7" s="143">
        <f t="shared" si="0"/>
        <v>133.97499999999999</v>
      </c>
      <c r="F7" s="143"/>
      <c r="G7" s="143">
        <f t="shared" si="1"/>
        <v>133.97499999999999</v>
      </c>
      <c r="H7" s="46">
        <v>390741</v>
      </c>
      <c r="I7" s="47" t="s">
        <v>93</v>
      </c>
      <c r="J7" s="48" t="s">
        <v>94</v>
      </c>
      <c r="K7" s="49" t="s">
        <v>95</v>
      </c>
      <c r="L7" s="51">
        <v>99589144</v>
      </c>
      <c r="M7" s="51"/>
    </row>
    <row r="8" spans="1:13" x14ac:dyDescent="0.25">
      <c r="A8" s="41">
        <v>1086</v>
      </c>
      <c r="B8" s="42" t="s">
        <v>27</v>
      </c>
      <c r="C8" s="185">
        <v>1073.5999999999999</v>
      </c>
      <c r="D8" s="44">
        <v>0.25</v>
      </c>
      <c r="E8" s="143">
        <f t="shared" si="0"/>
        <v>268.39999999999998</v>
      </c>
      <c r="F8" s="143"/>
      <c r="G8" s="143">
        <f t="shared" si="1"/>
        <v>268.39999999999998</v>
      </c>
      <c r="H8" s="46">
        <v>2379573</v>
      </c>
      <c r="I8" s="52" t="s">
        <v>96</v>
      </c>
      <c r="J8" s="48" t="s">
        <v>94</v>
      </c>
      <c r="K8" s="49" t="s">
        <v>95</v>
      </c>
      <c r="L8" s="51">
        <v>92917899</v>
      </c>
      <c r="M8" s="51"/>
    </row>
    <row r="9" spans="1:13" x14ac:dyDescent="0.25">
      <c r="A9" s="41">
        <v>1123</v>
      </c>
      <c r="B9" s="232" t="s">
        <v>33</v>
      </c>
      <c r="C9" s="185">
        <v>1165.0999999999999</v>
      </c>
      <c r="D9" s="44">
        <v>0.25</v>
      </c>
      <c r="E9" s="143">
        <f t="shared" si="0"/>
        <v>291.27499999999998</v>
      </c>
      <c r="F9" s="143"/>
      <c r="G9" s="143">
        <f t="shared" si="1"/>
        <v>291.27499999999998</v>
      </c>
      <c r="H9" s="46">
        <v>655141</v>
      </c>
      <c r="I9" s="47" t="s">
        <v>97</v>
      </c>
      <c r="J9" s="48" t="s">
        <v>98</v>
      </c>
      <c r="K9" s="49" t="s">
        <v>99</v>
      </c>
      <c r="L9" s="51">
        <v>99485623</v>
      </c>
      <c r="M9" s="51"/>
    </row>
    <row r="10" spans="1:13" x14ac:dyDescent="0.25">
      <c r="A10" s="61">
        <v>1130</v>
      </c>
      <c r="B10" s="52" t="s">
        <v>51</v>
      </c>
      <c r="C10" s="185">
        <v>1021.2</v>
      </c>
      <c r="D10" s="44">
        <v>0.25</v>
      </c>
      <c r="E10" s="143">
        <f t="shared" si="0"/>
        <v>255.3</v>
      </c>
      <c r="F10" s="143"/>
      <c r="G10" s="143">
        <f t="shared" si="1"/>
        <v>255.3</v>
      </c>
      <c r="H10" s="63">
        <v>5485645</v>
      </c>
      <c r="I10" s="155" t="s">
        <v>101</v>
      </c>
      <c r="J10" s="156" t="s">
        <v>17</v>
      </c>
      <c r="K10" s="49" t="s">
        <v>18</v>
      </c>
      <c r="L10" s="64">
        <v>90977488</v>
      </c>
      <c r="M10" s="64"/>
    </row>
    <row r="11" spans="1:13" x14ac:dyDescent="0.25">
      <c r="A11" s="41">
        <v>1152</v>
      </c>
      <c r="B11" s="42" t="s">
        <v>52</v>
      </c>
      <c r="C11" s="185">
        <v>1309.3</v>
      </c>
      <c r="D11" s="44">
        <v>0.25</v>
      </c>
      <c r="E11" s="143">
        <f t="shared" si="0"/>
        <v>327.32499999999999</v>
      </c>
      <c r="F11" s="143"/>
      <c r="G11" s="143">
        <f t="shared" si="1"/>
        <v>327.32499999999999</v>
      </c>
      <c r="H11" s="46">
        <v>5254327</v>
      </c>
      <c r="I11" s="52" t="s">
        <v>102</v>
      </c>
      <c r="J11" s="48" t="s">
        <v>94</v>
      </c>
      <c r="K11" s="49" t="s">
        <v>95</v>
      </c>
      <c r="L11" s="51">
        <v>99692328</v>
      </c>
      <c r="M11" s="51"/>
    </row>
    <row r="12" spans="1:13" x14ac:dyDescent="0.25">
      <c r="A12" s="41">
        <v>1200</v>
      </c>
      <c r="B12" s="42" t="s">
        <v>53</v>
      </c>
      <c r="C12" s="185">
        <v>591.20000000000005</v>
      </c>
      <c r="D12" s="44">
        <v>0.25</v>
      </c>
      <c r="E12" s="143">
        <f t="shared" si="0"/>
        <v>147.80000000000001</v>
      </c>
      <c r="F12" s="143"/>
      <c r="G12" s="143">
        <f t="shared" si="1"/>
        <v>147.80000000000001</v>
      </c>
      <c r="H12" s="46">
        <v>7287174</v>
      </c>
      <c r="I12" s="52" t="s">
        <v>103</v>
      </c>
      <c r="J12" s="48" t="s">
        <v>94</v>
      </c>
      <c r="K12" s="49" t="s">
        <v>95</v>
      </c>
      <c r="L12" s="51">
        <v>99673747</v>
      </c>
      <c r="M12" s="51"/>
    </row>
    <row r="13" spans="1:13" x14ac:dyDescent="0.25">
      <c r="A13" s="41">
        <v>1276</v>
      </c>
      <c r="B13" s="42" t="s">
        <v>54</v>
      </c>
      <c r="C13" s="185">
        <v>388.4</v>
      </c>
      <c r="D13" s="44">
        <v>0.25</v>
      </c>
      <c r="E13" s="143">
        <f t="shared" si="0"/>
        <v>97.1</v>
      </c>
      <c r="F13" s="143"/>
      <c r="G13" s="143">
        <f t="shared" si="1"/>
        <v>97.1</v>
      </c>
      <c r="H13" s="46">
        <v>334495</v>
      </c>
      <c r="I13" s="47" t="s">
        <v>104</v>
      </c>
      <c r="J13" s="48" t="s">
        <v>17</v>
      </c>
      <c r="K13" s="49" t="s">
        <v>18</v>
      </c>
      <c r="L13" s="51">
        <v>99170505</v>
      </c>
      <c r="M13" s="51"/>
    </row>
    <row r="14" spans="1:13" x14ac:dyDescent="0.25">
      <c r="A14" s="41">
        <v>1281</v>
      </c>
      <c r="B14" s="42" t="s">
        <v>55</v>
      </c>
      <c r="C14" s="185">
        <v>1616.8</v>
      </c>
      <c r="D14" s="44">
        <v>0.25</v>
      </c>
      <c r="E14" s="143">
        <f t="shared" si="0"/>
        <v>404.2</v>
      </c>
      <c r="F14" s="143"/>
      <c r="G14" s="143">
        <f t="shared" si="1"/>
        <v>404.2</v>
      </c>
      <c r="H14" s="46">
        <v>6310986</v>
      </c>
      <c r="I14" s="52" t="s">
        <v>105</v>
      </c>
      <c r="J14" s="48" t="s">
        <v>17</v>
      </c>
      <c r="K14" s="49" t="s">
        <v>18</v>
      </c>
      <c r="L14" s="51">
        <v>92922944</v>
      </c>
      <c r="M14" s="51"/>
    </row>
    <row r="15" spans="1:13" x14ac:dyDescent="0.25">
      <c r="A15" s="41">
        <v>1308</v>
      </c>
      <c r="B15" s="42" t="s">
        <v>35</v>
      </c>
      <c r="C15" s="185">
        <v>541</v>
      </c>
      <c r="D15" s="44">
        <v>0.25</v>
      </c>
      <c r="E15" s="143">
        <f t="shared" si="0"/>
        <v>135.25</v>
      </c>
      <c r="F15" s="143"/>
      <c r="G15" s="143">
        <f t="shared" si="1"/>
        <v>135.25</v>
      </c>
      <c r="H15" s="46">
        <v>6225641</v>
      </c>
      <c r="I15" s="47" t="s">
        <v>106</v>
      </c>
      <c r="J15" s="48" t="s">
        <v>94</v>
      </c>
      <c r="K15" s="49" t="s">
        <v>95</v>
      </c>
      <c r="L15" s="51">
        <v>92055550</v>
      </c>
      <c r="M15" s="51"/>
    </row>
    <row r="16" spans="1:13" x14ac:dyDescent="0.25">
      <c r="A16" s="41">
        <v>1337</v>
      </c>
      <c r="B16" s="42" t="s">
        <v>56</v>
      </c>
      <c r="C16" s="185">
        <v>523.29999999999995</v>
      </c>
      <c r="D16" s="44">
        <v>0.25</v>
      </c>
      <c r="E16" s="143">
        <f t="shared" si="0"/>
        <v>130.82499999999999</v>
      </c>
      <c r="F16" s="143"/>
      <c r="G16" s="143">
        <f t="shared" si="1"/>
        <v>130.82499999999999</v>
      </c>
      <c r="H16" s="46">
        <v>6719626</v>
      </c>
      <c r="I16" s="52" t="s">
        <v>107</v>
      </c>
      <c r="J16" s="48" t="s">
        <v>17</v>
      </c>
      <c r="K16" s="49" t="s">
        <v>18</v>
      </c>
      <c r="L16" s="51">
        <v>97726288</v>
      </c>
      <c r="M16" s="51"/>
    </row>
    <row r="17" spans="1:13" s="65" customFormat="1" ht="15" customHeight="1" x14ac:dyDescent="0.25">
      <c r="A17" s="41">
        <v>1339</v>
      </c>
      <c r="B17" s="42" t="s">
        <v>57</v>
      </c>
      <c r="C17" s="185">
        <v>3704.1</v>
      </c>
      <c r="D17" s="44">
        <v>0.25</v>
      </c>
      <c r="E17" s="143">
        <f t="shared" si="0"/>
        <v>926.02499999999998</v>
      </c>
      <c r="F17" s="143"/>
      <c r="G17" s="143">
        <f t="shared" si="1"/>
        <v>926.02499999999998</v>
      </c>
      <c r="H17" s="46">
        <v>3090574</v>
      </c>
      <c r="I17" s="47" t="s">
        <v>108</v>
      </c>
      <c r="J17" s="46" t="s">
        <v>94</v>
      </c>
      <c r="K17" s="46" t="s">
        <v>95</v>
      </c>
      <c r="L17" s="51">
        <v>99292421</v>
      </c>
      <c r="M17" s="51"/>
    </row>
    <row r="18" spans="1:13" s="65" customFormat="1" ht="15" customHeight="1" x14ac:dyDescent="0.25">
      <c r="A18" s="41">
        <v>1340</v>
      </c>
      <c r="B18" s="63" t="s">
        <v>36</v>
      </c>
      <c r="C18" s="185">
        <v>750.8</v>
      </c>
      <c r="D18" s="44">
        <v>0.25</v>
      </c>
      <c r="E18" s="143">
        <f t="shared" si="0"/>
        <v>187.7</v>
      </c>
      <c r="F18" s="143"/>
      <c r="G18" s="143">
        <f t="shared" si="1"/>
        <v>187.7</v>
      </c>
      <c r="H18" s="64">
        <v>7279274</v>
      </c>
      <c r="I18" s="210" t="s">
        <v>109</v>
      </c>
      <c r="J18" s="48" t="s">
        <v>110</v>
      </c>
      <c r="K18" s="210" t="s">
        <v>18</v>
      </c>
      <c r="L18" s="64">
        <v>93808816</v>
      </c>
      <c r="M18" s="64"/>
    </row>
    <row r="19" spans="1:13" x14ac:dyDescent="0.25">
      <c r="A19" s="41">
        <v>1341</v>
      </c>
      <c r="B19" s="42" t="s">
        <v>58</v>
      </c>
      <c r="C19" s="185">
        <v>1242</v>
      </c>
      <c r="D19" s="44">
        <v>0.25</v>
      </c>
      <c r="E19" s="143">
        <f t="shared" si="0"/>
        <v>310.5</v>
      </c>
      <c r="F19" s="143"/>
      <c r="G19" s="143">
        <f t="shared" si="1"/>
        <v>310.5</v>
      </c>
      <c r="H19" s="46">
        <v>15977579</v>
      </c>
      <c r="I19" s="52" t="s">
        <v>111</v>
      </c>
      <c r="J19" s="48" t="s">
        <v>110</v>
      </c>
      <c r="K19" s="49" t="s">
        <v>18</v>
      </c>
      <c r="L19" s="51">
        <v>92578822</v>
      </c>
      <c r="M19" s="51"/>
    </row>
    <row r="20" spans="1:13" x14ac:dyDescent="0.25">
      <c r="A20" s="41">
        <v>1342</v>
      </c>
      <c r="B20" s="42" t="s">
        <v>59</v>
      </c>
      <c r="C20" s="185">
        <v>537.6</v>
      </c>
      <c r="D20" s="44">
        <v>0.25</v>
      </c>
      <c r="E20" s="143">
        <f t="shared" si="0"/>
        <v>134.4</v>
      </c>
      <c r="F20" s="143"/>
      <c r="G20" s="143">
        <f t="shared" si="1"/>
        <v>134.4</v>
      </c>
      <c r="H20" s="46">
        <v>13950469</v>
      </c>
      <c r="I20" s="47" t="s">
        <v>112</v>
      </c>
      <c r="J20" s="48" t="s">
        <v>110</v>
      </c>
      <c r="K20" s="49" t="s">
        <v>18</v>
      </c>
      <c r="L20" s="51">
        <v>92341118</v>
      </c>
      <c r="M20" s="231" t="s">
        <v>207</v>
      </c>
    </row>
    <row r="21" spans="1:13" x14ac:dyDescent="0.25">
      <c r="A21" s="41">
        <v>1343</v>
      </c>
      <c r="B21" s="42" t="s">
        <v>29</v>
      </c>
      <c r="C21" s="187">
        <v>1066.3</v>
      </c>
      <c r="D21" s="44">
        <v>0.25</v>
      </c>
      <c r="E21" s="143">
        <f t="shared" si="0"/>
        <v>266.57499999999999</v>
      </c>
      <c r="F21" s="143"/>
      <c r="G21" s="143">
        <f t="shared" si="1"/>
        <v>266.57499999999999</v>
      </c>
      <c r="H21" s="46">
        <v>5160297</v>
      </c>
      <c r="I21" s="52" t="s">
        <v>113</v>
      </c>
      <c r="J21" s="48" t="s">
        <v>94</v>
      </c>
      <c r="K21" s="49" t="s">
        <v>95</v>
      </c>
      <c r="L21" s="51">
        <v>93501199</v>
      </c>
      <c r="M21" s="51"/>
    </row>
    <row r="22" spans="1:13" x14ac:dyDescent="0.25">
      <c r="A22" s="41">
        <v>1345</v>
      </c>
      <c r="B22" s="63" t="s">
        <v>60</v>
      </c>
      <c r="C22" s="185">
        <v>4294.3</v>
      </c>
      <c r="D22" s="67">
        <v>0.25</v>
      </c>
      <c r="E22" s="143">
        <f t="shared" si="0"/>
        <v>1073.575</v>
      </c>
      <c r="F22" s="143"/>
      <c r="G22" s="143">
        <f t="shared" si="1"/>
        <v>1073.575</v>
      </c>
      <c r="H22" s="63">
        <v>10578952</v>
      </c>
      <c r="I22" s="155" t="s">
        <v>114</v>
      </c>
      <c r="J22" s="156" t="s">
        <v>115</v>
      </c>
      <c r="K22" s="49" t="s">
        <v>116</v>
      </c>
      <c r="L22" s="64">
        <v>92194382</v>
      </c>
      <c r="M22" s="64"/>
    </row>
    <row r="23" spans="1:13" x14ac:dyDescent="0.25">
      <c r="A23" s="41">
        <v>1349</v>
      </c>
      <c r="B23" s="42" t="s">
        <v>38</v>
      </c>
      <c r="C23" s="185">
        <v>1930.7</v>
      </c>
      <c r="D23" s="44">
        <v>0.25</v>
      </c>
      <c r="E23" s="143">
        <f t="shared" si="0"/>
        <v>482.67500000000001</v>
      </c>
      <c r="F23" s="143"/>
      <c r="G23" s="143">
        <f t="shared" si="1"/>
        <v>482.67500000000001</v>
      </c>
      <c r="H23" s="46">
        <v>7128679</v>
      </c>
      <c r="I23" s="52" t="s">
        <v>117</v>
      </c>
      <c r="J23" s="48" t="s">
        <v>17</v>
      </c>
      <c r="K23" s="49" t="s">
        <v>18</v>
      </c>
      <c r="L23" s="51">
        <v>91408836</v>
      </c>
      <c r="M23" s="51"/>
    </row>
    <row r="24" spans="1:13" x14ac:dyDescent="0.25">
      <c r="A24" s="41">
        <v>1350</v>
      </c>
      <c r="B24" s="42" t="s">
        <v>61</v>
      </c>
      <c r="C24" s="185">
        <v>3852.6</v>
      </c>
      <c r="D24" s="44">
        <v>0.25</v>
      </c>
      <c r="E24" s="143">
        <f t="shared" si="0"/>
        <v>963.15</v>
      </c>
      <c r="F24" s="143"/>
      <c r="G24" s="143">
        <f t="shared" si="1"/>
        <v>963.15</v>
      </c>
      <c r="H24" s="46">
        <v>6752017</v>
      </c>
      <c r="I24" s="52" t="s">
        <v>118</v>
      </c>
      <c r="J24" s="48" t="s">
        <v>17</v>
      </c>
      <c r="K24" s="49" t="s">
        <v>18</v>
      </c>
      <c r="L24" s="51">
        <v>92520708</v>
      </c>
      <c r="M24" s="51"/>
    </row>
    <row r="25" spans="1:13" x14ac:dyDescent="0.25">
      <c r="A25" s="41">
        <v>1353</v>
      </c>
      <c r="B25" s="42" t="s">
        <v>62</v>
      </c>
      <c r="C25" s="185">
        <v>5400</v>
      </c>
      <c r="D25" s="44">
        <v>0.25</v>
      </c>
      <c r="E25" s="143">
        <f t="shared" si="0"/>
        <v>1350</v>
      </c>
      <c r="F25" s="143"/>
      <c r="G25" s="143">
        <f t="shared" si="1"/>
        <v>1350</v>
      </c>
      <c r="H25" s="46">
        <v>5217694</v>
      </c>
      <c r="I25" s="52" t="s">
        <v>142</v>
      </c>
      <c r="J25" s="48" t="s">
        <v>94</v>
      </c>
      <c r="K25" s="49" t="s">
        <v>95</v>
      </c>
      <c r="L25" s="51">
        <v>92749180</v>
      </c>
      <c r="M25" s="51"/>
    </row>
    <row r="26" spans="1:13" x14ac:dyDescent="0.25">
      <c r="A26" s="41">
        <v>1355</v>
      </c>
      <c r="B26" s="42" t="s">
        <v>64</v>
      </c>
      <c r="C26" s="187">
        <v>1868</v>
      </c>
      <c r="D26" s="44">
        <v>0.25</v>
      </c>
      <c r="E26" s="143">
        <f t="shared" si="0"/>
        <v>467</v>
      </c>
      <c r="F26" s="143"/>
      <c r="G26" s="143">
        <f t="shared" si="1"/>
        <v>467</v>
      </c>
      <c r="H26" s="46">
        <v>585058</v>
      </c>
      <c r="I26" s="52" t="s">
        <v>119</v>
      </c>
      <c r="J26" s="48" t="s">
        <v>94</v>
      </c>
      <c r="K26" s="49" t="s">
        <v>95</v>
      </c>
      <c r="L26" s="51">
        <v>99055262</v>
      </c>
      <c r="M26" s="51"/>
    </row>
    <row r="27" spans="1:13" x14ac:dyDescent="0.25">
      <c r="A27" s="41">
        <v>1356</v>
      </c>
      <c r="B27" s="42" t="s">
        <v>65</v>
      </c>
      <c r="C27" s="185">
        <v>1059.9000000000001</v>
      </c>
      <c r="D27" s="44">
        <v>0.25</v>
      </c>
      <c r="E27" s="143">
        <f t="shared" si="0"/>
        <v>264.97500000000002</v>
      </c>
      <c r="F27" s="143"/>
      <c r="G27" s="143">
        <f t="shared" si="1"/>
        <v>264.97500000000002</v>
      </c>
      <c r="H27" s="46">
        <v>7494112</v>
      </c>
      <c r="I27" s="52" t="s">
        <v>143</v>
      </c>
      <c r="J27" s="48" t="s">
        <v>17</v>
      </c>
      <c r="K27" s="49" t="s">
        <v>18</v>
      </c>
      <c r="L27" s="51">
        <v>99488186</v>
      </c>
      <c r="M27" s="51"/>
    </row>
    <row r="28" spans="1:13" x14ac:dyDescent="0.25">
      <c r="A28" s="41">
        <v>1362</v>
      </c>
      <c r="B28" s="42" t="s">
        <v>15</v>
      </c>
      <c r="C28" s="185">
        <v>1953</v>
      </c>
      <c r="D28" s="44">
        <v>0.25</v>
      </c>
      <c r="E28" s="143">
        <f t="shared" si="0"/>
        <v>488.25</v>
      </c>
      <c r="F28" s="143"/>
      <c r="G28" s="143">
        <f t="shared" si="1"/>
        <v>488.25</v>
      </c>
      <c r="H28" s="46">
        <v>2429041</v>
      </c>
      <c r="I28" s="52" t="s">
        <v>16</v>
      </c>
      <c r="J28" s="48" t="s">
        <v>17</v>
      </c>
      <c r="K28" s="49" t="s">
        <v>18</v>
      </c>
      <c r="L28" s="51">
        <v>93663694</v>
      </c>
      <c r="M28" s="51"/>
    </row>
    <row r="29" spans="1:13" x14ac:dyDescent="0.25">
      <c r="A29" s="41">
        <v>1363</v>
      </c>
      <c r="B29" s="42" t="s">
        <v>67</v>
      </c>
      <c r="C29" s="185">
        <v>2251.4</v>
      </c>
      <c r="D29" s="44">
        <v>0.25</v>
      </c>
      <c r="E29" s="143">
        <f t="shared" si="0"/>
        <v>562.85</v>
      </c>
      <c r="F29" s="143"/>
      <c r="G29" s="143">
        <f t="shared" si="1"/>
        <v>562.85</v>
      </c>
      <c r="H29" s="46">
        <v>322352</v>
      </c>
      <c r="I29" s="52" t="s">
        <v>120</v>
      </c>
      <c r="J29" s="48" t="s">
        <v>17</v>
      </c>
      <c r="K29" s="49" t="s">
        <v>18</v>
      </c>
      <c r="L29" s="51">
        <v>98842645</v>
      </c>
      <c r="M29" s="51"/>
    </row>
    <row r="30" spans="1:13" x14ac:dyDescent="0.25">
      <c r="A30" s="41">
        <v>1364</v>
      </c>
      <c r="B30" s="42" t="s">
        <v>68</v>
      </c>
      <c r="C30" s="185">
        <v>540</v>
      </c>
      <c r="D30" s="44">
        <v>0.25</v>
      </c>
      <c r="E30" s="143">
        <f t="shared" si="0"/>
        <v>135</v>
      </c>
      <c r="F30" s="143"/>
      <c r="G30" s="143">
        <f t="shared" si="1"/>
        <v>135</v>
      </c>
      <c r="H30" s="46">
        <v>7113811</v>
      </c>
      <c r="I30" s="52" t="s">
        <v>121</v>
      </c>
      <c r="J30" s="48" t="s">
        <v>94</v>
      </c>
      <c r="K30" s="49" t="s">
        <v>95</v>
      </c>
      <c r="L30" s="51">
        <v>92969982</v>
      </c>
      <c r="M30" s="51"/>
    </row>
    <row r="31" spans="1:13" x14ac:dyDescent="0.25">
      <c r="A31" s="41">
        <v>1366</v>
      </c>
      <c r="B31" s="42" t="s">
        <v>39</v>
      </c>
      <c r="C31" s="185">
        <v>2102</v>
      </c>
      <c r="D31" s="44">
        <v>0.25</v>
      </c>
      <c r="E31" s="143">
        <f t="shared" si="0"/>
        <v>525.5</v>
      </c>
      <c r="F31" s="143"/>
      <c r="G31" s="143">
        <f t="shared" si="1"/>
        <v>525.5</v>
      </c>
      <c r="H31" s="46">
        <v>8318385</v>
      </c>
      <c r="I31" s="52" t="s">
        <v>122</v>
      </c>
      <c r="J31" s="48" t="s">
        <v>17</v>
      </c>
      <c r="K31" s="49" t="s">
        <v>18</v>
      </c>
      <c r="L31" s="51">
        <v>90660210</v>
      </c>
      <c r="M31" s="51"/>
    </row>
    <row r="32" spans="1:13" x14ac:dyDescent="0.25">
      <c r="A32" s="61">
        <v>1370</v>
      </c>
      <c r="B32" s="52" t="s">
        <v>20</v>
      </c>
      <c r="C32" s="185">
        <v>1600.8</v>
      </c>
      <c r="D32" s="44">
        <v>0.25</v>
      </c>
      <c r="E32" s="143">
        <f t="shared" si="0"/>
        <v>400.2</v>
      </c>
      <c r="F32" s="143"/>
      <c r="G32" s="143">
        <f t="shared" si="1"/>
        <v>400.2</v>
      </c>
      <c r="H32" s="42">
        <v>14431965</v>
      </c>
      <c r="I32" s="47" t="s">
        <v>21</v>
      </c>
      <c r="J32" s="48" t="s">
        <v>17</v>
      </c>
      <c r="K32" s="49" t="s">
        <v>18</v>
      </c>
      <c r="L32" s="70">
        <v>99693775</v>
      </c>
      <c r="M32" s="70"/>
    </row>
    <row r="33" spans="1:14" x14ac:dyDescent="0.25">
      <c r="A33" s="61">
        <v>1371</v>
      </c>
      <c r="B33" s="52" t="s">
        <v>40</v>
      </c>
      <c r="C33" s="185">
        <v>1618.3</v>
      </c>
      <c r="D33" s="44">
        <v>0.25</v>
      </c>
      <c r="E33" s="143">
        <f t="shared" si="0"/>
        <v>404.57499999999999</v>
      </c>
      <c r="F33" s="143"/>
      <c r="G33" s="143">
        <f t="shared" si="1"/>
        <v>404.57499999999999</v>
      </c>
      <c r="H33" s="42">
        <v>990755</v>
      </c>
      <c r="I33" s="47" t="s">
        <v>123</v>
      </c>
      <c r="J33" s="48" t="s">
        <v>89</v>
      </c>
      <c r="K33" s="49" t="s">
        <v>90</v>
      </c>
      <c r="L33" s="70">
        <v>92556210</v>
      </c>
      <c r="M33" s="70"/>
    </row>
    <row r="34" spans="1:14" x14ac:dyDescent="0.25">
      <c r="A34" s="61">
        <v>1372</v>
      </c>
      <c r="B34" s="52" t="s">
        <v>69</v>
      </c>
      <c r="C34" s="185">
        <v>1139.5</v>
      </c>
      <c r="D34" s="44">
        <v>0.25</v>
      </c>
      <c r="E34" s="143">
        <f t="shared" si="0"/>
        <v>284.875</v>
      </c>
      <c r="F34" s="143"/>
      <c r="G34" s="143">
        <f t="shared" si="1"/>
        <v>284.875</v>
      </c>
      <c r="H34" s="48">
        <v>628655</v>
      </c>
      <c r="I34" s="47" t="s">
        <v>124</v>
      </c>
      <c r="J34" s="48" t="s">
        <v>94</v>
      </c>
      <c r="K34" s="49" t="s">
        <v>95</v>
      </c>
      <c r="L34" s="70">
        <v>98976629</v>
      </c>
      <c r="M34" s="70"/>
    </row>
    <row r="35" spans="1:14" x14ac:dyDescent="0.25">
      <c r="A35" s="61">
        <v>1373</v>
      </c>
      <c r="B35" s="52" t="s">
        <v>70</v>
      </c>
      <c r="C35" s="185">
        <v>335.8</v>
      </c>
      <c r="D35" s="44">
        <v>0.25</v>
      </c>
      <c r="E35" s="143">
        <f t="shared" si="0"/>
        <v>83.95</v>
      </c>
      <c r="F35" s="143"/>
      <c r="G35" s="143">
        <f t="shared" si="1"/>
        <v>83.95</v>
      </c>
      <c r="H35" s="48">
        <v>734281</v>
      </c>
      <c r="I35" s="157" t="s">
        <v>125</v>
      </c>
      <c r="J35" s="48" t="s">
        <v>17</v>
      </c>
      <c r="K35" s="49" t="s">
        <v>18</v>
      </c>
      <c r="L35" s="70">
        <v>99891516</v>
      </c>
      <c r="M35" s="70"/>
    </row>
    <row r="36" spans="1:14" x14ac:dyDescent="0.25">
      <c r="A36" s="61">
        <v>1375</v>
      </c>
      <c r="B36" s="52" t="s">
        <v>71</v>
      </c>
      <c r="C36" s="185">
        <v>538.1</v>
      </c>
      <c r="D36" s="44">
        <v>0.25</v>
      </c>
      <c r="E36" s="143">
        <f t="shared" si="0"/>
        <v>134.52500000000001</v>
      </c>
      <c r="F36" s="143"/>
      <c r="G36" s="143">
        <f t="shared" si="1"/>
        <v>134.52500000000001</v>
      </c>
      <c r="H36" s="48">
        <v>6748627</v>
      </c>
      <c r="I36" s="158" t="s">
        <v>126</v>
      </c>
      <c r="J36" s="159" t="s">
        <v>127</v>
      </c>
      <c r="K36" s="159" t="s">
        <v>128</v>
      </c>
      <c r="L36" s="70">
        <v>93707700</v>
      </c>
      <c r="M36" s="70"/>
    </row>
    <row r="37" spans="1:14" x14ac:dyDescent="0.25">
      <c r="A37" s="61">
        <v>1377</v>
      </c>
      <c r="B37" s="52" t="s">
        <v>72</v>
      </c>
      <c r="C37" s="185">
        <v>519</v>
      </c>
      <c r="D37" s="44">
        <v>0.25</v>
      </c>
      <c r="E37" s="143">
        <f t="shared" si="0"/>
        <v>129.75</v>
      </c>
      <c r="F37" s="143"/>
      <c r="G37" s="143">
        <f t="shared" si="1"/>
        <v>129.75</v>
      </c>
      <c r="H37" s="48">
        <v>5160404</v>
      </c>
      <c r="I37" s="47" t="s">
        <v>129</v>
      </c>
      <c r="J37" s="48" t="s">
        <v>94</v>
      </c>
      <c r="K37" s="49" t="s">
        <v>95</v>
      </c>
      <c r="L37" s="70">
        <v>91120322</v>
      </c>
      <c r="M37" s="70"/>
    </row>
    <row r="38" spans="1:14" x14ac:dyDescent="0.25">
      <c r="A38" s="61">
        <v>1378</v>
      </c>
      <c r="B38" s="52" t="s">
        <v>42</v>
      </c>
      <c r="C38" s="185">
        <v>2060.6</v>
      </c>
      <c r="D38" s="44">
        <v>0.25</v>
      </c>
      <c r="E38" s="143">
        <f t="shared" si="0"/>
        <v>515.15</v>
      </c>
      <c r="F38" s="143"/>
      <c r="G38" s="143">
        <f t="shared" si="1"/>
        <v>515.15</v>
      </c>
      <c r="H38" s="48">
        <v>5996404</v>
      </c>
      <c r="I38" s="160" t="s">
        <v>130</v>
      </c>
      <c r="J38" s="42" t="s">
        <v>110</v>
      </c>
      <c r="K38" s="42" t="s">
        <v>18</v>
      </c>
      <c r="L38" s="70">
        <v>98976878</v>
      </c>
      <c r="M38" s="70"/>
    </row>
    <row r="39" spans="1:14" s="65" customFormat="1" x14ac:dyDescent="0.25">
      <c r="A39" s="61">
        <v>1381</v>
      </c>
      <c r="B39" s="52" t="s">
        <v>43</v>
      </c>
      <c r="C39" s="185">
        <v>530.5</v>
      </c>
      <c r="D39" s="44">
        <v>0.25</v>
      </c>
      <c r="E39" s="143">
        <f t="shared" si="0"/>
        <v>132.625</v>
      </c>
      <c r="F39" s="143"/>
      <c r="G39" s="143">
        <f t="shared" si="1"/>
        <v>132.625</v>
      </c>
      <c r="H39" s="48">
        <v>19847623</v>
      </c>
      <c r="I39" s="47" t="s">
        <v>131</v>
      </c>
      <c r="J39" s="48" t="s">
        <v>89</v>
      </c>
      <c r="K39" s="49" t="s">
        <v>90</v>
      </c>
      <c r="L39" s="70">
        <v>92802427</v>
      </c>
      <c r="M39" s="70"/>
    </row>
    <row r="40" spans="1:14" s="65" customFormat="1" x14ac:dyDescent="0.25">
      <c r="A40" s="41">
        <v>1390</v>
      </c>
      <c r="B40" s="42" t="s">
        <v>206</v>
      </c>
      <c r="C40" s="185">
        <v>527.20000000000005</v>
      </c>
      <c r="D40" s="44">
        <v>0.25</v>
      </c>
      <c r="E40" s="143">
        <f t="shared" si="0"/>
        <v>131.80000000000001</v>
      </c>
      <c r="F40" s="143"/>
      <c r="G40" s="143">
        <f t="shared" si="1"/>
        <v>131.80000000000001</v>
      </c>
      <c r="H40" s="46">
        <v>13826903</v>
      </c>
      <c r="I40" s="160" t="s">
        <v>205</v>
      </c>
      <c r="J40" s="46" t="s">
        <v>17</v>
      </c>
      <c r="K40" s="46" t="s">
        <v>18</v>
      </c>
      <c r="L40" s="51">
        <v>98976878</v>
      </c>
      <c r="M40" s="51"/>
    </row>
    <row r="41" spans="1:14" s="65" customFormat="1" x14ac:dyDescent="0.25">
      <c r="A41" s="41">
        <v>1392</v>
      </c>
      <c r="B41" s="42" t="s">
        <v>73</v>
      </c>
      <c r="C41" s="185">
        <v>1349.3</v>
      </c>
      <c r="D41" s="44">
        <v>0.25</v>
      </c>
      <c r="E41" s="143">
        <f t="shared" si="0"/>
        <v>337.32499999999999</v>
      </c>
      <c r="F41" s="143"/>
      <c r="G41" s="143">
        <f t="shared" si="1"/>
        <v>337.32499999999999</v>
      </c>
      <c r="H41" s="46">
        <v>1353348</v>
      </c>
      <c r="I41" s="47" t="s">
        <v>133</v>
      </c>
      <c r="J41" s="48" t="s">
        <v>94</v>
      </c>
      <c r="K41" s="49" t="s">
        <v>95</v>
      </c>
      <c r="L41" s="51">
        <v>93999977</v>
      </c>
      <c r="M41" s="51"/>
    </row>
    <row r="42" spans="1:14" s="65" customFormat="1" x14ac:dyDescent="0.25">
      <c r="A42" s="61">
        <v>1393</v>
      </c>
      <c r="B42" s="52" t="s">
        <v>45</v>
      </c>
      <c r="C42" s="185">
        <v>539.4</v>
      </c>
      <c r="D42" s="44">
        <v>0.25</v>
      </c>
      <c r="E42" s="143">
        <f t="shared" si="0"/>
        <v>134.85</v>
      </c>
      <c r="F42" s="143"/>
      <c r="G42" s="143">
        <f t="shared" si="1"/>
        <v>134.85</v>
      </c>
      <c r="H42" s="48">
        <v>1650389</v>
      </c>
      <c r="I42" s="160" t="s">
        <v>134</v>
      </c>
      <c r="J42" s="42" t="s">
        <v>17</v>
      </c>
      <c r="K42" s="42" t="s">
        <v>18</v>
      </c>
      <c r="L42" s="70">
        <v>94264109</v>
      </c>
      <c r="M42" s="70"/>
    </row>
    <row r="43" spans="1:14" s="65" customFormat="1" x14ac:dyDescent="0.25">
      <c r="A43" s="61">
        <v>1500</v>
      </c>
      <c r="B43" s="52" t="s">
        <v>75</v>
      </c>
      <c r="C43" s="185">
        <v>0</v>
      </c>
      <c r="D43" s="44">
        <v>0.25</v>
      </c>
      <c r="E43" s="143">
        <f t="shared" si="0"/>
        <v>0</v>
      </c>
      <c r="F43" s="143"/>
      <c r="G43" s="143">
        <f t="shared" si="1"/>
        <v>0</v>
      </c>
      <c r="H43" s="48">
        <v>19567469</v>
      </c>
      <c r="I43" s="47" t="s">
        <v>135</v>
      </c>
      <c r="J43" s="48" t="s">
        <v>94</v>
      </c>
      <c r="K43" s="161" t="s">
        <v>95</v>
      </c>
      <c r="L43" s="70">
        <v>92265154</v>
      </c>
      <c r="M43" s="70"/>
    </row>
    <row r="44" spans="1:14" s="65" customFormat="1" x14ac:dyDescent="0.25">
      <c r="A44" s="61">
        <v>1501</v>
      </c>
      <c r="B44" s="202" t="s">
        <v>76</v>
      </c>
      <c r="C44" s="185">
        <v>244.7</v>
      </c>
      <c r="D44" s="44">
        <v>0.25</v>
      </c>
      <c r="E44" s="143">
        <f t="shared" si="0"/>
        <v>61.174999999999997</v>
      </c>
      <c r="F44" s="143"/>
      <c r="G44" s="143">
        <f t="shared" si="1"/>
        <v>61.174999999999997</v>
      </c>
      <c r="H44" s="48">
        <v>25657583</v>
      </c>
      <c r="I44" s="47" t="s">
        <v>136</v>
      </c>
      <c r="J44" s="48" t="s">
        <v>17</v>
      </c>
      <c r="K44" s="161" t="s">
        <v>18</v>
      </c>
      <c r="L44" s="70">
        <v>93972300</v>
      </c>
      <c r="M44" s="70"/>
    </row>
    <row r="45" spans="1:14" s="65" customFormat="1" x14ac:dyDescent="0.25">
      <c r="A45" s="61">
        <v>1503</v>
      </c>
      <c r="B45" s="89" t="s">
        <v>77</v>
      </c>
      <c r="C45" s="185">
        <v>522.6</v>
      </c>
      <c r="D45" s="44">
        <v>0.25</v>
      </c>
      <c r="E45" s="143">
        <f t="shared" si="0"/>
        <v>130.65</v>
      </c>
      <c r="F45" s="143"/>
      <c r="G45" s="143">
        <f t="shared" si="1"/>
        <v>130.65</v>
      </c>
      <c r="H45" s="48">
        <v>8930607</v>
      </c>
      <c r="I45" s="162" t="s">
        <v>137</v>
      </c>
      <c r="J45" s="48" t="s">
        <v>17</v>
      </c>
      <c r="K45" s="161" t="s">
        <v>18</v>
      </c>
      <c r="L45" s="70">
        <v>92621425</v>
      </c>
      <c r="M45" s="70"/>
      <c r="N45" s="7"/>
    </row>
    <row r="46" spans="1:14" s="65" customFormat="1" x14ac:dyDescent="0.25">
      <c r="A46" s="61">
        <v>1504</v>
      </c>
      <c r="B46" s="71" t="s">
        <v>79</v>
      </c>
      <c r="C46" s="185">
        <v>1062</v>
      </c>
      <c r="D46" s="44">
        <v>0.25</v>
      </c>
      <c r="E46" s="143">
        <f t="shared" si="0"/>
        <v>265.5</v>
      </c>
      <c r="F46" s="143"/>
      <c r="G46" s="143">
        <f t="shared" si="1"/>
        <v>265.5</v>
      </c>
      <c r="H46" s="48">
        <v>381215</v>
      </c>
      <c r="I46" s="47" t="s">
        <v>138</v>
      </c>
      <c r="J46" s="48" t="s">
        <v>17</v>
      </c>
      <c r="K46" s="161" t="s">
        <v>18</v>
      </c>
      <c r="L46" s="70">
        <v>95110746</v>
      </c>
      <c r="M46" s="70"/>
      <c r="N46" s="7"/>
    </row>
    <row r="47" spans="1:14" x14ac:dyDescent="0.25">
      <c r="A47" s="61">
        <v>1505</v>
      </c>
      <c r="B47" s="71" t="s">
        <v>86</v>
      </c>
      <c r="C47" s="186">
        <v>456.3</v>
      </c>
      <c r="D47" s="44">
        <v>0.25</v>
      </c>
      <c r="E47" s="143">
        <f t="shared" si="0"/>
        <v>114.075</v>
      </c>
      <c r="F47" s="143"/>
      <c r="G47" s="143">
        <f t="shared" si="1"/>
        <v>114.075</v>
      </c>
      <c r="H47" s="48">
        <v>6668659</v>
      </c>
      <c r="I47" s="47" t="s">
        <v>139</v>
      </c>
      <c r="J47" s="48" t="s">
        <v>17</v>
      </c>
      <c r="K47" s="161" t="s">
        <v>18</v>
      </c>
      <c r="L47" s="70">
        <v>92142246</v>
      </c>
      <c r="M47" s="70"/>
    </row>
    <row r="48" spans="1:14" x14ac:dyDescent="0.25">
      <c r="A48" s="86"/>
      <c r="B48" s="86"/>
      <c r="C48" s="185">
        <f>SUM(C4:C47)</f>
        <v>57762.3</v>
      </c>
      <c r="D48" s="44">
        <v>0.25</v>
      </c>
      <c r="E48" s="143">
        <f>SUM(E4:E47)</f>
        <v>14440.575000000001</v>
      </c>
      <c r="F48" s="143">
        <f t="shared" ref="F48:G48" si="2">SUM(F4:F47)</f>
        <v>0</v>
      </c>
      <c r="G48" s="143">
        <f t="shared" si="2"/>
        <v>14440.575000000001</v>
      </c>
      <c r="H48" s="86"/>
      <c r="I48" s="163"/>
      <c r="J48" s="164"/>
      <c r="K48" s="86"/>
      <c r="L48" s="79"/>
      <c r="M48" s="79"/>
    </row>
    <row r="50" spans="1:13" x14ac:dyDescent="0.25">
      <c r="I50" s="81" t="s">
        <v>23</v>
      </c>
    </row>
    <row r="51" spans="1:13" x14ac:dyDescent="0.25">
      <c r="A51" s="83"/>
      <c r="B51" s="83"/>
      <c r="C51" s="7"/>
      <c r="I51" s="7"/>
      <c r="J51" s="7"/>
      <c r="L51" s="7"/>
      <c r="M51" s="7"/>
    </row>
    <row r="52" spans="1:13" x14ac:dyDescent="0.25">
      <c r="A52" s="83"/>
      <c r="B52" s="83"/>
      <c r="C52" s="7"/>
      <c r="I52" s="7"/>
      <c r="J52" s="7"/>
      <c r="L52" s="7"/>
      <c r="M52" s="7"/>
    </row>
    <row r="53" spans="1:13" x14ac:dyDescent="0.25">
      <c r="A53" s="83"/>
      <c r="B53" s="83"/>
      <c r="C53" s="7"/>
      <c r="I53" s="7"/>
      <c r="J53" s="7"/>
      <c r="L53" s="7"/>
      <c r="M53" s="7"/>
    </row>
    <row r="54" spans="1:13" x14ac:dyDescent="0.25">
      <c r="A54" s="83"/>
      <c r="B54" s="83"/>
      <c r="C54" s="7"/>
      <c r="I54" s="7"/>
      <c r="J54" s="7"/>
      <c r="L54" s="7"/>
      <c r="M54" s="7"/>
    </row>
    <row r="55" spans="1:13" x14ac:dyDescent="0.25">
      <c r="A55" s="83"/>
      <c r="B55" s="83"/>
      <c r="C55" s="7"/>
      <c r="I55" s="7"/>
      <c r="J55" s="7"/>
      <c r="L55" s="7"/>
      <c r="M55" s="7"/>
    </row>
  </sheetData>
  <mergeCells count="12">
    <mergeCell ref="M2:M3"/>
    <mergeCell ref="A2:A3"/>
    <mergeCell ref="B2:B3"/>
    <mergeCell ref="C2:C3"/>
    <mergeCell ref="D2:D3"/>
    <mergeCell ref="E2:E3"/>
    <mergeCell ref="H2:H3"/>
    <mergeCell ref="I2:I3"/>
    <mergeCell ref="J2:J3"/>
    <mergeCell ref="K2:K3"/>
    <mergeCell ref="L2:L3"/>
    <mergeCell ref="G2:G3"/>
  </mergeCells>
  <conditionalFormatting sqref="I36">
    <cfRule type="duplicateValues" dxfId="1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5D9C-BDA8-4FA7-9AD3-1D4469678027}">
  <dimension ref="A1:N55"/>
  <sheetViews>
    <sheetView tabSelected="1" workbookViewId="0">
      <selection activeCell="F6" sqref="F6"/>
    </sheetView>
  </sheetViews>
  <sheetFormatPr defaultColWidth="9" defaultRowHeight="15.75" x14ac:dyDescent="0.25"/>
  <cols>
    <col min="1" max="1" width="92.5703125" style="7" bestFit="1" customWidth="1"/>
    <col min="2" max="2" width="41.5703125" style="7" customWidth="1"/>
    <col min="3" max="3" width="13.42578125" style="80" customWidth="1"/>
    <col min="4" max="4" width="16.5703125" style="7" customWidth="1"/>
    <col min="5" max="7" width="17.42578125" style="7" customWidth="1"/>
    <col min="8" max="8" width="12.140625" style="7" customWidth="1"/>
    <col min="9" max="9" width="24.42578125" style="81" hidden="1" customWidth="1"/>
    <col min="10" max="10" width="19.140625" style="82" hidden="1" customWidth="1"/>
    <col min="11" max="11" width="15.140625" style="7" hidden="1" customWidth="1"/>
    <col min="12" max="12" width="11.140625" style="83" hidden="1" customWidth="1"/>
    <col min="13" max="13" width="14.5703125" style="83" hidden="1" customWidth="1"/>
    <col min="14" max="16384" width="9" style="7"/>
  </cols>
  <sheetData>
    <row r="1" spans="1:13" x14ac:dyDescent="0.25">
      <c r="A1" s="233" t="s">
        <v>226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39"/>
    </row>
    <row r="2" spans="1:13" ht="15.75" customHeight="1" x14ac:dyDescent="0.25">
      <c r="A2" s="247" t="s">
        <v>2</v>
      </c>
      <c r="B2" s="247" t="s">
        <v>3</v>
      </c>
      <c r="C2" s="250" t="s">
        <v>4</v>
      </c>
      <c r="D2" s="247" t="s">
        <v>5</v>
      </c>
      <c r="E2" s="250" t="s">
        <v>6</v>
      </c>
      <c r="F2" s="230"/>
      <c r="G2" s="262" t="s">
        <v>8</v>
      </c>
      <c r="H2" s="247" t="s">
        <v>9</v>
      </c>
      <c r="I2" s="247" t="s">
        <v>10</v>
      </c>
      <c r="J2" s="249" t="s">
        <v>11</v>
      </c>
      <c r="K2" s="247" t="s">
        <v>12</v>
      </c>
      <c r="L2" s="245" t="s">
        <v>13</v>
      </c>
      <c r="M2" s="245" t="s">
        <v>14</v>
      </c>
    </row>
    <row r="3" spans="1:13" x14ac:dyDescent="0.25">
      <c r="A3" s="247"/>
      <c r="B3" s="247"/>
      <c r="C3" s="250"/>
      <c r="D3" s="247"/>
      <c r="E3" s="250"/>
      <c r="F3" s="230"/>
      <c r="G3" s="263"/>
      <c r="H3" s="247"/>
      <c r="I3" s="247"/>
      <c r="J3" s="249"/>
      <c r="K3" s="247"/>
      <c r="L3" s="245"/>
      <c r="M3" s="245"/>
    </row>
    <row r="4" spans="1:13" x14ac:dyDescent="0.25">
      <c r="A4" s="41">
        <v>1010</v>
      </c>
      <c r="B4" s="42" t="s">
        <v>47</v>
      </c>
      <c r="C4" s="188">
        <v>1343.3</v>
      </c>
      <c r="D4" s="44">
        <v>0.25</v>
      </c>
      <c r="E4" s="143">
        <f t="shared" ref="E4:E47" si="0">SUM(C4*D4)</f>
        <v>335.82499999999999</v>
      </c>
      <c r="F4" s="143"/>
      <c r="G4" s="143">
        <f>E4-F4</f>
        <v>335.82499999999999</v>
      </c>
      <c r="H4" s="46">
        <v>315313</v>
      </c>
      <c r="I4" s="47" t="s">
        <v>88</v>
      </c>
      <c r="J4" s="48" t="s">
        <v>89</v>
      </c>
      <c r="K4" s="49" t="s">
        <v>90</v>
      </c>
      <c r="L4" s="51">
        <v>92600441</v>
      </c>
      <c r="M4" s="51"/>
    </row>
    <row r="5" spans="1:13" x14ac:dyDescent="0.25">
      <c r="A5" s="41">
        <v>1038</v>
      </c>
      <c r="B5" s="42" t="s">
        <v>48</v>
      </c>
      <c r="C5" s="188">
        <v>2042.3</v>
      </c>
      <c r="D5" s="44">
        <v>0.25</v>
      </c>
      <c r="E5" s="143">
        <f t="shared" si="0"/>
        <v>510.57499999999999</v>
      </c>
      <c r="F5" s="143"/>
      <c r="G5" s="143">
        <f t="shared" ref="G5:G47" si="1">E5-F5</f>
        <v>510.57499999999999</v>
      </c>
      <c r="H5" s="46">
        <v>5247837</v>
      </c>
      <c r="I5" s="47" t="s">
        <v>91</v>
      </c>
      <c r="J5" s="48" t="s">
        <v>17</v>
      </c>
      <c r="K5" s="49" t="s">
        <v>18</v>
      </c>
      <c r="L5" s="51">
        <v>99441537</v>
      </c>
      <c r="M5" s="51"/>
    </row>
    <row r="6" spans="1:13" x14ac:dyDescent="0.25">
      <c r="A6" s="41">
        <v>1065</v>
      </c>
      <c r="B6" s="42" t="s">
        <v>49</v>
      </c>
      <c r="C6" s="188">
        <v>579</v>
      </c>
      <c r="D6" s="44">
        <v>0.25</v>
      </c>
      <c r="E6" s="143">
        <f t="shared" si="0"/>
        <v>144.75</v>
      </c>
      <c r="F6" s="143"/>
      <c r="G6" s="143">
        <f t="shared" si="1"/>
        <v>144.75</v>
      </c>
      <c r="H6" s="46">
        <v>1276058</v>
      </c>
      <c r="I6" s="52" t="s">
        <v>92</v>
      </c>
      <c r="J6" s="48" t="s">
        <v>17</v>
      </c>
      <c r="K6" s="49" t="s">
        <v>18</v>
      </c>
      <c r="L6" s="51">
        <v>99498549</v>
      </c>
      <c r="M6" s="51"/>
    </row>
    <row r="7" spans="1:13" x14ac:dyDescent="0.25">
      <c r="A7" s="41">
        <v>1071</v>
      </c>
      <c r="B7" s="42" t="s">
        <v>31</v>
      </c>
      <c r="C7" s="185">
        <v>616</v>
      </c>
      <c r="D7" s="44">
        <v>0.25</v>
      </c>
      <c r="E7" s="143">
        <f t="shared" si="0"/>
        <v>154</v>
      </c>
      <c r="F7" s="143"/>
      <c r="G7" s="143">
        <f t="shared" si="1"/>
        <v>154</v>
      </c>
      <c r="H7" s="46">
        <v>390741</v>
      </c>
      <c r="I7" s="47" t="s">
        <v>93</v>
      </c>
      <c r="J7" s="48" t="s">
        <v>94</v>
      </c>
      <c r="K7" s="49" t="s">
        <v>95</v>
      </c>
      <c r="L7" s="51">
        <v>99589144</v>
      </c>
      <c r="M7" s="51"/>
    </row>
    <row r="8" spans="1:13" x14ac:dyDescent="0.25">
      <c r="A8" s="41">
        <v>1086</v>
      </c>
      <c r="B8" s="42" t="s">
        <v>27</v>
      </c>
      <c r="C8" s="185">
        <v>1213</v>
      </c>
      <c r="D8" s="44">
        <v>0.25</v>
      </c>
      <c r="E8" s="143">
        <f t="shared" si="0"/>
        <v>303.25</v>
      </c>
      <c r="F8" s="143"/>
      <c r="G8" s="143">
        <f t="shared" si="1"/>
        <v>303.25</v>
      </c>
      <c r="H8" s="46">
        <v>2379573</v>
      </c>
      <c r="I8" s="52" t="s">
        <v>96</v>
      </c>
      <c r="J8" s="48" t="s">
        <v>94</v>
      </c>
      <c r="K8" s="49" t="s">
        <v>95</v>
      </c>
      <c r="L8" s="51">
        <v>92917899</v>
      </c>
      <c r="M8" s="51"/>
    </row>
    <row r="9" spans="1:13" x14ac:dyDescent="0.25">
      <c r="A9" s="41">
        <v>1123</v>
      </c>
      <c r="B9" s="232" t="s">
        <v>33</v>
      </c>
      <c r="C9" s="185">
        <v>1355.5</v>
      </c>
      <c r="D9" s="44">
        <v>0.25</v>
      </c>
      <c r="E9" s="143">
        <f t="shared" si="0"/>
        <v>338.875</v>
      </c>
      <c r="F9" s="143"/>
      <c r="G9" s="143">
        <f t="shared" si="1"/>
        <v>338.875</v>
      </c>
      <c r="H9" s="46">
        <v>655141</v>
      </c>
      <c r="I9" s="47" t="s">
        <v>97</v>
      </c>
      <c r="J9" s="48" t="s">
        <v>98</v>
      </c>
      <c r="K9" s="49" t="s">
        <v>99</v>
      </c>
      <c r="L9" s="51">
        <v>99485623</v>
      </c>
      <c r="M9" s="51"/>
    </row>
    <row r="10" spans="1:13" x14ac:dyDescent="0.25">
      <c r="A10" s="61">
        <v>1130</v>
      </c>
      <c r="B10" s="52" t="s">
        <v>51</v>
      </c>
      <c r="C10" s="185">
        <v>1180</v>
      </c>
      <c r="D10" s="44">
        <v>0.25</v>
      </c>
      <c r="E10" s="143">
        <f t="shared" si="0"/>
        <v>295</v>
      </c>
      <c r="F10" s="143"/>
      <c r="G10" s="143">
        <f t="shared" si="1"/>
        <v>295</v>
      </c>
      <c r="H10" s="63">
        <v>5485645</v>
      </c>
      <c r="I10" s="155" t="s">
        <v>101</v>
      </c>
      <c r="J10" s="156" t="s">
        <v>17</v>
      </c>
      <c r="K10" s="49" t="s">
        <v>18</v>
      </c>
      <c r="L10" s="64">
        <v>90977488</v>
      </c>
      <c r="M10" s="64"/>
    </row>
    <row r="11" spans="1:13" x14ac:dyDescent="0.25">
      <c r="A11" s="41">
        <v>1152</v>
      </c>
      <c r="B11" s="42" t="s">
        <v>52</v>
      </c>
      <c r="C11" s="185">
        <v>1287.5</v>
      </c>
      <c r="D11" s="44">
        <v>0.25</v>
      </c>
      <c r="E11" s="143">
        <f t="shared" si="0"/>
        <v>321.875</v>
      </c>
      <c r="F11" s="143"/>
      <c r="G11" s="143">
        <f t="shared" si="1"/>
        <v>321.875</v>
      </c>
      <c r="H11" s="46">
        <v>5254327</v>
      </c>
      <c r="I11" s="52" t="s">
        <v>102</v>
      </c>
      <c r="J11" s="48" t="s">
        <v>94</v>
      </c>
      <c r="K11" s="49" t="s">
        <v>95</v>
      </c>
      <c r="L11" s="51">
        <v>99692328</v>
      </c>
      <c r="M11" s="51"/>
    </row>
    <row r="12" spans="1:13" x14ac:dyDescent="0.25">
      <c r="A12" s="41">
        <v>1200</v>
      </c>
      <c r="B12" s="42" t="s">
        <v>53</v>
      </c>
      <c r="C12" s="185">
        <v>518</v>
      </c>
      <c r="D12" s="44">
        <v>0.25</v>
      </c>
      <c r="E12" s="143">
        <f t="shared" si="0"/>
        <v>129.5</v>
      </c>
      <c r="F12" s="143"/>
      <c r="G12" s="143">
        <f t="shared" si="1"/>
        <v>129.5</v>
      </c>
      <c r="H12" s="46">
        <v>7287174</v>
      </c>
      <c r="I12" s="52" t="s">
        <v>103</v>
      </c>
      <c r="J12" s="48" t="s">
        <v>94</v>
      </c>
      <c r="K12" s="49" t="s">
        <v>95</v>
      </c>
      <c r="L12" s="51">
        <v>99673747</v>
      </c>
      <c r="M12" s="51"/>
    </row>
    <row r="13" spans="1:13" x14ac:dyDescent="0.25">
      <c r="A13" s="41">
        <v>1276</v>
      </c>
      <c r="B13" s="42" t="s">
        <v>54</v>
      </c>
      <c r="C13" s="185">
        <v>418.9</v>
      </c>
      <c r="D13" s="44">
        <v>0.25</v>
      </c>
      <c r="E13" s="143">
        <f t="shared" si="0"/>
        <v>104.72499999999999</v>
      </c>
      <c r="F13" s="143"/>
      <c r="G13" s="143">
        <f t="shared" si="1"/>
        <v>104.72499999999999</v>
      </c>
      <c r="H13" s="46">
        <v>334495</v>
      </c>
      <c r="I13" s="47" t="s">
        <v>104</v>
      </c>
      <c r="J13" s="48" t="s">
        <v>17</v>
      </c>
      <c r="K13" s="49" t="s">
        <v>18</v>
      </c>
      <c r="L13" s="51">
        <v>99170505</v>
      </c>
      <c r="M13" s="51"/>
    </row>
    <row r="14" spans="1:13" x14ac:dyDescent="0.25">
      <c r="A14" s="41">
        <v>1281</v>
      </c>
      <c r="B14" s="42" t="s">
        <v>55</v>
      </c>
      <c r="C14" s="185">
        <v>1855.7</v>
      </c>
      <c r="D14" s="44">
        <v>0.25</v>
      </c>
      <c r="E14" s="143">
        <f t="shared" si="0"/>
        <v>463.92500000000001</v>
      </c>
      <c r="F14" s="143"/>
      <c r="G14" s="143">
        <f t="shared" si="1"/>
        <v>463.92500000000001</v>
      </c>
      <c r="H14" s="46">
        <v>6310986</v>
      </c>
      <c r="I14" s="52" t="s">
        <v>105</v>
      </c>
      <c r="J14" s="48" t="s">
        <v>17</v>
      </c>
      <c r="K14" s="49" t="s">
        <v>18</v>
      </c>
      <c r="L14" s="51">
        <v>92922944</v>
      </c>
      <c r="M14" s="51"/>
    </row>
    <row r="15" spans="1:13" x14ac:dyDescent="0.25">
      <c r="A15" s="41">
        <v>1308</v>
      </c>
      <c r="B15" s="42" t="s">
        <v>35</v>
      </c>
      <c r="C15" s="185">
        <v>620</v>
      </c>
      <c r="D15" s="44">
        <v>0.25</v>
      </c>
      <c r="E15" s="143">
        <f t="shared" si="0"/>
        <v>155</v>
      </c>
      <c r="F15" s="143"/>
      <c r="G15" s="143">
        <f t="shared" si="1"/>
        <v>155</v>
      </c>
      <c r="H15" s="46">
        <v>6225641</v>
      </c>
      <c r="I15" s="47" t="s">
        <v>106</v>
      </c>
      <c r="J15" s="48" t="s">
        <v>94</v>
      </c>
      <c r="K15" s="49" t="s">
        <v>95</v>
      </c>
      <c r="L15" s="51">
        <v>92055550</v>
      </c>
      <c r="M15" s="51"/>
    </row>
    <row r="16" spans="1:13" x14ac:dyDescent="0.25">
      <c r="A16" s="41">
        <v>1337</v>
      </c>
      <c r="B16" s="42" t="s">
        <v>56</v>
      </c>
      <c r="C16" s="185">
        <v>618.20000000000005</v>
      </c>
      <c r="D16" s="44">
        <v>0.25</v>
      </c>
      <c r="E16" s="143">
        <f t="shared" si="0"/>
        <v>154.55000000000001</v>
      </c>
      <c r="F16" s="143"/>
      <c r="G16" s="143">
        <f t="shared" si="1"/>
        <v>154.55000000000001</v>
      </c>
      <c r="H16" s="46">
        <v>6719626</v>
      </c>
      <c r="I16" s="52" t="s">
        <v>107</v>
      </c>
      <c r="J16" s="48" t="s">
        <v>17</v>
      </c>
      <c r="K16" s="49" t="s">
        <v>18</v>
      </c>
      <c r="L16" s="51">
        <v>97726288</v>
      </c>
      <c r="M16" s="51"/>
    </row>
    <row r="17" spans="1:13" s="65" customFormat="1" ht="15" customHeight="1" x14ac:dyDescent="0.25">
      <c r="A17" s="41">
        <v>1339</v>
      </c>
      <c r="B17" s="42" t="s">
        <v>57</v>
      </c>
      <c r="C17" s="185">
        <v>2228.9</v>
      </c>
      <c r="D17" s="44">
        <v>0.25</v>
      </c>
      <c r="E17" s="143">
        <f t="shared" si="0"/>
        <v>557.22500000000002</v>
      </c>
      <c r="F17" s="143"/>
      <c r="G17" s="143">
        <f t="shared" si="1"/>
        <v>557.22500000000002</v>
      </c>
      <c r="H17" s="46">
        <v>3090574</v>
      </c>
      <c r="I17" s="47" t="s">
        <v>108</v>
      </c>
      <c r="J17" s="46" t="s">
        <v>94</v>
      </c>
      <c r="K17" s="46" t="s">
        <v>95</v>
      </c>
      <c r="L17" s="51">
        <v>99292421</v>
      </c>
      <c r="M17" s="51"/>
    </row>
    <row r="18" spans="1:13" s="65" customFormat="1" ht="15" customHeight="1" x14ac:dyDescent="0.25">
      <c r="A18" s="41">
        <v>1340</v>
      </c>
      <c r="B18" s="63" t="s">
        <v>36</v>
      </c>
      <c r="C18" s="185">
        <v>660.4</v>
      </c>
      <c r="D18" s="44">
        <v>0.25</v>
      </c>
      <c r="E18" s="143">
        <f t="shared" si="0"/>
        <v>165.1</v>
      </c>
      <c r="F18" s="143"/>
      <c r="G18" s="143">
        <f t="shared" si="1"/>
        <v>165.1</v>
      </c>
      <c r="H18" s="64">
        <v>7279274</v>
      </c>
      <c r="I18" s="210" t="s">
        <v>109</v>
      </c>
      <c r="J18" s="48" t="s">
        <v>110</v>
      </c>
      <c r="K18" s="210" t="s">
        <v>18</v>
      </c>
      <c r="L18" s="64">
        <v>93808816</v>
      </c>
      <c r="M18" s="64"/>
    </row>
    <row r="19" spans="1:13" x14ac:dyDescent="0.25">
      <c r="A19" s="41">
        <v>1341</v>
      </c>
      <c r="B19" s="42" t="s">
        <v>58</v>
      </c>
      <c r="C19" s="185">
        <v>1432</v>
      </c>
      <c r="D19" s="44">
        <v>0.25</v>
      </c>
      <c r="E19" s="143">
        <f t="shared" si="0"/>
        <v>358</v>
      </c>
      <c r="F19" s="143"/>
      <c r="G19" s="143">
        <f t="shared" si="1"/>
        <v>358</v>
      </c>
      <c r="H19" s="46">
        <v>15977579</v>
      </c>
      <c r="I19" s="52" t="s">
        <v>111</v>
      </c>
      <c r="J19" s="48" t="s">
        <v>110</v>
      </c>
      <c r="K19" s="49" t="s">
        <v>18</v>
      </c>
      <c r="L19" s="51">
        <v>92578822</v>
      </c>
      <c r="M19" s="51"/>
    </row>
    <row r="20" spans="1:13" x14ac:dyDescent="0.25">
      <c r="A20" s="41">
        <v>1342</v>
      </c>
      <c r="B20" s="42" t="s">
        <v>59</v>
      </c>
      <c r="C20" s="185">
        <v>724.9</v>
      </c>
      <c r="D20" s="44">
        <v>0.25</v>
      </c>
      <c r="E20" s="143">
        <f t="shared" si="0"/>
        <v>181.22499999999999</v>
      </c>
      <c r="F20" s="143"/>
      <c r="G20" s="143">
        <f t="shared" si="1"/>
        <v>181.22499999999999</v>
      </c>
      <c r="H20" s="46">
        <v>13950469</v>
      </c>
      <c r="I20" s="47" t="s">
        <v>112</v>
      </c>
      <c r="J20" s="48" t="s">
        <v>110</v>
      </c>
      <c r="K20" s="49" t="s">
        <v>18</v>
      </c>
      <c r="L20" s="51">
        <v>92341118</v>
      </c>
      <c r="M20" s="231" t="s">
        <v>207</v>
      </c>
    </row>
    <row r="21" spans="1:13" x14ac:dyDescent="0.25">
      <c r="A21" s="41">
        <v>1343</v>
      </c>
      <c r="B21" s="42" t="s">
        <v>29</v>
      </c>
      <c r="C21" s="187">
        <v>1233.5999999999999</v>
      </c>
      <c r="D21" s="44">
        <v>0.25</v>
      </c>
      <c r="E21" s="143">
        <f t="shared" si="0"/>
        <v>308.39999999999998</v>
      </c>
      <c r="F21" s="143"/>
      <c r="G21" s="143">
        <f t="shared" si="1"/>
        <v>308.39999999999998</v>
      </c>
      <c r="H21" s="46">
        <v>5160297</v>
      </c>
      <c r="I21" s="52" t="s">
        <v>113</v>
      </c>
      <c r="J21" s="48" t="s">
        <v>94</v>
      </c>
      <c r="K21" s="49" t="s">
        <v>95</v>
      </c>
      <c r="L21" s="51">
        <v>93501199</v>
      </c>
      <c r="M21" s="51"/>
    </row>
    <row r="22" spans="1:13" x14ac:dyDescent="0.25">
      <c r="A22" s="41">
        <v>1345</v>
      </c>
      <c r="B22" s="63" t="s">
        <v>60</v>
      </c>
      <c r="C22" s="185">
        <v>4635.7</v>
      </c>
      <c r="D22" s="67">
        <v>0.25</v>
      </c>
      <c r="E22" s="143">
        <f t="shared" si="0"/>
        <v>1158.925</v>
      </c>
      <c r="F22" s="143"/>
      <c r="G22" s="143">
        <f t="shared" si="1"/>
        <v>1158.925</v>
      </c>
      <c r="H22" s="63">
        <v>10578952</v>
      </c>
      <c r="I22" s="155" t="s">
        <v>114</v>
      </c>
      <c r="J22" s="156" t="s">
        <v>115</v>
      </c>
      <c r="K22" s="49" t="s">
        <v>116</v>
      </c>
      <c r="L22" s="64">
        <v>92194382</v>
      </c>
      <c r="M22" s="64"/>
    </row>
    <row r="23" spans="1:13" x14ac:dyDescent="0.25">
      <c r="A23" s="41">
        <v>1349</v>
      </c>
      <c r="B23" s="42" t="s">
        <v>38</v>
      </c>
      <c r="C23" s="185">
        <v>2498.9</v>
      </c>
      <c r="D23" s="44">
        <v>0.25</v>
      </c>
      <c r="E23" s="143">
        <f t="shared" si="0"/>
        <v>624.72500000000002</v>
      </c>
      <c r="F23" s="143"/>
      <c r="G23" s="143">
        <f t="shared" si="1"/>
        <v>624.72500000000002</v>
      </c>
      <c r="H23" s="46">
        <v>7128679</v>
      </c>
      <c r="I23" s="52" t="s">
        <v>117</v>
      </c>
      <c r="J23" s="48" t="s">
        <v>17</v>
      </c>
      <c r="K23" s="49" t="s">
        <v>18</v>
      </c>
      <c r="L23" s="51">
        <v>91408836</v>
      </c>
      <c r="M23" s="51"/>
    </row>
    <row r="24" spans="1:13" x14ac:dyDescent="0.25">
      <c r="A24" s="41">
        <v>1350</v>
      </c>
      <c r="B24" s="42" t="s">
        <v>61</v>
      </c>
      <c r="C24" s="185">
        <v>4483.8999999999996</v>
      </c>
      <c r="D24" s="44">
        <v>0.25</v>
      </c>
      <c r="E24" s="143">
        <f t="shared" si="0"/>
        <v>1120.9749999999999</v>
      </c>
      <c r="F24" s="143"/>
      <c r="G24" s="143">
        <f t="shared" si="1"/>
        <v>1120.9749999999999</v>
      </c>
      <c r="H24" s="46">
        <v>6752017</v>
      </c>
      <c r="I24" s="52" t="s">
        <v>118</v>
      </c>
      <c r="J24" s="48" t="s">
        <v>17</v>
      </c>
      <c r="K24" s="49" t="s">
        <v>18</v>
      </c>
      <c r="L24" s="51">
        <v>92520708</v>
      </c>
      <c r="M24" s="51"/>
    </row>
    <row r="25" spans="1:13" x14ac:dyDescent="0.25">
      <c r="A25" s="41">
        <v>1353</v>
      </c>
      <c r="B25" s="42" t="s">
        <v>62</v>
      </c>
      <c r="C25" s="185">
        <v>8491.5</v>
      </c>
      <c r="D25" s="44">
        <v>0.25</v>
      </c>
      <c r="E25" s="143">
        <f t="shared" si="0"/>
        <v>2122.875</v>
      </c>
      <c r="F25" s="143"/>
      <c r="G25" s="143">
        <f t="shared" si="1"/>
        <v>2122.875</v>
      </c>
      <c r="H25" s="46">
        <v>5217694</v>
      </c>
      <c r="I25" s="52" t="s">
        <v>142</v>
      </c>
      <c r="J25" s="48" t="s">
        <v>94</v>
      </c>
      <c r="K25" s="49" t="s">
        <v>95</v>
      </c>
      <c r="L25" s="51">
        <v>92749180</v>
      </c>
      <c r="M25" s="51"/>
    </row>
    <row r="26" spans="1:13" x14ac:dyDescent="0.25">
      <c r="A26" s="41">
        <v>1355</v>
      </c>
      <c r="B26" s="42" t="s">
        <v>64</v>
      </c>
      <c r="C26" s="187">
        <v>2497</v>
      </c>
      <c r="D26" s="44">
        <v>0.25</v>
      </c>
      <c r="E26" s="143">
        <f t="shared" si="0"/>
        <v>624.25</v>
      </c>
      <c r="F26" s="143"/>
      <c r="G26" s="143">
        <f t="shared" si="1"/>
        <v>624.25</v>
      </c>
      <c r="H26" s="46">
        <v>585058</v>
      </c>
      <c r="I26" s="52" t="s">
        <v>119</v>
      </c>
      <c r="J26" s="48" t="s">
        <v>94</v>
      </c>
      <c r="K26" s="49" t="s">
        <v>95</v>
      </c>
      <c r="L26" s="51">
        <v>99055262</v>
      </c>
      <c r="M26" s="51"/>
    </row>
    <row r="27" spans="1:13" x14ac:dyDescent="0.25">
      <c r="A27" s="41">
        <v>1356</v>
      </c>
      <c r="B27" s="42" t="s">
        <v>65</v>
      </c>
      <c r="C27" s="185">
        <v>1016.3</v>
      </c>
      <c r="D27" s="44">
        <v>0.25</v>
      </c>
      <c r="E27" s="143">
        <f t="shared" si="0"/>
        <v>254.07499999999999</v>
      </c>
      <c r="F27" s="143"/>
      <c r="G27" s="143">
        <f t="shared" si="1"/>
        <v>254.07499999999999</v>
      </c>
      <c r="H27" s="46">
        <v>7494112</v>
      </c>
      <c r="I27" s="52" t="s">
        <v>143</v>
      </c>
      <c r="J27" s="48" t="s">
        <v>17</v>
      </c>
      <c r="K27" s="49" t="s">
        <v>18</v>
      </c>
      <c r="L27" s="51">
        <v>99488186</v>
      </c>
      <c r="M27" s="51"/>
    </row>
    <row r="28" spans="1:13" x14ac:dyDescent="0.25">
      <c r="A28" s="41">
        <v>1362</v>
      </c>
      <c r="B28" s="42" t="s">
        <v>15</v>
      </c>
      <c r="C28" s="185">
        <v>2447.4</v>
      </c>
      <c r="D28" s="44">
        <v>0.25</v>
      </c>
      <c r="E28" s="143">
        <f t="shared" si="0"/>
        <v>611.85</v>
      </c>
      <c r="F28" s="143"/>
      <c r="G28" s="143">
        <f t="shared" si="1"/>
        <v>611.85</v>
      </c>
      <c r="H28" s="46">
        <v>2429041</v>
      </c>
      <c r="I28" s="52" t="s">
        <v>16</v>
      </c>
      <c r="J28" s="48" t="s">
        <v>17</v>
      </c>
      <c r="K28" s="49" t="s">
        <v>18</v>
      </c>
      <c r="L28" s="51">
        <v>93663694</v>
      </c>
      <c r="M28" s="51"/>
    </row>
    <row r="29" spans="1:13" x14ac:dyDescent="0.25">
      <c r="A29" s="41">
        <v>1363</v>
      </c>
      <c r="B29" s="42" t="s">
        <v>67</v>
      </c>
      <c r="C29" s="185">
        <v>2614.4</v>
      </c>
      <c r="D29" s="44">
        <v>0.25</v>
      </c>
      <c r="E29" s="143">
        <f t="shared" si="0"/>
        <v>653.6</v>
      </c>
      <c r="F29" s="143"/>
      <c r="G29" s="143">
        <f t="shared" si="1"/>
        <v>653.6</v>
      </c>
      <c r="H29" s="46">
        <v>322352</v>
      </c>
      <c r="I29" s="52" t="s">
        <v>120</v>
      </c>
      <c r="J29" s="48" t="s">
        <v>17</v>
      </c>
      <c r="K29" s="49" t="s">
        <v>18</v>
      </c>
      <c r="L29" s="51">
        <v>98842645</v>
      </c>
      <c r="M29" s="51"/>
    </row>
    <row r="30" spans="1:13" x14ac:dyDescent="0.25">
      <c r="A30" s="41">
        <v>1364</v>
      </c>
      <c r="B30" s="42" t="s">
        <v>68</v>
      </c>
      <c r="C30" s="185">
        <v>605</v>
      </c>
      <c r="D30" s="44">
        <v>0.25</v>
      </c>
      <c r="E30" s="143">
        <f t="shared" si="0"/>
        <v>151.25</v>
      </c>
      <c r="F30" s="143"/>
      <c r="G30" s="143">
        <f t="shared" si="1"/>
        <v>151.25</v>
      </c>
      <c r="H30" s="46">
        <v>7113811</v>
      </c>
      <c r="I30" s="52" t="s">
        <v>121</v>
      </c>
      <c r="J30" s="48" t="s">
        <v>94</v>
      </c>
      <c r="K30" s="49" t="s">
        <v>95</v>
      </c>
      <c r="L30" s="51">
        <v>92969982</v>
      </c>
      <c r="M30" s="51"/>
    </row>
    <row r="31" spans="1:13" x14ac:dyDescent="0.25">
      <c r="A31" s="41">
        <v>1366</v>
      </c>
      <c r="B31" s="42" t="s">
        <v>39</v>
      </c>
      <c r="C31" s="185">
        <v>2503.3000000000002</v>
      </c>
      <c r="D31" s="44">
        <v>0.25</v>
      </c>
      <c r="E31" s="143">
        <f t="shared" si="0"/>
        <v>625.82500000000005</v>
      </c>
      <c r="F31" s="143"/>
      <c r="G31" s="143">
        <f t="shared" si="1"/>
        <v>625.82500000000005</v>
      </c>
      <c r="H31" s="46">
        <v>8318385</v>
      </c>
      <c r="I31" s="52" t="s">
        <v>122</v>
      </c>
      <c r="J31" s="48" t="s">
        <v>17</v>
      </c>
      <c r="K31" s="49" t="s">
        <v>18</v>
      </c>
      <c r="L31" s="51">
        <v>90660210</v>
      </c>
      <c r="M31" s="51"/>
    </row>
    <row r="32" spans="1:13" x14ac:dyDescent="0.25">
      <c r="A32" s="61">
        <v>1370</v>
      </c>
      <c r="B32" s="52" t="s">
        <v>20</v>
      </c>
      <c r="C32" s="185">
        <v>1859.7</v>
      </c>
      <c r="D32" s="44">
        <v>0.25</v>
      </c>
      <c r="E32" s="143">
        <f t="shared" si="0"/>
        <v>464.92500000000001</v>
      </c>
      <c r="F32" s="143"/>
      <c r="G32" s="143">
        <f t="shared" si="1"/>
        <v>464.92500000000001</v>
      </c>
      <c r="H32" s="42">
        <v>14431965</v>
      </c>
      <c r="I32" s="47" t="s">
        <v>21</v>
      </c>
      <c r="J32" s="48" t="s">
        <v>17</v>
      </c>
      <c r="K32" s="49" t="s">
        <v>18</v>
      </c>
      <c r="L32" s="70">
        <v>99693775</v>
      </c>
      <c r="M32" s="70"/>
    </row>
    <row r="33" spans="1:14" x14ac:dyDescent="0.25">
      <c r="A33" s="61">
        <v>1371</v>
      </c>
      <c r="B33" s="52" t="s">
        <v>40</v>
      </c>
      <c r="C33" s="185">
        <v>1859</v>
      </c>
      <c r="D33" s="44">
        <v>0.25</v>
      </c>
      <c r="E33" s="143">
        <f t="shared" si="0"/>
        <v>464.75</v>
      </c>
      <c r="F33" s="143"/>
      <c r="G33" s="143">
        <f t="shared" si="1"/>
        <v>464.75</v>
      </c>
      <c r="H33" s="42">
        <v>990755</v>
      </c>
      <c r="I33" s="47" t="s">
        <v>123</v>
      </c>
      <c r="J33" s="48" t="s">
        <v>89</v>
      </c>
      <c r="K33" s="49" t="s">
        <v>90</v>
      </c>
      <c r="L33" s="70">
        <v>92556210</v>
      </c>
      <c r="M33" s="70"/>
    </row>
    <row r="34" spans="1:14" x14ac:dyDescent="0.25">
      <c r="A34" s="61">
        <v>1372</v>
      </c>
      <c r="B34" s="52" t="s">
        <v>69</v>
      </c>
      <c r="C34" s="185">
        <v>1174.7</v>
      </c>
      <c r="D34" s="44">
        <v>0.25</v>
      </c>
      <c r="E34" s="143">
        <f t="shared" si="0"/>
        <v>293.67500000000001</v>
      </c>
      <c r="F34" s="143"/>
      <c r="G34" s="143">
        <f t="shared" si="1"/>
        <v>293.67500000000001</v>
      </c>
      <c r="H34" s="48">
        <v>628655</v>
      </c>
      <c r="I34" s="47" t="s">
        <v>124</v>
      </c>
      <c r="J34" s="48" t="s">
        <v>94</v>
      </c>
      <c r="K34" s="49" t="s">
        <v>95</v>
      </c>
      <c r="L34" s="70">
        <v>98976629</v>
      </c>
      <c r="M34" s="70"/>
    </row>
    <row r="35" spans="1:14" x14ac:dyDescent="0.25">
      <c r="A35" s="61">
        <v>1373</v>
      </c>
      <c r="B35" s="52" t="s">
        <v>70</v>
      </c>
      <c r="C35" s="185">
        <v>576.79999999999995</v>
      </c>
      <c r="D35" s="44">
        <v>0.25</v>
      </c>
      <c r="E35" s="143">
        <f t="shared" si="0"/>
        <v>144.19999999999999</v>
      </c>
      <c r="F35" s="143"/>
      <c r="G35" s="143">
        <f t="shared" si="1"/>
        <v>144.19999999999999</v>
      </c>
      <c r="H35" s="48">
        <v>734281</v>
      </c>
      <c r="I35" s="157" t="s">
        <v>125</v>
      </c>
      <c r="J35" s="48" t="s">
        <v>17</v>
      </c>
      <c r="K35" s="49" t="s">
        <v>18</v>
      </c>
      <c r="L35" s="70">
        <v>99891516</v>
      </c>
      <c r="M35" s="70"/>
    </row>
    <row r="36" spans="1:14" x14ac:dyDescent="0.25">
      <c r="A36" s="61">
        <v>1375</v>
      </c>
      <c r="B36" s="52" t="s">
        <v>71</v>
      </c>
      <c r="C36" s="185">
        <v>620</v>
      </c>
      <c r="D36" s="44">
        <v>0.25</v>
      </c>
      <c r="E36" s="143">
        <f t="shared" si="0"/>
        <v>155</v>
      </c>
      <c r="F36" s="143"/>
      <c r="G36" s="143">
        <f t="shared" si="1"/>
        <v>155</v>
      </c>
      <c r="H36" s="48">
        <v>6748627</v>
      </c>
      <c r="I36" s="158" t="s">
        <v>126</v>
      </c>
      <c r="J36" s="159" t="s">
        <v>127</v>
      </c>
      <c r="K36" s="159" t="s">
        <v>128</v>
      </c>
      <c r="L36" s="70">
        <v>93707700</v>
      </c>
      <c r="M36" s="70"/>
    </row>
    <row r="37" spans="1:14" x14ac:dyDescent="0.25">
      <c r="A37" s="61">
        <v>1377</v>
      </c>
      <c r="B37" s="52" t="s">
        <v>72</v>
      </c>
      <c r="C37" s="185">
        <v>618.5</v>
      </c>
      <c r="D37" s="44">
        <v>0.25</v>
      </c>
      <c r="E37" s="143">
        <f t="shared" si="0"/>
        <v>154.625</v>
      </c>
      <c r="F37" s="143"/>
      <c r="G37" s="143">
        <f t="shared" si="1"/>
        <v>154.625</v>
      </c>
      <c r="H37" s="48">
        <v>5160404</v>
      </c>
      <c r="I37" s="47" t="s">
        <v>129</v>
      </c>
      <c r="J37" s="48" t="s">
        <v>94</v>
      </c>
      <c r="K37" s="49" t="s">
        <v>95</v>
      </c>
      <c r="L37" s="70">
        <v>91120322</v>
      </c>
      <c r="M37" s="70"/>
    </row>
    <row r="38" spans="1:14" x14ac:dyDescent="0.25">
      <c r="A38" s="61">
        <v>1378</v>
      </c>
      <c r="B38" s="52" t="s">
        <v>42</v>
      </c>
      <c r="C38" s="185">
        <v>2500.6999999999998</v>
      </c>
      <c r="D38" s="44">
        <v>0.25</v>
      </c>
      <c r="E38" s="143">
        <f t="shared" si="0"/>
        <v>625.17499999999995</v>
      </c>
      <c r="F38" s="143"/>
      <c r="G38" s="143">
        <f t="shared" si="1"/>
        <v>625.17499999999995</v>
      </c>
      <c r="H38" s="48">
        <v>5996404</v>
      </c>
      <c r="I38" s="160" t="s">
        <v>130</v>
      </c>
      <c r="J38" s="42" t="s">
        <v>110</v>
      </c>
      <c r="K38" s="42" t="s">
        <v>18</v>
      </c>
      <c r="L38" s="70">
        <v>98976878</v>
      </c>
      <c r="M38" s="70"/>
    </row>
    <row r="39" spans="1:14" s="65" customFormat="1" x14ac:dyDescent="0.25">
      <c r="A39" s="61">
        <v>1381</v>
      </c>
      <c r="B39" s="52" t="s">
        <v>43</v>
      </c>
      <c r="C39" s="185">
        <v>612.70000000000005</v>
      </c>
      <c r="D39" s="44">
        <v>0.25</v>
      </c>
      <c r="E39" s="143">
        <f t="shared" si="0"/>
        <v>153.17500000000001</v>
      </c>
      <c r="F39" s="143"/>
      <c r="G39" s="143">
        <f t="shared" si="1"/>
        <v>153.17500000000001</v>
      </c>
      <c r="H39" s="48">
        <v>19847623</v>
      </c>
      <c r="I39" s="47" t="s">
        <v>131</v>
      </c>
      <c r="J39" s="48" t="s">
        <v>89</v>
      </c>
      <c r="K39" s="49" t="s">
        <v>90</v>
      </c>
      <c r="L39" s="70">
        <v>92802427</v>
      </c>
      <c r="M39" s="70"/>
    </row>
    <row r="40" spans="1:14" s="65" customFormat="1" x14ac:dyDescent="0.25">
      <c r="A40" s="41">
        <v>1390</v>
      </c>
      <c r="B40" s="42" t="s">
        <v>206</v>
      </c>
      <c r="C40" s="185">
        <v>620</v>
      </c>
      <c r="D40" s="44">
        <v>0.25</v>
      </c>
      <c r="E40" s="143">
        <f t="shared" si="0"/>
        <v>155</v>
      </c>
      <c r="F40" s="143"/>
      <c r="G40" s="143">
        <f t="shared" si="1"/>
        <v>155</v>
      </c>
      <c r="H40" s="46">
        <v>13826903</v>
      </c>
      <c r="I40" s="160" t="s">
        <v>205</v>
      </c>
      <c r="J40" s="46" t="s">
        <v>17</v>
      </c>
      <c r="K40" s="46" t="s">
        <v>18</v>
      </c>
      <c r="L40" s="51">
        <v>98976878</v>
      </c>
      <c r="M40" s="51"/>
    </row>
    <row r="41" spans="1:14" s="65" customFormat="1" x14ac:dyDescent="0.25">
      <c r="A41" s="41">
        <v>1392</v>
      </c>
      <c r="B41" s="42" t="s">
        <v>73</v>
      </c>
      <c r="C41" s="185">
        <v>1549</v>
      </c>
      <c r="D41" s="44">
        <v>0.25</v>
      </c>
      <c r="E41" s="143">
        <f t="shared" si="0"/>
        <v>387.25</v>
      </c>
      <c r="F41" s="143"/>
      <c r="G41" s="143">
        <f t="shared" si="1"/>
        <v>387.25</v>
      </c>
      <c r="H41" s="46">
        <v>1353348</v>
      </c>
      <c r="I41" s="47" t="s">
        <v>133</v>
      </c>
      <c r="J41" s="48" t="s">
        <v>94</v>
      </c>
      <c r="K41" s="49" t="s">
        <v>95</v>
      </c>
      <c r="L41" s="51">
        <v>93999977</v>
      </c>
      <c r="M41" s="51"/>
    </row>
    <row r="42" spans="1:14" s="65" customFormat="1" x14ac:dyDescent="0.25">
      <c r="A42" s="61">
        <v>1393</v>
      </c>
      <c r="B42" s="52" t="s">
        <v>45</v>
      </c>
      <c r="C42" s="185">
        <v>619.29999999999995</v>
      </c>
      <c r="D42" s="44">
        <v>0.25</v>
      </c>
      <c r="E42" s="143">
        <f t="shared" si="0"/>
        <v>154.82499999999999</v>
      </c>
      <c r="F42" s="143"/>
      <c r="G42" s="143">
        <f t="shared" si="1"/>
        <v>154.82499999999999</v>
      </c>
      <c r="H42" s="48">
        <v>1650389</v>
      </c>
      <c r="I42" s="160" t="s">
        <v>134</v>
      </c>
      <c r="J42" s="42" t="s">
        <v>17</v>
      </c>
      <c r="K42" s="42" t="s">
        <v>18</v>
      </c>
      <c r="L42" s="70">
        <v>94264109</v>
      </c>
      <c r="M42" s="70"/>
    </row>
    <row r="43" spans="1:14" s="65" customFormat="1" x14ac:dyDescent="0.25">
      <c r="A43" s="61">
        <v>1500</v>
      </c>
      <c r="B43" s="52" t="s">
        <v>75</v>
      </c>
      <c r="C43" s="185">
        <v>212.2</v>
      </c>
      <c r="D43" s="44">
        <v>0.25</v>
      </c>
      <c r="E43" s="143">
        <f t="shared" si="0"/>
        <v>53.05</v>
      </c>
      <c r="F43" s="143"/>
      <c r="G43" s="143">
        <f t="shared" si="1"/>
        <v>53.05</v>
      </c>
      <c r="H43" s="48">
        <v>19567469</v>
      </c>
      <c r="I43" s="47" t="s">
        <v>135</v>
      </c>
      <c r="J43" s="48" t="s">
        <v>94</v>
      </c>
      <c r="K43" s="161" t="s">
        <v>95</v>
      </c>
      <c r="L43" s="70">
        <v>92265154</v>
      </c>
      <c r="M43" s="70"/>
    </row>
    <row r="44" spans="1:14" s="65" customFormat="1" x14ac:dyDescent="0.25">
      <c r="A44" s="61">
        <v>1501</v>
      </c>
      <c r="B44" s="202" t="s">
        <v>76</v>
      </c>
      <c r="C44" s="185">
        <v>104</v>
      </c>
      <c r="D44" s="44">
        <v>0.25</v>
      </c>
      <c r="E44" s="143">
        <f t="shared" si="0"/>
        <v>26</v>
      </c>
      <c r="F44" s="143"/>
      <c r="G44" s="143">
        <f t="shared" si="1"/>
        <v>26</v>
      </c>
      <c r="H44" s="48">
        <v>25657583</v>
      </c>
      <c r="I44" s="47" t="s">
        <v>136</v>
      </c>
      <c r="J44" s="48" t="s">
        <v>17</v>
      </c>
      <c r="K44" s="161" t="s">
        <v>18</v>
      </c>
      <c r="L44" s="70">
        <v>93972300</v>
      </c>
      <c r="M44" s="70"/>
    </row>
    <row r="45" spans="1:14" s="65" customFormat="1" x14ac:dyDescent="0.25">
      <c r="A45" s="61">
        <v>1503</v>
      </c>
      <c r="B45" s="89" t="s">
        <v>77</v>
      </c>
      <c r="C45" s="185">
        <v>602.70000000000005</v>
      </c>
      <c r="D45" s="44">
        <v>0.25</v>
      </c>
      <c r="E45" s="143">
        <f t="shared" si="0"/>
        <v>150.67500000000001</v>
      </c>
      <c r="F45" s="143"/>
      <c r="G45" s="143">
        <f t="shared" si="1"/>
        <v>150.67500000000001</v>
      </c>
      <c r="H45" s="48">
        <v>8930607</v>
      </c>
      <c r="I45" s="162" t="s">
        <v>137</v>
      </c>
      <c r="J45" s="48" t="s">
        <v>17</v>
      </c>
      <c r="K45" s="161" t="s">
        <v>18</v>
      </c>
      <c r="L45" s="70">
        <v>92621425</v>
      </c>
      <c r="M45" s="70"/>
      <c r="N45" s="7"/>
    </row>
    <row r="46" spans="1:14" s="65" customFormat="1" x14ac:dyDescent="0.25">
      <c r="A46" s="61">
        <v>1504</v>
      </c>
      <c r="B46" s="71" t="s">
        <v>79</v>
      </c>
      <c r="C46" s="185">
        <v>1410.6</v>
      </c>
      <c r="D46" s="44">
        <v>0.25</v>
      </c>
      <c r="E46" s="143">
        <f t="shared" si="0"/>
        <v>352.65</v>
      </c>
      <c r="F46" s="143"/>
      <c r="G46" s="143">
        <f t="shared" si="1"/>
        <v>352.65</v>
      </c>
      <c r="H46" s="48">
        <v>381215</v>
      </c>
      <c r="I46" s="47" t="s">
        <v>138</v>
      </c>
      <c r="J46" s="48" t="s">
        <v>17</v>
      </c>
      <c r="K46" s="161" t="s">
        <v>18</v>
      </c>
      <c r="L46" s="70">
        <v>95110746</v>
      </c>
      <c r="M46" s="70"/>
      <c r="N46" s="7"/>
    </row>
    <row r="47" spans="1:14" x14ac:dyDescent="0.25">
      <c r="A47" s="61">
        <v>1505</v>
      </c>
      <c r="B47" s="71" t="s">
        <v>86</v>
      </c>
      <c r="C47" s="186">
        <v>535.29999999999995</v>
      </c>
      <c r="D47" s="44">
        <v>0.25</v>
      </c>
      <c r="E47" s="143">
        <f t="shared" si="0"/>
        <v>133.82499999999999</v>
      </c>
      <c r="F47" s="143"/>
      <c r="G47" s="143">
        <f t="shared" si="1"/>
        <v>133.82499999999999</v>
      </c>
      <c r="H47" s="48">
        <v>6668659</v>
      </c>
      <c r="I47" s="47" t="s">
        <v>139</v>
      </c>
      <c r="J47" s="48" t="s">
        <v>17</v>
      </c>
      <c r="K47" s="161" t="s">
        <v>18</v>
      </c>
      <c r="L47" s="70">
        <v>92142246</v>
      </c>
      <c r="M47" s="70"/>
    </row>
    <row r="48" spans="1:14" x14ac:dyDescent="0.25">
      <c r="A48" s="86"/>
      <c r="B48" s="86"/>
      <c r="C48" s="185">
        <f>SUM(C4:C47)</f>
        <v>67195.8</v>
      </c>
      <c r="D48" s="44">
        <v>0.25</v>
      </c>
      <c r="E48" s="143">
        <f>SUM(E4:E47)</f>
        <v>16798.95</v>
      </c>
      <c r="F48" s="143">
        <f t="shared" ref="F48:G48" si="2">SUM(F4:F47)</f>
        <v>0</v>
      </c>
      <c r="G48" s="143">
        <f t="shared" si="2"/>
        <v>16798.95</v>
      </c>
      <c r="H48" s="86"/>
      <c r="I48" s="163"/>
      <c r="J48" s="164"/>
      <c r="K48" s="86"/>
      <c r="L48" s="79"/>
      <c r="M48" s="79"/>
    </row>
    <row r="50" spans="1:13" x14ac:dyDescent="0.25">
      <c r="I50" s="81" t="s">
        <v>23</v>
      </c>
    </row>
    <row r="51" spans="1:13" x14ac:dyDescent="0.25">
      <c r="A51" s="83"/>
      <c r="B51" s="83"/>
      <c r="C51" s="7"/>
      <c r="I51" s="7"/>
      <c r="J51" s="7"/>
      <c r="L51" s="7"/>
      <c r="M51" s="7"/>
    </row>
    <row r="52" spans="1:13" x14ac:dyDescent="0.25">
      <c r="A52" s="83"/>
      <c r="B52" s="83"/>
      <c r="C52" s="7"/>
      <c r="I52" s="7"/>
      <c r="J52" s="7"/>
      <c r="L52" s="7"/>
      <c r="M52" s="7"/>
    </row>
    <row r="53" spans="1:13" x14ac:dyDescent="0.25">
      <c r="A53" s="83"/>
      <c r="B53" s="83"/>
      <c r="C53" s="7"/>
      <c r="I53" s="7"/>
      <c r="J53" s="7"/>
      <c r="L53" s="7"/>
      <c r="M53" s="7"/>
    </row>
    <row r="54" spans="1:13" x14ac:dyDescent="0.25">
      <c r="A54" s="83"/>
      <c r="B54" s="83"/>
      <c r="C54" s="7"/>
      <c r="I54" s="7"/>
      <c r="J54" s="7"/>
      <c r="L54" s="7"/>
      <c r="M54" s="7"/>
    </row>
    <row r="55" spans="1:13" x14ac:dyDescent="0.25">
      <c r="A55" s="83"/>
      <c r="B55" s="83"/>
      <c r="C55" s="7"/>
      <c r="I55" s="7"/>
      <c r="J55" s="7"/>
      <c r="L55" s="7"/>
      <c r="M55" s="7"/>
    </row>
  </sheetData>
  <mergeCells count="12">
    <mergeCell ref="M2:M3"/>
    <mergeCell ref="A2:A3"/>
    <mergeCell ref="B2:B3"/>
    <mergeCell ref="C2:C3"/>
    <mergeCell ref="D2:D3"/>
    <mergeCell ref="E2:E3"/>
    <mergeCell ref="H2:H3"/>
    <mergeCell ref="I2:I3"/>
    <mergeCell ref="J2:J3"/>
    <mergeCell ref="K2:K3"/>
    <mergeCell ref="L2:L3"/>
    <mergeCell ref="G2:G3"/>
  </mergeCells>
  <conditionalFormatting sqref="I36">
    <cfRule type="duplicateValues" dxfId="0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3F77-8557-4DEE-B3A3-E01F68F8EEE5}">
  <sheetPr codeName="Sheet3"/>
  <dimension ref="A2:E9"/>
  <sheetViews>
    <sheetView workbookViewId="0">
      <selection activeCell="C11" sqref="C11"/>
    </sheetView>
  </sheetViews>
  <sheetFormatPr defaultRowHeight="15" x14ac:dyDescent="0.25"/>
  <cols>
    <col min="1" max="1" width="22" bestFit="1" customWidth="1"/>
    <col min="2" max="2" width="17" bestFit="1" customWidth="1"/>
    <col min="3" max="3" width="26" bestFit="1" customWidth="1"/>
    <col min="4" max="4" width="10.5703125" bestFit="1" customWidth="1"/>
    <col min="5" max="5" width="23.85546875" bestFit="1" customWidth="1"/>
  </cols>
  <sheetData>
    <row r="2" spans="1:5" ht="26.25" x14ac:dyDescent="0.4">
      <c r="A2" s="261" t="s">
        <v>185</v>
      </c>
      <c r="B2" s="261"/>
      <c r="C2" s="261"/>
      <c r="D2" s="261"/>
      <c r="E2" s="261"/>
    </row>
    <row r="3" spans="1:5" ht="24" x14ac:dyDescent="0.4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190</v>
      </c>
    </row>
    <row r="4" spans="1:5" ht="24" x14ac:dyDescent="0.4">
      <c r="A4" s="1" t="s">
        <v>191</v>
      </c>
      <c r="B4" s="1">
        <v>50</v>
      </c>
      <c r="C4" s="6">
        <v>6.45</v>
      </c>
      <c r="D4" s="2">
        <v>0.4</v>
      </c>
      <c r="E4" s="2">
        <v>6.05</v>
      </c>
    </row>
    <row r="5" spans="1:5" ht="24" x14ac:dyDescent="0.4">
      <c r="A5" s="1" t="s">
        <v>191</v>
      </c>
      <c r="B5" s="1">
        <v>40</v>
      </c>
      <c r="C5" s="6">
        <v>5.16</v>
      </c>
      <c r="D5" s="2">
        <v>0.4</v>
      </c>
      <c r="E5" s="2">
        <v>4.76</v>
      </c>
    </row>
    <row r="6" spans="1:5" ht="24" x14ac:dyDescent="0.4">
      <c r="A6" s="1" t="s">
        <v>192</v>
      </c>
      <c r="B6" s="1">
        <v>40</v>
      </c>
      <c r="C6" s="6">
        <v>5</v>
      </c>
      <c r="D6" s="2">
        <v>0.4</v>
      </c>
      <c r="E6" s="2">
        <v>4.5999999999999996</v>
      </c>
    </row>
    <row r="7" spans="1:5" ht="24" x14ac:dyDescent="0.4">
      <c r="A7" s="1" t="s">
        <v>193</v>
      </c>
      <c r="B7" s="1">
        <v>50</v>
      </c>
      <c r="C7" s="6">
        <v>7.1</v>
      </c>
      <c r="D7" s="2">
        <v>0.5</v>
      </c>
      <c r="E7" s="2">
        <v>6.6</v>
      </c>
    </row>
    <row r="8" spans="1:5" ht="24" x14ac:dyDescent="0.4">
      <c r="A8" s="1" t="s">
        <v>193</v>
      </c>
      <c r="B8" s="1">
        <v>40</v>
      </c>
      <c r="C8" s="6">
        <v>5.7</v>
      </c>
      <c r="D8" s="2">
        <v>0.5</v>
      </c>
      <c r="E8" s="2">
        <v>5.2</v>
      </c>
    </row>
    <row r="9" spans="1:5" ht="24" x14ac:dyDescent="0.4">
      <c r="A9" s="1" t="s">
        <v>194</v>
      </c>
      <c r="B9" s="1">
        <v>50</v>
      </c>
      <c r="C9" s="6">
        <v>7.6</v>
      </c>
      <c r="D9" s="2">
        <v>0.5</v>
      </c>
      <c r="E9" s="2">
        <v>7.1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center-April</vt:lpstr>
      <vt:lpstr>05-24</vt:lpstr>
      <vt:lpstr>center-June</vt:lpstr>
      <vt:lpstr>center-July</vt:lpstr>
      <vt:lpstr>center-Aug</vt:lpstr>
      <vt:lpstr>Center-Sept</vt:lpstr>
      <vt:lpstr>Center-oct</vt:lpstr>
      <vt:lpstr>Center-Nov</vt:lpstr>
      <vt:lpstr>center-dec</vt:lpstr>
      <vt:lpstr>Purcahse Request</vt:lpstr>
      <vt:lpstr>Farmer Document</vt:lpstr>
      <vt:lpstr>Aug 25</vt:lpstr>
      <vt:lpstr>SEP-25</vt:lpstr>
      <vt:lpstr>oct25</vt:lpstr>
      <vt:lpstr>nov-25</vt:lpstr>
      <vt:lpstr>Dec-25</vt:lpstr>
      <vt:lpstr>ONLD price</vt:lpstr>
      <vt:lpstr>'Aug 25'!Print_Area</vt:lpstr>
      <vt:lpstr>'center-Aug'!Print_Area</vt:lpstr>
      <vt:lpstr>'center-dec'!Print_Area</vt:lpstr>
      <vt:lpstr>'center-July'!Print_Area</vt:lpstr>
      <vt:lpstr>'center-June'!Print_Area</vt:lpstr>
      <vt:lpstr>'Center-Nov'!Print_Area</vt:lpstr>
      <vt:lpstr>'Center-oct'!Print_Area</vt:lpstr>
      <vt:lpstr>'Center-Sept'!Print_Area</vt:lpstr>
      <vt:lpstr>'Farmer Document'!Print_Area</vt:lpstr>
      <vt:lpstr>'oct25'!Print_Area</vt:lpstr>
      <vt:lpstr>'Purcahse Request'!Print_Area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Morroj dairy co</dc:creator>
  <cp:keywords/>
  <dc:description/>
  <cp:lastModifiedBy>YASIR KASHOOB</cp:lastModifiedBy>
  <cp:revision/>
  <cp:lastPrinted>2025-12-31T08:46:22Z</cp:lastPrinted>
  <dcterms:created xsi:type="dcterms:W3CDTF">2024-07-24T14:41:30Z</dcterms:created>
  <dcterms:modified xsi:type="dcterms:W3CDTF">2026-01-11T05:50:23Z</dcterms:modified>
  <cp:category/>
  <cp:contentStatus/>
</cp:coreProperties>
</file>