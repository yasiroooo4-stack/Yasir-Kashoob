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9478396b7721b53/Desktop/جدول رواتب/"/>
    </mc:Choice>
  </mc:AlternateContent>
  <xr:revisionPtr revIDLastSave="16" documentId="8_{FCF340FD-1B9A-4DC1-89F7-9C102E5794AC}" xr6:coauthVersionLast="47" xr6:coauthVersionMax="47" xr10:uidLastSave="{C608F855-CAF9-435A-B89C-0388BBC39F1A}"/>
  <bookViews>
    <workbookView xWindow="-120" yWindow="-120" windowWidth="29040" windowHeight="15720" firstSheet="2" activeTab="2" xr2:uid="{ECABA91A-CCDB-4A99-89C5-4AAFBF4439F2}"/>
  </bookViews>
  <sheets>
    <sheet name="Nov  Full Employee (2)" sheetId="4" state="hidden" r:id="rId1"/>
    <sheet name="hold" sheetId="6" state="hidden" r:id="rId2"/>
    <sheet name="Salary 2025 - 11" sheetId="1" r:id="rId3"/>
    <sheet name="Sheet2" sheetId="5" state="hidden" r:id="rId4"/>
    <sheet name="Training staff" sheetId="8" state="hidden" r:id="rId5"/>
    <sheet name="Office Boy" sheetId="7" state="hidden" r:id="rId6"/>
    <sheet name="Sheet1" sheetId="2" state="hidden" r:id="rId7"/>
  </sheets>
  <definedNames>
    <definedName name="_xlnm._FilterDatabase" localSheetId="1" hidden="1">hold!$A$5:$S$7</definedName>
    <definedName name="_xlnm._FilterDatabase" localSheetId="0" hidden="1">'Nov  Full Employee (2)'!$A$5:$R$46</definedName>
    <definedName name="_xlnm._FilterDatabase" localSheetId="2" hidden="1">'Salary 2025 - 11'!$B$5:$T$53</definedName>
    <definedName name="_xlnm.Print_Area" localSheetId="1">hold!$A$4:$U$16</definedName>
    <definedName name="_xlnm.Print_Area" localSheetId="0">'Nov  Full Employee (2)'!$A$1:$M$53</definedName>
    <definedName name="_xlnm.Print_Area" localSheetId="2">'Salary 2025 - 11'!$B$4:$U$63</definedName>
    <definedName name="_xlnm.Print_Area" localSheetId="4">'Training staff'!$A$1:$P$19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" l="1"/>
  <c r="J52" i="1" s="1"/>
  <c r="Q52" i="1" s="1"/>
  <c r="I51" i="1"/>
  <c r="J51" i="1" s="1"/>
  <c r="T51" i="1" l="1"/>
  <c r="U51" i="1" s="1"/>
  <c r="R51" i="1"/>
  <c r="R52" i="1"/>
  <c r="S52" i="1" s="1"/>
  <c r="Q51" i="1"/>
  <c r="K51" i="1"/>
  <c r="K52" i="1"/>
  <c r="T52" i="1"/>
  <c r="U52" i="1" s="1"/>
  <c r="S51" i="1" l="1"/>
  <c r="O51" i="1"/>
  <c r="X51" i="1"/>
  <c r="O52" i="1"/>
  <c r="X52" i="1"/>
  <c r="M32" i="1" l="1"/>
  <c r="K6" i="1"/>
  <c r="G12" i="1"/>
  <c r="J12" i="1" l="1"/>
  <c r="O12" i="1" s="1"/>
  <c r="X6" i="1" l="1"/>
  <c r="J6" i="1" l="1"/>
  <c r="O6" i="1" s="1"/>
  <c r="N61" i="1"/>
  <c r="X18" i="1"/>
  <c r="X35" i="1"/>
  <c r="X45" i="1"/>
  <c r="X46" i="1"/>
  <c r="X47" i="1"/>
  <c r="X48" i="1"/>
  <c r="X49" i="1"/>
  <c r="X50" i="1"/>
  <c r="T6" i="1" l="1"/>
  <c r="R6" i="1"/>
  <c r="Q6" i="1"/>
  <c r="G13" i="1"/>
  <c r="G55" i="7"/>
  <c r="G54" i="7"/>
  <c r="X17" i="1"/>
  <c r="X16" i="1"/>
  <c r="X11" i="1"/>
  <c r="X10" i="1"/>
  <c r="H49" i="1"/>
  <c r="J49" i="1" s="1"/>
  <c r="O49" i="1" s="1"/>
  <c r="H50" i="1"/>
  <c r="J50" i="1" s="1"/>
  <c r="O50" i="1" s="1"/>
  <c r="H17" i="1"/>
  <c r="S6" i="1" l="1"/>
  <c r="U6" i="1"/>
  <c r="G56" i="7"/>
  <c r="U50" i="1"/>
  <c r="U49" i="1"/>
  <c r="U16" i="1" l="1"/>
  <c r="U17" i="1"/>
  <c r="I17" i="1"/>
  <c r="J17" i="1" s="1"/>
  <c r="O17" i="1" s="1"/>
  <c r="G18" i="1"/>
  <c r="G19" i="1"/>
  <c r="H19" i="1" s="1"/>
  <c r="J19" i="1" s="1"/>
  <c r="G20" i="1"/>
  <c r="H20" i="1" s="1"/>
  <c r="J20" i="1" s="1"/>
  <c r="G21" i="1"/>
  <c r="H21" i="1" s="1"/>
  <c r="J21" i="1" s="1"/>
  <c r="G22" i="1"/>
  <c r="H22" i="1" s="1"/>
  <c r="J22" i="1" s="1"/>
  <c r="G23" i="1"/>
  <c r="H23" i="1" s="1"/>
  <c r="J23" i="1" s="1"/>
  <c r="G24" i="1"/>
  <c r="H24" i="1" s="1"/>
  <c r="J24" i="1" s="1"/>
  <c r="G25" i="1"/>
  <c r="H25" i="1" s="1"/>
  <c r="J25" i="1" s="1"/>
  <c r="G26" i="1"/>
  <c r="H26" i="1" s="1"/>
  <c r="J26" i="1" s="1"/>
  <c r="G27" i="1"/>
  <c r="H27" i="1" s="1"/>
  <c r="J27" i="1" s="1"/>
  <c r="N27" i="1" s="1"/>
  <c r="G28" i="1"/>
  <c r="H28" i="1" s="1"/>
  <c r="J28" i="1" s="1"/>
  <c r="G29" i="1"/>
  <c r="H29" i="1" s="1"/>
  <c r="G30" i="1"/>
  <c r="H30" i="1" s="1"/>
  <c r="J30" i="1" s="1"/>
  <c r="G31" i="1"/>
  <c r="H31" i="1" s="1"/>
  <c r="J31" i="1" s="1"/>
  <c r="G32" i="1"/>
  <c r="H32" i="1" s="1"/>
  <c r="J32" i="1" s="1"/>
  <c r="G33" i="1"/>
  <c r="H33" i="1" s="1"/>
  <c r="J33" i="1" s="1"/>
  <c r="G34" i="1"/>
  <c r="H34" i="1" s="1"/>
  <c r="J34" i="1" s="1"/>
  <c r="G35" i="1"/>
  <c r="H35" i="1" s="1"/>
  <c r="J35" i="1" s="1"/>
  <c r="O35" i="1" s="1"/>
  <c r="G36" i="1"/>
  <c r="H36" i="1" s="1"/>
  <c r="J36" i="1" s="1"/>
  <c r="G37" i="1"/>
  <c r="H37" i="1" s="1"/>
  <c r="J37" i="1" s="1"/>
  <c r="G38" i="1"/>
  <c r="H38" i="1" s="1"/>
  <c r="J38" i="1" s="1"/>
  <c r="G39" i="1"/>
  <c r="H39" i="1" s="1"/>
  <c r="J39" i="1" s="1"/>
  <c r="G40" i="1"/>
  <c r="H40" i="1" s="1"/>
  <c r="J40" i="1" s="1"/>
  <c r="G41" i="1"/>
  <c r="H41" i="1" s="1"/>
  <c r="J41" i="1" s="1"/>
  <c r="G42" i="1"/>
  <c r="H42" i="1" s="1"/>
  <c r="J42" i="1" s="1"/>
  <c r="G43" i="1"/>
  <c r="H43" i="1" s="1"/>
  <c r="J43" i="1" s="1"/>
  <c r="G44" i="1"/>
  <c r="H44" i="1" s="1"/>
  <c r="J44" i="1" s="1"/>
  <c r="G45" i="1"/>
  <c r="H45" i="1" s="1"/>
  <c r="J45" i="1" s="1"/>
  <c r="O45" i="1" s="1"/>
  <c r="G46" i="1"/>
  <c r="H46" i="1" s="1"/>
  <c r="J46" i="1" s="1"/>
  <c r="O46" i="1" s="1"/>
  <c r="G47" i="1"/>
  <c r="H47" i="1" s="1"/>
  <c r="J47" i="1" s="1"/>
  <c r="O47" i="1" s="1"/>
  <c r="G48" i="1"/>
  <c r="H48" i="1" s="1"/>
  <c r="J48" i="1" s="1"/>
  <c r="O48" i="1" s="1"/>
  <c r="G16" i="1"/>
  <c r="H16" i="1" s="1"/>
  <c r="G15" i="1"/>
  <c r="H15" i="1" s="1"/>
  <c r="J15" i="1" s="1"/>
  <c r="G14" i="1"/>
  <c r="H14" i="1" s="1"/>
  <c r="J14" i="1" s="1"/>
  <c r="H13" i="1"/>
  <c r="J13" i="1" s="1"/>
  <c r="G11" i="1"/>
  <c r="H11" i="1" s="1"/>
  <c r="J11" i="1" s="1"/>
  <c r="O11" i="1" s="1"/>
  <c r="G10" i="1"/>
  <c r="G9" i="1"/>
  <c r="H9" i="1" s="1"/>
  <c r="J9" i="1" s="1"/>
  <c r="G8" i="1"/>
  <c r="H8" i="1" s="1"/>
  <c r="J8" i="1" s="1"/>
  <c r="G7" i="1"/>
  <c r="H10" i="1" l="1"/>
  <c r="N20" i="1"/>
  <c r="N19" i="1"/>
  <c r="N28" i="1"/>
  <c r="N31" i="1"/>
  <c r="H18" i="1"/>
  <c r="G68" i="1"/>
  <c r="H68" i="1" s="1"/>
  <c r="J68" i="1" s="1"/>
  <c r="H72" i="1"/>
  <c r="J72" i="1" s="1"/>
  <c r="H71" i="1"/>
  <c r="J71" i="1" s="1"/>
  <c r="G69" i="1"/>
  <c r="H69" i="1" s="1"/>
  <c r="J69" i="1" s="1"/>
  <c r="J10" i="1" l="1"/>
  <c r="J18" i="1"/>
  <c r="K71" i="1"/>
  <c r="O71" i="1" s="1"/>
  <c r="K72" i="1"/>
  <c r="O72" i="1" s="1"/>
  <c r="K68" i="1"/>
  <c r="O68" i="1" s="1"/>
  <c r="K69" i="1"/>
  <c r="O69" i="1" s="1"/>
  <c r="O18" i="1" l="1"/>
  <c r="O10" i="1"/>
  <c r="O73" i="1"/>
  <c r="H42" i="7"/>
  <c r="I42" i="7"/>
  <c r="J42" i="7" l="1"/>
  <c r="N5" i="8"/>
  <c r="M5" i="8"/>
  <c r="U47" i="1" l="1"/>
  <c r="U48" i="1"/>
  <c r="N11" i="8"/>
  <c r="M11" i="8"/>
  <c r="N10" i="8"/>
  <c r="M10" i="8"/>
  <c r="N9" i="8"/>
  <c r="M9" i="8"/>
  <c r="N8" i="8"/>
  <c r="M8" i="8"/>
  <c r="N7" i="8"/>
  <c r="M7" i="8"/>
  <c r="O7" i="8" s="1"/>
  <c r="F7" i="8" s="1"/>
  <c r="N6" i="8"/>
  <c r="M6" i="8"/>
  <c r="N4" i="8"/>
  <c r="M4" i="8"/>
  <c r="H35" i="7"/>
  <c r="I35" i="7" s="1"/>
  <c r="P9" i="8"/>
  <c r="P4" i="8"/>
  <c r="P5" i="8"/>
  <c r="P11" i="8"/>
  <c r="P10" i="8"/>
  <c r="P8" i="8"/>
  <c r="P6" i="8"/>
  <c r="P7" i="8"/>
  <c r="J35" i="7" l="1"/>
  <c r="O9" i="8"/>
  <c r="F9" i="8" s="1"/>
  <c r="H9" i="8" s="1"/>
  <c r="L14" i="8" s="1"/>
  <c r="O6" i="8"/>
  <c r="F6" i="8" s="1"/>
  <c r="O4" i="8"/>
  <c r="F4" i="8" s="1"/>
  <c r="O5" i="8"/>
  <c r="F5" i="8" s="1"/>
  <c r="O11" i="8"/>
  <c r="F11" i="8" s="1"/>
  <c r="H11" i="8" s="1"/>
  <c r="O10" i="8"/>
  <c r="F10" i="8" s="1"/>
  <c r="H10" i="8" s="1"/>
  <c r="O8" i="8"/>
  <c r="F8" i="8" s="1"/>
  <c r="H8" i="8" s="1"/>
  <c r="F12" i="8" l="1"/>
  <c r="G12" i="8"/>
  <c r="H7" i="8"/>
  <c r="H6" i="8"/>
  <c r="H5" i="8"/>
  <c r="L15" i="8" s="1"/>
  <c r="L16" i="8" l="1"/>
  <c r="H4" i="8"/>
  <c r="H12" i="8" l="1"/>
  <c r="L13" i="8"/>
  <c r="T21" i="1"/>
  <c r="L23" i="6"/>
  <c r="K10" i="6"/>
  <c r="L10" i="6" s="1"/>
  <c r="O7" i="6"/>
  <c r="F7" i="6"/>
  <c r="I7" i="6"/>
  <c r="I29" i="1"/>
  <c r="I16" i="1"/>
  <c r="G11" i="2"/>
  <c r="F10" i="2"/>
  <c r="F12" i="2" s="1"/>
  <c r="F7" i="2"/>
  <c r="E8" i="2"/>
  <c r="E11" i="2" s="1"/>
  <c r="E7" i="2"/>
  <c r="E9" i="2" s="1"/>
  <c r="E10" i="2" s="1"/>
  <c r="J29" i="1" l="1"/>
  <c r="J16" i="1"/>
  <c r="O16" i="1" s="1"/>
  <c r="K21" i="1"/>
  <c r="Q21" i="1"/>
  <c r="R21" i="1"/>
  <c r="U21" i="1"/>
  <c r="I8" i="6"/>
  <c r="F8" i="6"/>
  <c r="G7" i="6"/>
  <c r="O8" i="6"/>
  <c r="H7" i="6"/>
  <c r="M7" i="6"/>
  <c r="M8" i="6" s="1"/>
  <c r="G10" i="2"/>
  <c r="G12" i="2" s="1"/>
  <c r="E12" i="2"/>
  <c r="X21" i="1" l="1"/>
  <c r="O21" i="1"/>
  <c r="S21" i="1"/>
  <c r="L7" i="6"/>
  <c r="L8" i="6" s="1"/>
  <c r="Q7" i="6"/>
  <c r="Q8" i="6" s="1"/>
  <c r="G8" i="6"/>
  <c r="H8" i="6"/>
  <c r="P7" i="6"/>
  <c r="T7" i="6"/>
  <c r="T8" i="6" s="1"/>
  <c r="S7" i="6"/>
  <c r="S8" i="6" s="1"/>
  <c r="J7" i="6"/>
  <c r="N7" i="6" l="1"/>
  <c r="N8" i="6" s="1"/>
  <c r="K7" i="6"/>
  <c r="K8" i="6" s="1"/>
  <c r="J8" i="6"/>
  <c r="P8" i="6"/>
  <c r="I59" i="4"/>
  <c r="I60" i="4" s="1"/>
  <c r="I58" i="4"/>
  <c r="I46" i="4"/>
  <c r="F46" i="4"/>
  <c r="U45" i="4"/>
  <c r="S45" i="4"/>
  <c r="H45" i="4"/>
  <c r="J45" i="4" s="1"/>
  <c r="M45" i="4" s="1"/>
  <c r="G45" i="4"/>
  <c r="V45" i="4" s="1"/>
  <c r="U44" i="4"/>
  <c r="S44" i="4"/>
  <c r="H44" i="4"/>
  <c r="J44" i="4" s="1"/>
  <c r="M44" i="4" s="1"/>
  <c r="G44" i="4"/>
  <c r="V44" i="4" s="1"/>
  <c r="G43" i="4"/>
  <c r="H43" i="4" s="1"/>
  <c r="J43" i="4" s="1"/>
  <c r="G42" i="4"/>
  <c r="H42" i="4" s="1"/>
  <c r="J42" i="4" s="1"/>
  <c r="G41" i="4"/>
  <c r="H41" i="4" s="1"/>
  <c r="J41" i="4" s="1"/>
  <c r="G40" i="4"/>
  <c r="H40" i="4" s="1"/>
  <c r="J40" i="4" s="1"/>
  <c r="G39" i="4"/>
  <c r="G38" i="4"/>
  <c r="H38" i="4" s="1"/>
  <c r="J38" i="4" s="1"/>
  <c r="G37" i="4"/>
  <c r="H37" i="4" s="1"/>
  <c r="J37" i="4" s="1"/>
  <c r="G36" i="4"/>
  <c r="H36" i="4" s="1"/>
  <c r="J36" i="4" s="1"/>
  <c r="G35" i="4"/>
  <c r="H35" i="4" s="1"/>
  <c r="J35" i="4" s="1"/>
  <c r="U34" i="4"/>
  <c r="S34" i="4"/>
  <c r="G34" i="4"/>
  <c r="V34" i="4" s="1"/>
  <c r="G33" i="4"/>
  <c r="H33" i="4" s="1"/>
  <c r="J33" i="4" s="1"/>
  <c r="G32" i="4"/>
  <c r="H32" i="4" s="1"/>
  <c r="J32" i="4" s="1"/>
  <c r="G31" i="4"/>
  <c r="H31" i="4" s="1"/>
  <c r="J31" i="4" s="1"/>
  <c r="R31" i="4" s="1"/>
  <c r="S31" i="4" s="1"/>
  <c r="G30" i="4"/>
  <c r="H30" i="4" s="1"/>
  <c r="J30" i="4" s="1"/>
  <c r="G29" i="4"/>
  <c r="H29" i="4" s="1"/>
  <c r="J29" i="4" s="1"/>
  <c r="G28" i="4"/>
  <c r="H28" i="4" s="1"/>
  <c r="J28" i="4" s="1"/>
  <c r="G27" i="4"/>
  <c r="H27" i="4" s="1"/>
  <c r="J27" i="4" s="1"/>
  <c r="H26" i="4"/>
  <c r="J26" i="4" s="1"/>
  <c r="G26" i="4"/>
  <c r="G25" i="4"/>
  <c r="G24" i="4"/>
  <c r="H24" i="4" s="1"/>
  <c r="J24" i="4" s="1"/>
  <c r="G23" i="4"/>
  <c r="H23" i="4" s="1"/>
  <c r="J23" i="4" s="1"/>
  <c r="G22" i="4"/>
  <c r="H22" i="4" s="1"/>
  <c r="J22" i="4" s="1"/>
  <c r="H21" i="4"/>
  <c r="J21" i="4" s="1"/>
  <c r="G21" i="4"/>
  <c r="G20" i="4"/>
  <c r="H20" i="4" s="1"/>
  <c r="J20" i="4" s="1"/>
  <c r="G19" i="4"/>
  <c r="H18" i="4"/>
  <c r="J18" i="4" s="1"/>
  <c r="G18" i="4"/>
  <c r="U17" i="4"/>
  <c r="S17" i="4"/>
  <c r="Q17" i="4"/>
  <c r="G17" i="4"/>
  <c r="S16" i="4"/>
  <c r="Q16" i="4"/>
  <c r="T16" i="4" s="1"/>
  <c r="G16" i="4"/>
  <c r="G15" i="4"/>
  <c r="H15" i="4" s="1"/>
  <c r="J15" i="4" s="1"/>
  <c r="H14" i="4"/>
  <c r="J14" i="4" s="1"/>
  <c r="G14" i="4"/>
  <c r="G13" i="4"/>
  <c r="H13" i="4" s="1"/>
  <c r="J13" i="4" s="1"/>
  <c r="S12" i="4"/>
  <c r="Q12" i="4"/>
  <c r="T12" i="4" s="1"/>
  <c r="G12" i="4"/>
  <c r="U11" i="4"/>
  <c r="T11" i="4"/>
  <c r="S11" i="4"/>
  <c r="Q11" i="4"/>
  <c r="G11" i="4"/>
  <c r="H11" i="4" s="1"/>
  <c r="J11" i="4" s="1"/>
  <c r="M11" i="4" s="1"/>
  <c r="S10" i="4"/>
  <c r="T10" i="4" s="1"/>
  <c r="Q10" i="4"/>
  <c r="U10" i="4" s="1"/>
  <c r="G10" i="4"/>
  <c r="L46" i="4"/>
  <c r="G9" i="4"/>
  <c r="G8" i="4"/>
  <c r="H8" i="4" s="1"/>
  <c r="J8" i="4" s="1"/>
  <c r="H7" i="4"/>
  <c r="J7" i="4" s="1"/>
  <c r="G7" i="4"/>
  <c r="S6" i="4"/>
  <c r="R6" i="4"/>
  <c r="P6" i="4"/>
  <c r="O6" i="4"/>
  <c r="Q6" i="4" s="1"/>
  <c r="K6" i="4"/>
  <c r="G6" i="4"/>
  <c r="H6" i="4" s="1"/>
  <c r="H7" i="1"/>
  <c r="R7" i="6" l="1"/>
  <c r="R8" i="6" s="1"/>
  <c r="U7" i="6"/>
  <c r="U8" i="6" s="1"/>
  <c r="R26" i="4"/>
  <c r="S26" i="4" s="1"/>
  <c r="K26" i="4"/>
  <c r="O26" i="4"/>
  <c r="R40" i="4"/>
  <c r="S40" i="4" s="1"/>
  <c r="O40" i="4"/>
  <c r="K40" i="4"/>
  <c r="R13" i="4"/>
  <c r="S13" i="4" s="1"/>
  <c r="O13" i="4"/>
  <c r="K13" i="4"/>
  <c r="M13" i="4"/>
  <c r="R21" i="4"/>
  <c r="S21" i="4" s="1"/>
  <c r="P21" i="4"/>
  <c r="K21" i="4"/>
  <c r="M21" i="4" s="1"/>
  <c r="R35" i="4"/>
  <c r="S35" i="4" s="1"/>
  <c r="P35" i="4"/>
  <c r="K35" i="4"/>
  <c r="M35" i="4" s="1"/>
  <c r="V10" i="4"/>
  <c r="U16" i="4"/>
  <c r="V16" i="4" s="1"/>
  <c r="V17" i="4"/>
  <c r="H17" i="4"/>
  <c r="J17" i="4" s="1"/>
  <c r="M17" i="4" s="1"/>
  <c r="U12" i="4"/>
  <c r="V12" i="4" s="1"/>
  <c r="T17" i="4"/>
  <c r="O41" i="4"/>
  <c r="K41" i="4"/>
  <c r="M41" i="4" s="1"/>
  <c r="R41" i="4"/>
  <c r="S41" i="4" s="1"/>
  <c r="P41" i="4"/>
  <c r="R43" i="4"/>
  <c r="S43" i="4" s="1"/>
  <c r="P43" i="4"/>
  <c r="O43" i="4"/>
  <c r="K43" i="4"/>
  <c r="M43" i="4" s="1"/>
  <c r="R28" i="4"/>
  <c r="S28" i="4" s="1"/>
  <c r="P28" i="4"/>
  <c r="O28" i="4"/>
  <c r="K28" i="4"/>
  <c r="M28" i="4" s="1"/>
  <c r="R29" i="4"/>
  <c r="S29" i="4" s="1"/>
  <c r="P29" i="4"/>
  <c r="O29" i="4"/>
  <c r="K29" i="4"/>
  <c r="M29" i="4" s="1"/>
  <c r="J6" i="4"/>
  <c r="O27" i="4"/>
  <c r="P27" i="4"/>
  <c r="K27" i="4"/>
  <c r="M27" i="4" s="1"/>
  <c r="R27" i="4"/>
  <c r="S27" i="4" s="1"/>
  <c r="P7" i="4"/>
  <c r="O7" i="4"/>
  <c r="Q7" i="4" s="1"/>
  <c r="K7" i="4"/>
  <c r="R7" i="4"/>
  <c r="S7" i="4" s="1"/>
  <c r="R30" i="4"/>
  <c r="S30" i="4" s="1"/>
  <c r="P30" i="4"/>
  <c r="O30" i="4"/>
  <c r="Q30" i="4" s="1"/>
  <c r="K30" i="4"/>
  <c r="M30" i="4" s="1"/>
  <c r="P36" i="4"/>
  <c r="O36" i="4"/>
  <c r="Q36" i="4" s="1"/>
  <c r="K36" i="4"/>
  <c r="M36" i="4" s="1"/>
  <c r="R36" i="4"/>
  <c r="S36" i="4" s="1"/>
  <c r="R42" i="4"/>
  <c r="S42" i="4" s="1"/>
  <c r="P42" i="4"/>
  <c r="O42" i="4"/>
  <c r="K42" i="4"/>
  <c r="M42" i="4" s="1"/>
  <c r="R8" i="4"/>
  <c r="S8" i="4" s="1"/>
  <c r="P8" i="4"/>
  <c r="O8" i="4"/>
  <c r="Q8" i="4" s="1"/>
  <c r="K8" i="4"/>
  <c r="M8" i="4" s="1"/>
  <c r="P22" i="4"/>
  <c r="O22" i="4"/>
  <c r="K22" i="4"/>
  <c r="M22" i="4" s="1"/>
  <c r="R22" i="4"/>
  <c r="S22" i="4" s="1"/>
  <c r="K20" i="4"/>
  <c r="M20" i="4" s="1"/>
  <c r="R20" i="4"/>
  <c r="S20" i="4" s="1"/>
  <c r="P20" i="4"/>
  <c r="O20" i="4"/>
  <c r="R37" i="4"/>
  <c r="S37" i="4" s="1"/>
  <c r="P37" i="4"/>
  <c r="O37" i="4"/>
  <c r="Q37" i="4" s="1"/>
  <c r="K37" i="4"/>
  <c r="M37" i="4" s="1"/>
  <c r="R23" i="4"/>
  <c r="S23" i="4" s="1"/>
  <c r="P23" i="4"/>
  <c r="O23" i="4"/>
  <c r="K23" i="4"/>
  <c r="M23" i="4" s="1"/>
  <c r="R24" i="4"/>
  <c r="S24" i="4" s="1"/>
  <c r="P24" i="4"/>
  <c r="O24" i="4"/>
  <c r="Q24" i="4" s="1"/>
  <c r="K24" i="4"/>
  <c r="M24" i="4" s="1"/>
  <c r="R18" i="4"/>
  <c r="S18" i="4" s="1"/>
  <c r="P18" i="4"/>
  <c r="O18" i="4"/>
  <c r="Q18" i="4" s="1"/>
  <c r="K18" i="4"/>
  <c r="M18" i="4" s="1"/>
  <c r="P33" i="4"/>
  <c r="O33" i="4"/>
  <c r="R33" i="4"/>
  <c r="S33" i="4" s="1"/>
  <c r="K33" i="4"/>
  <c r="M33" i="4" s="1"/>
  <c r="R15" i="4"/>
  <c r="S15" i="4" s="1"/>
  <c r="P15" i="4"/>
  <c r="O15" i="4"/>
  <c r="Q15" i="4" s="1"/>
  <c r="K15" i="4"/>
  <c r="M15" i="4" s="1"/>
  <c r="U6" i="4"/>
  <c r="V6" i="4" s="1"/>
  <c r="T6" i="4"/>
  <c r="R38" i="4"/>
  <c r="S38" i="4" s="1"/>
  <c r="P38" i="4"/>
  <c r="O38" i="4"/>
  <c r="K38" i="4"/>
  <c r="M38" i="4" s="1"/>
  <c r="M32" i="4"/>
  <c r="K32" i="4"/>
  <c r="O32" i="4"/>
  <c r="R32" i="4"/>
  <c r="S32" i="4" s="1"/>
  <c r="P32" i="4"/>
  <c r="P14" i="4"/>
  <c r="O14" i="4"/>
  <c r="K14" i="4"/>
  <c r="M14" i="4" s="1"/>
  <c r="R14" i="4"/>
  <c r="S14" i="4" s="1"/>
  <c r="G46" i="4"/>
  <c r="H10" i="4"/>
  <c r="J10" i="4" s="1"/>
  <c r="M10" i="4" s="1"/>
  <c r="V11" i="4"/>
  <c r="P13" i="4"/>
  <c r="O21" i="4"/>
  <c r="H25" i="4"/>
  <c r="J25" i="4" s="1"/>
  <c r="M26" i="4"/>
  <c r="K31" i="4"/>
  <c r="M31" i="4" s="1"/>
  <c r="O35" i="4"/>
  <c r="H39" i="4"/>
  <c r="J39" i="4" s="1"/>
  <c r="M40" i="4"/>
  <c r="H9" i="4"/>
  <c r="J9" i="4" s="1"/>
  <c r="H12" i="4"/>
  <c r="J12" i="4" s="1"/>
  <c r="M12" i="4" s="1"/>
  <c r="H16" i="4"/>
  <c r="J16" i="4" s="1"/>
  <c r="M16" i="4" s="1"/>
  <c r="H19" i="4"/>
  <c r="J19" i="4" s="1"/>
  <c r="P26" i="4"/>
  <c r="Q26" i="4" s="1"/>
  <c r="O31" i="4"/>
  <c r="P40" i="4"/>
  <c r="Q40" i="4" s="1"/>
  <c r="P31" i="4"/>
  <c r="H34" i="4"/>
  <c r="J34" i="4" s="1"/>
  <c r="M34" i="4" s="1"/>
  <c r="Q21" i="4" l="1"/>
  <c r="Q38" i="4"/>
  <c r="Q28" i="4"/>
  <c r="Q41" i="4"/>
  <c r="U41" i="4" s="1"/>
  <c r="V41" i="4" s="1"/>
  <c r="Q13" i="4"/>
  <c r="U13" i="4" s="1"/>
  <c r="V13" i="4" s="1"/>
  <c r="Q35" i="4"/>
  <c r="T35" i="4" s="1"/>
  <c r="Q42" i="4"/>
  <c r="U42" i="4" s="1"/>
  <c r="V42" i="4" s="1"/>
  <c r="Q29" i="4"/>
  <c r="T29" i="4" s="1"/>
  <c r="Q43" i="4"/>
  <c r="T13" i="4"/>
  <c r="U26" i="4"/>
  <c r="V26" i="4" s="1"/>
  <c r="T26" i="4"/>
  <c r="R19" i="4"/>
  <c r="S19" i="4" s="1"/>
  <c r="P19" i="4"/>
  <c r="O19" i="4"/>
  <c r="K19" i="4"/>
  <c r="M19" i="4" s="1"/>
  <c r="T7" i="4"/>
  <c r="U7" i="4"/>
  <c r="V7" i="4" s="1"/>
  <c r="T18" i="4"/>
  <c r="U18" i="4"/>
  <c r="V18" i="4" s="1"/>
  <c r="U40" i="4"/>
  <c r="V40" i="4" s="1"/>
  <c r="T40" i="4"/>
  <c r="P9" i="4"/>
  <c r="R9" i="4"/>
  <c r="O9" i="4"/>
  <c r="Q9" i="4" s="1"/>
  <c r="K9" i="4"/>
  <c r="Q23" i="4"/>
  <c r="U28" i="4"/>
  <c r="V28" i="4" s="1"/>
  <c r="T28" i="4"/>
  <c r="T41" i="4"/>
  <c r="R39" i="4"/>
  <c r="S39" i="4" s="1"/>
  <c r="P39" i="4"/>
  <c r="O39" i="4"/>
  <c r="Q39" i="4" s="1"/>
  <c r="M39" i="4"/>
  <c r="K39" i="4"/>
  <c r="Q14" i="4"/>
  <c r="Q22" i="4"/>
  <c r="U38" i="4"/>
  <c r="V38" i="4" s="1"/>
  <c r="T38" i="4"/>
  <c r="M7" i="4"/>
  <c r="T15" i="4"/>
  <c r="U15" i="4"/>
  <c r="V15" i="4" s="1"/>
  <c r="U37" i="4"/>
  <c r="V37" i="4" s="1"/>
  <c r="T37" i="4"/>
  <c r="H46" i="4"/>
  <c r="Q32" i="4"/>
  <c r="U24" i="4"/>
  <c r="V24" i="4" s="1"/>
  <c r="T24" i="4"/>
  <c r="U30" i="4"/>
  <c r="V30" i="4" s="1"/>
  <c r="T30" i="4"/>
  <c r="M6" i="4"/>
  <c r="J46" i="4"/>
  <c r="U35" i="4"/>
  <c r="V35" i="4" s="1"/>
  <c r="U36" i="4"/>
  <c r="V36" i="4" s="1"/>
  <c r="T36" i="4"/>
  <c r="T8" i="4"/>
  <c r="U8" i="4"/>
  <c r="V8" i="4" s="1"/>
  <c r="Q27" i="4"/>
  <c r="R25" i="4"/>
  <c r="S25" i="4" s="1"/>
  <c r="P25" i="4"/>
  <c r="O25" i="4"/>
  <c r="K25" i="4"/>
  <c r="M25" i="4" s="1"/>
  <c r="U43" i="4"/>
  <c r="V43" i="4" s="1"/>
  <c r="T43" i="4"/>
  <c r="U21" i="4"/>
  <c r="V21" i="4" s="1"/>
  <c r="T21" i="4"/>
  <c r="Q31" i="4"/>
  <c r="Q20" i="4"/>
  <c r="Q33" i="4"/>
  <c r="T41" i="1"/>
  <c r="T39" i="1"/>
  <c r="T33" i="1"/>
  <c r="T31" i="1"/>
  <c r="T25" i="1"/>
  <c r="T23" i="1"/>
  <c r="T14" i="1"/>
  <c r="J7" i="1"/>
  <c r="T8" i="1"/>
  <c r="T13" i="1"/>
  <c r="T15" i="1"/>
  <c r="T20" i="1"/>
  <c r="T22" i="1"/>
  <c r="T24" i="1"/>
  <c r="T26" i="1"/>
  <c r="T27" i="1"/>
  <c r="T30" i="1"/>
  <c r="T32" i="1"/>
  <c r="T34" i="1"/>
  <c r="T36" i="1"/>
  <c r="T38" i="1"/>
  <c r="T40" i="1"/>
  <c r="T42" i="1"/>
  <c r="T43" i="1"/>
  <c r="T44" i="1"/>
  <c r="T7" i="1" l="1"/>
  <c r="T28" i="1"/>
  <c r="T19" i="1"/>
  <c r="U29" i="4"/>
  <c r="V29" i="4" s="1"/>
  <c r="Q25" i="4"/>
  <c r="O46" i="4"/>
  <c r="K46" i="4"/>
  <c r="T42" i="4"/>
  <c r="P46" i="4"/>
  <c r="U27" i="4"/>
  <c r="V27" i="4" s="1"/>
  <c r="T27" i="4"/>
  <c r="U32" i="4"/>
  <c r="V32" i="4" s="1"/>
  <c r="T32" i="4"/>
  <c r="T33" i="4"/>
  <c r="U33" i="4"/>
  <c r="V33" i="4" s="1"/>
  <c r="Q19" i="4"/>
  <c r="U20" i="4"/>
  <c r="V20" i="4" s="1"/>
  <c r="T20" i="4"/>
  <c r="U31" i="4"/>
  <c r="V31" i="4" s="1"/>
  <c r="T31" i="4"/>
  <c r="U22" i="4"/>
  <c r="V22" i="4" s="1"/>
  <c r="T22" i="4"/>
  <c r="M9" i="4"/>
  <c r="M46" i="4" s="1"/>
  <c r="T23" i="4"/>
  <c r="U23" i="4"/>
  <c r="V23" i="4" s="1"/>
  <c r="U14" i="4"/>
  <c r="V14" i="4" s="1"/>
  <c r="T14" i="4"/>
  <c r="U9" i="4"/>
  <c r="V9" i="4" s="1"/>
  <c r="U39" i="4"/>
  <c r="V39" i="4" s="1"/>
  <c r="T39" i="4"/>
  <c r="S9" i="4"/>
  <c r="S46" i="4" s="1"/>
  <c r="R46" i="4"/>
  <c r="U25" i="4"/>
  <c r="V25" i="4" s="1"/>
  <c r="T25" i="4"/>
  <c r="T29" i="1"/>
  <c r="T9" i="1"/>
  <c r="T37" i="1"/>
  <c r="U46" i="1"/>
  <c r="U45" i="1"/>
  <c r="U44" i="1"/>
  <c r="R43" i="1"/>
  <c r="U42" i="1"/>
  <c r="U41" i="1"/>
  <c r="K40" i="1"/>
  <c r="Q39" i="1"/>
  <c r="K38" i="1"/>
  <c r="U36" i="1"/>
  <c r="K36" i="1"/>
  <c r="Q36" i="1"/>
  <c r="U35" i="1"/>
  <c r="Q33" i="1"/>
  <c r="U32" i="1"/>
  <c r="R32" i="1"/>
  <c r="U31" i="1"/>
  <c r="R30" i="1"/>
  <c r="R28" i="1"/>
  <c r="K27" i="1"/>
  <c r="U26" i="1"/>
  <c r="R25" i="1"/>
  <c r="Q25" i="1"/>
  <c r="K25" i="1"/>
  <c r="U25" i="1"/>
  <c r="U24" i="1"/>
  <c r="R23" i="1"/>
  <c r="U22" i="1"/>
  <c r="U20" i="1"/>
  <c r="U18" i="1"/>
  <c r="S18" i="1"/>
  <c r="U15" i="1"/>
  <c r="R14" i="1"/>
  <c r="U13" i="1"/>
  <c r="U11" i="1"/>
  <c r="S11" i="1"/>
  <c r="U10" i="1"/>
  <c r="S10" i="1"/>
  <c r="U8" i="1"/>
  <c r="R7" i="1"/>
  <c r="X40" i="1" l="1"/>
  <c r="O40" i="1"/>
  <c r="X38" i="1"/>
  <c r="O38" i="1"/>
  <c r="X27" i="1"/>
  <c r="O27" i="1"/>
  <c r="X25" i="1"/>
  <c r="O25" i="1"/>
  <c r="X36" i="1"/>
  <c r="O36" i="1"/>
  <c r="K29" i="1"/>
  <c r="U37" i="1"/>
  <c r="Q9" i="1"/>
  <c r="U19" i="1"/>
  <c r="U19" i="4"/>
  <c r="V19" i="4" s="1"/>
  <c r="T19" i="4"/>
  <c r="Q46" i="4"/>
  <c r="T9" i="4"/>
  <c r="T46" i="4" s="1"/>
  <c r="K37" i="1"/>
  <c r="S25" i="1"/>
  <c r="R36" i="1"/>
  <c r="S36" i="1" s="1"/>
  <c r="R38" i="1"/>
  <c r="U38" i="1"/>
  <c r="K33" i="1"/>
  <c r="R33" i="1"/>
  <c r="S33" i="1" s="1"/>
  <c r="U33" i="1"/>
  <c r="Q28" i="1"/>
  <c r="S28" i="1" s="1"/>
  <c r="Q14" i="1"/>
  <c r="S14" i="1" s="1"/>
  <c r="R39" i="1"/>
  <c r="S39" i="1" s="1"/>
  <c r="U39" i="1"/>
  <c r="U9" i="1"/>
  <c r="Q23" i="1"/>
  <c r="S23" i="1" s="1"/>
  <c r="K30" i="1"/>
  <c r="Q30" i="1"/>
  <c r="S30" i="1" s="1"/>
  <c r="R41" i="1"/>
  <c r="R9" i="1"/>
  <c r="U30" i="1"/>
  <c r="U43" i="1"/>
  <c r="K31" i="1"/>
  <c r="K32" i="1"/>
  <c r="U28" i="1"/>
  <c r="K9" i="1"/>
  <c r="O9" i="1" s="1"/>
  <c r="K7" i="1"/>
  <c r="Q19" i="1"/>
  <c r="Q32" i="1"/>
  <c r="S32" i="1" s="1"/>
  <c r="Q7" i="1"/>
  <c r="R19" i="1"/>
  <c r="Q38" i="1"/>
  <c r="U14" i="1"/>
  <c r="Q27" i="1"/>
  <c r="R40" i="1"/>
  <c r="Q34" i="1"/>
  <c r="K13" i="1"/>
  <c r="O13" i="1" s="1"/>
  <c r="Q20" i="1"/>
  <c r="K22" i="1"/>
  <c r="R27" i="1"/>
  <c r="Q42" i="1"/>
  <c r="K44" i="1"/>
  <c r="K34" i="1"/>
  <c r="K20" i="1"/>
  <c r="R20" i="1"/>
  <c r="Q29" i="1"/>
  <c r="U34" i="1"/>
  <c r="U40" i="1"/>
  <c r="R42" i="1"/>
  <c r="U23" i="1"/>
  <c r="R34" i="1"/>
  <c r="R8" i="1"/>
  <c r="Q13" i="1"/>
  <c r="K15" i="1"/>
  <c r="O15" i="1" s="1"/>
  <c r="Q22" i="1"/>
  <c r="K24" i="1"/>
  <c r="U27" i="1"/>
  <c r="R29" i="1"/>
  <c r="Q44" i="1"/>
  <c r="K42" i="1"/>
  <c r="Q8" i="1"/>
  <c r="R13" i="1"/>
  <c r="R22" i="1"/>
  <c r="Q31" i="1"/>
  <c r="Q37" i="1"/>
  <c r="K39" i="1"/>
  <c r="R44" i="1"/>
  <c r="Q40" i="1"/>
  <c r="K8" i="1"/>
  <c r="O8" i="1" s="1"/>
  <c r="Q15" i="1"/>
  <c r="Q24" i="1"/>
  <c r="K26" i="1"/>
  <c r="R31" i="1"/>
  <c r="R37" i="1"/>
  <c r="R15" i="1"/>
  <c r="K19" i="1"/>
  <c r="R24" i="1"/>
  <c r="K41" i="1"/>
  <c r="Q26" i="1"/>
  <c r="K28" i="1"/>
  <c r="R26" i="1"/>
  <c r="Q41" i="1"/>
  <c r="K43" i="1"/>
  <c r="K14" i="1"/>
  <c r="O14" i="1" s="1"/>
  <c r="K23" i="1"/>
  <c r="Q43" i="1"/>
  <c r="S43" i="1" s="1"/>
  <c r="O7" i="1" l="1"/>
  <c r="X23" i="1"/>
  <c r="O23" i="1"/>
  <c r="O19" i="1"/>
  <c r="X34" i="1"/>
  <c r="O34" i="1"/>
  <c r="X29" i="1"/>
  <c r="O29" i="1"/>
  <c r="X44" i="1"/>
  <c r="O44" i="1"/>
  <c r="X30" i="1"/>
  <c r="O30" i="1"/>
  <c r="X41" i="1"/>
  <c r="O41" i="1"/>
  <c r="X20" i="1"/>
  <c r="O20" i="1"/>
  <c r="X43" i="1"/>
  <c r="O43" i="1"/>
  <c r="X39" i="1"/>
  <c r="O39" i="1"/>
  <c r="X26" i="1"/>
  <c r="O26" i="1"/>
  <c r="X24" i="1"/>
  <c r="O24" i="1"/>
  <c r="X32" i="1"/>
  <c r="O32" i="1"/>
  <c r="X33" i="1"/>
  <c r="O33" i="1"/>
  <c r="X42" i="1"/>
  <c r="O42" i="1"/>
  <c r="X37" i="1"/>
  <c r="O37" i="1"/>
  <c r="X28" i="1"/>
  <c r="O28" i="1"/>
  <c r="X22" i="1"/>
  <c r="O22" i="1"/>
  <c r="X31" i="1"/>
  <c r="O31" i="1"/>
  <c r="X7" i="1"/>
  <c r="X19" i="1"/>
  <c r="X8" i="1"/>
  <c r="X13" i="1"/>
  <c r="X9" i="1"/>
  <c r="X15" i="1"/>
  <c r="X14" i="1"/>
  <c r="S9" i="1"/>
  <c r="U29" i="1"/>
  <c r="S7" i="1"/>
  <c r="U7" i="1"/>
  <c r="S29" i="1"/>
  <c r="S38" i="1"/>
  <c r="S41" i="1"/>
  <c r="S44" i="1"/>
  <c r="S22" i="1"/>
  <c r="S13" i="1"/>
  <c r="S37" i="1"/>
  <c r="S19" i="1"/>
  <c r="S20" i="1"/>
  <c r="S31" i="1"/>
  <c r="S8" i="1"/>
  <c r="S42" i="1"/>
  <c r="S24" i="1"/>
  <c r="S34" i="1"/>
  <c r="S15" i="1"/>
  <c r="S27" i="1"/>
  <c r="S40" i="1"/>
  <c r="S26" i="1"/>
  <c r="U55" i="1" l="1"/>
</calcChain>
</file>

<file path=xl/sharedStrings.xml><?xml version="1.0" encoding="utf-8"?>
<sst xmlns="http://schemas.openxmlformats.org/spreadsheetml/2006/main" count="734" uniqueCount="295">
  <si>
    <t>PASI CALCULATION</t>
  </si>
  <si>
    <t>Employee Contribution</t>
  </si>
  <si>
    <t>Employer Contribution</t>
  </si>
  <si>
    <t>Total Payable to PASI (A) + (B)</t>
  </si>
  <si>
    <t>SL</t>
  </si>
  <si>
    <t>National ID</t>
  </si>
  <si>
    <t>NAME</t>
  </si>
  <si>
    <t>POSITION</t>
  </si>
  <si>
    <t>Nationality</t>
  </si>
  <si>
    <t>Basic Salary2023</t>
  </si>
  <si>
    <t>SOC</t>
  </si>
  <si>
    <t>Ded/add</t>
  </si>
  <si>
    <t>Net Salary</t>
  </si>
  <si>
    <t>Remark</t>
  </si>
  <si>
    <t xml:space="preserve">PASI 7%
 Gross Salary </t>
  </si>
  <si>
    <t>Social Security 1% Gross Salary</t>
  </si>
  <si>
    <t>Total (A)</t>
  </si>
  <si>
    <t xml:space="preserve">PASI 12.5% Gross Salary </t>
  </si>
  <si>
    <t>Total (B)</t>
  </si>
  <si>
    <t>1574851</t>
  </si>
  <si>
    <t>Dr Nasser Ali Baitsaid</t>
  </si>
  <si>
    <t>CEO</t>
  </si>
  <si>
    <t>Omani</t>
  </si>
  <si>
    <t xml:space="preserve"> </t>
  </si>
  <si>
    <t>Said  Yahya Al Bahanta</t>
  </si>
  <si>
    <t>Deputy General Manager</t>
  </si>
  <si>
    <t>11693452</t>
  </si>
  <si>
    <t>Ameena Ali Suhail Al Mashani</t>
  </si>
  <si>
    <t>Document controller</t>
  </si>
  <si>
    <t>8537109</t>
  </si>
  <si>
    <t>Said Mohammed Said Al Maamari</t>
  </si>
  <si>
    <t>PRO</t>
  </si>
  <si>
    <t>Mahmoud Abdel Sayed Ismail</t>
  </si>
  <si>
    <t>Legal Advisor</t>
  </si>
  <si>
    <t>Expat</t>
  </si>
  <si>
    <t>118683789</t>
  </si>
  <si>
    <t>Soumya Sinu</t>
  </si>
  <si>
    <t xml:space="preserve">Purchase Coordinator </t>
  </si>
  <si>
    <t>99955793</t>
  </si>
  <si>
    <t>Hassan Hamdi Ebrahim</t>
  </si>
  <si>
    <t>Cost accountant</t>
  </si>
  <si>
    <t>18668266</t>
  </si>
  <si>
    <t>Musallam Said Bakhit Zidan Al Baraami</t>
  </si>
  <si>
    <t>Accounts Executive</t>
  </si>
  <si>
    <t>13432024</t>
  </si>
  <si>
    <t>Mohammed AbdullahSalim Al Sarj Al Marhun</t>
  </si>
  <si>
    <t>IT Executive</t>
  </si>
  <si>
    <t>14105567</t>
  </si>
  <si>
    <t>Said Mohammed Said Baqwair</t>
  </si>
  <si>
    <t>Exe. Secretary</t>
  </si>
  <si>
    <t>114993752</t>
  </si>
  <si>
    <t>Suresh Bose mani</t>
  </si>
  <si>
    <t>Operations</t>
  </si>
  <si>
    <t>117241993</t>
  </si>
  <si>
    <t>Sankar Sadasivam</t>
  </si>
  <si>
    <t>Quality Specialist</t>
  </si>
  <si>
    <t>6534754</t>
  </si>
  <si>
    <t>Hassan Salim Mohammad Kashoob</t>
  </si>
  <si>
    <t>Center Supervisor</t>
  </si>
  <si>
    <t>3364532</t>
  </si>
  <si>
    <t>Mohammad Ahmed Said Al Marhoon</t>
  </si>
  <si>
    <t>11733522</t>
  </si>
  <si>
    <t>Musallam Nasser Salim qatan</t>
  </si>
  <si>
    <t>Supervisor Hajeef</t>
  </si>
  <si>
    <t>9599617</t>
  </si>
  <si>
    <t>Qais Abdullah Al Ojaili</t>
  </si>
  <si>
    <t>Driver</t>
  </si>
  <si>
    <t>14408161</t>
  </si>
  <si>
    <t xml:space="preserve">Salim Ahmed Salim Bait Said </t>
  </si>
  <si>
    <t>25472616</t>
  </si>
  <si>
    <t xml:space="preserve">Amir Said Salim Ahmed Al khathri </t>
  </si>
  <si>
    <t>5829377</t>
  </si>
  <si>
    <t>Salim  Said Faraj Aghreeb Al Shahri</t>
  </si>
  <si>
    <t>Data Entry Executive</t>
  </si>
  <si>
    <t>26785757</t>
  </si>
  <si>
    <t>Mohammed Said Mohammed Tabook</t>
  </si>
  <si>
    <t>Data Entry Operator</t>
  </si>
  <si>
    <t>22734098</t>
  </si>
  <si>
    <t>Mustahil Salim Mustahil Ghafram Al Shahri</t>
  </si>
  <si>
    <t>Milk tester - Zeek</t>
  </si>
  <si>
    <t>23600713</t>
  </si>
  <si>
    <t>Ahmed Bakhit Ali Thuaar</t>
  </si>
  <si>
    <t>4792636</t>
  </si>
  <si>
    <t>Mohammed ahmed Salim Qatan</t>
  </si>
  <si>
    <t>Milk tester - Hajeef</t>
  </si>
  <si>
    <t>12194826</t>
  </si>
  <si>
    <t>Said Mahad Ali Al Kathiri</t>
  </si>
  <si>
    <t>Milk tester - Ghado</t>
  </si>
  <si>
    <t>15107764</t>
  </si>
  <si>
    <t>Ahmed Omar Ahmed  Hatal  Shihri</t>
  </si>
  <si>
    <t>14873156</t>
  </si>
  <si>
    <t>Hassan Mohammed Hassan Atif Alyafai</t>
  </si>
  <si>
    <t>4383259</t>
  </si>
  <si>
    <t>Imad Abdul Hakeem Faraj Fadhil</t>
  </si>
  <si>
    <t>Mechanical</t>
  </si>
  <si>
    <t>18640539</t>
  </si>
  <si>
    <t>Hassan Musallam Mohammed Tabook</t>
  </si>
  <si>
    <t>Electrical</t>
  </si>
  <si>
    <t>111114471</t>
  </si>
  <si>
    <t>Saad yousuf Saad ibrahim</t>
  </si>
  <si>
    <t>10132421</t>
  </si>
  <si>
    <t>Khalid Said Ali Al Nubi Al Kathiri</t>
  </si>
  <si>
    <t>Security</t>
  </si>
  <si>
    <t>6431446</t>
  </si>
  <si>
    <t>Said Mohammed Ajaham Al Zawamri</t>
  </si>
  <si>
    <t>19315674</t>
  </si>
  <si>
    <t>Osama  Mohammed Said Al Kathiri</t>
  </si>
  <si>
    <t>24834714</t>
  </si>
  <si>
    <t>Ali Ben Mubarak Ben Awadh Mubarak Ausout Al Shahri</t>
  </si>
  <si>
    <t>21973324</t>
  </si>
  <si>
    <t>Suhail said Musallam Kashoob</t>
  </si>
  <si>
    <t>Mohsin Suhail  Ahmed Musallam Kashoob</t>
  </si>
  <si>
    <t>19046538</t>
  </si>
  <si>
    <t>Majid Said Ali Qatan</t>
  </si>
  <si>
    <t>19743187</t>
  </si>
  <si>
    <t>Suhail Mohammed Suhail Qatan</t>
  </si>
  <si>
    <t>22767646</t>
  </si>
  <si>
    <t>Salim  Awadh Musallam Al saraj Al Marhoon</t>
  </si>
  <si>
    <t>122839666</t>
  </si>
  <si>
    <t>Suresh Sathya Singh Dharmaraj</t>
  </si>
  <si>
    <t>Dairy Processing Technologist</t>
  </si>
  <si>
    <t>124284505</t>
  </si>
  <si>
    <t>Rahul Shukhla</t>
  </si>
  <si>
    <t>Total</t>
  </si>
  <si>
    <t>Mohammed Al Marhoon</t>
  </si>
  <si>
    <t>Hassan Ghaly</t>
  </si>
  <si>
    <t>Said Al Bahanta</t>
  </si>
  <si>
    <t xml:space="preserve">  HR</t>
  </si>
  <si>
    <t>DGM</t>
  </si>
  <si>
    <t>Gross Salary 2024</t>
  </si>
  <si>
    <t>Basic Salary2024</t>
  </si>
  <si>
    <t>Allowance 2024</t>
  </si>
  <si>
    <t>Increment 24</t>
  </si>
  <si>
    <t>Jan Salary -2024( 16-12-2023 to 15-01-2024)</t>
  </si>
  <si>
    <t>Additional Allowance</t>
  </si>
  <si>
    <t>ID No</t>
  </si>
  <si>
    <t>Gross Fees</t>
  </si>
  <si>
    <t>Net Fees</t>
  </si>
  <si>
    <t>Asad Muhammad Riaz</t>
  </si>
  <si>
    <t>Abdullah Omar Salim Al Marhoun</t>
  </si>
  <si>
    <t>Inventory</t>
  </si>
  <si>
    <t>Abdullah</t>
  </si>
  <si>
    <t>Basel Musallam Mahad Hubais</t>
  </si>
  <si>
    <t>Mohammed Rabia Faraj Allah Bait Aziza</t>
  </si>
  <si>
    <t>Ahmed Abdullah Khamis Al Balushi</t>
  </si>
  <si>
    <t>Deduct 701.161 Petty cash / 12 Month</t>
  </si>
  <si>
    <t>Deduct 314.285 Petty cash / 12 Month</t>
  </si>
  <si>
    <t>Said Yahya Farah Al Bahanata</t>
  </si>
  <si>
    <t>PASI</t>
  </si>
  <si>
    <t>Grand Total</t>
  </si>
  <si>
    <t>Salary</t>
  </si>
  <si>
    <t>Salary / Day</t>
  </si>
  <si>
    <t>Total 15 Day</t>
  </si>
  <si>
    <t>Pasi for 15 Day</t>
  </si>
  <si>
    <t>Net salary</t>
  </si>
  <si>
    <t>Addition</t>
  </si>
  <si>
    <t>Total Feb Salary</t>
  </si>
  <si>
    <t>Mohammed Al marhoon</t>
  </si>
  <si>
    <t>Said AL Bahananata</t>
  </si>
  <si>
    <t>HR</t>
  </si>
  <si>
    <t>Finance</t>
  </si>
  <si>
    <t>Office Boy</t>
  </si>
  <si>
    <t>HSE</t>
  </si>
  <si>
    <t>Hassan Kashoob</t>
  </si>
  <si>
    <t>Deduction</t>
  </si>
  <si>
    <t>add</t>
  </si>
  <si>
    <t>July  Salary -2024( 16-06-2024 to 15-07-2024)</t>
  </si>
  <si>
    <t>Mithilesh Kumar Tiwari</t>
  </si>
  <si>
    <t>Tanker No:</t>
  </si>
  <si>
    <t>9427 AK</t>
  </si>
  <si>
    <t>Company</t>
  </si>
  <si>
    <t>Al Morroj Dairy Co</t>
  </si>
  <si>
    <t>6097WA</t>
  </si>
  <si>
    <t>9141 HM</t>
  </si>
  <si>
    <t>8126DA</t>
  </si>
  <si>
    <t>Temporary Staffs</t>
  </si>
  <si>
    <t>Al Morooj Staffs</t>
  </si>
  <si>
    <t>BDOFOMRU</t>
  </si>
  <si>
    <t>01040162518001</t>
  </si>
  <si>
    <t>BDOFOMRUMIB</t>
  </si>
  <si>
    <t>01616026062001</t>
  </si>
  <si>
    <t>NBOMOMRX</t>
  </si>
  <si>
    <t>1023524763001</t>
  </si>
  <si>
    <t>OMABOMRU</t>
  </si>
  <si>
    <t>3109733777700</t>
  </si>
  <si>
    <t>BMUSOMRX</t>
  </si>
  <si>
    <t>01011256095001</t>
  </si>
  <si>
    <t>BNZWOMRX</t>
  </si>
  <si>
    <t>00510128003001</t>
  </si>
  <si>
    <t>3109734563700</t>
  </si>
  <si>
    <t>1006465813017</t>
  </si>
  <si>
    <t>3109103203700</t>
  </si>
  <si>
    <t>3109741755700</t>
  </si>
  <si>
    <t>01010857117001</t>
  </si>
  <si>
    <t>3109734940700</t>
  </si>
  <si>
    <t>3109734108700</t>
  </si>
  <si>
    <t>3109730495700</t>
  </si>
  <si>
    <t>3109732521700</t>
  </si>
  <si>
    <t>3109521431700</t>
  </si>
  <si>
    <t>00510129167001</t>
  </si>
  <si>
    <t>3158749255700</t>
  </si>
  <si>
    <t>3109728935700</t>
  </si>
  <si>
    <t>3109737191700</t>
  </si>
  <si>
    <t>3129733022500</t>
  </si>
  <si>
    <t>3136571675700</t>
  </si>
  <si>
    <t>3109733974700</t>
  </si>
  <si>
    <t>3109787268700</t>
  </si>
  <si>
    <t>3109733202700</t>
  </si>
  <si>
    <t>IZZBOMRU</t>
  </si>
  <si>
    <t>3109733643700</t>
  </si>
  <si>
    <t>00510129889001</t>
  </si>
  <si>
    <t>3109729247700</t>
  </si>
  <si>
    <t>3109734811700</t>
  </si>
  <si>
    <t>3109109064700</t>
  </si>
  <si>
    <t>00510133312001</t>
  </si>
  <si>
    <t>BSHROMRU</t>
  </si>
  <si>
    <t>010010198738</t>
  </si>
  <si>
    <t>010010253513</t>
  </si>
  <si>
    <t>10060426895017</t>
  </si>
  <si>
    <t>Cost Account</t>
  </si>
  <si>
    <t>3109021016700</t>
  </si>
  <si>
    <t>0500102447104001</t>
  </si>
  <si>
    <t>3129024775700</t>
  </si>
  <si>
    <t>Bank A/C</t>
  </si>
  <si>
    <t>SWFT</t>
  </si>
  <si>
    <t>Yasir Ahmed Hassan Kashob</t>
  </si>
  <si>
    <t>Bank</t>
  </si>
  <si>
    <t>Bank Muscat</t>
  </si>
  <si>
    <t>0406017020660032</t>
  </si>
  <si>
    <t>Bakhit Ahmed Mahad Tabook</t>
  </si>
  <si>
    <t>0397014842560014</t>
  </si>
  <si>
    <t>Ahmed Mohammed Mustahil Ahmed Al Maashani</t>
  </si>
  <si>
    <t>0398020980460024</t>
  </si>
  <si>
    <t>Khalid Salim Ahmed Al shanfari</t>
  </si>
  <si>
    <t>0397045703070013</t>
  </si>
  <si>
    <t>Salim Mohammed Salim Al hamar</t>
  </si>
  <si>
    <t>BSHROMRUISL</t>
  </si>
  <si>
    <t>Bank Sohar Islamic</t>
  </si>
  <si>
    <t>Aya Ahmed Said Al Masahli</t>
  </si>
  <si>
    <t>0406048680600019</t>
  </si>
  <si>
    <t>Training staff</t>
  </si>
  <si>
    <t>Start Date</t>
  </si>
  <si>
    <t>End Month</t>
  </si>
  <si>
    <t>Musallam Bakhit Salim Kashob</t>
  </si>
  <si>
    <t>N. of Days</t>
  </si>
  <si>
    <t>Date End Contrect</t>
  </si>
  <si>
    <t>0401002519710019</t>
  </si>
  <si>
    <t>70402005350401</t>
  </si>
  <si>
    <t>Ali Musallam Ali Al Awaed</t>
  </si>
  <si>
    <t>Admin</t>
  </si>
  <si>
    <t>Opr</t>
  </si>
  <si>
    <t>Sales</t>
  </si>
  <si>
    <t>Jassir</t>
  </si>
  <si>
    <t xml:space="preserve">office boy Sales Department </t>
  </si>
  <si>
    <t>Passpor No</t>
  </si>
  <si>
    <t>B9530197</t>
  </si>
  <si>
    <t>Increment 25</t>
  </si>
  <si>
    <t>Basic Salary2025</t>
  </si>
  <si>
    <t>Allowance 2025</t>
  </si>
  <si>
    <t>Gross Salary 2025</t>
  </si>
  <si>
    <t>3109053271700</t>
  </si>
  <si>
    <t>Bank Dhofar Islamic</t>
  </si>
  <si>
    <t>01646113094001</t>
  </si>
  <si>
    <t xml:space="preserve">PASI 13.5% Gross Salary </t>
  </si>
  <si>
    <t>Jassir Palakkaparambil</t>
  </si>
  <si>
    <t>Office Boy - Sales</t>
  </si>
  <si>
    <t>0397078787600018</t>
  </si>
  <si>
    <t>MD Arman</t>
  </si>
  <si>
    <t>Helper</t>
  </si>
  <si>
    <t>MD Habib</t>
  </si>
  <si>
    <t>3109054038700</t>
  </si>
  <si>
    <t>3109054036700</t>
  </si>
  <si>
    <t>IT</t>
  </si>
  <si>
    <t>Project</t>
  </si>
  <si>
    <t>Legal</t>
  </si>
  <si>
    <t>Salary Per Day</t>
  </si>
  <si>
    <t>No Leave Days</t>
  </si>
  <si>
    <t>Naga</t>
  </si>
  <si>
    <t>Finance Manager</t>
  </si>
  <si>
    <t>Hassan Ghaly Leave Salary 2025</t>
  </si>
  <si>
    <t>1646038371001</t>
  </si>
  <si>
    <t>Ahmed Mohamed Abu Bakar Al Dhahab</t>
  </si>
  <si>
    <t>00510063538001</t>
  </si>
  <si>
    <t>Date</t>
  </si>
  <si>
    <t xml:space="preserve">10% بدل انتداب </t>
  </si>
  <si>
    <t>0406017362280018</t>
  </si>
  <si>
    <t>Advance 900 / 12 Month Start from Oct</t>
  </si>
  <si>
    <t>010010166409</t>
  </si>
  <si>
    <t xml:space="preserve">Deduct (600)  Petty cash / 12 Month Transfer Full Salery </t>
  </si>
  <si>
    <t>OJT Deduction</t>
  </si>
  <si>
    <t>Ahmed Al Dahhab</t>
  </si>
  <si>
    <t>AGM</t>
  </si>
  <si>
    <t>1,250/12 Month</t>
  </si>
  <si>
    <t>3158779066700</t>
  </si>
  <si>
    <t>3109767927700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</si>
</sst>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"/>
    <numFmt numFmtId="165" formatCode="_(* #,##0.000_);_(* \(#,##0.000\);_(* &quot;-&quot;??_);_(@_)"/>
    <numFmt numFmtId="166" formatCode="_(* #,##0.000_);_(* \(#,##0.000\);_(* &quot;-&quot;???_);_(@_)"/>
    <numFmt numFmtId="167" formatCode="[$-409]d\-mmm\-yyyy;@"/>
    <numFmt numFmtId="168" formatCode="[$-409]mmm\-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0"/>
      <name val="Times New Roman"/>
      <family val="1"/>
    </font>
    <font>
      <b/>
      <u/>
      <sz val="12"/>
      <color theme="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3B595"/>
        <bgColor indexed="64"/>
      </patternFill>
    </fill>
    <fill>
      <patternFill patternType="solid">
        <fgColor rgb="FFC3B996"/>
        <bgColor rgb="FF000000"/>
      </patternFill>
    </fill>
    <fill>
      <patternFill patternType="solid">
        <fgColor rgb="FFC3B996"/>
        <bgColor indexed="64"/>
      </patternFill>
    </fill>
    <fill>
      <patternFill patternType="solid">
        <fgColor rgb="FFC3B595"/>
        <bgColor indexed="9"/>
      </patternFill>
    </fill>
    <fill>
      <patternFill patternType="solid">
        <fgColor theme="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rgb="FF000000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0" fillId="2" borderId="0" xfId="0" applyFill="1"/>
    <xf numFmtId="0" fontId="0" fillId="4" borderId="9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center" vertical="center" wrapText="1"/>
    </xf>
    <xf numFmtId="40" fontId="0" fillId="5" borderId="9" xfId="0" applyNumberFormat="1" applyFill="1" applyBorder="1" applyAlignment="1">
      <alignment horizontal="center" vertical="center" wrapText="1"/>
    </xf>
    <xf numFmtId="40" fontId="0" fillId="5" borderId="10" xfId="0" applyNumberFormat="1" applyFill="1" applyBorder="1" applyAlignment="1">
      <alignment horizontal="center" vertical="center" wrapText="1"/>
    </xf>
    <xf numFmtId="40" fontId="6" fillId="3" borderId="9" xfId="0" applyNumberFormat="1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vertical="center" wrapText="1" readingOrder="2"/>
    </xf>
    <xf numFmtId="0" fontId="0" fillId="7" borderId="9" xfId="0" applyFill="1" applyBorder="1" applyAlignment="1">
      <alignment horizontal="center" vertical="center" wrapText="1"/>
    </xf>
    <xf numFmtId="0" fontId="0" fillId="2" borderId="9" xfId="0" applyFill="1" applyBorder="1"/>
    <xf numFmtId="0" fontId="0" fillId="2" borderId="9" xfId="0" applyFill="1" applyBorder="1" applyAlignment="1">
      <alignment horizontal="center"/>
    </xf>
    <xf numFmtId="164" fontId="0" fillId="0" borderId="9" xfId="0" applyNumberFormat="1" applyBorder="1"/>
    <xf numFmtId="165" fontId="0" fillId="0" borderId="9" xfId="1" applyNumberFormat="1" applyFont="1" applyBorder="1"/>
    <xf numFmtId="165" fontId="2" fillId="2" borderId="9" xfId="1" applyNumberFormat="1" applyFont="1" applyFill="1" applyBorder="1" applyAlignment="1">
      <alignment horizontal="center" vertical="center"/>
    </xf>
    <xf numFmtId="165" fontId="2" fillId="0" borderId="9" xfId="1" applyNumberFormat="1" applyFont="1" applyBorder="1"/>
    <xf numFmtId="164" fontId="0" fillId="0" borderId="10" xfId="0" applyNumberFormat="1" applyBorder="1"/>
    <xf numFmtId="164" fontId="0" fillId="3" borderId="9" xfId="0" applyNumberFormat="1" applyFill="1" applyBorder="1"/>
    <xf numFmtId="164" fontId="3" fillId="3" borderId="9" xfId="0" applyNumberFormat="1" applyFont="1" applyFill="1" applyBorder="1"/>
    <xf numFmtId="164" fontId="0" fillId="2" borderId="9" xfId="0" applyNumberFormat="1" applyFill="1" applyBorder="1"/>
    <xf numFmtId="165" fontId="2" fillId="2" borderId="9" xfId="1" applyNumberFormat="1" applyFont="1" applyFill="1" applyBorder="1"/>
    <xf numFmtId="164" fontId="0" fillId="2" borderId="10" xfId="0" applyNumberFormat="1" applyFill="1" applyBorder="1"/>
    <xf numFmtId="43" fontId="8" fillId="2" borderId="9" xfId="1" applyFont="1" applyFill="1" applyBorder="1" applyAlignment="1">
      <alignment horizontal="center" vertical="center"/>
    </xf>
    <xf numFmtId="165" fontId="8" fillId="2" borderId="9" xfId="1" applyNumberFormat="1" applyFont="1" applyFill="1" applyBorder="1"/>
    <xf numFmtId="0" fontId="0" fillId="8" borderId="0" xfId="0" applyFill="1"/>
    <xf numFmtId="0" fontId="9" fillId="2" borderId="9" xfId="0" applyFont="1" applyFill="1" applyBorder="1" applyAlignment="1">
      <alignment vertical="center"/>
    </xf>
    <xf numFmtId="0" fontId="10" fillId="3" borderId="17" xfId="0" applyFont="1" applyFill="1" applyBorder="1" applyAlignment="1">
      <alignment vertical="center"/>
    </xf>
    <xf numFmtId="0" fontId="10" fillId="3" borderId="18" xfId="0" applyFont="1" applyFill="1" applyBorder="1" applyAlignment="1">
      <alignment vertical="center"/>
    </xf>
    <xf numFmtId="165" fontId="10" fillId="3" borderId="17" xfId="1" applyNumberFormat="1" applyFont="1" applyFill="1" applyBorder="1" applyAlignment="1">
      <alignment vertical="center"/>
    </xf>
    <xf numFmtId="165" fontId="10" fillId="3" borderId="18" xfId="1" applyNumberFormat="1" applyFont="1" applyFill="1" applyBorder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3" fontId="0" fillId="0" borderId="0" xfId="0" applyNumberFormat="1"/>
    <xf numFmtId="0" fontId="3" fillId="2" borderId="0" xfId="0" applyFont="1" applyFill="1"/>
    <xf numFmtId="40" fontId="11" fillId="5" borderId="9" xfId="0" applyNumberFormat="1" applyFont="1" applyFill="1" applyBorder="1" applyAlignment="1">
      <alignment horizontal="center" vertical="center" wrapText="1"/>
    </xf>
    <xf numFmtId="40" fontId="12" fillId="5" borderId="9" xfId="0" applyNumberFormat="1" applyFont="1" applyFill="1" applyBorder="1" applyAlignment="1">
      <alignment horizontal="center" vertical="center" wrapText="1"/>
    </xf>
    <xf numFmtId="40" fontId="11" fillId="8" borderId="9" xfId="0" applyNumberFormat="1" applyFont="1" applyFill="1" applyBorder="1" applyAlignment="1">
      <alignment horizontal="center" vertical="center" wrapText="1"/>
    </xf>
    <xf numFmtId="164" fontId="0" fillId="8" borderId="9" xfId="0" applyNumberFormat="1" applyFill="1" applyBorder="1"/>
    <xf numFmtId="0" fontId="5" fillId="0" borderId="0" xfId="0" applyFont="1" applyAlignment="1">
      <alignment vertical="center"/>
    </xf>
    <xf numFmtId="0" fontId="5" fillId="0" borderId="8" xfId="0" applyFont="1" applyBorder="1" applyAlignment="1">
      <alignment vertical="center"/>
    </xf>
    <xf numFmtId="43" fontId="0" fillId="2" borderId="0" xfId="1" applyFont="1" applyFill="1"/>
    <xf numFmtId="43" fontId="0" fillId="0" borderId="0" xfId="1" applyFont="1"/>
    <xf numFmtId="166" fontId="0" fillId="2" borderId="0" xfId="0" applyNumberFormat="1" applyFill="1"/>
    <xf numFmtId="0" fontId="14" fillId="4" borderId="9" xfId="0" applyFont="1" applyFill="1" applyBorder="1" applyAlignment="1">
      <alignment horizontal="center" vertical="center" wrapText="1"/>
    </xf>
    <xf numFmtId="40" fontId="15" fillId="5" borderId="9" xfId="0" applyNumberFormat="1" applyFont="1" applyFill="1" applyBorder="1" applyAlignment="1">
      <alignment horizontal="center" vertical="center" wrapText="1"/>
    </xf>
    <xf numFmtId="0" fontId="16" fillId="7" borderId="9" xfId="0" applyFont="1" applyFill="1" applyBorder="1" applyAlignment="1">
      <alignment horizontal="center" vertical="center" wrapText="1"/>
    </xf>
    <xf numFmtId="0" fontId="17" fillId="2" borderId="9" xfId="0" applyFont="1" applyFill="1" applyBorder="1"/>
    <xf numFmtId="165" fontId="0" fillId="2" borderId="9" xfId="1" applyNumberFormat="1" applyFont="1" applyFill="1" applyBorder="1"/>
    <xf numFmtId="0" fontId="0" fillId="0" borderId="9" xfId="0" applyBorder="1" applyAlignment="1">
      <alignment vertical="center"/>
    </xf>
    <xf numFmtId="0" fontId="0" fillId="0" borderId="9" xfId="0" applyBorder="1"/>
    <xf numFmtId="9" fontId="5" fillId="0" borderId="0" xfId="2" applyFont="1" applyAlignment="1">
      <alignment vertical="center"/>
    </xf>
    <xf numFmtId="0" fontId="0" fillId="2" borderId="0" xfId="0" applyFill="1" applyAlignment="1">
      <alignment horizontal="center"/>
    </xf>
    <xf numFmtId="0" fontId="19" fillId="0" borderId="0" xfId="0" applyFont="1"/>
    <xf numFmtId="165" fontId="18" fillId="0" borderId="9" xfId="0" applyNumberFormat="1" applyFont="1" applyBorder="1"/>
    <xf numFmtId="43" fontId="19" fillId="0" borderId="0" xfId="0" applyNumberFormat="1" applyFont="1"/>
    <xf numFmtId="43" fontId="18" fillId="0" borderId="9" xfId="0" applyNumberFormat="1" applyFont="1" applyBorder="1"/>
    <xf numFmtId="0" fontId="18" fillId="0" borderId="12" xfId="0" applyFont="1" applyBorder="1"/>
    <xf numFmtId="0" fontId="19" fillId="0" borderId="9" xfId="0" applyFont="1" applyBorder="1" applyAlignment="1">
      <alignment horizontal="left"/>
    </xf>
    <xf numFmtId="0" fontId="19" fillId="0" borderId="9" xfId="0" applyFont="1" applyBorder="1"/>
    <xf numFmtId="165" fontId="19" fillId="0" borderId="9" xfId="0" applyNumberFormat="1" applyFont="1" applyBorder="1"/>
    <xf numFmtId="0" fontId="18" fillId="0" borderId="9" xfId="0" applyFont="1" applyBorder="1" applyAlignment="1">
      <alignment horizontal="left"/>
    </xf>
    <xf numFmtId="43" fontId="19" fillId="0" borderId="9" xfId="0" applyNumberFormat="1" applyFont="1" applyBorder="1"/>
    <xf numFmtId="165" fontId="3" fillId="0" borderId="20" xfId="1" applyNumberFormat="1" applyFont="1" applyBorder="1"/>
    <xf numFmtId="0" fontId="0" fillId="9" borderId="0" xfId="0" applyFill="1"/>
    <xf numFmtId="0" fontId="0" fillId="10" borderId="0" xfId="0" applyFill="1"/>
    <xf numFmtId="0" fontId="0" fillId="0" borderId="0" xfId="0" quotePrefix="1"/>
    <xf numFmtId="0" fontId="0" fillId="11" borderId="9" xfId="0" applyFill="1" applyBorder="1" applyAlignment="1">
      <alignment horizontal="center" vertical="center" wrapText="1"/>
    </xf>
    <xf numFmtId="0" fontId="9" fillId="12" borderId="9" xfId="0" applyFont="1" applyFill="1" applyBorder="1" applyAlignment="1">
      <alignment vertical="center"/>
    </xf>
    <xf numFmtId="0" fontId="0" fillId="12" borderId="9" xfId="0" applyFill="1" applyBorder="1"/>
    <xf numFmtId="0" fontId="0" fillId="12" borderId="9" xfId="0" applyFill="1" applyBorder="1" applyAlignment="1">
      <alignment horizontal="center"/>
    </xf>
    <xf numFmtId="164" fontId="0" fillId="12" borderId="9" xfId="0" applyNumberFormat="1" applyFill="1" applyBorder="1"/>
    <xf numFmtId="165" fontId="2" fillId="12" borderId="9" xfId="1" applyNumberFormat="1" applyFont="1" applyFill="1" applyBorder="1" applyAlignment="1">
      <alignment horizontal="center" vertical="center"/>
    </xf>
    <xf numFmtId="165" fontId="2" fillId="12" borderId="9" xfId="1" applyNumberFormat="1" applyFont="1" applyFill="1" applyBorder="1"/>
    <xf numFmtId="165" fontId="8" fillId="12" borderId="9" xfId="1" applyNumberFormat="1" applyFont="1" applyFill="1" applyBorder="1"/>
    <xf numFmtId="164" fontId="0" fillId="12" borderId="10" xfId="0" applyNumberFormat="1" applyFill="1" applyBorder="1"/>
    <xf numFmtId="0" fontId="0" fillId="12" borderId="0" xfId="0" applyFill="1"/>
    <xf numFmtId="40" fontId="15" fillId="5" borderId="21" xfId="0" applyNumberFormat="1" applyFont="1" applyFill="1" applyBorder="1" applyAlignment="1">
      <alignment horizontal="center" vertical="center" wrapText="1"/>
    </xf>
    <xf numFmtId="165" fontId="0" fillId="0" borderId="9" xfId="1" applyNumberFormat="1" applyFont="1" applyFill="1" applyBorder="1"/>
    <xf numFmtId="0" fontId="0" fillId="0" borderId="9" xfId="0" quotePrefix="1" applyBorder="1"/>
    <xf numFmtId="167" fontId="0" fillId="0" borderId="0" xfId="0" applyNumberFormat="1"/>
    <xf numFmtId="0" fontId="0" fillId="0" borderId="9" xfId="0" applyBorder="1" applyAlignment="1">
      <alignment horizontal="center" vertical="center" wrapText="1"/>
    </xf>
    <xf numFmtId="0" fontId="9" fillId="0" borderId="9" xfId="0" applyFont="1" applyBorder="1" applyAlignment="1">
      <alignment vertical="center"/>
    </xf>
    <xf numFmtId="0" fontId="0" fillId="0" borderId="9" xfId="0" applyBorder="1" applyAlignment="1">
      <alignment horizontal="center"/>
    </xf>
    <xf numFmtId="165" fontId="2" fillId="0" borderId="9" xfId="1" applyNumberFormat="1" applyFont="1" applyFill="1" applyBorder="1" applyAlignment="1">
      <alignment horizontal="center" vertical="center"/>
    </xf>
    <xf numFmtId="9" fontId="0" fillId="2" borderId="0" xfId="2" applyFont="1" applyFill="1"/>
    <xf numFmtId="166" fontId="5" fillId="0" borderId="8" xfId="0" applyNumberFormat="1" applyFont="1" applyBorder="1" applyAlignment="1">
      <alignment vertical="center"/>
    </xf>
    <xf numFmtId="165" fontId="2" fillId="0" borderId="9" xfId="1" applyNumberFormat="1" applyFont="1" applyFill="1" applyBorder="1"/>
    <xf numFmtId="165" fontId="8" fillId="0" borderId="9" xfId="1" applyNumberFormat="1" applyFont="1" applyFill="1" applyBorder="1"/>
    <xf numFmtId="40" fontId="0" fillId="0" borderId="0" xfId="0" applyNumberFormat="1"/>
    <xf numFmtId="0" fontId="0" fillId="12" borderId="9" xfId="0" applyFill="1" applyBorder="1" applyAlignment="1">
      <alignment horizontal="center" vertical="center" wrapText="1"/>
    </xf>
    <xf numFmtId="166" fontId="0" fillId="0" borderId="0" xfId="0" applyNumberFormat="1"/>
    <xf numFmtId="0" fontId="17" fillId="0" borderId="9" xfId="0" applyFont="1" applyBorder="1"/>
    <xf numFmtId="0" fontId="3" fillId="4" borderId="9" xfId="0" applyFont="1" applyFill="1" applyBorder="1" applyAlignment="1">
      <alignment horizontal="left" vertical="center" wrapText="1"/>
    </xf>
    <xf numFmtId="0" fontId="3" fillId="4" borderId="9" xfId="0" applyFont="1" applyFill="1" applyBorder="1" applyAlignment="1">
      <alignment horizontal="center" vertical="center" wrapText="1"/>
    </xf>
    <xf numFmtId="40" fontId="3" fillId="5" borderId="9" xfId="0" applyNumberFormat="1" applyFont="1" applyFill="1" applyBorder="1" applyAlignment="1">
      <alignment horizontal="center" vertical="center" wrapText="1"/>
    </xf>
    <xf numFmtId="40" fontId="3" fillId="5" borderId="10" xfId="0" applyNumberFormat="1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9" fontId="0" fillId="0" borderId="0" xfId="2" applyFont="1" applyFill="1"/>
    <xf numFmtId="0" fontId="17" fillId="2" borderId="0" xfId="0" applyFont="1" applyFill="1"/>
    <xf numFmtId="165" fontId="0" fillId="0" borderId="0" xfId="0" applyNumberFormat="1"/>
    <xf numFmtId="164" fontId="0" fillId="0" borderId="10" xfId="0" applyNumberFormat="1" applyBorder="1" applyAlignment="1">
      <alignment wrapText="1"/>
    </xf>
    <xf numFmtId="164" fontId="0" fillId="12" borderId="10" xfId="0" applyNumberFormat="1" applyFill="1" applyBorder="1" applyAlignment="1">
      <alignment wrapText="1"/>
    </xf>
    <xf numFmtId="0" fontId="17" fillId="2" borderId="9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167" fontId="0" fillId="0" borderId="9" xfId="0" applyNumberFormat="1" applyBorder="1"/>
    <xf numFmtId="164" fontId="0" fillId="0" borderId="0" xfId="0" applyNumberFormat="1"/>
    <xf numFmtId="165" fontId="0" fillId="12" borderId="9" xfId="1" applyNumberFormat="1" applyFont="1" applyFill="1" applyBorder="1"/>
    <xf numFmtId="43" fontId="3" fillId="0" borderId="0" xfId="0" applyNumberFormat="1" applyFont="1"/>
    <xf numFmtId="0" fontId="17" fillId="0" borderId="9" xfId="0" applyFont="1" applyBorder="1" applyAlignment="1">
      <alignment horizontal="center"/>
    </xf>
    <xf numFmtId="0" fontId="17" fillId="2" borderId="9" xfId="0" applyFont="1" applyFill="1" applyBorder="1" applyAlignment="1">
      <alignment horizontal="center"/>
    </xf>
    <xf numFmtId="43" fontId="0" fillId="0" borderId="0" xfId="0" applyNumberFormat="1" applyAlignment="1">
      <alignment horizontal="center"/>
    </xf>
    <xf numFmtId="165" fontId="3" fillId="0" borderId="9" xfId="0" applyNumberFormat="1" applyFont="1" applyBorder="1" applyAlignment="1">
      <alignment horizontal="center"/>
    </xf>
    <xf numFmtId="0" fontId="0" fillId="2" borderId="9" xfId="0" applyFill="1" applyBorder="1" applyAlignment="1">
      <alignment horizontal="center" vertical="center" wrapText="1"/>
    </xf>
    <xf numFmtId="164" fontId="0" fillId="2" borderId="10" xfId="0" applyNumberFormat="1" applyFill="1" applyBorder="1" applyAlignment="1">
      <alignment wrapText="1"/>
    </xf>
    <xf numFmtId="168" fontId="0" fillId="0" borderId="0" xfId="0" applyNumberFormat="1"/>
    <xf numFmtId="168" fontId="17" fillId="7" borderId="9" xfId="0" applyNumberFormat="1" applyFont="1" applyFill="1" applyBorder="1" applyAlignment="1">
      <alignment horizontal="center" vertical="center" wrapText="1"/>
    </xf>
    <xf numFmtId="168" fontId="17" fillId="13" borderId="9" xfId="0" applyNumberFormat="1" applyFont="1" applyFill="1" applyBorder="1" applyAlignment="1">
      <alignment horizontal="center" vertical="center" wrapText="1"/>
    </xf>
    <xf numFmtId="0" fontId="17" fillId="9" borderId="9" xfId="0" applyFont="1" applyFill="1" applyBorder="1"/>
    <xf numFmtId="0" fontId="0" fillId="9" borderId="9" xfId="0" applyFill="1" applyBorder="1" applyAlignment="1">
      <alignment vertical="center"/>
    </xf>
    <xf numFmtId="165" fontId="0" fillId="9" borderId="9" xfId="1" applyNumberFormat="1" applyFont="1" applyFill="1" applyBorder="1"/>
    <xf numFmtId="164" fontId="0" fillId="0" borderId="10" xfId="0" applyNumberFormat="1" applyBorder="1" applyAlignment="1">
      <alignment horizontal="right" wrapText="1"/>
    </xf>
    <xf numFmtId="43" fontId="0" fillId="12" borderId="0" xfId="0" applyNumberFormat="1" applyFill="1"/>
    <xf numFmtId="0" fontId="0" fillId="12" borderId="0" xfId="0" quotePrefix="1" applyFill="1"/>
    <xf numFmtId="0" fontId="13" fillId="0" borderId="7" xfId="0" applyFont="1" applyBorder="1"/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40" fontId="20" fillId="5" borderId="10" xfId="0" applyNumberFormat="1" applyFont="1" applyFill="1" applyBorder="1" applyAlignment="1">
      <alignment horizontal="center" vertical="center" wrapText="1"/>
    </xf>
    <xf numFmtId="40" fontId="20" fillId="5" borderId="19" xfId="0" applyNumberFormat="1" applyFont="1" applyFill="1" applyBorder="1" applyAlignment="1">
      <alignment horizontal="center" vertical="center" wrapText="1"/>
    </xf>
    <xf numFmtId="40" fontId="20" fillId="5" borderId="1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1" fillId="0" borderId="10" xfId="0" applyFont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1" fillId="0" borderId="1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8" fillId="2" borderId="9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C3B5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523875</xdr:colOff>
      <xdr:row>3</xdr:row>
      <xdr:rowOff>227687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692143E-2A1A-43D2-90FD-8BA244C88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23925" cy="7896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8284</xdr:colOff>
      <xdr:row>2</xdr:row>
      <xdr:rowOff>157371</xdr:rowOff>
    </xdr:from>
    <xdr:to>
      <xdr:col>1</xdr:col>
      <xdr:colOff>24849</xdr:colOff>
      <xdr:row>3</xdr:row>
      <xdr:rowOff>330616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7B6A1-7318-4FC1-9B55-20267E14B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84" y="538371"/>
          <a:ext cx="416615" cy="35422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B2FE2-2E85-4A88-940E-EF2654594B4F}">
  <sheetPr>
    <pageSetUpPr fitToPage="1"/>
  </sheetPr>
  <dimension ref="A1:BW60"/>
  <sheetViews>
    <sheetView showGridLines="0" view="pageBreakPreview" topLeftCell="C1" zoomScaleNormal="100" zoomScaleSheetLayoutView="100" workbookViewId="0">
      <selection activeCell="F47" sqref="F47"/>
    </sheetView>
  </sheetViews>
  <sheetFormatPr defaultRowHeight="15" x14ac:dyDescent="0.25"/>
  <cols>
    <col min="1" max="1" width="6" customWidth="1"/>
    <col min="2" max="2" width="13.140625" bestFit="1" customWidth="1"/>
    <col min="3" max="3" width="41.7109375" style="34" customWidth="1"/>
    <col min="4" max="4" width="25.42578125" customWidth="1"/>
    <col min="5" max="5" width="15.42578125" style="35" customWidth="1"/>
    <col min="6" max="8" width="16.140625" customWidth="1"/>
    <col min="9" max="9" width="16.28515625" customWidth="1"/>
    <col min="10" max="11" width="13.42578125" customWidth="1"/>
    <col min="12" max="12" width="11.5703125" customWidth="1"/>
    <col min="13" max="13" width="13.42578125" customWidth="1"/>
    <col min="14" max="14" width="32.7109375" bestFit="1" customWidth="1"/>
    <col min="15" max="16" width="13.42578125" style="29" customWidth="1"/>
    <col min="17" max="17" width="13.140625" style="29" customWidth="1"/>
    <col min="18" max="19" width="12.5703125" style="29" customWidth="1"/>
    <col min="20" max="20" width="14.5703125" style="37" customWidth="1"/>
    <col min="21" max="21" width="12" style="1" bestFit="1" customWidth="1"/>
    <col min="22" max="75" width="9.140625" style="1"/>
  </cols>
  <sheetData>
    <row r="1" spans="1:22" x14ac:dyDescent="0.25">
      <c r="A1" s="1"/>
      <c r="B1" s="1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4" t="s">
        <v>0</v>
      </c>
      <c r="P1" s="135"/>
      <c r="Q1" s="135"/>
      <c r="R1" s="135"/>
      <c r="S1" s="135"/>
      <c r="T1" s="136"/>
    </row>
    <row r="2" spans="1:22" x14ac:dyDescent="0.25">
      <c r="A2" s="1"/>
      <c r="B2" s="1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7"/>
      <c r="P2" s="138"/>
      <c r="Q2" s="138"/>
      <c r="R2" s="138"/>
      <c r="S2" s="138"/>
      <c r="T2" s="139"/>
    </row>
    <row r="3" spans="1:22" ht="14.45" customHeight="1" x14ac:dyDescent="0.25">
      <c r="A3" s="1"/>
      <c r="B3" s="1"/>
      <c r="C3" s="42" t="s">
        <v>23</v>
      </c>
      <c r="D3" s="42"/>
      <c r="E3" s="42"/>
      <c r="F3" s="54"/>
      <c r="G3" s="42"/>
      <c r="H3" s="42"/>
      <c r="I3" s="42"/>
      <c r="J3" s="42"/>
      <c r="K3" s="42"/>
      <c r="L3" s="42"/>
      <c r="M3" s="42"/>
      <c r="N3" s="42"/>
      <c r="O3" s="140"/>
      <c r="P3" s="141"/>
      <c r="Q3" s="141"/>
      <c r="R3" s="141"/>
      <c r="S3" s="141"/>
      <c r="T3" s="142"/>
    </row>
    <row r="4" spans="1:22" ht="39" customHeight="1" x14ac:dyDescent="0.55000000000000004">
      <c r="A4" s="143" t="s">
        <v>133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43"/>
      <c r="O4" s="144" t="s">
        <v>1</v>
      </c>
      <c r="P4" s="144"/>
      <c r="Q4" s="144"/>
      <c r="R4" s="145" t="s">
        <v>2</v>
      </c>
      <c r="S4" s="146"/>
      <c r="T4" s="147" t="s">
        <v>3</v>
      </c>
    </row>
    <row r="5" spans="1:22" ht="37.5" customHeight="1" x14ac:dyDescent="0.25">
      <c r="A5" s="2" t="s">
        <v>4</v>
      </c>
      <c r="B5" s="2" t="s">
        <v>5</v>
      </c>
      <c r="C5" s="2" t="s">
        <v>6</v>
      </c>
      <c r="D5" s="3" t="s">
        <v>7</v>
      </c>
      <c r="E5" s="3" t="s">
        <v>8</v>
      </c>
      <c r="F5" s="38" t="s">
        <v>9</v>
      </c>
      <c r="G5" s="40" t="s">
        <v>132</v>
      </c>
      <c r="H5" s="38" t="s">
        <v>130</v>
      </c>
      <c r="I5" s="38" t="s">
        <v>131</v>
      </c>
      <c r="J5" s="39" t="s">
        <v>129</v>
      </c>
      <c r="K5" s="4" t="s">
        <v>10</v>
      </c>
      <c r="L5" s="4" t="s">
        <v>11</v>
      </c>
      <c r="M5" s="5" t="s">
        <v>12</v>
      </c>
      <c r="N5" s="5" t="s">
        <v>13</v>
      </c>
      <c r="O5" s="6" t="s">
        <v>14</v>
      </c>
      <c r="P5" s="6" t="s">
        <v>15</v>
      </c>
      <c r="Q5" s="6" t="s">
        <v>16</v>
      </c>
      <c r="R5" s="7" t="s">
        <v>17</v>
      </c>
      <c r="S5" s="6" t="s">
        <v>18</v>
      </c>
      <c r="T5" s="148"/>
    </row>
    <row r="6" spans="1:22" ht="12.95" customHeight="1" x14ac:dyDescent="0.25">
      <c r="A6" s="8">
        <v>1</v>
      </c>
      <c r="B6" s="8" t="s">
        <v>19</v>
      </c>
      <c r="C6" s="9" t="s">
        <v>20</v>
      </c>
      <c r="D6" s="9" t="s">
        <v>21</v>
      </c>
      <c r="E6" s="10" t="s">
        <v>22</v>
      </c>
      <c r="F6" s="11">
        <v>2402.6964499999999</v>
      </c>
      <c r="G6" s="41">
        <f>F6*4%</f>
        <v>96.107857999999993</v>
      </c>
      <c r="H6" s="11">
        <f>F6+G6</f>
        <v>2498.8043079999998</v>
      </c>
      <c r="I6" s="11">
        <v>999.73500000000013</v>
      </c>
      <c r="J6" s="12">
        <f>H6+I6</f>
        <v>3498.5393079999999</v>
      </c>
      <c r="K6" s="13">
        <f>-240</f>
        <v>-240</v>
      </c>
      <c r="L6" s="14"/>
      <c r="M6" s="15">
        <f>J6+K6+L6</f>
        <v>3258.5393079999999</v>
      </c>
      <c r="N6" s="15"/>
      <c r="O6" s="16">
        <f>3000*0.07</f>
        <v>210.00000000000003</v>
      </c>
      <c r="P6" s="16">
        <f>3000*0.01</f>
        <v>30</v>
      </c>
      <c r="Q6" s="16">
        <f t="shared" ref="Q6:Q43" si="0">O6+P6</f>
        <v>240.00000000000003</v>
      </c>
      <c r="R6" s="16">
        <f>3000*0.125</f>
        <v>375</v>
      </c>
      <c r="S6" s="16">
        <f t="shared" ref="S6:S15" si="1">R6</f>
        <v>375</v>
      </c>
      <c r="T6" s="17">
        <f t="shared" ref="T6:T33" si="2">Q6+S6</f>
        <v>615</v>
      </c>
      <c r="U6" s="44">
        <f>Q6+K6</f>
        <v>0</v>
      </c>
      <c r="V6" s="46">
        <f>G6-U6</f>
        <v>96.107857999999993</v>
      </c>
    </row>
    <row r="7" spans="1:22" ht="12.95" customHeight="1" x14ac:dyDescent="0.25">
      <c r="A7" s="8">
        <v>2</v>
      </c>
      <c r="B7" s="8">
        <v>9814493</v>
      </c>
      <c r="C7" s="9" t="s">
        <v>24</v>
      </c>
      <c r="D7" s="9" t="s">
        <v>25</v>
      </c>
      <c r="E7" s="10" t="s">
        <v>22</v>
      </c>
      <c r="F7" s="11">
        <v>1500</v>
      </c>
      <c r="G7" s="41">
        <f t="shared" ref="G7:G45" si="3">F7*4%</f>
        <v>60</v>
      </c>
      <c r="H7" s="11">
        <f t="shared" ref="H7:H45" si="4">F7+G7</f>
        <v>1560</v>
      </c>
      <c r="I7" s="11">
        <v>1000</v>
      </c>
      <c r="J7" s="12">
        <f t="shared" ref="J7:J45" si="5">H7+I7</f>
        <v>2560</v>
      </c>
      <c r="K7" s="13">
        <f>-J7*8%</f>
        <v>-204.8</v>
      </c>
      <c r="L7" s="14"/>
      <c r="M7" s="15">
        <f t="shared" ref="M7:M45" si="6">J7+K7+L7</f>
        <v>2355.1999999999998</v>
      </c>
      <c r="N7" s="15"/>
      <c r="O7" s="16">
        <f>J7*0.07</f>
        <v>179.20000000000002</v>
      </c>
      <c r="P7" s="16">
        <f>J7*0.01</f>
        <v>25.6</v>
      </c>
      <c r="Q7" s="16">
        <f t="shared" si="0"/>
        <v>204.8</v>
      </c>
      <c r="R7" s="16">
        <f>J7*0.125</f>
        <v>320</v>
      </c>
      <c r="S7" s="16">
        <f t="shared" si="1"/>
        <v>320</v>
      </c>
      <c r="T7" s="17">
        <f t="shared" si="2"/>
        <v>524.79999999999995</v>
      </c>
      <c r="U7" s="44">
        <f t="shared" ref="U7:U45" si="7">Q7+K7</f>
        <v>0</v>
      </c>
      <c r="V7" s="46">
        <f t="shared" ref="V7:V45" si="8">G7-U7</f>
        <v>60</v>
      </c>
    </row>
    <row r="8" spans="1:22" ht="12.95" customHeight="1" x14ac:dyDescent="0.25">
      <c r="A8" s="8">
        <v>3</v>
      </c>
      <c r="B8" s="8" t="s">
        <v>26</v>
      </c>
      <c r="C8" s="9" t="s">
        <v>27</v>
      </c>
      <c r="D8" s="9" t="s">
        <v>28</v>
      </c>
      <c r="E8" s="10" t="s">
        <v>22</v>
      </c>
      <c r="F8" s="11">
        <v>348.02670000000001</v>
      </c>
      <c r="G8" s="41">
        <f t="shared" si="3"/>
        <v>13.921068</v>
      </c>
      <c r="H8" s="11">
        <f t="shared" si="4"/>
        <v>361.947768</v>
      </c>
      <c r="I8" s="11">
        <v>144.81</v>
      </c>
      <c r="J8" s="12">
        <f t="shared" si="5"/>
        <v>506.757768</v>
      </c>
      <c r="K8" s="13">
        <f>-J8*8%</f>
        <v>-40.540621440000002</v>
      </c>
      <c r="L8" s="14"/>
      <c r="M8" s="15">
        <f t="shared" si="6"/>
        <v>466.21714656</v>
      </c>
      <c r="N8" s="15"/>
      <c r="O8" s="16">
        <f>J8*0.07</f>
        <v>35.473043760000003</v>
      </c>
      <c r="P8" s="16">
        <f>J8*0.01</f>
        <v>5.0675776800000003</v>
      </c>
      <c r="Q8" s="16">
        <f t="shared" si="0"/>
        <v>40.540621440000002</v>
      </c>
      <c r="R8" s="16">
        <f>J8*0.125</f>
        <v>63.344721</v>
      </c>
      <c r="S8" s="16">
        <f t="shared" si="1"/>
        <v>63.344721</v>
      </c>
      <c r="T8" s="17">
        <f t="shared" si="2"/>
        <v>103.88534244</v>
      </c>
      <c r="U8" s="44">
        <f t="shared" si="7"/>
        <v>0</v>
      </c>
      <c r="V8" s="46">
        <f t="shared" si="8"/>
        <v>13.921068</v>
      </c>
    </row>
    <row r="9" spans="1:22" ht="12.95" customHeight="1" x14ac:dyDescent="0.25">
      <c r="A9" s="8">
        <v>4</v>
      </c>
      <c r="B9" s="8" t="s">
        <v>29</v>
      </c>
      <c r="C9" s="9" t="s">
        <v>30</v>
      </c>
      <c r="D9" s="9" t="s">
        <v>31</v>
      </c>
      <c r="E9" s="10" t="s">
        <v>22</v>
      </c>
      <c r="F9" s="11">
        <v>348.02670000000001</v>
      </c>
      <c r="G9" s="41">
        <f t="shared" si="3"/>
        <v>13.921068</v>
      </c>
      <c r="H9" s="11">
        <f t="shared" si="4"/>
        <v>361.947768</v>
      </c>
      <c r="I9" s="11">
        <v>144.81</v>
      </c>
      <c r="J9" s="12">
        <f t="shared" si="5"/>
        <v>506.757768</v>
      </c>
      <c r="K9" s="13">
        <f>-J9*8%</f>
        <v>-40.540621440000002</v>
      </c>
      <c r="L9" s="14">
        <v>0</v>
      </c>
      <c r="M9" s="15">
        <f t="shared" si="6"/>
        <v>466.21714656</v>
      </c>
      <c r="N9" s="15" t="s">
        <v>145</v>
      </c>
      <c r="O9" s="16">
        <f>J9*0.07</f>
        <v>35.473043760000003</v>
      </c>
      <c r="P9" s="16">
        <f>J9*0.01</f>
        <v>5.0675776800000003</v>
      </c>
      <c r="Q9" s="16">
        <f t="shared" si="0"/>
        <v>40.540621440000002</v>
      </c>
      <c r="R9" s="16">
        <f>J9*0.125</f>
        <v>63.344721</v>
      </c>
      <c r="S9" s="16">
        <f t="shared" si="1"/>
        <v>63.344721</v>
      </c>
      <c r="T9" s="17">
        <f t="shared" si="2"/>
        <v>103.88534244</v>
      </c>
      <c r="U9" s="44">
        <f t="shared" si="7"/>
        <v>0</v>
      </c>
      <c r="V9" s="46">
        <f t="shared" si="8"/>
        <v>13.921068</v>
      </c>
    </row>
    <row r="10" spans="1:22" ht="12.95" customHeight="1" x14ac:dyDescent="0.25">
      <c r="A10" s="8">
        <v>5</v>
      </c>
      <c r="B10" s="8">
        <v>75524503</v>
      </c>
      <c r="C10" s="9" t="s">
        <v>32</v>
      </c>
      <c r="D10" s="9" t="s">
        <v>33</v>
      </c>
      <c r="E10" s="10" t="s">
        <v>34</v>
      </c>
      <c r="F10" s="18">
        <v>464.03559999999999</v>
      </c>
      <c r="G10" s="41">
        <f t="shared" si="3"/>
        <v>18.561423999999999</v>
      </c>
      <c r="H10" s="11">
        <f t="shared" si="4"/>
        <v>482.59702399999998</v>
      </c>
      <c r="I10" s="18">
        <v>193.08000000000004</v>
      </c>
      <c r="J10" s="12">
        <f t="shared" si="5"/>
        <v>675.67702400000007</v>
      </c>
      <c r="K10" s="13">
        <v>0</v>
      </c>
      <c r="L10" s="19"/>
      <c r="M10" s="15">
        <f t="shared" si="6"/>
        <v>675.67702400000007</v>
      </c>
      <c r="N10" s="20"/>
      <c r="O10" s="21">
        <v>0</v>
      </c>
      <c r="P10" s="21">
        <v>0</v>
      </c>
      <c r="Q10" s="21">
        <f>O10+P10</f>
        <v>0</v>
      </c>
      <c r="R10" s="21">
        <v>0</v>
      </c>
      <c r="S10" s="21">
        <f t="shared" si="1"/>
        <v>0</v>
      </c>
      <c r="T10" s="21">
        <f t="shared" si="2"/>
        <v>0</v>
      </c>
      <c r="U10" s="44">
        <f t="shared" si="7"/>
        <v>0</v>
      </c>
      <c r="V10" s="46">
        <f t="shared" si="8"/>
        <v>18.561423999999999</v>
      </c>
    </row>
    <row r="11" spans="1:22" ht="12.95" customHeight="1" x14ac:dyDescent="0.25">
      <c r="A11" s="8">
        <v>6</v>
      </c>
      <c r="B11" s="8" t="s">
        <v>35</v>
      </c>
      <c r="C11" s="9" t="s">
        <v>36</v>
      </c>
      <c r="D11" s="9" t="s">
        <v>37</v>
      </c>
      <c r="E11" s="10" t="s">
        <v>34</v>
      </c>
      <c r="F11" s="18">
        <v>366.26299999999998</v>
      </c>
      <c r="G11" s="41">
        <f t="shared" si="3"/>
        <v>14.65052</v>
      </c>
      <c r="H11" s="11">
        <f t="shared" si="4"/>
        <v>380.91351999999995</v>
      </c>
      <c r="I11" s="18">
        <v>152.83500000000001</v>
      </c>
      <c r="J11" s="12">
        <f t="shared" si="5"/>
        <v>533.74851999999998</v>
      </c>
      <c r="K11" s="13">
        <v>0</v>
      </c>
      <c r="L11" s="19">
        <v>0</v>
      </c>
      <c r="M11" s="15">
        <f t="shared" si="6"/>
        <v>533.74851999999998</v>
      </c>
      <c r="N11" s="20" t="s">
        <v>23</v>
      </c>
      <c r="O11" s="21">
        <v>0</v>
      </c>
      <c r="P11" s="21">
        <v>0</v>
      </c>
      <c r="Q11" s="21">
        <f>O11+P11</f>
        <v>0</v>
      </c>
      <c r="R11" s="21">
        <v>0</v>
      </c>
      <c r="S11" s="21">
        <f t="shared" si="1"/>
        <v>0</v>
      </c>
      <c r="T11" s="21">
        <f t="shared" si="2"/>
        <v>0</v>
      </c>
      <c r="U11" s="44">
        <f t="shared" si="7"/>
        <v>0</v>
      </c>
      <c r="V11" s="46">
        <f t="shared" si="8"/>
        <v>14.65052</v>
      </c>
    </row>
    <row r="12" spans="1:22" ht="12.95" customHeight="1" x14ac:dyDescent="0.25">
      <c r="A12" s="8">
        <v>7</v>
      </c>
      <c r="B12" s="8" t="s">
        <v>38</v>
      </c>
      <c r="C12" s="9" t="s">
        <v>39</v>
      </c>
      <c r="D12" s="9" t="s">
        <v>40</v>
      </c>
      <c r="E12" s="10" t="s">
        <v>34</v>
      </c>
      <c r="F12" s="18">
        <v>556.20000000000005</v>
      </c>
      <c r="G12" s="41">
        <f t="shared" si="3"/>
        <v>22.248000000000001</v>
      </c>
      <c r="H12" s="11">
        <f t="shared" si="4"/>
        <v>578.44800000000009</v>
      </c>
      <c r="I12" s="18">
        <v>360</v>
      </c>
      <c r="J12" s="12">
        <f t="shared" si="5"/>
        <v>938.44800000000009</v>
      </c>
      <c r="K12" s="13">
        <v>0</v>
      </c>
      <c r="L12" s="19"/>
      <c r="M12" s="15">
        <f t="shared" si="6"/>
        <v>938.44800000000009</v>
      </c>
      <c r="N12" s="20"/>
      <c r="O12" s="21">
        <v>0</v>
      </c>
      <c r="P12" s="21">
        <v>0</v>
      </c>
      <c r="Q12" s="21">
        <f>O12+P12</f>
        <v>0</v>
      </c>
      <c r="R12" s="21">
        <v>0</v>
      </c>
      <c r="S12" s="21">
        <f t="shared" si="1"/>
        <v>0</v>
      </c>
      <c r="T12" s="21">
        <f t="shared" si="2"/>
        <v>0</v>
      </c>
      <c r="U12" s="44">
        <f t="shared" si="7"/>
        <v>0</v>
      </c>
      <c r="V12" s="46">
        <f t="shared" si="8"/>
        <v>22.248000000000001</v>
      </c>
    </row>
    <row r="13" spans="1:22" ht="12.95" customHeight="1" x14ac:dyDescent="0.25">
      <c r="A13" s="8">
        <v>8</v>
      </c>
      <c r="B13" s="8" t="s">
        <v>41</v>
      </c>
      <c r="C13" s="9" t="s">
        <v>42</v>
      </c>
      <c r="D13" s="9" t="s">
        <v>43</v>
      </c>
      <c r="E13" s="10" t="s">
        <v>22</v>
      </c>
      <c r="F13" s="18">
        <v>373.06805999999995</v>
      </c>
      <c r="G13" s="41">
        <f t="shared" si="3"/>
        <v>14.922722399999998</v>
      </c>
      <c r="H13" s="11">
        <f t="shared" si="4"/>
        <v>387.99078239999994</v>
      </c>
      <c r="I13" s="18">
        <v>241.46800000000002</v>
      </c>
      <c r="J13" s="12">
        <f t="shared" si="5"/>
        <v>629.45878240000002</v>
      </c>
      <c r="K13" s="13">
        <f>-J13*8%</f>
        <v>-50.356702592000005</v>
      </c>
      <c r="L13" s="19"/>
      <c r="M13" s="15">
        <f t="shared" si="6"/>
        <v>579.10207980799998</v>
      </c>
      <c r="N13" s="20"/>
      <c r="O13" s="16">
        <f>J13*0.07</f>
        <v>44.062114768000008</v>
      </c>
      <c r="P13" s="16">
        <f>J13*0.01</f>
        <v>6.2945878240000006</v>
      </c>
      <c r="Q13" s="16">
        <f t="shared" si="0"/>
        <v>50.356702592000005</v>
      </c>
      <c r="R13" s="16">
        <f>J13*0.125</f>
        <v>78.682347800000002</v>
      </c>
      <c r="S13" s="16">
        <f t="shared" si="1"/>
        <v>78.682347800000002</v>
      </c>
      <c r="T13" s="17">
        <f t="shared" si="2"/>
        <v>129.03905039200001</v>
      </c>
      <c r="U13" s="44">
        <f t="shared" si="7"/>
        <v>0</v>
      </c>
      <c r="V13" s="46">
        <f t="shared" si="8"/>
        <v>14.922722399999998</v>
      </c>
    </row>
    <row r="14" spans="1:22" ht="12.95" customHeight="1" x14ac:dyDescent="0.25">
      <c r="A14" s="8">
        <v>9</v>
      </c>
      <c r="B14" s="8" t="s">
        <v>44</v>
      </c>
      <c r="C14" s="9" t="s">
        <v>45</v>
      </c>
      <c r="D14" s="9" t="s">
        <v>46</v>
      </c>
      <c r="E14" s="10" t="s">
        <v>22</v>
      </c>
      <c r="F14" s="18">
        <v>373.06806</v>
      </c>
      <c r="G14" s="41">
        <f t="shared" si="3"/>
        <v>14.9227224</v>
      </c>
      <c r="H14" s="11">
        <f t="shared" si="4"/>
        <v>387.9907824</v>
      </c>
      <c r="I14" s="18">
        <v>241.46800000000002</v>
      </c>
      <c r="J14" s="12">
        <f t="shared" si="5"/>
        <v>629.45878240000002</v>
      </c>
      <c r="K14" s="13">
        <f>-J14*8%</f>
        <v>-50.356702592000005</v>
      </c>
      <c r="L14" s="19"/>
      <c r="M14" s="15">
        <f t="shared" si="6"/>
        <v>579.10207980799998</v>
      </c>
      <c r="N14" s="20"/>
      <c r="O14" s="16">
        <f>J14*0.07</f>
        <v>44.062114768000008</v>
      </c>
      <c r="P14" s="16">
        <f>J14*0.01</f>
        <v>6.2945878240000006</v>
      </c>
      <c r="Q14" s="16">
        <f t="shared" si="0"/>
        <v>50.356702592000005</v>
      </c>
      <c r="R14" s="16">
        <f>J14*0.125</f>
        <v>78.682347800000002</v>
      </c>
      <c r="S14" s="16">
        <f t="shared" si="1"/>
        <v>78.682347800000002</v>
      </c>
      <c r="T14" s="17">
        <f t="shared" si="2"/>
        <v>129.03905039200001</v>
      </c>
      <c r="U14" s="44">
        <f t="shared" si="7"/>
        <v>0</v>
      </c>
      <c r="V14" s="46">
        <f t="shared" si="8"/>
        <v>14.9227224</v>
      </c>
    </row>
    <row r="15" spans="1:22" ht="12.95" customHeight="1" x14ac:dyDescent="0.25">
      <c r="A15" s="8">
        <v>10</v>
      </c>
      <c r="B15" s="8" t="s">
        <v>47</v>
      </c>
      <c r="C15" s="9" t="s">
        <v>48</v>
      </c>
      <c r="D15" s="9" t="s">
        <v>49</v>
      </c>
      <c r="E15" s="10" t="s">
        <v>22</v>
      </c>
      <c r="F15" s="18">
        <v>311.39999999999998</v>
      </c>
      <c r="G15" s="41">
        <f t="shared" si="3"/>
        <v>12.456</v>
      </c>
      <c r="H15" s="11">
        <f t="shared" si="4"/>
        <v>323.85599999999999</v>
      </c>
      <c r="I15" s="18">
        <v>207.60000000000002</v>
      </c>
      <c r="J15" s="12">
        <f t="shared" si="5"/>
        <v>531.45600000000002</v>
      </c>
      <c r="K15" s="13">
        <f>-J15*8%</f>
        <v>-42.516480000000001</v>
      </c>
      <c r="L15" s="19">
        <v>0</v>
      </c>
      <c r="M15" s="15">
        <f t="shared" si="6"/>
        <v>488.93952000000002</v>
      </c>
      <c r="N15" s="20" t="s">
        <v>23</v>
      </c>
      <c r="O15" s="16">
        <f>J15*0.07</f>
        <v>37.201920000000001</v>
      </c>
      <c r="P15" s="16">
        <f>J15*0.01</f>
        <v>5.3145600000000002</v>
      </c>
      <c r="Q15" s="16">
        <f t="shared" si="0"/>
        <v>42.516480000000001</v>
      </c>
      <c r="R15" s="16">
        <f>J15*0.125</f>
        <v>66.432000000000002</v>
      </c>
      <c r="S15" s="16">
        <f t="shared" si="1"/>
        <v>66.432000000000002</v>
      </c>
      <c r="T15" s="17">
        <f t="shared" si="2"/>
        <v>108.94848</v>
      </c>
      <c r="U15" s="44">
        <f t="shared" si="7"/>
        <v>0</v>
      </c>
      <c r="V15" s="46">
        <f t="shared" si="8"/>
        <v>12.456</v>
      </c>
    </row>
    <row r="16" spans="1:22" ht="12.95" customHeight="1" x14ac:dyDescent="0.25">
      <c r="A16" s="8">
        <v>11</v>
      </c>
      <c r="B16" s="8" t="s">
        <v>50</v>
      </c>
      <c r="C16" s="9" t="s">
        <v>51</v>
      </c>
      <c r="D16" s="9" t="s">
        <v>52</v>
      </c>
      <c r="E16" s="10" t="s">
        <v>34</v>
      </c>
      <c r="F16" s="18">
        <v>741.6</v>
      </c>
      <c r="G16" s="41">
        <f t="shared" si="3"/>
        <v>29.664000000000001</v>
      </c>
      <c r="H16" s="11">
        <f t="shared" si="4"/>
        <v>771.26400000000001</v>
      </c>
      <c r="I16" s="18">
        <v>480</v>
      </c>
      <c r="J16" s="12">
        <f t="shared" si="5"/>
        <v>1251.2640000000001</v>
      </c>
      <c r="K16" s="13">
        <v>0</v>
      </c>
      <c r="L16" s="19"/>
      <c r="M16" s="15">
        <f t="shared" si="6"/>
        <v>1251.2640000000001</v>
      </c>
      <c r="N16" s="20"/>
      <c r="O16" s="21">
        <v>0</v>
      </c>
      <c r="P16" s="21">
        <v>0</v>
      </c>
      <c r="Q16" s="21">
        <f>O16+P16</f>
        <v>0</v>
      </c>
      <c r="R16" s="21">
        <v>0</v>
      </c>
      <c r="S16" s="21">
        <f>R16</f>
        <v>0</v>
      </c>
      <c r="T16" s="21">
        <f t="shared" si="2"/>
        <v>0</v>
      </c>
      <c r="U16" s="44">
        <f t="shared" si="7"/>
        <v>0</v>
      </c>
      <c r="V16" s="46">
        <f t="shared" si="8"/>
        <v>29.664000000000001</v>
      </c>
    </row>
    <row r="17" spans="1:75" ht="12.95" customHeight="1" x14ac:dyDescent="0.25">
      <c r="A17" s="8">
        <v>12</v>
      </c>
      <c r="B17" s="8" t="s">
        <v>53</v>
      </c>
      <c r="C17" s="9" t="s">
        <v>54</v>
      </c>
      <c r="D17" s="9" t="s">
        <v>55</v>
      </c>
      <c r="E17" s="10" t="s">
        <v>34</v>
      </c>
      <c r="F17" s="18">
        <v>440.38679999999999</v>
      </c>
      <c r="G17" s="41">
        <f t="shared" si="3"/>
        <v>17.615472</v>
      </c>
      <c r="H17" s="11">
        <f t="shared" si="4"/>
        <v>458.002272</v>
      </c>
      <c r="I17" s="18">
        <v>285.04000000000002</v>
      </c>
      <c r="J17" s="12">
        <f t="shared" si="5"/>
        <v>743.04227200000003</v>
      </c>
      <c r="K17" s="13">
        <v>0</v>
      </c>
      <c r="L17" s="19"/>
      <c r="M17" s="15">
        <f t="shared" si="6"/>
        <v>743.04227200000003</v>
      </c>
      <c r="N17" s="20"/>
      <c r="O17" s="21">
        <v>0</v>
      </c>
      <c r="P17" s="21">
        <v>0</v>
      </c>
      <c r="Q17" s="21">
        <f>O17+P17</f>
        <v>0</v>
      </c>
      <c r="R17" s="21">
        <v>0</v>
      </c>
      <c r="S17" s="21">
        <f>R17</f>
        <v>0</v>
      </c>
      <c r="T17" s="21">
        <f t="shared" si="2"/>
        <v>0</v>
      </c>
      <c r="U17" s="44">
        <f t="shared" si="7"/>
        <v>0</v>
      </c>
      <c r="V17" s="46">
        <f t="shared" si="8"/>
        <v>17.615472</v>
      </c>
    </row>
    <row r="18" spans="1:75" ht="12.95" customHeight="1" x14ac:dyDescent="0.25">
      <c r="A18" s="8">
        <v>13</v>
      </c>
      <c r="B18" s="8" t="s">
        <v>56</v>
      </c>
      <c r="C18" s="9" t="s">
        <v>57</v>
      </c>
      <c r="D18" s="9" t="s">
        <v>58</v>
      </c>
      <c r="E18" s="10" t="s">
        <v>22</v>
      </c>
      <c r="F18" s="18">
        <v>427.65600000000001</v>
      </c>
      <c r="G18" s="41">
        <f t="shared" si="3"/>
        <v>17.10624</v>
      </c>
      <c r="H18" s="11">
        <f t="shared" si="4"/>
        <v>444.76224000000002</v>
      </c>
      <c r="I18" s="18">
        <v>276.8</v>
      </c>
      <c r="J18" s="12">
        <f t="shared" si="5"/>
        <v>721.56223999999997</v>
      </c>
      <c r="K18" s="13">
        <f t="shared" ref="K18:K33" si="9">-J18*8%</f>
        <v>-57.7249792</v>
      </c>
      <c r="L18" s="19">
        <v>0</v>
      </c>
      <c r="M18" s="15">
        <f t="shared" si="6"/>
        <v>663.83726079999997</v>
      </c>
      <c r="N18" s="15" t="s">
        <v>146</v>
      </c>
      <c r="O18" s="16">
        <f t="shared" ref="O18:O33" si="10">J18*0.07</f>
        <v>50.509356800000006</v>
      </c>
      <c r="P18" s="16">
        <f t="shared" ref="P18:P33" si="11">J18*0.01</f>
        <v>7.2156224</v>
      </c>
      <c r="Q18" s="16">
        <f t="shared" si="0"/>
        <v>57.724979200000007</v>
      </c>
      <c r="R18" s="16">
        <f t="shared" ref="R18:R33" si="12">J18*0.125</f>
        <v>90.195279999999997</v>
      </c>
      <c r="S18" s="16">
        <f t="shared" ref="S18:S45" si="13">R18</f>
        <v>90.195279999999997</v>
      </c>
      <c r="T18" s="17">
        <f t="shared" si="2"/>
        <v>147.9202592</v>
      </c>
      <c r="U18" s="44">
        <f t="shared" si="7"/>
        <v>0</v>
      </c>
      <c r="V18" s="46">
        <f t="shared" si="8"/>
        <v>17.10624</v>
      </c>
    </row>
    <row r="19" spans="1:75" ht="12.95" customHeight="1" x14ac:dyDescent="0.25">
      <c r="A19" s="8">
        <v>14</v>
      </c>
      <c r="B19" s="8" t="s">
        <v>59</v>
      </c>
      <c r="C19" s="9" t="s">
        <v>60</v>
      </c>
      <c r="D19" s="9" t="s">
        <v>58</v>
      </c>
      <c r="E19" s="10" t="s">
        <v>22</v>
      </c>
      <c r="F19" s="18">
        <v>427.65600000000001</v>
      </c>
      <c r="G19" s="41">
        <f t="shared" si="3"/>
        <v>17.10624</v>
      </c>
      <c r="H19" s="11">
        <f t="shared" si="4"/>
        <v>444.76224000000002</v>
      </c>
      <c r="I19" s="18">
        <v>276.8</v>
      </c>
      <c r="J19" s="12">
        <f t="shared" si="5"/>
        <v>721.56223999999997</v>
      </c>
      <c r="K19" s="13">
        <f t="shared" si="9"/>
        <v>-57.7249792</v>
      </c>
      <c r="L19" s="22">
        <v>0</v>
      </c>
      <c r="M19" s="15">
        <f t="shared" si="6"/>
        <v>663.83726079999997</v>
      </c>
      <c r="N19" s="20" t="s">
        <v>134</v>
      </c>
      <c r="O19" s="16">
        <f t="shared" si="10"/>
        <v>50.509356800000006</v>
      </c>
      <c r="P19" s="16">
        <f t="shared" si="11"/>
        <v>7.2156224</v>
      </c>
      <c r="Q19" s="16">
        <f t="shared" si="0"/>
        <v>57.724979200000007</v>
      </c>
      <c r="R19" s="16">
        <f t="shared" si="12"/>
        <v>90.195279999999997</v>
      </c>
      <c r="S19" s="16">
        <f t="shared" si="13"/>
        <v>90.195279999999997</v>
      </c>
      <c r="T19" s="17">
        <f t="shared" si="2"/>
        <v>147.9202592</v>
      </c>
      <c r="U19" s="44">
        <f t="shared" si="7"/>
        <v>0</v>
      </c>
      <c r="V19" s="46">
        <f t="shared" si="8"/>
        <v>17.10624</v>
      </c>
    </row>
    <row r="20" spans="1:75" s="23" customFormat="1" ht="12.95" customHeight="1" x14ac:dyDescent="0.25">
      <c r="A20" s="8">
        <v>15</v>
      </c>
      <c r="B20" s="8" t="s">
        <v>61</v>
      </c>
      <c r="C20" s="9" t="s">
        <v>62</v>
      </c>
      <c r="D20" s="9" t="s">
        <v>63</v>
      </c>
      <c r="E20" s="10" t="s">
        <v>22</v>
      </c>
      <c r="F20" s="18">
        <v>365.85599999999999</v>
      </c>
      <c r="G20" s="41">
        <f t="shared" si="3"/>
        <v>14.63424</v>
      </c>
      <c r="H20" s="11">
        <f t="shared" si="4"/>
        <v>380.49023999999997</v>
      </c>
      <c r="I20" s="18">
        <v>236.8</v>
      </c>
      <c r="J20" s="12">
        <f t="shared" si="5"/>
        <v>617.29024000000004</v>
      </c>
      <c r="K20" s="13">
        <f t="shared" si="9"/>
        <v>-49.383219200000006</v>
      </c>
      <c r="L20" s="19"/>
      <c r="M20" s="15">
        <f t="shared" si="6"/>
        <v>567.90702080000005</v>
      </c>
      <c r="N20" s="20"/>
      <c r="O20" s="16">
        <f t="shared" si="10"/>
        <v>43.210316800000008</v>
      </c>
      <c r="P20" s="16">
        <f t="shared" si="11"/>
        <v>6.1729024000000008</v>
      </c>
      <c r="Q20" s="16">
        <f t="shared" si="0"/>
        <v>49.383219200000006</v>
      </c>
      <c r="R20" s="16">
        <f t="shared" si="12"/>
        <v>77.161280000000005</v>
      </c>
      <c r="S20" s="16">
        <f t="shared" si="13"/>
        <v>77.161280000000005</v>
      </c>
      <c r="T20" s="17">
        <f t="shared" si="2"/>
        <v>126.54449920000002</v>
      </c>
      <c r="U20" s="44">
        <f t="shared" si="7"/>
        <v>0</v>
      </c>
      <c r="V20" s="46">
        <f t="shared" si="8"/>
        <v>14.63424</v>
      </c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</row>
    <row r="21" spans="1:75" ht="12.95" customHeight="1" x14ac:dyDescent="0.25">
      <c r="A21" s="8">
        <v>16</v>
      </c>
      <c r="B21" s="8" t="s">
        <v>64</v>
      </c>
      <c r="C21" s="9" t="s">
        <v>65</v>
      </c>
      <c r="D21" s="9" t="s">
        <v>66</v>
      </c>
      <c r="E21" s="10" t="s">
        <v>22</v>
      </c>
      <c r="F21" s="18">
        <v>317.47278</v>
      </c>
      <c r="G21" s="41">
        <f t="shared" si="3"/>
        <v>12.6989112</v>
      </c>
      <c r="H21" s="11">
        <f t="shared" si="4"/>
        <v>330.1716912</v>
      </c>
      <c r="I21" s="18">
        <v>205.48400000000004</v>
      </c>
      <c r="J21" s="12">
        <f t="shared" si="5"/>
        <v>535.65569120000009</v>
      </c>
      <c r="K21" s="13">
        <f t="shared" si="9"/>
        <v>-42.852455296000009</v>
      </c>
      <c r="L21" s="19"/>
      <c r="M21" s="15">
        <f t="shared" si="6"/>
        <v>492.80323590400008</v>
      </c>
      <c r="N21" s="20"/>
      <c r="O21" s="16">
        <f t="shared" si="10"/>
        <v>37.495898384000007</v>
      </c>
      <c r="P21" s="16">
        <f t="shared" si="11"/>
        <v>5.3565569120000012</v>
      </c>
      <c r="Q21" s="16">
        <f t="shared" si="0"/>
        <v>42.852455296000009</v>
      </c>
      <c r="R21" s="16">
        <f t="shared" si="12"/>
        <v>66.956961400000012</v>
      </c>
      <c r="S21" s="16">
        <f t="shared" si="13"/>
        <v>66.956961400000012</v>
      </c>
      <c r="T21" s="17">
        <f t="shared" si="2"/>
        <v>109.80941669600003</v>
      </c>
      <c r="U21" s="44">
        <f t="shared" si="7"/>
        <v>0</v>
      </c>
      <c r="V21" s="46">
        <f t="shared" si="8"/>
        <v>12.6989112</v>
      </c>
    </row>
    <row r="22" spans="1:75" ht="12.95" customHeight="1" x14ac:dyDescent="0.25">
      <c r="A22" s="8">
        <v>17</v>
      </c>
      <c r="B22" s="8" t="s">
        <v>67</v>
      </c>
      <c r="C22" s="9" t="s">
        <v>68</v>
      </c>
      <c r="D22" s="9" t="s">
        <v>66</v>
      </c>
      <c r="E22" s="10" t="s">
        <v>22</v>
      </c>
      <c r="F22" s="18">
        <v>317.47278</v>
      </c>
      <c r="G22" s="41">
        <f t="shared" si="3"/>
        <v>12.6989112</v>
      </c>
      <c r="H22" s="11">
        <f t="shared" si="4"/>
        <v>330.1716912</v>
      </c>
      <c r="I22" s="18">
        <v>205.48400000000004</v>
      </c>
      <c r="J22" s="12">
        <f t="shared" si="5"/>
        <v>535.65569120000009</v>
      </c>
      <c r="K22" s="13">
        <f t="shared" si="9"/>
        <v>-42.852455296000009</v>
      </c>
      <c r="L22" s="19">
        <v>0</v>
      </c>
      <c r="M22" s="15">
        <f t="shared" si="6"/>
        <v>492.80323590400008</v>
      </c>
      <c r="N22" s="20" t="s">
        <v>23</v>
      </c>
      <c r="O22" s="16">
        <f t="shared" si="10"/>
        <v>37.495898384000007</v>
      </c>
      <c r="P22" s="16">
        <f t="shared" si="11"/>
        <v>5.3565569120000012</v>
      </c>
      <c r="Q22" s="16">
        <f t="shared" si="0"/>
        <v>42.852455296000009</v>
      </c>
      <c r="R22" s="16">
        <f t="shared" si="12"/>
        <v>66.956961400000012</v>
      </c>
      <c r="S22" s="16">
        <f t="shared" si="13"/>
        <v>66.956961400000012</v>
      </c>
      <c r="T22" s="17">
        <f t="shared" si="2"/>
        <v>109.80941669600003</v>
      </c>
      <c r="U22" s="44">
        <f t="shared" si="7"/>
        <v>0</v>
      </c>
      <c r="V22" s="46">
        <f t="shared" si="8"/>
        <v>12.6989112</v>
      </c>
    </row>
    <row r="23" spans="1:75" ht="12.95" customHeight="1" x14ac:dyDescent="0.25">
      <c r="A23" s="8">
        <v>18</v>
      </c>
      <c r="B23" s="8" t="s">
        <v>69</v>
      </c>
      <c r="C23" s="9" t="s">
        <v>70</v>
      </c>
      <c r="D23" s="9" t="s">
        <v>66</v>
      </c>
      <c r="E23" s="10" t="s">
        <v>22</v>
      </c>
      <c r="F23" s="18">
        <v>317.47278</v>
      </c>
      <c r="G23" s="41">
        <f t="shared" si="3"/>
        <v>12.6989112</v>
      </c>
      <c r="H23" s="11">
        <f t="shared" si="4"/>
        <v>330.1716912</v>
      </c>
      <c r="I23" s="18">
        <v>205.48400000000004</v>
      </c>
      <c r="J23" s="12">
        <f t="shared" si="5"/>
        <v>535.65569120000009</v>
      </c>
      <c r="K23" s="13">
        <f t="shared" si="9"/>
        <v>-42.852455296000009</v>
      </c>
      <c r="L23" s="19"/>
      <c r="M23" s="15">
        <f t="shared" si="6"/>
        <v>492.80323590400008</v>
      </c>
      <c r="N23" s="20"/>
      <c r="O23" s="16">
        <f t="shared" si="10"/>
        <v>37.495898384000007</v>
      </c>
      <c r="P23" s="16">
        <f t="shared" si="11"/>
        <v>5.3565569120000012</v>
      </c>
      <c r="Q23" s="16">
        <f t="shared" si="0"/>
        <v>42.852455296000009</v>
      </c>
      <c r="R23" s="16">
        <f t="shared" si="12"/>
        <v>66.956961400000012</v>
      </c>
      <c r="S23" s="16">
        <f t="shared" si="13"/>
        <v>66.956961400000012</v>
      </c>
      <c r="T23" s="17">
        <f t="shared" si="2"/>
        <v>109.80941669600003</v>
      </c>
      <c r="U23" s="44">
        <f t="shared" si="7"/>
        <v>0</v>
      </c>
      <c r="V23" s="46">
        <f t="shared" si="8"/>
        <v>12.6989112</v>
      </c>
    </row>
    <row r="24" spans="1:75" ht="12.95" customHeight="1" x14ac:dyDescent="0.25">
      <c r="A24" s="8">
        <v>19</v>
      </c>
      <c r="B24" s="8" t="s">
        <v>71</v>
      </c>
      <c r="C24" s="9" t="s">
        <v>72</v>
      </c>
      <c r="D24" s="9" t="s">
        <v>73</v>
      </c>
      <c r="E24" s="10" t="s">
        <v>22</v>
      </c>
      <c r="F24" s="18">
        <v>373.06805999999995</v>
      </c>
      <c r="G24" s="41">
        <f t="shared" si="3"/>
        <v>14.922722399999998</v>
      </c>
      <c r="H24" s="11">
        <f t="shared" si="4"/>
        <v>387.99078239999994</v>
      </c>
      <c r="I24" s="18">
        <v>241.46800000000002</v>
      </c>
      <c r="J24" s="12">
        <f t="shared" si="5"/>
        <v>629.45878240000002</v>
      </c>
      <c r="K24" s="13">
        <f t="shared" si="9"/>
        <v>-50.356702592000005</v>
      </c>
      <c r="L24" s="19"/>
      <c r="M24" s="15">
        <f t="shared" si="6"/>
        <v>579.10207980799998</v>
      </c>
      <c r="N24" s="20"/>
      <c r="O24" s="16">
        <f t="shared" si="10"/>
        <v>44.062114768000008</v>
      </c>
      <c r="P24" s="16">
        <f t="shared" si="11"/>
        <v>6.2945878240000006</v>
      </c>
      <c r="Q24" s="16">
        <f t="shared" si="0"/>
        <v>50.356702592000005</v>
      </c>
      <c r="R24" s="16">
        <f t="shared" si="12"/>
        <v>78.682347800000002</v>
      </c>
      <c r="S24" s="16">
        <f t="shared" si="13"/>
        <v>78.682347800000002</v>
      </c>
      <c r="T24" s="17">
        <f t="shared" si="2"/>
        <v>129.03905039200001</v>
      </c>
      <c r="U24" s="44">
        <f t="shared" si="7"/>
        <v>0</v>
      </c>
      <c r="V24" s="46">
        <f t="shared" si="8"/>
        <v>14.922722399999998</v>
      </c>
    </row>
    <row r="25" spans="1:75" ht="12.95" customHeight="1" x14ac:dyDescent="0.25">
      <c r="A25" s="8">
        <v>20</v>
      </c>
      <c r="B25" s="8" t="s">
        <v>74</v>
      </c>
      <c r="C25" s="9" t="s">
        <v>75</v>
      </c>
      <c r="D25" s="9" t="s">
        <v>76</v>
      </c>
      <c r="E25" s="10" t="s">
        <v>22</v>
      </c>
      <c r="F25" s="18">
        <v>327.77483999999998</v>
      </c>
      <c r="G25" s="41">
        <f t="shared" si="3"/>
        <v>13.1109936</v>
      </c>
      <c r="H25" s="11">
        <f t="shared" si="4"/>
        <v>340.88583359999996</v>
      </c>
      <c r="I25" s="18">
        <v>212.15199999999999</v>
      </c>
      <c r="J25" s="12">
        <f t="shared" si="5"/>
        <v>553.03783359999989</v>
      </c>
      <c r="K25" s="13">
        <f t="shared" si="9"/>
        <v>-44.243026687999993</v>
      </c>
      <c r="L25" s="19"/>
      <c r="M25" s="15">
        <f t="shared" si="6"/>
        <v>508.7948069119999</v>
      </c>
      <c r="N25" s="20"/>
      <c r="O25" s="16">
        <f t="shared" si="10"/>
        <v>38.712648351999995</v>
      </c>
      <c r="P25" s="16">
        <f t="shared" si="11"/>
        <v>5.5303783359999992</v>
      </c>
      <c r="Q25" s="16">
        <f t="shared" si="0"/>
        <v>44.243026687999993</v>
      </c>
      <c r="R25" s="16">
        <f t="shared" si="12"/>
        <v>69.129729199999986</v>
      </c>
      <c r="S25" s="16">
        <f t="shared" si="13"/>
        <v>69.129729199999986</v>
      </c>
      <c r="T25" s="17">
        <f t="shared" si="2"/>
        <v>113.37275588799997</v>
      </c>
      <c r="U25" s="44">
        <f t="shared" si="7"/>
        <v>0</v>
      </c>
      <c r="V25" s="46">
        <f t="shared" si="8"/>
        <v>13.1109936</v>
      </c>
    </row>
    <row r="26" spans="1:75" ht="12.95" customHeight="1" x14ac:dyDescent="0.25">
      <c r="A26" s="8">
        <v>21</v>
      </c>
      <c r="B26" s="8" t="s">
        <v>77</v>
      </c>
      <c r="C26" s="24" t="s">
        <v>78</v>
      </c>
      <c r="D26" s="9" t="s">
        <v>79</v>
      </c>
      <c r="E26" s="10" t="s">
        <v>22</v>
      </c>
      <c r="F26" s="18">
        <v>297.25799999999998</v>
      </c>
      <c r="G26" s="41">
        <f t="shared" si="3"/>
        <v>11.890319999999999</v>
      </c>
      <c r="H26" s="11">
        <f t="shared" si="4"/>
        <v>309.14831999999996</v>
      </c>
      <c r="I26" s="18">
        <v>192.40000000000003</v>
      </c>
      <c r="J26" s="12">
        <f t="shared" si="5"/>
        <v>501.54831999999999</v>
      </c>
      <c r="K26" s="13">
        <f t="shared" si="9"/>
        <v>-40.123865600000002</v>
      </c>
      <c r="L26" s="19"/>
      <c r="M26" s="15">
        <f t="shared" si="6"/>
        <v>461.4244544</v>
      </c>
      <c r="N26" s="20"/>
      <c r="O26" s="16">
        <f t="shared" si="10"/>
        <v>35.108382400000004</v>
      </c>
      <c r="P26" s="16">
        <f t="shared" si="11"/>
        <v>5.0154832000000003</v>
      </c>
      <c r="Q26" s="16">
        <f t="shared" si="0"/>
        <v>40.123865600000002</v>
      </c>
      <c r="R26" s="16">
        <f t="shared" si="12"/>
        <v>62.693539999999999</v>
      </c>
      <c r="S26" s="16">
        <f t="shared" si="13"/>
        <v>62.693539999999999</v>
      </c>
      <c r="T26" s="17">
        <f t="shared" si="2"/>
        <v>102.8174056</v>
      </c>
      <c r="U26" s="44">
        <f t="shared" si="7"/>
        <v>0</v>
      </c>
      <c r="V26" s="46">
        <f t="shared" si="8"/>
        <v>11.890319999999999</v>
      </c>
    </row>
    <row r="27" spans="1:75" ht="12.95" customHeight="1" x14ac:dyDescent="0.25">
      <c r="A27" s="8">
        <v>22</v>
      </c>
      <c r="B27" s="8" t="s">
        <v>80</v>
      </c>
      <c r="C27" s="24" t="s">
        <v>81</v>
      </c>
      <c r="D27" s="9" t="s">
        <v>79</v>
      </c>
      <c r="E27" s="10" t="s">
        <v>22</v>
      </c>
      <c r="F27" s="18">
        <v>297.25799999999998</v>
      </c>
      <c r="G27" s="41">
        <f t="shared" si="3"/>
        <v>11.890319999999999</v>
      </c>
      <c r="H27" s="11">
        <f t="shared" si="4"/>
        <v>309.14831999999996</v>
      </c>
      <c r="I27" s="18">
        <v>192.40000000000003</v>
      </c>
      <c r="J27" s="12">
        <f t="shared" si="5"/>
        <v>501.54831999999999</v>
      </c>
      <c r="K27" s="13">
        <f t="shared" si="9"/>
        <v>-40.123865600000002</v>
      </c>
      <c r="L27" s="19"/>
      <c r="M27" s="15">
        <f t="shared" si="6"/>
        <v>461.4244544</v>
      </c>
      <c r="N27" s="20"/>
      <c r="O27" s="16">
        <f t="shared" si="10"/>
        <v>35.108382400000004</v>
      </c>
      <c r="P27" s="16">
        <f t="shared" si="11"/>
        <v>5.0154832000000003</v>
      </c>
      <c r="Q27" s="16">
        <f t="shared" si="0"/>
        <v>40.123865600000002</v>
      </c>
      <c r="R27" s="16">
        <f t="shared" si="12"/>
        <v>62.693539999999999</v>
      </c>
      <c r="S27" s="16">
        <f t="shared" si="13"/>
        <v>62.693539999999999</v>
      </c>
      <c r="T27" s="17">
        <f t="shared" si="2"/>
        <v>102.8174056</v>
      </c>
      <c r="U27" s="44">
        <f t="shared" si="7"/>
        <v>0</v>
      </c>
      <c r="V27" s="46">
        <f t="shared" si="8"/>
        <v>11.890319999999999</v>
      </c>
    </row>
    <row r="28" spans="1:75" ht="12.95" customHeight="1" x14ac:dyDescent="0.25">
      <c r="A28" s="8">
        <v>23</v>
      </c>
      <c r="B28" s="8" t="s">
        <v>82</v>
      </c>
      <c r="C28" s="9" t="s">
        <v>83</v>
      </c>
      <c r="D28" s="9" t="s">
        <v>84</v>
      </c>
      <c r="E28" s="10" t="s">
        <v>22</v>
      </c>
      <c r="F28" s="18">
        <v>297.25799999999998</v>
      </c>
      <c r="G28" s="41">
        <f t="shared" si="3"/>
        <v>11.890319999999999</v>
      </c>
      <c r="H28" s="11">
        <f t="shared" si="4"/>
        <v>309.14831999999996</v>
      </c>
      <c r="I28" s="18">
        <v>192.40000000000003</v>
      </c>
      <c r="J28" s="12">
        <f t="shared" si="5"/>
        <v>501.54831999999999</v>
      </c>
      <c r="K28" s="13">
        <f t="shared" si="9"/>
        <v>-40.123865600000002</v>
      </c>
      <c r="L28" s="22">
        <v>0</v>
      </c>
      <c r="M28" s="15">
        <f t="shared" si="6"/>
        <v>461.4244544</v>
      </c>
      <c r="N28" s="20" t="s">
        <v>134</v>
      </c>
      <c r="O28" s="16">
        <f t="shared" si="10"/>
        <v>35.108382400000004</v>
      </c>
      <c r="P28" s="16">
        <f t="shared" si="11"/>
        <v>5.0154832000000003</v>
      </c>
      <c r="Q28" s="16">
        <f t="shared" si="0"/>
        <v>40.123865600000002</v>
      </c>
      <c r="R28" s="16">
        <f t="shared" si="12"/>
        <v>62.693539999999999</v>
      </c>
      <c r="S28" s="16">
        <f t="shared" si="13"/>
        <v>62.693539999999999</v>
      </c>
      <c r="T28" s="17">
        <f t="shared" si="2"/>
        <v>102.8174056</v>
      </c>
      <c r="U28" s="44">
        <f t="shared" si="7"/>
        <v>0</v>
      </c>
      <c r="V28" s="46">
        <f t="shared" si="8"/>
        <v>11.890319999999999</v>
      </c>
    </row>
    <row r="29" spans="1:75" ht="12.95" customHeight="1" x14ac:dyDescent="0.25">
      <c r="A29" s="8">
        <v>24</v>
      </c>
      <c r="B29" s="8" t="s">
        <v>85</v>
      </c>
      <c r="C29" s="9" t="s">
        <v>86</v>
      </c>
      <c r="D29" s="9" t="s">
        <v>87</v>
      </c>
      <c r="E29" s="10" t="s">
        <v>22</v>
      </c>
      <c r="F29" s="18">
        <v>297.25799999999998</v>
      </c>
      <c r="G29" s="41">
        <f t="shared" si="3"/>
        <v>11.890319999999999</v>
      </c>
      <c r="H29" s="11">
        <f t="shared" si="4"/>
        <v>309.14831999999996</v>
      </c>
      <c r="I29" s="18">
        <v>192.40000000000003</v>
      </c>
      <c r="J29" s="12">
        <f t="shared" si="5"/>
        <v>501.54831999999999</v>
      </c>
      <c r="K29" s="13">
        <f t="shared" si="9"/>
        <v>-40.123865600000002</v>
      </c>
      <c r="L29" s="19"/>
      <c r="M29" s="15">
        <f t="shared" si="6"/>
        <v>461.4244544</v>
      </c>
      <c r="N29" s="20"/>
      <c r="O29" s="16">
        <f t="shared" si="10"/>
        <v>35.108382400000004</v>
      </c>
      <c r="P29" s="16">
        <f t="shared" si="11"/>
        <v>5.0154832000000003</v>
      </c>
      <c r="Q29" s="16">
        <f t="shared" si="0"/>
        <v>40.123865600000002</v>
      </c>
      <c r="R29" s="16">
        <f t="shared" si="12"/>
        <v>62.693539999999999</v>
      </c>
      <c r="S29" s="16">
        <f t="shared" si="13"/>
        <v>62.693539999999999</v>
      </c>
      <c r="T29" s="17">
        <f t="shared" si="2"/>
        <v>102.8174056</v>
      </c>
      <c r="U29" s="44">
        <f t="shared" si="7"/>
        <v>0</v>
      </c>
      <c r="V29" s="46">
        <f t="shared" si="8"/>
        <v>11.890319999999999</v>
      </c>
    </row>
    <row r="30" spans="1:75" ht="12.95" customHeight="1" x14ac:dyDescent="0.25">
      <c r="A30" s="8">
        <v>25</v>
      </c>
      <c r="B30" s="8" t="s">
        <v>88</v>
      </c>
      <c r="C30" s="9" t="s">
        <v>89</v>
      </c>
      <c r="D30" s="9" t="s">
        <v>87</v>
      </c>
      <c r="E30" s="10" t="s">
        <v>22</v>
      </c>
      <c r="F30" s="18">
        <v>297.25799999999998</v>
      </c>
      <c r="G30" s="41">
        <f t="shared" si="3"/>
        <v>11.890319999999999</v>
      </c>
      <c r="H30" s="11">
        <f t="shared" si="4"/>
        <v>309.14831999999996</v>
      </c>
      <c r="I30" s="18">
        <v>192.40000000000003</v>
      </c>
      <c r="J30" s="12">
        <f t="shared" si="5"/>
        <v>501.54831999999999</v>
      </c>
      <c r="K30" s="13">
        <f t="shared" si="9"/>
        <v>-40.123865600000002</v>
      </c>
      <c r="L30" s="19"/>
      <c r="M30" s="15">
        <f t="shared" si="6"/>
        <v>461.4244544</v>
      </c>
      <c r="N30" s="20"/>
      <c r="O30" s="16">
        <f t="shared" si="10"/>
        <v>35.108382400000004</v>
      </c>
      <c r="P30" s="16">
        <f t="shared" si="11"/>
        <v>5.0154832000000003</v>
      </c>
      <c r="Q30" s="16">
        <f t="shared" si="0"/>
        <v>40.123865600000002</v>
      </c>
      <c r="R30" s="16">
        <f t="shared" si="12"/>
        <v>62.693539999999999</v>
      </c>
      <c r="S30" s="16">
        <f t="shared" si="13"/>
        <v>62.693539999999999</v>
      </c>
      <c r="T30" s="17">
        <f t="shared" si="2"/>
        <v>102.8174056</v>
      </c>
      <c r="U30" s="44">
        <f t="shared" si="7"/>
        <v>0</v>
      </c>
      <c r="V30" s="46">
        <f t="shared" si="8"/>
        <v>11.890319999999999</v>
      </c>
    </row>
    <row r="31" spans="1:75" ht="12.95" customHeight="1" x14ac:dyDescent="0.25">
      <c r="A31" s="8">
        <v>26</v>
      </c>
      <c r="B31" s="8" t="s">
        <v>90</v>
      </c>
      <c r="C31" s="9" t="s">
        <v>91</v>
      </c>
      <c r="D31" s="9" t="s">
        <v>84</v>
      </c>
      <c r="E31" s="10" t="s">
        <v>22</v>
      </c>
      <c r="F31" s="18">
        <v>297.25799999999998</v>
      </c>
      <c r="G31" s="41">
        <f t="shared" si="3"/>
        <v>11.890319999999999</v>
      </c>
      <c r="H31" s="11">
        <f t="shared" si="4"/>
        <v>309.14831999999996</v>
      </c>
      <c r="I31" s="18">
        <v>192.40000000000003</v>
      </c>
      <c r="J31" s="12">
        <f t="shared" si="5"/>
        <v>501.54831999999999</v>
      </c>
      <c r="K31" s="13">
        <f t="shared" si="9"/>
        <v>-40.123865600000002</v>
      </c>
      <c r="L31" s="19"/>
      <c r="M31" s="15">
        <f t="shared" si="6"/>
        <v>461.4244544</v>
      </c>
      <c r="N31" s="20"/>
      <c r="O31" s="16">
        <f t="shared" si="10"/>
        <v>35.108382400000004</v>
      </c>
      <c r="P31" s="16">
        <f t="shared" si="11"/>
        <v>5.0154832000000003</v>
      </c>
      <c r="Q31" s="16">
        <f t="shared" si="0"/>
        <v>40.123865600000002</v>
      </c>
      <c r="R31" s="16">
        <f t="shared" si="12"/>
        <v>62.693539999999999</v>
      </c>
      <c r="S31" s="16">
        <f t="shared" si="13"/>
        <v>62.693539999999999</v>
      </c>
      <c r="T31" s="17">
        <f t="shared" si="2"/>
        <v>102.8174056</v>
      </c>
      <c r="U31" s="44">
        <f t="shared" si="7"/>
        <v>0</v>
      </c>
      <c r="V31" s="46">
        <f t="shared" si="8"/>
        <v>11.890319999999999</v>
      </c>
    </row>
    <row r="32" spans="1:75" ht="12.95" customHeight="1" x14ac:dyDescent="0.25">
      <c r="A32" s="8">
        <v>27</v>
      </c>
      <c r="B32" s="8" t="s">
        <v>92</v>
      </c>
      <c r="C32" s="9" t="s">
        <v>93</v>
      </c>
      <c r="D32" s="9" t="s">
        <v>94</v>
      </c>
      <c r="E32" s="10" t="s">
        <v>22</v>
      </c>
      <c r="F32" s="18">
        <v>320.74199999999996</v>
      </c>
      <c r="G32" s="41">
        <f t="shared" si="3"/>
        <v>12.829679999999998</v>
      </c>
      <c r="H32" s="11">
        <f t="shared" si="4"/>
        <v>333.57167999999996</v>
      </c>
      <c r="I32" s="18">
        <v>207.60000000000002</v>
      </c>
      <c r="J32" s="12">
        <f t="shared" si="5"/>
        <v>541.17167999999992</v>
      </c>
      <c r="K32" s="13">
        <f t="shared" si="9"/>
        <v>-43.293734399999998</v>
      </c>
      <c r="L32" s="19"/>
      <c r="M32" s="15">
        <f t="shared" si="6"/>
        <v>497.87794559999992</v>
      </c>
      <c r="N32" s="20"/>
      <c r="O32" s="16">
        <f t="shared" si="10"/>
        <v>37.882017599999998</v>
      </c>
      <c r="P32" s="16">
        <f t="shared" si="11"/>
        <v>5.4117167999999998</v>
      </c>
      <c r="Q32" s="16">
        <f t="shared" si="0"/>
        <v>43.293734399999998</v>
      </c>
      <c r="R32" s="16">
        <f t="shared" si="12"/>
        <v>67.64645999999999</v>
      </c>
      <c r="S32" s="16">
        <f t="shared" si="13"/>
        <v>67.64645999999999</v>
      </c>
      <c r="T32" s="17">
        <f t="shared" si="2"/>
        <v>110.9401944</v>
      </c>
      <c r="U32" s="44">
        <f t="shared" si="7"/>
        <v>0</v>
      </c>
      <c r="V32" s="46">
        <f t="shared" si="8"/>
        <v>12.829679999999998</v>
      </c>
    </row>
    <row r="33" spans="1:75" ht="12.95" customHeight="1" x14ac:dyDescent="0.25">
      <c r="A33" s="8">
        <v>28</v>
      </c>
      <c r="B33" s="8" t="s">
        <v>95</v>
      </c>
      <c r="C33" s="9" t="s">
        <v>96</v>
      </c>
      <c r="D33" s="9" t="s">
        <v>97</v>
      </c>
      <c r="E33" s="10" t="s">
        <v>22</v>
      </c>
      <c r="F33" s="18">
        <v>320.74199999999996</v>
      </c>
      <c r="G33" s="41">
        <f t="shared" si="3"/>
        <v>12.829679999999998</v>
      </c>
      <c r="H33" s="11">
        <f t="shared" si="4"/>
        <v>333.57167999999996</v>
      </c>
      <c r="I33" s="18">
        <v>207.60000000000002</v>
      </c>
      <c r="J33" s="12">
        <f t="shared" si="5"/>
        <v>541.17167999999992</v>
      </c>
      <c r="K33" s="13">
        <f t="shared" si="9"/>
        <v>-43.293734399999998</v>
      </c>
      <c r="L33" s="19"/>
      <c r="M33" s="15">
        <f t="shared" si="6"/>
        <v>497.87794559999992</v>
      </c>
      <c r="N33" s="20"/>
      <c r="O33" s="16">
        <f t="shared" si="10"/>
        <v>37.882017599999998</v>
      </c>
      <c r="P33" s="16">
        <f t="shared" si="11"/>
        <v>5.4117167999999998</v>
      </c>
      <c r="Q33" s="16">
        <f t="shared" si="0"/>
        <v>43.293734399999998</v>
      </c>
      <c r="R33" s="16">
        <f t="shared" si="12"/>
        <v>67.64645999999999</v>
      </c>
      <c r="S33" s="16">
        <f t="shared" si="13"/>
        <v>67.64645999999999</v>
      </c>
      <c r="T33" s="17">
        <f t="shared" si="2"/>
        <v>110.9401944</v>
      </c>
      <c r="U33" s="44">
        <f t="shared" si="7"/>
        <v>0</v>
      </c>
      <c r="V33" s="46">
        <f t="shared" si="8"/>
        <v>12.829679999999998</v>
      </c>
    </row>
    <row r="34" spans="1:75" ht="12.95" customHeight="1" x14ac:dyDescent="0.25">
      <c r="A34" s="8">
        <v>29</v>
      </c>
      <c r="B34" s="8" t="s">
        <v>98</v>
      </c>
      <c r="C34" s="9" t="s">
        <v>99</v>
      </c>
      <c r="D34" s="9" t="s">
        <v>97</v>
      </c>
      <c r="E34" s="10" t="s">
        <v>34</v>
      </c>
      <c r="F34" s="18">
        <v>278.10000000000002</v>
      </c>
      <c r="G34" s="41">
        <f t="shared" si="3"/>
        <v>11.124000000000001</v>
      </c>
      <c r="H34" s="11">
        <f t="shared" si="4"/>
        <v>289.22400000000005</v>
      </c>
      <c r="I34" s="18">
        <v>180</v>
      </c>
      <c r="J34" s="12">
        <f t="shared" si="5"/>
        <v>469.22400000000005</v>
      </c>
      <c r="K34" s="13">
        <v>0</v>
      </c>
      <c r="L34" s="19"/>
      <c r="M34" s="15">
        <f t="shared" si="6"/>
        <v>469.22400000000005</v>
      </c>
      <c r="N34" s="20"/>
      <c r="O34" s="21">
        <v>0</v>
      </c>
      <c r="P34" s="21">
        <v>0</v>
      </c>
      <c r="Q34" s="21">
        <v>0</v>
      </c>
      <c r="R34" s="21">
        <v>0</v>
      </c>
      <c r="S34" s="21">
        <f>R34</f>
        <v>0</v>
      </c>
      <c r="T34" s="21">
        <v>0</v>
      </c>
      <c r="U34" s="44">
        <f t="shared" si="7"/>
        <v>0</v>
      </c>
      <c r="V34" s="46">
        <f t="shared" si="8"/>
        <v>11.124000000000001</v>
      </c>
    </row>
    <row r="35" spans="1:75" ht="12.95" customHeight="1" x14ac:dyDescent="0.25">
      <c r="A35" s="8">
        <v>30</v>
      </c>
      <c r="B35" s="8" t="s">
        <v>100</v>
      </c>
      <c r="C35" s="9" t="s">
        <v>101</v>
      </c>
      <c r="D35" s="9" t="s">
        <v>102</v>
      </c>
      <c r="E35" s="10" t="s">
        <v>22</v>
      </c>
      <c r="F35" s="18">
        <v>283.10579999999999</v>
      </c>
      <c r="G35" s="41">
        <f t="shared" si="3"/>
        <v>11.324232</v>
      </c>
      <c r="H35" s="11">
        <f t="shared" si="4"/>
        <v>294.43003199999998</v>
      </c>
      <c r="I35" s="18">
        <v>183.24</v>
      </c>
      <c r="J35" s="12">
        <f t="shared" si="5"/>
        <v>477.67003199999999</v>
      </c>
      <c r="K35" s="13">
        <f t="shared" ref="K35:K43" si="14">-J35*8%</f>
        <v>-38.213602559999998</v>
      </c>
      <c r="L35" s="19"/>
      <c r="M35" s="15">
        <f t="shared" si="6"/>
        <v>439.45642943999997</v>
      </c>
      <c r="N35" s="20"/>
      <c r="O35" s="16">
        <f t="shared" ref="O35:O43" si="15">J35*0.07</f>
        <v>33.436902240000002</v>
      </c>
      <c r="P35" s="16">
        <f t="shared" ref="P35:P43" si="16">J35*0.01</f>
        <v>4.7767003199999998</v>
      </c>
      <c r="Q35" s="16">
        <f t="shared" si="0"/>
        <v>38.213602559999998</v>
      </c>
      <c r="R35" s="16">
        <f t="shared" ref="R35:R43" si="17">J35*0.125</f>
        <v>59.708753999999999</v>
      </c>
      <c r="S35" s="16">
        <f t="shared" si="13"/>
        <v>59.708753999999999</v>
      </c>
      <c r="T35" s="17">
        <f t="shared" ref="T35:T43" si="18">Q35+S35</f>
        <v>97.922356559999997</v>
      </c>
      <c r="U35" s="44">
        <f t="shared" si="7"/>
        <v>0</v>
      </c>
      <c r="V35" s="46">
        <f t="shared" si="8"/>
        <v>11.324232</v>
      </c>
    </row>
    <row r="36" spans="1:75" s="23" customFormat="1" ht="12.95" customHeight="1" x14ac:dyDescent="0.25">
      <c r="A36" s="8">
        <v>31</v>
      </c>
      <c r="B36" s="8" t="s">
        <v>103</v>
      </c>
      <c r="C36" s="9" t="s">
        <v>104</v>
      </c>
      <c r="D36" s="9" t="s">
        <v>102</v>
      </c>
      <c r="E36" s="10" t="s">
        <v>22</v>
      </c>
      <c r="F36" s="18">
        <v>283.10579999999999</v>
      </c>
      <c r="G36" s="41">
        <f t="shared" si="3"/>
        <v>11.324232</v>
      </c>
      <c r="H36" s="11">
        <f t="shared" si="4"/>
        <v>294.43003199999998</v>
      </c>
      <c r="I36" s="18">
        <v>183.24</v>
      </c>
      <c r="J36" s="12">
        <f t="shared" si="5"/>
        <v>477.67003199999999</v>
      </c>
      <c r="K36" s="13">
        <f t="shared" si="14"/>
        <v>-38.213602559999998</v>
      </c>
      <c r="L36" s="19">
        <v>0</v>
      </c>
      <c r="M36" s="15">
        <f t="shared" si="6"/>
        <v>439.45642943999997</v>
      </c>
      <c r="N36" s="20"/>
      <c r="O36" s="16">
        <f t="shared" si="15"/>
        <v>33.436902240000002</v>
      </c>
      <c r="P36" s="16">
        <f t="shared" si="16"/>
        <v>4.7767003199999998</v>
      </c>
      <c r="Q36" s="16">
        <f t="shared" si="0"/>
        <v>38.213602559999998</v>
      </c>
      <c r="R36" s="16">
        <f t="shared" si="17"/>
        <v>59.708753999999999</v>
      </c>
      <c r="S36" s="16">
        <f t="shared" si="13"/>
        <v>59.708753999999999</v>
      </c>
      <c r="T36" s="17">
        <f t="shared" si="18"/>
        <v>97.922356559999997</v>
      </c>
      <c r="U36" s="44">
        <f t="shared" si="7"/>
        <v>0</v>
      </c>
      <c r="V36" s="46">
        <f t="shared" si="8"/>
        <v>11.324232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</row>
    <row r="37" spans="1:75" ht="12.95" customHeight="1" x14ac:dyDescent="0.25">
      <c r="A37" s="8">
        <v>32</v>
      </c>
      <c r="B37" s="8" t="s">
        <v>105</v>
      </c>
      <c r="C37" s="9" t="s">
        <v>106</v>
      </c>
      <c r="D37" s="9" t="s">
        <v>102</v>
      </c>
      <c r="E37" s="10" t="s">
        <v>22</v>
      </c>
      <c r="F37" s="18">
        <v>283.10579999999999</v>
      </c>
      <c r="G37" s="41">
        <f t="shared" si="3"/>
        <v>11.324232</v>
      </c>
      <c r="H37" s="11">
        <f t="shared" si="4"/>
        <v>294.43003199999998</v>
      </c>
      <c r="I37" s="18">
        <v>183.24</v>
      </c>
      <c r="J37" s="12">
        <f t="shared" si="5"/>
        <v>477.67003199999999</v>
      </c>
      <c r="K37" s="13">
        <f t="shared" si="14"/>
        <v>-38.213602559999998</v>
      </c>
      <c r="L37" s="19"/>
      <c r="M37" s="15">
        <f t="shared" si="6"/>
        <v>439.45642943999997</v>
      </c>
      <c r="N37" s="20"/>
      <c r="O37" s="16">
        <f t="shared" si="15"/>
        <v>33.436902240000002</v>
      </c>
      <c r="P37" s="16">
        <f t="shared" si="16"/>
        <v>4.7767003199999998</v>
      </c>
      <c r="Q37" s="16">
        <f t="shared" si="0"/>
        <v>38.213602559999998</v>
      </c>
      <c r="R37" s="16">
        <f t="shared" si="17"/>
        <v>59.708753999999999</v>
      </c>
      <c r="S37" s="16">
        <f t="shared" si="13"/>
        <v>59.708753999999999</v>
      </c>
      <c r="T37" s="17">
        <f t="shared" si="18"/>
        <v>97.922356559999997</v>
      </c>
      <c r="U37" s="44">
        <f t="shared" si="7"/>
        <v>0</v>
      </c>
      <c r="V37" s="46">
        <f t="shared" si="8"/>
        <v>11.324232</v>
      </c>
    </row>
    <row r="38" spans="1:75" ht="12.95" customHeight="1" x14ac:dyDescent="0.25">
      <c r="A38" s="8">
        <v>33</v>
      </c>
      <c r="B38" s="8" t="s">
        <v>107</v>
      </c>
      <c r="C38" s="9" t="s">
        <v>108</v>
      </c>
      <c r="D38" s="9" t="s">
        <v>102</v>
      </c>
      <c r="E38" s="10" t="s">
        <v>22</v>
      </c>
      <c r="F38" s="18">
        <v>283.10579999999999</v>
      </c>
      <c r="G38" s="41">
        <f t="shared" si="3"/>
        <v>11.324232</v>
      </c>
      <c r="H38" s="11">
        <f t="shared" si="4"/>
        <v>294.43003199999998</v>
      </c>
      <c r="I38" s="18">
        <v>183.24</v>
      </c>
      <c r="J38" s="12">
        <f t="shared" si="5"/>
        <v>477.67003199999999</v>
      </c>
      <c r="K38" s="13">
        <f t="shared" si="14"/>
        <v>-38.213602559999998</v>
      </c>
      <c r="L38" s="19"/>
      <c r="M38" s="15">
        <f t="shared" si="6"/>
        <v>439.45642943999997</v>
      </c>
      <c r="N38" s="20"/>
      <c r="O38" s="16">
        <f t="shared" si="15"/>
        <v>33.436902240000002</v>
      </c>
      <c r="P38" s="16">
        <f t="shared" si="16"/>
        <v>4.7767003199999998</v>
      </c>
      <c r="Q38" s="16">
        <f t="shared" si="0"/>
        <v>38.213602559999998</v>
      </c>
      <c r="R38" s="16">
        <f t="shared" si="17"/>
        <v>59.708753999999999</v>
      </c>
      <c r="S38" s="16">
        <f t="shared" si="13"/>
        <v>59.708753999999999</v>
      </c>
      <c r="T38" s="17">
        <f t="shared" si="18"/>
        <v>97.922356559999997</v>
      </c>
      <c r="U38" s="44">
        <f t="shared" si="7"/>
        <v>0</v>
      </c>
      <c r="V38" s="46">
        <f t="shared" si="8"/>
        <v>11.324232</v>
      </c>
    </row>
    <row r="39" spans="1:75" s="23" customFormat="1" ht="12.95" customHeight="1" x14ac:dyDescent="0.25">
      <c r="A39" s="8">
        <v>34</v>
      </c>
      <c r="B39" s="8" t="s">
        <v>109</v>
      </c>
      <c r="C39" s="9" t="s">
        <v>110</v>
      </c>
      <c r="D39" s="9" t="s">
        <v>102</v>
      </c>
      <c r="E39" s="10" t="s">
        <v>22</v>
      </c>
      <c r="F39" s="18">
        <v>283.10579999999999</v>
      </c>
      <c r="G39" s="41">
        <f t="shared" si="3"/>
        <v>11.324232</v>
      </c>
      <c r="H39" s="11">
        <f t="shared" si="4"/>
        <v>294.43003199999998</v>
      </c>
      <c r="I39" s="18">
        <v>183.24</v>
      </c>
      <c r="J39" s="12">
        <f t="shared" si="5"/>
        <v>477.67003199999999</v>
      </c>
      <c r="K39" s="13">
        <f t="shared" si="14"/>
        <v>-38.213602559999998</v>
      </c>
      <c r="L39" s="19"/>
      <c r="M39" s="15">
        <f t="shared" si="6"/>
        <v>439.45642943999997</v>
      </c>
      <c r="N39" s="20"/>
      <c r="O39" s="16">
        <f t="shared" si="15"/>
        <v>33.436902240000002</v>
      </c>
      <c r="P39" s="16">
        <f t="shared" si="16"/>
        <v>4.7767003199999998</v>
      </c>
      <c r="Q39" s="16">
        <f t="shared" si="0"/>
        <v>38.213602559999998</v>
      </c>
      <c r="R39" s="16">
        <f t="shared" si="17"/>
        <v>59.708753999999999</v>
      </c>
      <c r="S39" s="16">
        <f t="shared" si="13"/>
        <v>59.708753999999999</v>
      </c>
      <c r="T39" s="17">
        <f t="shared" si="18"/>
        <v>97.922356559999997</v>
      </c>
      <c r="U39" s="44">
        <f t="shared" si="7"/>
        <v>0</v>
      </c>
      <c r="V39" s="46">
        <f t="shared" si="8"/>
        <v>11.324232</v>
      </c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</row>
    <row r="40" spans="1:75" ht="12.95" customHeight="1" x14ac:dyDescent="0.25">
      <c r="A40" s="8">
        <v>35</v>
      </c>
      <c r="B40" s="8">
        <v>19455653</v>
      </c>
      <c r="C40" s="9" t="s">
        <v>111</v>
      </c>
      <c r="D40" s="9" t="s">
        <v>102</v>
      </c>
      <c r="E40" s="10" t="s">
        <v>22</v>
      </c>
      <c r="F40" s="18">
        <v>283.10579999999999</v>
      </c>
      <c r="G40" s="41">
        <f t="shared" si="3"/>
        <v>11.324232</v>
      </c>
      <c r="H40" s="11">
        <f t="shared" si="4"/>
        <v>294.43003199999998</v>
      </c>
      <c r="I40" s="18">
        <v>183.24</v>
      </c>
      <c r="J40" s="12">
        <f t="shared" si="5"/>
        <v>477.67003199999999</v>
      </c>
      <c r="K40" s="13">
        <f t="shared" si="14"/>
        <v>-38.213602559999998</v>
      </c>
      <c r="L40" s="19"/>
      <c r="M40" s="15">
        <f t="shared" si="6"/>
        <v>439.45642943999997</v>
      </c>
      <c r="N40" s="20"/>
      <c r="O40" s="16">
        <f t="shared" si="15"/>
        <v>33.436902240000002</v>
      </c>
      <c r="P40" s="16">
        <f t="shared" si="16"/>
        <v>4.7767003199999998</v>
      </c>
      <c r="Q40" s="16">
        <f t="shared" si="0"/>
        <v>38.213602559999998</v>
      </c>
      <c r="R40" s="16">
        <f t="shared" si="17"/>
        <v>59.708753999999999</v>
      </c>
      <c r="S40" s="16">
        <f t="shared" si="13"/>
        <v>59.708753999999999</v>
      </c>
      <c r="T40" s="17">
        <f t="shared" si="18"/>
        <v>97.922356559999997</v>
      </c>
      <c r="U40" s="44">
        <f t="shared" si="7"/>
        <v>0</v>
      </c>
      <c r="V40" s="46">
        <f t="shared" si="8"/>
        <v>11.324232</v>
      </c>
    </row>
    <row r="41" spans="1:75" ht="12.95" customHeight="1" x14ac:dyDescent="0.25">
      <c r="A41" s="8">
        <v>36</v>
      </c>
      <c r="B41" s="8" t="s">
        <v>112</v>
      </c>
      <c r="C41" s="9" t="s">
        <v>113</v>
      </c>
      <c r="D41" s="9" t="s">
        <v>102</v>
      </c>
      <c r="E41" s="10" t="s">
        <v>22</v>
      </c>
      <c r="F41" s="18">
        <v>278.10000000000002</v>
      </c>
      <c r="G41" s="41">
        <f t="shared" si="3"/>
        <v>11.124000000000001</v>
      </c>
      <c r="H41" s="11">
        <f t="shared" si="4"/>
        <v>289.22400000000005</v>
      </c>
      <c r="I41" s="18">
        <v>180</v>
      </c>
      <c r="J41" s="12">
        <f t="shared" si="5"/>
        <v>469.22400000000005</v>
      </c>
      <c r="K41" s="13">
        <f t="shared" si="14"/>
        <v>-37.537920000000007</v>
      </c>
      <c r="L41" s="19"/>
      <c r="M41" s="15">
        <f t="shared" si="6"/>
        <v>431.68608000000006</v>
      </c>
      <c r="N41" s="20"/>
      <c r="O41" s="16">
        <f t="shared" si="15"/>
        <v>32.845680000000009</v>
      </c>
      <c r="P41" s="16">
        <f t="shared" si="16"/>
        <v>4.6922400000000009</v>
      </c>
      <c r="Q41" s="16">
        <f t="shared" si="0"/>
        <v>37.537920000000007</v>
      </c>
      <c r="R41" s="16">
        <f t="shared" si="17"/>
        <v>58.653000000000006</v>
      </c>
      <c r="S41" s="16">
        <f t="shared" si="13"/>
        <v>58.653000000000006</v>
      </c>
      <c r="T41" s="17">
        <f t="shared" si="18"/>
        <v>96.190920000000006</v>
      </c>
      <c r="U41" s="44">
        <f t="shared" si="7"/>
        <v>0</v>
      </c>
      <c r="V41" s="46">
        <f t="shared" si="8"/>
        <v>11.124000000000001</v>
      </c>
    </row>
    <row r="42" spans="1:75" ht="12.95" customHeight="1" x14ac:dyDescent="0.25">
      <c r="A42" s="8">
        <v>37</v>
      </c>
      <c r="B42" s="8" t="s">
        <v>114</v>
      </c>
      <c r="C42" s="9" t="s">
        <v>115</v>
      </c>
      <c r="D42" s="9" t="s">
        <v>102</v>
      </c>
      <c r="E42" s="10" t="s">
        <v>22</v>
      </c>
      <c r="F42" s="18">
        <v>278.10000000000002</v>
      </c>
      <c r="G42" s="41">
        <f t="shared" si="3"/>
        <v>11.124000000000001</v>
      </c>
      <c r="H42" s="11">
        <f t="shared" si="4"/>
        <v>289.22400000000005</v>
      </c>
      <c r="I42" s="18">
        <v>180</v>
      </c>
      <c r="J42" s="12">
        <f t="shared" si="5"/>
        <v>469.22400000000005</v>
      </c>
      <c r="K42" s="13">
        <f t="shared" si="14"/>
        <v>-37.537920000000007</v>
      </c>
      <c r="L42" s="19"/>
      <c r="M42" s="15">
        <f t="shared" si="6"/>
        <v>431.68608000000006</v>
      </c>
      <c r="N42" s="20"/>
      <c r="O42" s="16">
        <f t="shared" si="15"/>
        <v>32.845680000000009</v>
      </c>
      <c r="P42" s="16">
        <f t="shared" si="16"/>
        <v>4.6922400000000009</v>
      </c>
      <c r="Q42" s="16">
        <f t="shared" si="0"/>
        <v>37.537920000000007</v>
      </c>
      <c r="R42" s="16">
        <f t="shared" si="17"/>
        <v>58.653000000000006</v>
      </c>
      <c r="S42" s="16">
        <f t="shared" si="13"/>
        <v>58.653000000000006</v>
      </c>
      <c r="T42" s="17">
        <f t="shared" si="18"/>
        <v>96.190920000000006</v>
      </c>
      <c r="U42" s="44">
        <f t="shared" si="7"/>
        <v>0</v>
      </c>
      <c r="V42" s="46">
        <f t="shared" si="8"/>
        <v>11.124000000000001</v>
      </c>
    </row>
    <row r="43" spans="1:75" ht="12.95" customHeight="1" x14ac:dyDescent="0.25">
      <c r="A43" s="8">
        <v>38</v>
      </c>
      <c r="B43" s="8" t="s">
        <v>116</v>
      </c>
      <c r="C43" s="9" t="s">
        <v>117</v>
      </c>
      <c r="D43" s="9" t="s">
        <v>102</v>
      </c>
      <c r="E43" s="10" t="s">
        <v>22</v>
      </c>
      <c r="F43" s="18">
        <v>278.10000000000002</v>
      </c>
      <c r="G43" s="41">
        <f t="shared" si="3"/>
        <v>11.124000000000001</v>
      </c>
      <c r="H43" s="11">
        <f t="shared" si="4"/>
        <v>289.22400000000005</v>
      </c>
      <c r="I43" s="18">
        <v>180</v>
      </c>
      <c r="J43" s="12">
        <f t="shared" si="5"/>
        <v>469.22400000000005</v>
      </c>
      <c r="K43" s="13">
        <f t="shared" si="14"/>
        <v>-37.537920000000007</v>
      </c>
      <c r="L43" s="19"/>
      <c r="M43" s="15">
        <f t="shared" si="6"/>
        <v>431.68608000000006</v>
      </c>
      <c r="N43" s="20"/>
      <c r="O43" s="16">
        <f t="shared" si="15"/>
        <v>32.845680000000009</v>
      </c>
      <c r="P43" s="16">
        <f t="shared" si="16"/>
        <v>4.6922400000000009</v>
      </c>
      <c r="Q43" s="16">
        <f t="shared" si="0"/>
        <v>37.537920000000007</v>
      </c>
      <c r="R43" s="16">
        <f t="shared" si="17"/>
        <v>58.653000000000006</v>
      </c>
      <c r="S43" s="16">
        <f t="shared" si="13"/>
        <v>58.653000000000006</v>
      </c>
      <c r="T43" s="17">
        <f t="shared" si="18"/>
        <v>96.190920000000006</v>
      </c>
      <c r="U43" s="44">
        <f t="shared" si="7"/>
        <v>0</v>
      </c>
      <c r="V43" s="46">
        <f t="shared" si="8"/>
        <v>11.124000000000001</v>
      </c>
    </row>
    <row r="44" spans="1:75" ht="12.95" customHeight="1" x14ac:dyDescent="0.25">
      <c r="A44" s="8">
        <v>39</v>
      </c>
      <c r="B44" s="8" t="s">
        <v>118</v>
      </c>
      <c r="C44" s="9" t="s">
        <v>119</v>
      </c>
      <c r="D44" s="9" t="s">
        <v>120</v>
      </c>
      <c r="E44" s="10" t="s">
        <v>34</v>
      </c>
      <c r="F44" s="18">
        <v>216.3</v>
      </c>
      <c r="G44" s="41">
        <f t="shared" si="3"/>
        <v>8.652000000000001</v>
      </c>
      <c r="H44" s="11">
        <f t="shared" si="4"/>
        <v>224.952</v>
      </c>
      <c r="I44" s="18">
        <v>140</v>
      </c>
      <c r="J44" s="12">
        <f t="shared" si="5"/>
        <v>364.952</v>
      </c>
      <c r="K44" s="13">
        <v>0</v>
      </c>
      <c r="L44" s="19"/>
      <c r="M44" s="15">
        <f t="shared" si="6"/>
        <v>364.952</v>
      </c>
      <c r="N44" s="20"/>
      <c r="O44" s="21">
        <v>0</v>
      </c>
      <c r="P44" s="21">
        <v>0</v>
      </c>
      <c r="Q44" s="21">
        <v>0</v>
      </c>
      <c r="R44" s="21">
        <v>0</v>
      </c>
      <c r="S44" s="21">
        <f t="shared" si="13"/>
        <v>0</v>
      </c>
      <c r="T44" s="21">
        <v>0</v>
      </c>
      <c r="U44" s="44">
        <f t="shared" si="7"/>
        <v>0</v>
      </c>
      <c r="V44" s="46">
        <f t="shared" si="8"/>
        <v>8.652000000000001</v>
      </c>
    </row>
    <row r="45" spans="1:75" ht="12.95" customHeight="1" x14ac:dyDescent="0.25">
      <c r="A45" s="8">
        <v>40</v>
      </c>
      <c r="B45" s="8" t="s">
        <v>121</v>
      </c>
      <c r="C45" s="9" t="s">
        <v>122</v>
      </c>
      <c r="D45" s="9" t="s">
        <v>120</v>
      </c>
      <c r="E45" s="10" t="s">
        <v>34</v>
      </c>
      <c r="F45" s="18">
        <v>216.3</v>
      </c>
      <c r="G45" s="41">
        <f t="shared" si="3"/>
        <v>8.652000000000001</v>
      </c>
      <c r="H45" s="11">
        <f t="shared" si="4"/>
        <v>224.952</v>
      </c>
      <c r="I45" s="18">
        <v>140</v>
      </c>
      <c r="J45" s="12">
        <f t="shared" si="5"/>
        <v>364.952</v>
      </c>
      <c r="K45" s="13">
        <v>0</v>
      </c>
      <c r="L45" s="19"/>
      <c r="M45" s="15">
        <f t="shared" si="6"/>
        <v>364.952</v>
      </c>
      <c r="N45" s="20"/>
      <c r="O45" s="21">
        <v>0</v>
      </c>
      <c r="P45" s="21">
        <v>0</v>
      </c>
      <c r="Q45" s="21">
        <v>0</v>
      </c>
      <c r="R45" s="21">
        <v>0</v>
      </c>
      <c r="S45" s="21">
        <f t="shared" si="13"/>
        <v>0</v>
      </c>
      <c r="T45" s="21">
        <v>0</v>
      </c>
      <c r="U45" s="44">
        <f t="shared" si="7"/>
        <v>0</v>
      </c>
      <c r="V45" s="46">
        <f t="shared" si="8"/>
        <v>8.652000000000001</v>
      </c>
    </row>
    <row r="46" spans="1:75" ht="12.95" customHeight="1" thickBot="1" x14ac:dyDescent="0.3">
      <c r="A46" s="129" t="s">
        <v>123</v>
      </c>
      <c r="B46" s="130"/>
      <c r="C46" s="131"/>
      <c r="D46" s="25"/>
      <c r="E46" s="26"/>
      <c r="F46" s="27">
        <f t="shared" ref="F46:T46" si="19">SUM(F6:F45)</f>
        <v>16767.867409999995</v>
      </c>
      <c r="G46" s="27">
        <f t="shared" si="19"/>
        <v>670.71469640000043</v>
      </c>
      <c r="H46" s="27">
        <f t="shared" si="19"/>
        <v>17438.582106399997</v>
      </c>
      <c r="I46" s="27">
        <f t="shared" si="19"/>
        <v>9980.3579999999984</v>
      </c>
      <c r="J46" s="27">
        <f t="shared" si="19"/>
        <v>27418.940106400016</v>
      </c>
      <c r="K46" s="27">
        <f t="shared" si="19"/>
        <v>-1726.3274385920006</v>
      </c>
      <c r="L46" s="27">
        <f t="shared" si="19"/>
        <v>0</v>
      </c>
      <c r="M46" s="27">
        <f t="shared" si="19"/>
        <v>25692.612667808007</v>
      </c>
      <c r="N46" s="28"/>
      <c r="O46" s="28">
        <f t="shared" si="19"/>
        <v>1510.5365087680002</v>
      </c>
      <c r="P46" s="28">
        <f t="shared" si="19"/>
        <v>215.79092982400007</v>
      </c>
      <c r="Q46" s="28">
        <f t="shared" si="19"/>
        <v>1726.3274385920006</v>
      </c>
      <c r="R46" s="28">
        <f t="shared" si="19"/>
        <v>2697.3866228000002</v>
      </c>
      <c r="S46" s="28">
        <f t="shared" si="19"/>
        <v>2697.3866228000002</v>
      </c>
      <c r="T46" s="28">
        <f t="shared" si="19"/>
        <v>4423.7140613919983</v>
      </c>
      <c r="U46" s="45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</row>
    <row r="50" spans="1:14" x14ac:dyDescent="0.25">
      <c r="A50" s="29"/>
      <c r="B50" s="29"/>
      <c r="C50" s="30"/>
      <c r="D50" s="29"/>
      <c r="E50" s="31"/>
      <c r="F50" s="29"/>
      <c r="G50" s="29"/>
      <c r="H50" s="29"/>
      <c r="I50" s="29"/>
      <c r="J50" s="29"/>
      <c r="K50" s="29"/>
      <c r="L50" s="29"/>
      <c r="M50" s="29"/>
      <c r="N50" s="29"/>
    </row>
    <row r="51" spans="1:14" ht="15.75" x14ac:dyDescent="0.25">
      <c r="A51" s="32" t="s">
        <v>124</v>
      </c>
      <c r="B51" s="32"/>
      <c r="C51" s="33"/>
      <c r="D51" s="132" t="s">
        <v>125</v>
      </c>
      <c r="E51" s="132"/>
      <c r="I51" s="132" t="s">
        <v>126</v>
      </c>
      <c r="J51" s="132"/>
      <c r="K51" s="132"/>
      <c r="L51" s="32"/>
    </row>
    <row r="52" spans="1:14" ht="15.75" x14ac:dyDescent="0.25">
      <c r="A52" s="32" t="s">
        <v>127</v>
      </c>
      <c r="B52" s="32"/>
      <c r="C52" s="33"/>
      <c r="D52" s="132" t="s">
        <v>40</v>
      </c>
      <c r="E52" s="132"/>
      <c r="I52" s="132" t="s">
        <v>128</v>
      </c>
      <c r="J52" s="132"/>
      <c r="K52" s="132"/>
      <c r="L52" s="32"/>
    </row>
    <row r="53" spans="1:14" x14ac:dyDescent="0.25">
      <c r="A53" s="29"/>
      <c r="B53" s="29"/>
      <c r="C53" s="30"/>
      <c r="D53" s="29"/>
      <c r="E53" s="31"/>
      <c r="F53" s="29"/>
      <c r="G53" s="29"/>
      <c r="H53" s="29"/>
      <c r="I53" s="29"/>
      <c r="J53" s="29"/>
      <c r="K53" s="29"/>
      <c r="L53" s="29"/>
    </row>
    <row r="58" spans="1:14" x14ac:dyDescent="0.25">
      <c r="I58">
        <f>469.01+50</f>
        <v>519.01</v>
      </c>
      <c r="M58" s="36" t="e">
        <v>#REF!</v>
      </c>
    </row>
    <row r="59" spans="1:14" x14ac:dyDescent="0.25">
      <c r="I59">
        <f>I58*70%</f>
        <v>363.30699999999996</v>
      </c>
    </row>
    <row r="60" spans="1:14" x14ac:dyDescent="0.25">
      <c r="I60">
        <f>I58-I59</f>
        <v>155.70300000000003</v>
      </c>
    </row>
  </sheetData>
  <autoFilter ref="A5:R46" xr:uid="{CC91E617-E74A-43C7-83B5-87CCEEC49519}"/>
  <mergeCells count="12">
    <mergeCell ref="C1:N1"/>
    <mergeCell ref="O1:T3"/>
    <mergeCell ref="C2:N2"/>
    <mergeCell ref="A4:M4"/>
    <mergeCell ref="O4:Q4"/>
    <mergeCell ref="R4:S4"/>
    <mergeCell ref="T4:T5"/>
    <mergeCell ref="A46:C46"/>
    <mergeCell ref="D51:E51"/>
    <mergeCell ref="I51:K51"/>
    <mergeCell ref="D52:E52"/>
    <mergeCell ref="I52:K52"/>
  </mergeCells>
  <pageMargins left="0.7" right="0.7" top="0.75" bottom="0.75" header="0.3" footer="0.3"/>
  <pageSetup paperSize="8" scale="8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5F80-D400-4732-9D5E-AA554FB8CE86}">
  <dimension ref="A1:BT24"/>
  <sheetViews>
    <sheetView showGridLines="0" view="pageBreakPreview" topLeftCell="A4" zoomScaleNormal="100" zoomScaleSheetLayoutView="100" workbookViewId="0">
      <pane xSplit="9" ySplit="2" topLeftCell="J6" activePane="bottomRight" state="frozen"/>
      <selection activeCell="A4" sqref="A4"/>
      <selection pane="topRight" activeCell="J4" sqref="J4"/>
      <selection pane="bottomLeft" activeCell="A6" sqref="A6"/>
      <selection pane="bottomRight" activeCell="A6" sqref="A6:XFD6"/>
    </sheetView>
  </sheetViews>
  <sheetFormatPr defaultRowHeight="15" x14ac:dyDescent="0.25"/>
  <cols>
    <col min="1" max="1" width="6" customWidth="1"/>
    <col min="2" max="2" width="13.140625" customWidth="1"/>
    <col min="3" max="3" width="41.7109375" style="34" customWidth="1"/>
    <col min="4" max="4" width="27.7109375" bestFit="1" customWidth="1"/>
    <col min="5" max="5" width="15.42578125" style="35" customWidth="1"/>
    <col min="6" max="7" width="16.140625" hidden="1" customWidth="1"/>
    <col min="8" max="8" width="16.140625" customWidth="1"/>
    <col min="9" max="9" width="16.28515625" customWidth="1"/>
    <col min="10" max="11" width="13.42578125" customWidth="1"/>
    <col min="12" max="13" width="11.5703125" customWidth="1"/>
    <col min="14" max="14" width="13.42578125" customWidth="1"/>
    <col min="15" max="15" width="32.7109375" customWidth="1"/>
    <col min="16" max="17" width="13.42578125" style="29" customWidth="1"/>
    <col min="18" max="18" width="13.140625" style="29" customWidth="1"/>
    <col min="19" max="20" width="12.5703125" style="29" customWidth="1"/>
    <col min="21" max="21" width="14.5703125" style="37" customWidth="1"/>
    <col min="22" max="22" width="46" style="1" bestFit="1" customWidth="1"/>
    <col min="23" max="23" width="9.28515625" style="1" bestFit="1" customWidth="1"/>
    <col min="24" max="24" width="10.5703125" style="1" bestFit="1" customWidth="1"/>
    <col min="25" max="25" width="10.28515625" style="1" bestFit="1" customWidth="1"/>
    <col min="26" max="26" width="11.7109375" style="1" bestFit="1" customWidth="1"/>
    <col min="27" max="27" width="10.140625" style="1" bestFit="1" customWidth="1"/>
    <col min="28" max="28" width="22.5703125" style="1" bestFit="1" customWidth="1"/>
    <col min="29" max="29" width="8.85546875" style="1" customWidth="1"/>
    <col min="30" max="72" width="9.140625" style="1"/>
  </cols>
  <sheetData>
    <row r="1" spans="1:72" x14ac:dyDescent="0.25">
      <c r="A1" s="1"/>
      <c r="B1" s="1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4" t="s">
        <v>0</v>
      </c>
      <c r="Q1" s="135"/>
      <c r="R1" s="135"/>
      <c r="S1" s="135"/>
      <c r="T1" s="135"/>
      <c r="U1" s="136"/>
    </row>
    <row r="2" spans="1:72" x14ac:dyDescent="0.25">
      <c r="A2" s="1"/>
      <c r="B2" s="1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7"/>
      <c r="Q2" s="138"/>
      <c r="R2" s="138"/>
      <c r="S2" s="138"/>
      <c r="T2" s="138"/>
      <c r="U2" s="139"/>
    </row>
    <row r="3" spans="1:72" ht="14.45" customHeight="1" x14ac:dyDescent="0.25">
      <c r="A3" s="1"/>
      <c r="B3" s="1"/>
      <c r="C3" s="42" t="s">
        <v>23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140"/>
      <c r="Q3" s="141"/>
      <c r="R3" s="141"/>
      <c r="S3" s="141"/>
      <c r="T3" s="141"/>
      <c r="U3" s="142"/>
    </row>
    <row r="4" spans="1:72" ht="39" customHeight="1" x14ac:dyDescent="0.55000000000000004">
      <c r="A4" s="143" t="s">
        <v>166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43"/>
      <c r="P4" s="144" t="s">
        <v>1</v>
      </c>
      <c r="Q4" s="144"/>
      <c r="R4" s="144"/>
      <c r="S4" s="145" t="s">
        <v>2</v>
      </c>
      <c r="T4" s="146"/>
      <c r="U4" s="147" t="s">
        <v>3</v>
      </c>
    </row>
    <row r="5" spans="1:72" ht="37.5" customHeight="1" x14ac:dyDescent="0.25">
      <c r="A5" s="2" t="s">
        <v>4</v>
      </c>
      <c r="B5" s="2" t="s">
        <v>5</v>
      </c>
      <c r="C5" s="2" t="s">
        <v>6</v>
      </c>
      <c r="D5" s="3" t="s">
        <v>7</v>
      </c>
      <c r="E5" s="3" t="s">
        <v>8</v>
      </c>
      <c r="F5" s="38" t="s">
        <v>9</v>
      </c>
      <c r="G5" s="40" t="s">
        <v>132</v>
      </c>
      <c r="H5" s="38" t="s">
        <v>130</v>
      </c>
      <c r="I5" s="38" t="s">
        <v>131</v>
      </c>
      <c r="J5" s="39" t="s">
        <v>129</v>
      </c>
      <c r="K5" s="4" t="s">
        <v>10</v>
      </c>
      <c r="L5" s="4" t="s">
        <v>164</v>
      </c>
      <c r="M5" s="4" t="s">
        <v>165</v>
      </c>
      <c r="N5" s="5" t="s">
        <v>12</v>
      </c>
      <c r="O5" s="5" t="s">
        <v>13</v>
      </c>
      <c r="P5" s="6" t="s">
        <v>14</v>
      </c>
      <c r="Q5" s="6" t="s">
        <v>15</v>
      </c>
      <c r="R5" s="6" t="s">
        <v>16</v>
      </c>
      <c r="S5" s="7" t="s">
        <v>17</v>
      </c>
      <c r="T5" s="6" t="s">
        <v>18</v>
      </c>
      <c r="U5" s="148"/>
      <c r="V5"/>
      <c r="W5"/>
      <c r="X5"/>
      <c r="Y5"/>
      <c r="Z5"/>
      <c r="AA5"/>
      <c r="AB5"/>
      <c r="AD5" s="55"/>
      <c r="AE5" s="55"/>
    </row>
    <row r="7" spans="1:72" ht="12.95" customHeight="1" thickBot="1" x14ac:dyDescent="0.3">
      <c r="A7" s="129" t="s">
        <v>123</v>
      </c>
      <c r="B7" s="130"/>
      <c r="C7" s="131"/>
      <c r="D7" s="25"/>
      <c r="E7" s="26"/>
      <c r="F7" s="27">
        <f>SUM('Salary 2025 - 11'!F21:F21)</f>
        <v>380.49023999999997</v>
      </c>
      <c r="G7" s="27">
        <f>SUM('Salary 2025 - 11'!G21:G21)</f>
        <v>15.219609599999998</v>
      </c>
      <c r="H7" s="27">
        <f>SUM('Salary 2025 - 11'!H21:H21)</f>
        <v>395.70984959999998</v>
      </c>
      <c r="I7" s="27">
        <f>SUM('Salary 2025 - 11'!I21:I21)</f>
        <v>236.8</v>
      </c>
      <c r="J7" s="27">
        <f>SUM('Salary 2025 - 11'!J21:J21)</f>
        <v>632.50984960000005</v>
      </c>
      <c r="K7" s="27">
        <f>SUM('Salary 2025 - 11'!K21:K21)</f>
        <v>-50.600787968000006</v>
      </c>
      <c r="L7" s="27">
        <f>SUM('Salary 2025 - 11'!M21:M21)</f>
        <v>0</v>
      </c>
      <c r="M7" s="27">
        <f>SUM('Salary 2025 - 11'!N21:N21)</f>
        <v>0</v>
      </c>
      <c r="N7" s="27">
        <f>SUM('Salary 2025 - 11'!O21:O21)</f>
        <v>581.90906163200009</v>
      </c>
      <c r="O7" s="27">
        <f>SUM('Salary 2025 - 11'!P21:P21)</f>
        <v>0</v>
      </c>
      <c r="P7" s="27">
        <f>SUM('Salary 2025 - 11'!Q21:Q21)</f>
        <v>44.27568947200001</v>
      </c>
      <c r="Q7" s="27">
        <f>SUM('Salary 2025 - 11'!R21:R21)</f>
        <v>6.3250984960000007</v>
      </c>
      <c r="R7" s="27">
        <f>SUM('Salary 2025 - 11'!S21:S21)</f>
        <v>50.600787968000013</v>
      </c>
      <c r="S7" s="27">
        <f>SUM('Salary 2025 - 11'!T21:T21)</f>
        <v>85.388829696000016</v>
      </c>
      <c r="T7" s="27">
        <f>SUM('Salary 2025 - 11'!U21:U21)</f>
        <v>85.388829696000016</v>
      </c>
      <c r="U7" s="27" t="e">
        <f>SUM('Salary 2025 - 11'!#REF!)</f>
        <v>#REF!</v>
      </c>
      <c r="V7" s="45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2" ht="17.45" customHeight="1" thickBot="1" x14ac:dyDescent="0.3">
      <c r="A8" s="129" t="s">
        <v>149</v>
      </c>
      <c r="B8" s="130"/>
      <c r="C8" s="131"/>
      <c r="D8" s="25"/>
      <c r="E8" s="26"/>
      <c r="F8" s="27" t="e">
        <f>F7+#REF!</f>
        <v>#REF!</v>
      </c>
      <c r="G8" s="27" t="e">
        <f>G7+#REF!</f>
        <v>#REF!</v>
      </c>
      <c r="H8" s="27" t="e">
        <f>H7+#REF!</f>
        <v>#REF!</v>
      </c>
      <c r="I8" s="27" t="e">
        <f>I7+#REF!</f>
        <v>#REF!</v>
      </c>
      <c r="J8" s="27" t="e">
        <f>J7+#REF!</f>
        <v>#REF!</v>
      </c>
      <c r="K8" s="27" t="e">
        <f>K7+#REF!</f>
        <v>#REF!</v>
      </c>
      <c r="L8" s="27" t="e">
        <f>L7+#REF!</f>
        <v>#REF!</v>
      </c>
      <c r="M8" s="27" t="e">
        <f>M7+#REF!</f>
        <v>#REF!</v>
      </c>
      <c r="N8" s="27" t="e">
        <f>N7+#REF!</f>
        <v>#REF!</v>
      </c>
      <c r="O8" s="27" t="e">
        <f>O7+#REF!</f>
        <v>#REF!</v>
      </c>
      <c r="P8" s="27" t="e">
        <f>P7+#REF!</f>
        <v>#REF!</v>
      </c>
      <c r="Q8" s="27" t="e">
        <f>Q7+#REF!</f>
        <v>#REF!</v>
      </c>
      <c r="R8" s="27" t="e">
        <f>R7+#REF!</f>
        <v>#REF!</v>
      </c>
      <c r="S8" s="27" t="e">
        <f>S7+#REF!</f>
        <v>#REF!</v>
      </c>
      <c r="T8" s="27" t="e">
        <f>T7+#REF!</f>
        <v>#REF!</v>
      </c>
      <c r="U8" s="27" t="e">
        <f>U7+#REF!</f>
        <v>#REF!</v>
      </c>
      <c r="V8" s="45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</row>
    <row r="9" spans="1:72" x14ac:dyDescent="0.25">
      <c r="N9" s="36"/>
    </row>
    <row r="10" spans="1:72" x14ac:dyDescent="0.25">
      <c r="K10" s="67">
        <f>250/30</f>
        <v>8.3333333333333339</v>
      </c>
      <c r="L10" s="67">
        <f>K10*15</f>
        <v>125.00000000000001</v>
      </c>
      <c r="N10" s="36"/>
    </row>
    <row r="12" spans="1:72" x14ac:dyDescent="0.25">
      <c r="M12" s="36"/>
    </row>
    <row r="14" spans="1:72" ht="15.75" x14ac:dyDescent="0.25">
      <c r="A14" s="29" t="s">
        <v>163</v>
      </c>
      <c r="B14" s="29"/>
      <c r="C14" s="32"/>
      <c r="H14" s="31" t="s">
        <v>23</v>
      </c>
      <c r="I14" s="132" t="s">
        <v>125</v>
      </c>
      <c r="J14" s="132"/>
      <c r="K14" s="132"/>
      <c r="O14" s="132" t="s">
        <v>126</v>
      </c>
      <c r="P14" s="132"/>
      <c r="Q14" s="132"/>
    </row>
    <row r="15" spans="1:72" ht="15.75" x14ac:dyDescent="0.25">
      <c r="A15" s="29" t="s">
        <v>159</v>
      </c>
      <c r="B15" s="29"/>
      <c r="C15" s="32"/>
      <c r="H15" s="31" t="s">
        <v>23</v>
      </c>
      <c r="I15" s="132" t="s">
        <v>40</v>
      </c>
      <c r="J15" s="132"/>
      <c r="K15" s="132"/>
      <c r="O15" s="132" t="s">
        <v>128</v>
      </c>
      <c r="P15" s="132"/>
      <c r="Q15" s="132"/>
    </row>
    <row r="16" spans="1:72" x14ac:dyDescent="0.25">
      <c r="P16"/>
      <c r="Q16"/>
    </row>
    <row r="23" spans="12:12" x14ac:dyDescent="0.25">
      <c r="L23">
        <f>721.562*10%</f>
        <v>72.156199999999998</v>
      </c>
    </row>
    <row r="24" spans="12:12" x14ac:dyDescent="0.25">
      <c r="L24">
        <v>36</v>
      </c>
    </row>
  </sheetData>
  <autoFilter ref="A5:S7" xr:uid="{CC91E617-E74A-43C7-83B5-87CCEEC49519}"/>
  <mergeCells count="13">
    <mergeCell ref="A7:C7"/>
    <mergeCell ref="A8:C8"/>
    <mergeCell ref="I14:K14"/>
    <mergeCell ref="O14:Q14"/>
    <mergeCell ref="I15:K15"/>
    <mergeCell ref="O15:Q15"/>
    <mergeCell ref="C1:O1"/>
    <mergeCell ref="P1:U3"/>
    <mergeCell ref="C2:O2"/>
    <mergeCell ref="A4:N4"/>
    <mergeCell ref="P4:R4"/>
    <mergeCell ref="S4:T4"/>
    <mergeCell ref="U4:U5"/>
  </mergeCells>
  <pageMargins left="0.25" right="0.25" top="0.75" bottom="0.75" header="0.3" footer="0.3"/>
  <pageSetup paperSize="8"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4DCD-181B-4D8E-B723-EB78649DA460}">
  <sheetPr>
    <pageSetUpPr fitToPage="1"/>
  </sheetPr>
  <dimension ref="B1:BH80"/>
  <sheetViews>
    <sheetView showGridLines="0" tabSelected="1" view="pageBreakPreview" topLeftCell="A4" zoomScaleNormal="100" zoomScaleSheetLayoutView="100" workbookViewId="0">
      <pane xSplit="3" ySplit="2" topLeftCell="D6" activePane="bottomRight" state="frozen"/>
      <selection activeCell="A4" sqref="A4"/>
      <selection pane="topRight" activeCell="D4" sqref="D4"/>
      <selection pane="bottomLeft" activeCell="A6" sqref="A6"/>
      <selection pane="bottomRight" activeCell="A5" sqref="A5"/>
    </sheetView>
  </sheetViews>
  <sheetFormatPr defaultRowHeight="15" x14ac:dyDescent="0.25"/>
  <cols>
    <col min="2" max="2" width="13.140625" customWidth="1"/>
    <col min="3" max="3" width="50.42578125" style="34" bestFit="1" customWidth="1"/>
    <col min="4" max="4" width="26.85546875" bestFit="1" customWidth="1"/>
    <col min="5" max="5" width="12.5703125" style="35" customWidth="1"/>
    <col min="6" max="6" width="13.140625" customWidth="1"/>
    <col min="7" max="7" width="13.28515625" customWidth="1"/>
    <col min="8" max="8" width="13.140625" customWidth="1"/>
    <col min="9" max="9" width="17.140625" bestFit="1" customWidth="1"/>
    <col min="10" max="10" width="17.42578125" bestFit="1" customWidth="1"/>
    <col min="11" max="12" width="12.7109375" customWidth="1"/>
    <col min="13" max="13" width="15" bestFit="1" customWidth="1"/>
    <col min="14" max="14" width="10.5703125" customWidth="1"/>
    <col min="15" max="15" width="13.42578125" customWidth="1"/>
    <col min="16" max="16" width="32.85546875" customWidth="1"/>
    <col min="17" max="18" width="13.42578125" style="29" customWidth="1"/>
    <col min="19" max="19" width="13.140625" style="29" customWidth="1"/>
    <col min="20" max="21" width="12.5703125" style="29" customWidth="1"/>
    <col min="22" max="22" width="17.140625" customWidth="1"/>
    <col min="23" max="23" width="21.140625" customWidth="1"/>
    <col min="24" max="24" width="10.5703125" style="1" customWidth="1"/>
    <col min="25" max="25" width="10.28515625" style="1" customWidth="1"/>
    <col min="26" max="26" width="11.7109375" style="1" customWidth="1"/>
    <col min="27" max="60" width="9.140625" style="1"/>
  </cols>
  <sheetData>
    <row r="1" spans="2:60" x14ac:dyDescent="0.25">
      <c r="B1" s="1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  <c r="Q1" s="134" t="s">
        <v>0</v>
      </c>
      <c r="R1" s="135"/>
      <c r="S1" s="135"/>
      <c r="T1" s="135"/>
      <c r="U1" s="135"/>
    </row>
    <row r="2" spans="2:60" x14ac:dyDescent="0.25">
      <c r="B2" s="1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7"/>
      <c r="R2" s="138"/>
      <c r="S2" s="138"/>
      <c r="T2" s="138"/>
      <c r="U2" s="138"/>
    </row>
    <row r="3" spans="2:60" ht="14.45" customHeight="1" x14ac:dyDescent="0.25">
      <c r="B3" s="1"/>
      <c r="C3" s="42" t="s">
        <v>23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140"/>
      <c r="R3" s="141"/>
      <c r="S3" s="141"/>
      <c r="T3" s="141"/>
      <c r="U3" s="141"/>
    </row>
    <row r="4" spans="2:60" ht="39" customHeight="1" x14ac:dyDescent="0.55000000000000004"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89"/>
      <c r="Q4" s="144" t="s">
        <v>1</v>
      </c>
      <c r="R4" s="144"/>
      <c r="S4" s="144"/>
      <c r="T4" s="145" t="s">
        <v>2</v>
      </c>
      <c r="U4" s="146"/>
    </row>
    <row r="5" spans="2:60" s="29" customFormat="1" ht="37.5" customHeight="1" x14ac:dyDescent="0.25">
      <c r="B5" s="96" t="s">
        <v>5</v>
      </c>
      <c r="C5" s="96" t="s">
        <v>6</v>
      </c>
      <c r="D5" s="97" t="s">
        <v>7</v>
      </c>
      <c r="E5" s="97" t="s">
        <v>8</v>
      </c>
      <c r="F5" s="38" t="s">
        <v>130</v>
      </c>
      <c r="G5" s="40" t="s">
        <v>256</v>
      </c>
      <c r="H5" s="38" t="s">
        <v>257</v>
      </c>
      <c r="I5" s="38" t="s">
        <v>258</v>
      </c>
      <c r="J5" s="39" t="s">
        <v>259</v>
      </c>
      <c r="K5" s="98" t="s">
        <v>10</v>
      </c>
      <c r="L5" s="98" t="s">
        <v>289</v>
      </c>
      <c r="M5" s="98" t="s">
        <v>164</v>
      </c>
      <c r="N5" s="98" t="s">
        <v>165</v>
      </c>
      <c r="O5" s="99" t="s">
        <v>12</v>
      </c>
      <c r="P5" s="99" t="s">
        <v>13</v>
      </c>
      <c r="Q5" s="6" t="s">
        <v>14</v>
      </c>
      <c r="R5" s="6" t="s">
        <v>15</v>
      </c>
      <c r="S5" s="6" t="s">
        <v>16</v>
      </c>
      <c r="T5" s="7" t="s">
        <v>263</v>
      </c>
      <c r="U5" s="6" t="s">
        <v>18</v>
      </c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  <c r="AO5" s="37"/>
      <c r="AP5" s="37"/>
      <c r="AQ5" s="37"/>
      <c r="AR5" s="37"/>
      <c r="AS5" s="37"/>
      <c r="AT5" s="37"/>
      <c r="AU5" s="37"/>
      <c r="AV5" s="37"/>
      <c r="AW5" s="37"/>
      <c r="AX5" s="37"/>
      <c r="AY5" s="37"/>
      <c r="AZ5" s="37"/>
      <c r="BA5" s="37"/>
      <c r="BB5" s="37"/>
      <c r="BC5" s="37"/>
      <c r="BD5" s="37"/>
      <c r="BE5" s="37"/>
      <c r="BF5" s="37"/>
      <c r="BG5" s="37"/>
      <c r="BH5" s="37"/>
    </row>
    <row r="6" spans="2:60" ht="12.95" customHeight="1" x14ac:dyDescent="0.25">
      <c r="B6" s="84">
        <v>2639937</v>
      </c>
      <c r="C6" s="53" t="s">
        <v>281</v>
      </c>
      <c r="D6" s="53" t="s">
        <v>52</v>
      </c>
      <c r="E6" s="86" t="s">
        <v>22</v>
      </c>
      <c r="F6" s="11">
        <v>0</v>
      </c>
      <c r="G6" s="41">
        <v>0</v>
      </c>
      <c r="H6" s="11">
        <v>2250</v>
      </c>
      <c r="I6" s="11">
        <v>1500</v>
      </c>
      <c r="J6" s="81">
        <f>H6+I6</f>
        <v>3750</v>
      </c>
      <c r="K6" s="87">
        <f>-(225+18.75)</f>
        <v>-243.75</v>
      </c>
      <c r="L6" s="87"/>
      <c r="M6" s="91"/>
      <c r="N6" s="91"/>
      <c r="O6" s="15">
        <f>J6+K6+N6+M6+L6</f>
        <v>3506.25</v>
      </c>
      <c r="P6" s="125"/>
      <c r="Q6" s="16">
        <f>J6*0.07</f>
        <v>262.5</v>
      </c>
      <c r="R6" s="16">
        <f>J6*0.01</f>
        <v>37.5</v>
      </c>
      <c r="S6" s="16">
        <f>Q6+R6</f>
        <v>300</v>
      </c>
      <c r="T6" s="16">
        <f>J6*0.135</f>
        <v>506.25000000000006</v>
      </c>
      <c r="U6" s="16">
        <f>T6</f>
        <v>506.25000000000006</v>
      </c>
      <c r="V6" t="s">
        <v>187</v>
      </c>
      <c r="W6" s="69" t="s">
        <v>282</v>
      </c>
      <c r="X6" s="36">
        <f t="shared" ref="X6:X11" si="0">K6*-1</f>
        <v>243.75</v>
      </c>
      <c r="Y6"/>
      <c r="Z6"/>
    </row>
    <row r="7" spans="2:60" ht="12.95" customHeight="1" x14ac:dyDescent="0.25">
      <c r="B7" s="8">
        <v>9814493</v>
      </c>
      <c r="C7" s="53" t="s">
        <v>147</v>
      </c>
      <c r="D7" s="9" t="s">
        <v>25</v>
      </c>
      <c r="E7" s="10" t="s">
        <v>22</v>
      </c>
      <c r="F7" s="11">
        <v>1560</v>
      </c>
      <c r="G7" s="41">
        <f>(F7*4%)</f>
        <v>62.4</v>
      </c>
      <c r="H7" s="11">
        <f>F7+G7</f>
        <v>1622.4</v>
      </c>
      <c r="I7" s="11">
        <v>1000</v>
      </c>
      <c r="J7" s="81">
        <f>H7+I7</f>
        <v>2622.4</v>
      </c>
      <c r="K7" s="87">
        <f>-J7*8%</f>
        <v>-209.792</v>
      </c>
      <c r="L7" s="87"/>
      <c r="M7" s="90"/>
      <c r="N7" s="91"/>
      <c r="O7" s="15">
        <f>J7+K7+N7+M7+L7</f>
        <v>2412.6080000000002</v>
      </c>
      <c r="P7" s="105"/>
      <c r="Q7" s="16">
        <f>J7*0.07</f>
        <v>183.56800000000001</v>
      </c>
      <c r="R7" s="16">
        <f>J7*0.01</f>
        <v>26.224</v>
      </c>
      <c r="S7" s="16">
        <f>Q7+R7</f>
        <v>209.792</v>
      </c>
      <c r="T7" s="16">
        <f>J7*0.135</f>
        <v>354.02400000000006</v>
      </c>
      <c r="U7" s="16">
        <f>T7</f>
        <v>354.02400000000006</v>
      </c>
      <c r="V7" t="s">
        <v>177</v>
      </c>
      <c r="W7" s="69" t="s">
        <v>178</v>
      </c>
      <c r="X7" s="36">
        <f t="shared" si="0"/>
        <v>209.792</v>
      </c>
      <c r="Y7"/>
      <c r="Z7"/>
    </row>
    <row r="8" spans="2:60" ht="12.95" customHeight="1" x14ac:dyDescent="0.25">
      <c r="B8" s="84">
        <v>11693452</v>
      </c>
      <c r="C8" s="53" t="s">
        <v>27</v>
      </c>
      <c r="D8" s="53" t="s">
        <v>28</v>
      </c>
      <c r="E8" s="86" t="s">
        <v>22</v>
      </c>
      <c r="F8" s="11">
        <v>336</v>
      </c>
      <c r="G8" s="41">
        <f t="shared" ref="G8:G16" si="1">(F8*4%)</f>
        <v>13.44</v>
      </c>
      <c r="H8" s="11">
        <f t="shared" ref="H8:H17" si="2">F8+G8</f>
        <v>349.44</v>
      </c>
      <c r="I8" s="11">
        <v>224</v>
      </c>
      <c r="J8" s="81">
        <f t="shared" ref="J8:J17" si="3">H8+I8</f>
        <v>573.44000000000005</v>
      </c>
      <c r="K8" s="87">
        <f>-J8*8%</f>
        <v>-45.875200000000007</v>
      </c>
      <c r="L8" s="87"/>
      <c r="M8" s="90"/>
      <c r="N8" s="91"/>
      <c r="O8" s="15">
        <f t="shared" ref="O8:O52" si="4">J8+K8+N8+M8+L8</f>
        <v>527.5648000000001</v>
      </c>
      <c r="P8" s="105"/>
      <c r="Q8" s="16">
        <f>J8*0.07</f>
        <v>40.140800000000006</v>
      </c>
      <c r="R8" s="16">
        <f>J8*0.01</f>
        <v>5.7344000000000008</v>
      </c>
      <c r="S8" s="16">
        <f>Q8+R8</f>
        <v>45.875200000000007</v>
      </c>
      <c r="T8" s="16">
        <f>J8*0.135</f>
        <v>77.414400000000015</v>
      </c>
      <c r="U8" s="16">
        <f>T8</f>
        <v>77.414400000000015</v>
      </c>
      <c r="V8" t="s">
        <v>179</v>
      </c>
      <c r="W8" t="s">
        <v>180</v>
      </c>
      <c r="X8" s="36">
        <f t="shared" si="0"/>
        <v>45.875200000000007</v>
      </c>
      <c r="Y8"/>
      <c r="Z8"/>
    </row>
    <row r="9" spans="2:60" ht="12.95" customHeight="1" x14ac:dyDescent="0.25">
      <c r="B9" s="84">
        <v>8537109</v>
      </c>
      <c r="C9" s="53" t="s">
        <v>30</v>
      </c>
      <c r="D9" s="53" t="s">
        <v>31</v>
      </c>
      <c r="E9" s="86" t="s">
        <v>22</v>
      </c>
      <c r="F9" s="11">
        <v>336</v>
      </c>
      <c r="G9" s="41">
        <f t="shared" si="1"/>
        <v>13.44</v>
      </c>
      <c r="H9" s="11">
        <f t="shared" si="2"/>
        <v>349.44</v>
      </c>
      <c r="I9" s="11">
        <v>224</v>
      </c>
      <c r="J9" s="81">
        <f t="shared" si="3"/>
        <v>573.44000000000005</v>
      </c>
      <c r="K9" s="87">
        <f>-J9*8%</f>
        <v>-45.875200000000007</v>
      </c>
      <c r="L9" s="87"/>
      <c r="M9" s="90"/>
      <c r="N9" s="91"/>
      <c r="O9" s="15">
        <f t="shared" si="4"/>
        <v>527.5648000000001</v>
      </c>
      <c r="P9" s="105"/>
      <c r="Q9" s="16">
        <f>J9*0.07</f>
        <v>40.140800000000006</v>
      </c>
      <c r="R9" s="16">
        <f>J9*0.01</f>
        <v>5.7344000000000008</v>
      </c>
      <c r="S9" s="16">
        <f t="shared" ref="S9:S44" si="5">Q9+R9</f>
        <v>45.875200000000007</v>
      </c>
      <c r="T9" s="16">
        <f>J9*0.135</f>
        <v>77.414400000000015</v>
      </c>
      <c r="U9" s="16">
        <f t="shared" ref="U9:U16" si="6">T9</f>
        <v>77.414400000000015</v>
      </c>
      <c r="V9" t="s">
        <v>181</v>
      </c>
      <c r="W9" t="s">
        <v>182</v>
      </c>
      <c r="X9" s="36">
        <f t="shared" si="0"/>
        <v>45.875200000000007</v>
      </c>
      <c r="Y9"/>
      <c r="Z9"/>
    </row>
    <row r="10" spans="2:60" s="79" customFormat="1" ht="12.95" customHeight="1" x14ac:dyDescent="0.25">
      <c r="B10" s="93">
        <v>75524503</v>
      </c>
      <c r="C10" s="72" t="s">
        <v>32</v>
      </c>
      <c r="D10" s="72" t="s">
        <v>33</v>
      </c>
      <c r="E10" s="73" t="s">
        <v>34</v>
      </c>
      <c r="F10" s="74">
        <v>482.59702399999998</v>
      </c>
      <c r="G10" s="74">
        <f t="shared" si="1"/>
        <v>19.303880960000001</v>
      </c>
      <c r="H10" s="74">
        <f t="shared" si="2"/>
        <v>501.90090495999999</v>
      </c>
      <c r="I10" s="74">
        <v>193.08000000000004</v>
      </c>
      <c r="J10" s="111">
        <f t="shared" si="3"/>
        <v>694.98090496000009</v>
      </c>
      <c r="K10" s="75">
        <v>0</v>
      </c>
      <c r="L10" s="75"/>
      <c r="M10" s="76">
        <v>-75</v>
      </c>
      <c r="N10" s="77"/>
      <c r="O10" s="78">
        <f t="shared" si="4"/>
        <v>619.98090496000009</v>
      </c>
      <c r="P10" s="106" t="s">
        <v>292</v>
      </c>
      <c r="Q10" s="74">
        <v>0</v>
      </c>
      <c r="R10" s="74">
        <v>0</v>
      </c>
      <c r="S10" s="74">
        <f>Q10+R10</f>
        <v>0</v>
      </c>
      <c r="T10" s="74">
        <v>0</v>
      </c>
      <c r="U10" s="74">
        <f t="shared" si="6"/>
        <v>0</v>
      </c>
      <c r="V10" s="79" t="s">
        <v>215</v>
      </c>
      <c r="W10" s="127" t="s">
        <v>287</v>
      </c>
      <c r="X10" s="126">
        <f t="shared" si="0"/>
        <v>0</v>
      </c>
    </row>
    <row r="11" spans="2:60" ht="12.95" customHeight="1" x14ac:dyDescent="0.25">
      <c r="B11" s="84">
        <v>118683789</v>
      </c>
      <c r="C11" s="53" t="s">
        <v>36</v>
      </c>
      <c r="D11" s="53" t="s">
        <v>37</v>
      </c>
      <c r="E11" s="86" t="s">
        <v>34</v>
      </c>
      <c r="F11" s="11">
        <v>380.91351999999995</v>
      </c>
      <c r="G11" s="41">
        <f t="shared" si="1"/>
        <v>15.236540799999998</v>
      </c>
      <c r="H11" s="11">
        <f t="shared" si="2"/>
        <v>396.15006079999995</v>
      </c>
      <c r="I11" s="11">
        <v>152.83500000000001</v>
      </c>
      <c r="J11" s="81">
        <f t="shared" si="3"/>
        <v>548.98506079999993</v>
      </c>
      <c r="K11" s="87">
        <v>0</v>
      </c>
      <c r="L11" s="87"/>
      <c r="M11" s="90">
        <v>0</v>
      </c>
      <c r="N11" s="91">
        <v>0</v>
      </c>
      <c r="O11" s="15">
        <f t="shared" si="4"/>
        <v>548.98506079999993</v>
      </c>
      <c r="P11" s="105"/>
      <c r="Q11" s="16">
        <v>0</v>
      </c>
      <c r="R11" s="16">
        <v>0</v>
      </c>
      <c r="S11" s="16">
        <f>Q11+R11</f>
        <v>0</v>
      </c>
      <c r="T11" s="16">
        <v>0</v>
      </c>
      <c r="U11" s="16">
        <f t="shared" si="6"/>
        <v>0</v>
      </c>
      <c r="V11" t="s">
        <v>183</v>
      </c>
      <c r="W11" t="s">
        <v>184</v>
      </c>
      <c r="X11" s="36">
        <f t="shared" si="0"/>
        <v>0</v>
      </c>
      <c r="Y11"/>
      <c r="Z11"/>
    </row>
    <row r="12" spans="2:60" ht="12.95" customHeight="1" x14ac:dyDescent="0.25">
      <c r="B12" s="84">
        <v>99955793</v>
      </c>
      <c r="C12" s="53" t="s">
        <v>39</v>
      </c>
      <c r="D12" s="53" t="s">
        <v>40</v>
      </c>
      <c r="E12" s="86" t="s">
        <v>34</v>
      </c>
      <c r="F12" s="11">
        <v>660.03807999999992</v>
      </c>
      <c r="G12" s="41">
        <f t="shared" si="1"/>
        <v>26.401523199999996</v>
      </c>
      <c r="H12" s="11">
        <v>686.43960319999996</v>
      </c>
      <c r="I12" s="11">
        <v>278.56</v>
      </c>
      <c r="J12" s="81">
        <f t="shared" si="3"/>
        <v>964.99960319999991</v>
      </c>
      <c r="K12" s="87">
        <v>0</v>
      </c>
      <c r="L12" s="87"/>
      <c r="M12" s="90"/>
      <c r="N12" s="91"/>
      <c r="O12" s="15">
        <f t="shared" si="4"/>
        <v>964.99960319999991</v>
      </c>
      <c r="P12" s="105"/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t="s">
        <v>179</v>
      </c>
      <c r="W12" t="s">
        <v>280</v>
      </c>
      <c r="X12" s="36">
        <v>0</v>
      </c>
      <c r="Y12"/>
      <c r="Z12"/>
    </row>
    <row r="13" spans="2:60" ht="12.95" customHeight="1" x14ac:dyDescent="0.25">
      <c r="B13" s="84">
        <v>18668266</v>
      </c>
      <c r="C13" s="53" t="s">
        <v>42</v>
      </c>
      <c r="D13" s="53" t="s">
        <v>43</v>
      </c>
      <c r="E13" s="86" t="s">
        <v>22</v>
      </c>
      <c r="F13" s="11">
        <v>387.99078239999994</v>
      </c>
      <c r="G13" s="41">
        <f>(F13*4%)</f>
        <v>15.519631295999998</v>
      </c>
      <c r="H13" s="11">
        <f t="shared" si="2"/>
        <v>403.51041369599994</v>
      </c>
      <c r="I13" s="11">
        <v>241.46800000000002</v>
      </c>
      <c r="J13" s="81">
        <f t="shared" si="3"/>
        <v>644.97841369599996</v>
      </c>
      <c r="K13" s="87">
        <f>-J13*8%</f>
        <v>-51.59827309568</v>
      </c>
      <c r="L13" s="87"/>
      <c r="M13" s="90"/>
      <c r="N13" s="91"/>
      <c r="O13" s="15">
        <f t="shared" si="4"/>
        <v>593.38014060031992</v>
      </c>
      <c r="P13" s="105"/>
      <c r="Q13" s="16">
        <f>J13*0.07</f>
        <v>45.148488958720002</v>
      </c>
      <c r="R13" s="16">
        <f>J13*0.01</f>
        <v>6.44978413696</v>
      </c>
      <c r="S13" s="16">
        <f t="shared" si="5"/>
        <v>51.59827309568</v>
      </c>
      <c r="T13" s="16">
        <f>J13*0.135</f>
        <v>87.07208584896</v>
      </c>
      <c r="U13" s="16">
        <f t="shared" si="6"/>
        <v>87.07208584896</v>
      </c>
      <c r="V13" t="s">
        <v>183</v>
      </c>
      <c r="W13" s="69" t="s">
        <v>260</v>
      </c>
      <c r="X13" s="36">
        <f t="shared" ref="X13:X17" si="7">K13*-1</f>
        <v>51.59827309568</v>
      </c>
      <c r="Y13"/>
      <c r="Z13"/>
    </row>
    <row r="14" spans="2:60" ht="12.95" customHeight="1" x14ac:dyDescent="0.25">
      <c r="B14" s="84">
        <v>13432024</v>
      </c>
      <c r="C14" s="53" t="s">
        <v>45</v>
      </c>
      <c r="D14" s="53" t="s">
        <v>46</v>
      </c>
      <c r="E14" s="86" t="s">
        <v>22</v>
      </c>
      <c r="F14" s="11">
        <v>387.9907824</v>
      </c>
      <c r="G14" s="41">
        <f t="shared" si="1"/>
        <v>15.519631296</v>
      </c>
      <c r="H14" s="11">
        <f t="shared" si="2"/>
        <v>403.510413696</v>
      </c>
      <c r="I14" s="11">
        <v>241.46800000000002</v>
      </c>
      <c r="J14" s="81">
        <f t="shared" si="3"/>
        <v>644.97841369599996</v>
      </c>
      <c r="K14" s="87">
        <f>-J14*8%</f>
        <v>-51.59827309568</v>
      </c>
      <c r="L14" s="87"/>
      <c r="M14" s="90"/>
      <c r="N14" s="91"/>
      <c r="O14" s="15">
        <f t="shared" si="4"/>
        <v>593.38014060031992</v>
      </c>
      <c r="P14" s="105"/>
      <c r="Q14" s="16">
        <f>J14*0.07</f>
        <v>45.148488958720002</v>
      </c>
      <c r="R14" s="16">
        <f>J14*0.01</f>
        <v>6.44978413696</v>
      </c>
      <c r="S14" s="16">
        <f t="shared" si="5"/>
        <v>51.59827309568</v>
      </c>
      <c r="T14" s="16">
        <f>J14*0.135</f>
        <v>87.07208584896</v>
      </c>
      <c r="U14" s="16">
        <f t="shared" si="6"/>
        <v>87.07208584896</v>
      </c>
      <c r="V14" t="s">
        <v>183</v>
      </c>
      <c r="W14" t="s">
        <v>222</v>
      </c>
      <c r="X14" s="36">
        <f t="shared" si="7"/>
        <v>51.59827309568</v>
      </c>
      <c r="Y14"/>
      <c r="Z14"/>
    </row>
    <row r="15" spans="2:60" ht="12.95" customHeight="1" x14ac:dyDescent="0.25">
      <c r="B15" s="84">
        <v>14105567</v>
      </c>
      <c r="C15" s="53" t="s">
        <v>48</v>
      </c>
      <c r="D15" s="53" t="s">
        <v>49</v>
      </c>
      <c r="E15" s="86" t="s">
        <v>22</v>
      </c>
      <c r="F15" s="11">
        <v>323.85599999999999</v>
      </c>
      <c r="G15" s="41">
        <f t="shared" si="1"/>
        <v>12.95424</v>
      </c>
      <c r="H15" s="11">
        <f t="shared" si="2"/>
        <v>336.81024000000002</v>
      </c>
      <c r="I15" s="11">
        <v>207.60000000000002</v>
      </c>
      <c r="J15" s="81">
        <f t="shared" si="3"/>
        <v>544.41024000000004</v>
      </c>
      <c r="K15" s="87">
        <f>-J15*8%</f>
        <v>-43.552819200000002</v>
      </c>
      <c r="L15" s="87"/>
      <c r="M15" s="90">
        <v>0</v>
      </c>
      <c r="N15" s="91">
        <v>0</v>
      </c>
      <c r="O15" s="15">
        <f t="shared" si="4"/>
        <v>500.85742080000006</v>
      </c>
      <c r="P15" s="105" t="s">
        <v>23</v>
      </c>
      <c r="Q15" s="16">
        <f>J15*0.07</f>
        <v>38.108716800000003</v>
      </c>
      <c r="R15" s="16">
        <f>J15*0.01</f>
        <v>5.4441024000000002</v>
      </c>
      <c r="S15" s="16">
        <f t="shared" si="5"/>
        <v>43.552819200000002</v>
      </c>
      <c r="T15" s="16">
        <f>J15*0.135</f>
        <v>73.495382400000011</v>
      </c>
      <c r="U15" s="16">
        <f t="shared" si="6"/>
        <v>73.495382400000011</v>
      </c>
      <c r="V15" t="s">
        <v>177</v>
      </c>
      <c r="W15" t="s">
        <v>186</v>
      </c>
      <c r="X15" s="36">
        <f t="shared" si="7"/>
        <v>43.552819200000002</v>
      </c>
      <c r="Y15"/>
      <c r="Z15"/>
    </row>
    <row r="16" spans="2:60" ht="12.95" customHeight="1" x14ac:dyDescent="0.25">
      <c r="B16" s="84">
        <v>118826764</v>
      </c>
      <c r="C16" s="53" t="s">
        <v>141</v>
      </c>
      <c r="D16" s="53" t="s">
        <v>161</v>
      </c>
      <c r="E16" s="86" t="s">
        <v>34</v>
      </c>
      <c r="F16" s="11">
        <v>90</v>
      </c>
      <c r="G16" s="41">
        <f t="shared" si="1"/>
        <v>3.6</v>
      </c>
      <c r="H16" s="11">
        <f t="shared" si="2"/>
        <v>93.6</v>
      </c>
      <c r="I16" s="11">
        <f>150*40%</f>
        <v>60</v>
      </c>
      <c r="J16" s="81">
        <f t="shared" si="3"/>
        <v>153.6</v>
      </c>
      <c r="K16" s="87">
        <v>0</v>
      </c>
      <c r="L16" s="87"/>
      <c r="M16" s="90">
        <v>0</v>
      </c>
      <c r="N16" s="91">
        <v>0</v>
      </c>
      <c r="O16" s="15">
        <f t="shared" si="4"/>
        <v>153.6</v>
      </c>
      <c r="P16" s="105"/>
      <c r="Q16" s="16">
        <v>0</v>
      </c>
      <c r="R16" s="16">
        <v>0</v>
      </c>
      <c r="S16" s="16">
        <v>0</v>
      </c>
      <c r="T16" s="16">
        <v>0</v>
      </c>
      <c r="U16" s="16">
        <f t="shared" si="6"/>
        <v>0</v>
      </c>
      <c r="V16" t="s">
        <v>187</v>
      </c>
      <c r="W16" t="s">
        <v>188</v>
      </c>
      <c r="X16" s="36">
        <f t="shared" si="7"/>
        <v>0</v>
      </c>
      <c r="Y16"/>
      <c r="Z16"/>
    </row>
    <row r="17" spans="2:26" ht="12.95" customHeight="1" x14ac:dyDescent="0.25">
      <c r="B17" s="84">
        <v>138942588</v>
      </c>
      <c r="C17" s="53" t="s">
        <v>264</v>
      </c>
      <c r="D17" s="53" t="s">
        <v>265</v>
      </c>
      <c r="E17" s="86" t="s">
        <v>34</v>
      </c>
      <c r="F17" s="11">
        <v>79.5</v>
      </c>
      <c r="G17" s="41">
        <v>0</v>
      </c>
      <c r="H17" s="11">
        <f t="shared" si="2"/>
        <v>79.5</v>
      </c>
      <c r="I17" s="11">
        <f>6.518+9.178+37.304</f>
        <v>53</v>
      </c>
      <c r="J17" s="81">
        <f t="shared" si="3"/>
        <v>132.5</v>
      </c>
      <c r="K17" s="87">
        <v>0</v>
      </c>
      <c r="L17" s="87"/>
      <c r="M17" s="90"/>
      <c r="N17" s="91"/>
      <c r="O17" s="15">
        <f t="shared" si="4"/>
        <v>132.5</v>
      </c>
      <c r="P17" s="105"/>
      <c r="Q17" s="16">
        <v>0</v>
      </c>
      <c r="R17" s="16">
        <v>0</v>
      </c>
      <c r="S17" s="16">
        <v>0</v>
      </c>
      <c r="T17" s="16">
        <v>0</v>
      </c>
      <c r="U17" s="16">
        <f t="shared" ref="U17" si="8">T17</f>
        <v>0</v>
      </c>
      <c r="V17" t="s">
        <v>185</v>
      </c>
      <c r="W17" s="69" t="s">
        <v>266</v>
      </c>
      <c r="X17" s="36">
        <f t="shared" si="7"/>
        <v>0</v>
      </c>
      <c r="Y17"/>
      <c r="Z17"/>
    </row>
    <row r="18" spans="2:26" ht="12.95" customHeight="1" x14ac:dyDescent="0.25">
      <c r="B18" s="84">
        <v>117241993</v>
      </c>
      <c r="C18" s="53" t="s">
        <v>54</v>
      </c>
      <c r="D18" s="53" t="s">
        <v>55</v>
      </c>
      <c r="E18" s="86" t="s">
        <v>34</v>
      </c>
      <c r="F18" s="11">
        <v>458.002272</v>
      </c>
      <c r="G18" s="41">
        <f t="shared" ref="G18:G48" si="9">(F18*4%)</f>
        <v>18.320090880000002</v>
      </c>
      <c r="H18" s="11">
        <f t="shared" ref="H18:H50" si="10">F18+G18</f>
        <v>476.32236288000001</v>
      </c>
      <c r="I18" s="11">
        <v>285.04000000000002</v>
      </c>
      <c r="J18" s="81">
        <f t="shared" ref="J18:J52" si="11">H18+I18</f>
        <v>761.36236288000009</v>
      </c>
      <c r="K18" s="87">
        <v>0</v>
      </c>
      <c r="L18" s="87"/>
      <c r="M18" s="90">
        <v>0</v>
      </c>
      <c r="N18" s="91"/>
      <c r="O18" s="15">
        <f t="shared" si="4"/>
        <v>761.36236288000009</v>
      </c>
      <c r="P18" s="105" t="s">
        <v>23</v>
      </c>
      <c r="Q18" s="16">
        <v>0</v>
      </c>
      <c r="R18" s="16">
        <v>0</v>
      </c>
      <c r="S18" s="16">
        <f>Q18+R18</f>
        <v>0</v>
      </c>
      <c r="T18" s="16">
        <v>0</v>
      </c>
      <c r="U18" s="16">
        <f>T18</f>
        <v>0</v>
      </c>
      <c r="V18" t="s">
        <v>183</v>
      </c>
      <c r="W18" s="69" t="s">
        <v>189</v>
      </c>
      <c r="X18" s="36">
        <f t="shared" ref="X18:X52" si="12">K18*-1</f>
        <v>0</v>
      </c>
      <c r="Y18"/>
      <c r="Z18"/>
    </row>
    <row r="19" spans="2:26" s="79" customFormat="1" ht="12.95" customHeight="1" x14ac:dyDescent="0.25">
      <c r="B19" s="93">
        <v>6534754</v>
      </c>
      <c r="C19" s="72" t="s">
        <v>57</v>
      </c>
      <c r="D19" s="72" t="s">
        <v>58</v>
      </c>
      <c r="E19" s="73" t="s">
        <v>22</v>
      </c>
      <c r="F19" s="74">
        <v>444.76224000000002</v>
      </c>
      <c r="G19" s="74">
        <f t="shared" si="9"/>
        <v>17.790489600000001</v>
      </c>
      <c r="H19" s="74">
        <f t="shared" si="10"/>
        <v>462.55272960000002</v>
      </c>
      <c r="I19" s="74">
        <v>276.8</v>
      </c>
      <c r="J19" s="111">
        <f t="shared" si="11"/>
        <v>739.35272959999998</v>
      </c>
      <c r="K19" s="75">
        <f t="shared" ref="K19:K34" si="13">-J19*8%</f>
        <v>-59.148218368000002</v>
      </c>
      <c r="L19" s="75"/>
      <c r="M19" s="76"/>
      <c r="N19" s="77">
        <f>J19*10%</f>
        <v>73.935272960000006</v>
      </c>
      <c r="O19" s="78">
        <f t="shared" si="4"/>
        <v>754.13978419199998</v>
      </c>
      <c r="P19" s="106" t="s">
        <v>284</v>
      </c>
      <c r="Q19" s="74">
        <f t="shared" ref="Q19:Q34" si="14">J19*0.07</f>
        <v>51.754691072</v>
      </c>
      <c r="R19" s="74">
        <f t="shared" ref="R19:R34" si="15">J19*0.01</f>
        <v>7.3935272960000002</v>
      </c>
      <c r="S19" s="74">
        <f t="shared" si="5"/>
        <v>59.148218368000002</v>
      </c>
      <c r="T19" s="74">
        <f t="shared" ref="T19:T34" si="16">J19*0.135</f>
        <v>99.812618495999999</v>
      </c>
      <c r="U19" s="74">
        <f t="shared" ref="U19:U46" si="17">T19</f>
        <v>99.812618495999999</v>
      </c>
      <c r="V19" s="79" t="s">
        <v>181</v>
      </c>
      <c r="W19" s="127" t="s">
        <v>190</v>
      </c>
      <c r="X19" s="126">
        <f t="shared" si="12"/>
        <v>59.148218368000002</v>
      </c>
    </row>
    <row r="20" spans="2:26" s="79" customFormat="1" ht="12.95" customHeight="1" x14ac:dyDescent="0.25">
      <c r="B20" s="93">
        <v>3364532</v>
      </c>
      <c r="C20" s="72" t="s">
        <v>60</v>
      </c>
      <c r="D20" s="72" t="s">
        <v>58</v>
      </c>
      <c r="E20" s="73" t="s">
        <v>22</v>
      </c>
      <c r="F20" s="74">
        <v>444.76224000000002</v>
      </c>
      <c r="G20" s="74">
        <f t="shared" si="9"/>
        <v>17.790489600000001</v>
      </c>
      <c r="H20" s="74">
        <f t="shared" si="10"/>
        <v>462.55272960000002</v>
      </c>
      <c r="I20" s="74">
        <v>276.8</v>
      </c>
      <c r="J20" s="111">
        <f t="shared" si="11"/>
        <v>739.35272959999998</v>
      </c>
      <c r="K20" s="75">
        <f t="shared" si="13"/>
        <v>-59.148218368000002</v>
      </c>
      <c r="L20" s="75"/>
      <c r="M20" s="76">
        <v>0</v>
      </c>
      <c r="N20" s="77">
        <f>J20*10%</f>
        <v>73.935272960000006</v>
      </c>
      <c r="O20" s="78">
        <f t="shared" si="4"/>
        <v>754.13978419199998</v>
      </c>
      <c r="P20" s="106" t="s">
        <v>284</v>
      </c>
      <c r="Q20" s="74">
        <f t="shared" si="14"/>
        <v>51.754691072</v>
      </c>
      <c r="R20" s="74">
        <f t="shared" si="15"/>
        <v>7.3935272960000002</v>
      </c>
      <c r="S20" s="74">
        <f t="shared" si="5"/>
        <v>59.148218368000002</v>
      </c>
      <c r="T20" s="74">
        <f t="shared" si="16"/>
        <v>99.812618495999999</v>
      </c>
      <c r="U20" s="74">
        <f t="shared" si="17"/>
        <v>99.812618495999999</v>
      </c>
      <c r="V20" s="79" t="s">
        <v>183</v>
      </c>
      <c r="W20" s="127" t="s">
        <v>191</v>
      </c>
      <c r="X20" s="126">
        <f t="shared" si="12"/>
        <v>59.148218368000002</v>
      </c>
    </row>
    <row r="21" spans="2:26" ht="12.95" customHeight="1" x14ac:dyDescent="0.25">
      <c r="B21" s="84">
        <v>11733522</v>
      </c>
      <c r="C21" s="53" t="s">
        <v>62</v>
      </c>
      <c r="D21" s="53" t="s">
        <v>162</v>
      </c>
      <c r="E21" s="86" t="s">
        <v>22</v>
      </c>
      <c r="F21" s="11">
        <v>380.49023999999997</v>
      </c>
      <c r="G21" s="41">
        <f t="shared" si="9"/>
        <v>15.219609599999998</v>
      </c>
      <c r="H21" s="11">
        <f t="shared" si="10"/>
        <v>395.70984959999998</v>
      </c>
      <c r="I21" s="11">
        <v>236.8</v>
      </c>
      <c r="J21" s="81">
        <f t="shared" si="11"/>
        <v>632.50984960000005</v>
      </c>
      <c r="K21" s="87">
        <f>-J21*8%</f>
        <v>-50.600787968000006</v>
      </c>
      <c r="L21" s="87"/>
      <c r="M21" s="90"/>
      <c r="N21" s="91"/>
      <c r="O21" s="15">
        <f t="shared" si="4"/>
        <v>581.90906163200009</v>
      </c>
      <c r="P21" s="105"/>
      <c r="Q21" s="16">
        <f t="shared" si="14"/>
        <v>44.27568947200001</v>
      </c>
      <c r="R21" s="16">
        <f t="shared" si="15"/>
        <v>6.3250984960000007</v>
      </c>
      <c r="S21" s="16">
        <f>Q21+R21</f>
        <v>50.600787968000013</v>
      </c>
      <c r="T21" s="16">
        <f t="shared" si="16"/>
        <v>85.388829696000016</v>
      </c>
      <c r="U21" s="16">
        <f>T21</f>
        <v>85.388829696000016</v>
      </c>
      <c r="V21" t="s">
        <v>183</v>
      </c>
      <c r="W21" t="s">
        <v>192</v>
      </c>
      <c r="X21" s="36">
        <f t="shared" si="12"/>
        <v>50.600787968000006</v>
      </c>
      <c r="Y21"/>
      <c r="Z21"/>
    </row>
    <row r="22" spans="2:26" ht="12.95" customHeight="1" x14ac:dyDescent="0.25">
      <c r="B22" s="84">
        <v>9599617</v>
      </c>
      <c r="C22" s="53" t="s">
        <v>65</v>
      </c>
      <c r="D22" s="53" t="s">
        <v>66</v>
      </c>
      <c r="E22" s="86" t="s">
        <v>22</v>
      </c>
      <c r="F22" s="11">
        <v>330.1716912</v>
      </c>
      <c r="G22" s="41">
        <f t="shared" si="9"/>
        <v>13.206867647999999</v>
      </c>
      <c r="H22" s="11">
        <f t="shared" si="10"/>
        <v>343.37855884800001</v>
      </c>
      <c r="I22" s="11">
        <v>205.48400000000004</v>
      </c>
      <c r="J22" s="81">
        <f t="shared" si="11"/>
        <v>548.86255884800005</v>
      </c>
      <c r="K22" s="87">
        <f t="shared" si="13"/>
        <v>-43.909004707840005</v>
      </c>
      <c r="L22" s="87"/>
      <c r="M22" s="91">
        <v>0</v>
      </c>
      <c r="N22" s="91"/>
      <c r="O22" s="15">
        <f t="shared" si="4"/>
        <v>504.95355414016007</v>
      </c>
      <c r="P22" s="105"/>
      <c r="Q22" s="16">
        <f t="shared" si="14"/>
        <v>38.420379119360007</v>
      </c>
      <c r="R22" s="16">
        <f t="shared" si="15"/>
        <v>5.4886255884800006</v>
      </c>
      <c r="S22" s="16">
        <f t="shared" si="5"/>
        <v>43.909004707840005</v>
      </c>
      <c r="T22" s="16">
        <f t="shared" si="16"/>
        <v>74.096445444480011</v>
      </c>
      <c r="U22" s="16">
        <f t="shared" si="17"/>
        <v>74.096445444480011</v>
      </c>
      <c r="V22" t="s">
        <v>177</v>
      </c>
      <c r="W22" t="s">
        <v>193</v>
      </c>
      <c r="X22" s="36">
        <f t="shared" si="12"/>
        <v>43.909004707840005</v>
      </c>
      <c r="Y22"/>
      <c r="Z22"/>
    </row>
    <row r="23" spans="2:26" ht="12.95" customHeight="1" x14ac:dyDescent="0.25">
      <c r="B23" s="84">
        <v>14408161</v>
      </c>
      <c r="C23" s="53" t="s">
        <v>68</v>
      </c>
      <c r="D23" s="53" t="s">
        <v>66</v>
      </c>
      <c r="E23" s="86" t="s">
        <v>22</v>
      </c>
      <c r="F23" s="11">
        <v>330.1716912</v>
      </c>
      <c r="G23" s="41">
        <f t="shared" si="9"/>
        <v>13.206867647999999</v>
      </c>
      <c r="H23" s="11">
        <f t="shared" si="10"/>
        <v>343.37855884800001</v>
      </c>
      <c r="I23" s="11">
        <v>205.48400000000004</v>
      </c>
      <c r="J23" s="81">
        <f t="shared" si="11"/>
        <v>548.86255884800005</v>
      </c>
      <c r="K23" s="87">
        <f t="shared" si="13"/>
        <v>-43.909004707840005</v>
      </c>
      <c r="L23" s="87"/>
      <c r="M23" s="91">
        <v>0</v>
      </c>
      <c r="N23" s="91">
        <v>0</v>
      </c>
      <c r="O23" s="15">
        <f t="shared" si="4"/>
        <v>504.95355414016007</v>
      </c>
      <c r="P23" s="105"/>
      <c r="Q23" s="16">
        <f t="shared" si="14"/>
        <v>38.420379119360007</v>
      </c>
      <c r="R23" s="16">
        <f t="shared" si="15"/>
        <v>5.4886255884800006</v>
      </c>
      <c r="S23" s="16">
        <f t="shared" si="5"/>
        <v>43.909004707840005</v>
      </c>
      <c r="T23" s="16">
        <f t="shared" si="16"/>
        <v>74.096445444480011</v>
      </c>
      <c r="U23" s="16">
        <f t="shared" si="17"/>
        <v>74.096445444480011</v>
      </c>
      <c r="V23" t="s">
        <v>183</v>
      </c>
      <c r="W23" t="s">
        <v>194</v>
      </c>
      <c r="X23" s="36">
        <f t="shared" si="12"/>
        <v>43.909004707840005</v>
      </c>
      <c r="Y23"/>
      <c r="Z23"/>
    </row>
    <row r="24" spans="2:26" ht="12.95" customHeight="1" x14ac:dyDescent="0.25">
      <c r="B24" s="84">
        <v>25472616</v>
      </c>
      <c r="C24" s="53" t="s">
        <v>70</v>
      </c>
      <c r="D24" s="53" t="s">
        <v>66</v>
      </c>
      <c r="E24" s="86" t="s">
        <v>22</v>
      </c>
      <c r="F24" s="11">
        <v>330.1716912</v>
      </c>
      <c r="G24" s="41">
        <f t="shared" si="9"/>
        <v>13.206867647999999</v>
      </c>
      <c r="H24" s="11">
        <f t="shared" si="10"/>
        <v>343.37855884800001</v>
      </c>
      <c r="I24" s="11">
        <v>205.48400000000004</v>
      </c>
      <c r="J24" s="81">
        <f t="shared" si="11"/>
        <v>548.86255884800005</v>
      </c>
      <c r="K24" s="87">
        <f t="shared" si="13"/>
        <v>-43.909004707840005</v>
      </c>
      <c r="L24" s="87"/>
      <c r="M24" s="91">
        <v>0</v>
      </c>
      <c r="N24" s="91"/>
      <c r="O24" s="15">
        <f t="shared" si="4"/>
        <v>504.95355414016007</v>
      </c>
      <c r="P24" s="105"/>
      <c r="Q24" s="16">
        <f t="shared" si="14"/>
        <v>38.420379119360007</v>
      </c>
      <c r="R24" s="16">
        <f t="shared" si="15"/>
        <v>5.4886255884800006</v>
      </c>
      <c r="S24" s="16">
        <f t="shared" si="5"/>
        <v>43.909004707840005</v>
      </c>
      <c r="T24" s="16">
        <f t="shared" si="16"/>
        <v>74.096445444480011</v>
      </c>
      <c r="U24" s="16">
        <f t="shared" si="17"/>
        <v>74.096445444480011</v>
      </c>
      <c r="V24" t="s">
        <v>183</v>
      </c>
      <c r="W24" s="69" t="s">
        <v>220</v>
      </c>
      <c r="X24" s="36">
        <f t="shared" si="12"/>
        <v>43.909004707840005</v>
      </c>
      <c r="Y24"/>
      <c r="Z24"/>
    </row>
    <row r="25" spans="2:26" ht="12.95" customHeight="1" x14ac:dyDescent="0.25">
      <c r="B25" s="84">
        <v>5829377</v>
      </c>
      <c r="C25" s="53" t="s">
        <v>72</v>
      </c>
      <c r="D25" s="53" t="s">
        <v>73</v>
      </c>
      <c r="E25" s="86" t="s">
        <v>22</v>
      </c>
      <c r="F25" s="11">
        <v>387.99078239999994</v>
      </c>
      <c r="G25" s="41">
        <f t="shared" si="9"/>
        <v>15.519631295999998</v>
      </c>
      <c r="H25" s="11">
        <f t="shared" si="10"/>
        <v>403.51041369599994</v>
      </c>
      <c r="I25" s="11">
        <v>241.46800000000002</v>
      </c>
      <c r="J25" s="81">
        <f t="shared" si="11"/>
        <v>644.97841369599996</v>
      </c>
      <c r="K25" s="87">
        <f t="shared" si="13"/>
        <v>-51.59827309568</v>
      </c>
      <c r="L25" s="87"/>
      <c r="M25" s="90"/>
      <c r="N25" s="91"/>
      <c r="O25" s="15">
        <f t="shared" si="4"/>
        <v>593.38014060031992</v>
      </c>
      <c r="P25" s="105"/>
      <c r="Q25" s="16">
        <f t="shared" si="14"/>
        <v>45.148488958720002</v>
      </c>
      <c r="R25" s="16">
        <f t="shared" si="15"/>
        <v>6.44978413696</v>
      </c>
      <c r="S25" s="16">
        <f t="shared" si="5"/>
        <v>51.59827309568</v>
      </c>
      <c r="T25" s="16">
        <f t="shared" si="16"/>
        <v>87.07208584896</v>
      </c>
      <c r="U25" s="16">
        <f t="shared" si="17"/>
        <v>87.07208584896</v>
      </c>
      <c r="V25" t="s">
        <v>183</v>
      </c>
      <c r="W25" s="69" t="s">
        <v>293</v>
      </c>
      <c r="X25" s="36">
        <f t="shared" si="12"/>
        <v>51.59827309568</v>
      </c>
      <c r="Y25"/>
      <c r="Z25"/>
    </row>
    <row r="26" spans="2:26" ht="12.95" customHeight="1" x14ac:dyDescent="0.25">
      <c r="B26" s="84">
        <v>26785757</v>
      </c>
      <c r="C26" s="53" t="s">
        <v>75</v>
      </c>
      <c r="D26" s="53" t="s">
        <v>76</v>
      </c>
      <c r="E26" s="86" t="s">
        <v>22</v>
      </c>
      <c r="F26" s="11">
        <v>340.88583359999996</v>
      </c>
      <c r="G26" s="41">
        <f t="shared" si="9"/>
        <v>13.635433343999999</v>
      </c>
      <c r="H26" s="11">
        <f t="shared" si="10"/>
        <v>354.52126694399993</v>
      </c>
      <c r="I26" s="11">
        <v>212.15199999999999</v>
      </c>
      <c r="J26" s="81">
        <f t="shared" si="11"/>
        <v>566.67326694399992</v>
      </c>
      <c r="K26" s="87">
        <f t="shared" si="13"/>
        <v>-45.333861355519993</v>
      </c>
      <c r="L26" s="87"/>
      <c r="M26" s="90"/>
      <c r="N26" s="91"/>
      <c r="O26" s="15">
        <f t="shared" si="4"/>
        <v>521.33940558847996</v>
      </c>
      <c r="P26" s="105"/>
      <c r="Q26" s="16">
        <f t="shared" si="14"/>
        <v>39.667128686079998</v>
      </c>
      <c r="R26" s="16">
        <f t="shared" si="15"/>
        <v>5.6667326694399991</v>
      </c>
      <c r="S26" s="16">
        <f t="shared" si="5"/>
        <v>45.33386135552</v>
      </c>
      <c r="T26" s="16">
        <f t="shared" si="16"/>
        <v>76.500891037439999</v>
      </c>
      <c r="U26" s="16">
        <f t="shared" si="17"/>
        <v>76.500891037439999</v>
      </c>
      <c r="V26" t="s">
        <v>183</v>
      </c>
      <c r="W26" t="s">
        <v>195</v>
      </c>
      <c r="X26" s="36">
        <f t="shared" si="12"/>
        <v>45.333861355519993</v>
      </c>
      <c r="Y26"/>
      <c r="Z26"/>
    </row>
    <row r="27" spans="2:26" s="79" customFormat="1" ht="24" customHeight="1" x14ac:dyDescent="0.25">
      <c r="B27" s="93">
        <v>22734098</v>
      </c>
      <c r="C27" s="71" t="s">
        <v>78</v>
      </c>
      <c r="D27" s="72" t="s">
        <v>79</v>
      </c>
      <c r="E27" s="73" t="s">
        <v>22</v>
      </c>
      <c r="F27" s="74">
        <v>309.14831999999996</v>
      </c>
      <c r="G27" s="74">
        <f t="shared" si="9"/>
        <v>12.365932799999998</v>
      </c>
      <c r="H27" s="74">
        <f t="shared" si="10"/>
        <v>321.51425279999995</v>
      </c>
      <c r="I27" s="74">
        <v>192.40000000000003</v>
      </c>
      <c r="J27" s="111">
        <f t="shared" si="11"/>
        <v>513.91425279999999</v>
      </c>
      <c r="K27" s="75">
        <f t="shared" si="13"/>
        <v>-41.113140223999999</v>
      </c>
      <c r="L27" s="76"/>
      <c r="M27" s="76">
        <v>-75</v>
      </c>
      <c r="N27" s="76">
        <f>-J27/30*1</f>
        <v>-17.130475093333335</v>
      </c>
      <c r="O27" s="78">
        <f t="shared" si="4"/>
        <v>380.67063748266662</v>
      </c>
      <c r="P27" s="106" t="s">
        <v>288</v>
      </c>
      <c r="Q27" s="74">
        <f t="shared" si="14"/>
        <v>35.973997696000005</v>
      </c>
      <c r="R27" s="74">
        <f t="shared" si="15"/>
        <v>5.1391425279999998</v>
      </c>
      <c r="S27" s="74">
        <f t="shared" si="5"/>
        <v>41.113140224000006</v>
      </c>
      <c r="T27" s="74">
        <f t="shared" si="16"/>
        <v>69.378424128000006</v>
      </c>
      <c r="U27" s="74">
        <f t="shared" si="17"/>
        <v>69.378424128000006</v>
      </c>
      <c r="V27" s="79" t="s">
        <v>183</v>
      </c>
      <c r="W27" s="79" t="s">
        <v>196</v>
      </c>
      <c r="X27" s="126">
        <f t="shared" si="12"/>
        <v>41.113140223999999</v>
      </c>
    </row>
    <row r="28" spans="2:26" s="79" customFormat="1" x14ac:dyDescent="0.25">
      <c r="B28" s="93">
        <v>23600713</v>
      </c>
      <c r="C28" s="72" t="s">
        <v>81</v>
      </c>
      <c r="D28" s="72" t="s">
        <v>79</v>
      </c>
      <c r="E28" s="73" t="s">
        <v>22</v>
      </c>
      <c r="F28" s="74">
        <v>309.14831999999996</v>
      </c>
      <c r="G28" s="74">
        <f t="shared" si="9"/>
        <v>12.365932799999998</v>
      </c>
      <c r="H28" s="74">
        <f t="shared" si="10"/>
        <v>321.51425279999995</v>
      </c>
      <c r="I28" s="74">
        <v>192.40000000000003</v>
      </c>
      <c r="J28" s="111">
        <f t="shared" si="11"/>
        <v>513.91425279999999</v>
      </c>
      <c r="K28" s="75">
        <f t="shared" si="13"/>
        <v>-41.113140223999999</v>
      </c>
      <c r="L28" s="75"/>
      <c r="M28" s="76"/>
      <c r="N28" s="77">
        <f>J28*10%</f>
        <v>51.39142528</v>
      </c>
      <c r="O28" s="78">
        <f t="shared" si="4"/>
        <v>524.19253785599994</v>
      </c>
      <c r="P28" s="106"/>
      <c r="Q28" s="74">
        <f t="shared" si="14"/>
        <v>35.973997696000005</v>
      </c>
      <c r="R28" s="74">
        <f t="shared" si="15"/>
        <v>5.1391425279999998</v>
      </c>
      <c r="S28" s="74">
        <f t="shared" si="5"/>
        <v>41.113140224000006</v>
      </c>
      <c r="T28" s="74">
        <f t="shared" si="16"/>
        <v>69.378424128000006</v>
      </c>
      <c r="U28" s="74">
        <f t="shared" si="17"/>
        <v>69.378424128000006</v>
      </c>
      <c r="V28" s="79" t="s">
        <v>183</v>
      </c>
      <c r="W28" s="79" t="s">
        <v>197</v>
      </c>
      <c r="X28" s="126">
        <f t="shared" si="12"/>
        <v>41.113140223999999</v>
      </c>
    </row>
    <row r="29" spans="2:26" ht="12.95" customHeight="1" x14ac:dyDescent="0.25">
      <c r="B29" s="84">
        <v>4792636</v>
      </c>
      <c r="C29" s="53" t="s">
        <v>83</v>
      </c>
      <c r="D29" s="53" t="s">
        <v>63</v>
      </c>
      <c r="E29" s="86" t="s">
        <v>22</v>
      </c>
      <c r="F29" s="11">
        <v>415.2</v>
      </c>
      <c r="G29" s="41">
        <f t="shared" si="9"/>
        <v>16.608000000000001</v>
      </c>
      <c r="H29" s="11">
        <f t="shared" si="10"/>
        <v>431.80799999999999</v>
      </c>
      <c r="I29" s="11">
        <f>195+32.8+49</f>
        <v>276.8</v>
      </c>
      <c r="J29" s="81">
        <f t="shared" si="11"/>
        <v>708.60799999999995</v>
      </c>
      <c r="K29" s="87">
        <f t="shared" si="13"/>
        <v>-56.688639999999999</v>
      </c>
      <c r="L29" s="87"/>
      <c r="M29" s="90"/>
      <c r="N29" s="91"/>
      <c r="O29" s="15">
        <f t="shared" si="4"/>
        <v>651.91935999999998</v>
      </c>
      <c r="P29" s="105"/>
      <c r="Q29" s="16">
        <f t="shared" si="14"/>
        <v>49.602560000000004</v>
      </c>
      <c r="R29" s="16">
        <f t="shared" si="15"/>
        <v>7.0860799999999999</v>
      </c>
      <c r="S29" s="16">
        <f t="shared" si="5"/>
        <v>56.688640000000007</v>
      </c>
      <c r="T29" s="16">
        <f t="shared" si="16"/>
        <v>95.662080000000003</v>
      </c>
      <c r="U29" s="16">
        <f t="shared" si="17"/>
        <v>95.662080000000003</v>
      </c>
      <c r="V29" t="s">
        <v>183</v>
      </c>
      <c r="W29" t="s">
        <v>198</v>
      </c>
      <c r="X29" s="36">
        <f t="shared" si="12"/>
        <v>56.688639999999999</v>
      </c>
      <c r="Y29"/>
      <c r="Z29"/>
    </row>
    <row r="30" spans="2:26" ht="12.95" customHeight="1" x14ac:dyDescent="0.25">
      <c r="B30" s="84">
        <v>12194826</v>
      </c>
      <c r="C30" s="53" t="s">
        <v>86</v>
      </c>
      <c r="D30" s="53" t="s">
        <v>87</v>
      </c>
      <c r="E30" s="86" t="s">
        <v>22</v>
      </c>
      <c r="F30" s="11">
        <v>309.14831999999996</v>
      </c>
      <c r="G30" s="41">
        <f t="shared" si="9"/>
        <v>12.365932799999998</v>
      </c>
      <c r="H30" s="11">
        <f t="shared" si="10"/>
        <v>321.51425279999995</v>
      </c>
      <c r="I30" s="11">
        <v>192.40000000000003</v>
      </c>
      <c r="J30" s="81">
        <f t="shared" si="11"/>
        <v>513.91425279999999</v>
      </c>
      <c r="K30" s="87">
        <f t="shared" si="13"/>
        <v>-41.113140223999999</v>
      </c>
      <c r="L30" s="87"/>
      <c r="M30" s="90"/>
      <c r="N30" s="91"/>
      <c r="O30" s="15">
        <f t="shared" si="4"/>
        <v>472.80111257599998</v>
      </c>
      <c r="P30" s="105"/>
      <c r="Q30" s="16">
        <f t="shared" si="14"/>
        <v>35.973997696000005</v>
      </c>
      <c r="R30" s="16">
        <f t="shared" si="15"/>
        <v>5.1391425279999998</v>
      </c>
      <c r="S30" s="16">
        <f t="shared" si="5"/>
        <v>41.113140224000006</v>
      </c>
      <c r="T30" s="16">
        <f t="shared" si="16"/>
        <v>69.378424128000006</v>
      </c>
      <c r="U30" s="16">
        <f t="shared" si="17"/>
        <v>69.378424128000006</v>
      </c>
      <c r="V30" t="s">
        <v>187</v>
      </c>
      <c r="W30" t="s">
        <v>199</v>
      </c>
      <c r="X30" s="36">
        <f t="shared" si="12"/>
        <v>41.113140223999999</v>
      </c>
      <c r="Y30"/>
      <c r="Z30"/>
    </row>
    <row r="31" spans="2:26" s="79" customFormat="1" x14ac:dyDescent="0.25">
      <c r="B31" s="93">
        <v>15107764</v>
      </c>
      <c r="C31" s="71" t="s">
        <v>89</v>
      </c>
      <c r="D31" s="72" t="s">
        <v>87</v>
      </c>
      <c r="E31" s="73" t="s">
        <v>22</v>
      </c>
      <c r="F31" s="74">
        <v>309.14831999999996</v>
      </c>
      <c r="G31" s="74">
        <f t="shared" si="9"/>
        <v>12.365932799999998</v>
      </c>
      <c r="H31" s="74">
        <f t="shared" si="10"/>
        <v>321.51425279999995</v>
      </c>
      <c r="I31" s="74">
        <v>192.40000000000003</v>
      </c>
      <c r="J31" s="111">
        <f t="shared" si="11"/>
        <v>513.91425279999999</v>
      </c>
      <c r="K31" s="75">
        <f t="shared" si="13"/>
        <v>-41.113140223999999</v>
      </c>
      <c r="L31" s="75"/>
      <c r="M31" s="76"/>
      <c r="N31" s="77">
        <f>J31*10%</f>
        <v>51.39142528</v>
      </c>
      <c r="O31" s="78">
        <f t="shared" si="4"/>
        <v>524.19253785599994</v>
      </c>
      <c r="P31" s="106" t="s">
        <v>284</v>
      </c>
      <c r="Q31" s="74">
        <f t="shared" si="14"/>
        <v>35.973997696000005</v>
      </c>
      <c r="R31" s="74">
        <f t="shared" si="15"/>
        <v>5.1391425279999998</v>
      </c>
      <c r="S31" s="74">
        <f t="shared" si="5"/>
        <v>41.113140224000006</v>
      </c>
      <c r="T31" s="74">
        <f t="shared" si="16"/>
        <v>69.378424128000006</v>
      </c>
      <c r="U31" s="74">
        <f t="shared" si="17"/>
        <v>69.378424128000006</v>
      </c>
      <c r="V31" s="79" t="s">
        <v>183</v>
      </c>
      <c r="W31" s="79" t="s">
        <v>200</v>
      </c>
      <c r="X31" s="126">
        <f t="shared" si="12"/>
        <v>41.113140223999999</v>
      </c>
    </row>
    <row r="32" spans="2:26" s="79" customFormat="1" ht="12.95" customHeight="1" x14ac:dyDescent="0.25">
      <c r="B32" s="93">
        <v>14873156</v>
      </c>
      <c r="C32" s="72" t="s">
        <v>91</v>
      </c>
      <c r="D32" s="72" t="s">
        <v>84</v>
      </c>
      <c r="E32" s="73" t="s">
        <v>22</v>
      </c>
      <c r="F32" s="74">
        <v>309.14831999999996</v>
      </c>
      <c r="G32" s="74">
        <f t="shared" si="9"/>
        <v>12.365932799999998</v>
      </c>
      <c r="H32" s="74">
        <f t="shared" si="10"/>
        <v>321.51425279999995</v>
      </c>
      <c r="I32" s="74">
        <v>192.40000000000003</v>
      </c>
      <c r="J32" s="111">
        <f t="shared" si="11"/>
        <v>513.91425279999999</v>
      </c>
      <c r="K32" s="75">
        <f t="shared" si="13"/>
        <v>-41.113140223999999</v>
      </c>
      <c r="L32" s="75"/>
      <c r="M32" s="76">
        <f>-900/12</f>
        <v>-75</v>
      </c>
      <c r="N32" s="77"/>
      <c r="O32" s="78">
        <f t="shared" si="4"/>
        <v>397.80111257599998</v>
      </c>
      <c r="P32" s="106" t="s">
        <v>286</v>
      </c>
      <c r="Q32" s="74">
        <f t="shared" si="14"/>
        <v>35.973997696000005</v>
      </c>
      <c r="R32" s="74">
        <f t="shared" si="15"/>
        <v>5.1391425279999998</v>
      </c>
      <c r="S32" s="74">
        <f t="shared" si="5"/>
        <v>41.113140224000006</v>
      </c>
      <c r="T32" s="74">
        <f t="shared" si="16"/>
        <v>69.378424128000006</v>
      </c>
      <c r="U32" s="74">
        <f t="shared" si="17"/>
        <v>69.378424128000006</v>
      </c>
      <c r="V32" s="79" t="s">
        <v>183</v>
      </c>
      <c r="W32" s="79" t="s">
        <v>201</v>
      </c>
      <c r="X32" s="126">
        <f t="shared" si="12"/>
        <v>41.113140223999999</v>
      </c>
    </row>
    <row r="33" spans="2:26" ht="12.95" customHeight="1" x14ac:dyDescent="0.25">
      <c r="B33" s="84">
        <v>4383259</v>
      </c>
      <c r="C33" s="53" t="s">
        <v>93</v>
      </c>
      <c r="D33" s="53" t="s">
        <v>94</v>
      </c>
      <c r="E33" s="86" t="s">
        <v>22</v>
      </c>
      <c r="F33" s="11">
        <v>333.57167999999996</v>
      </c>
      <c r="G33" s="41">
        <f t="shared" si="9"/>
        <v>13.342867199999999</v>
      </c>
      <c r="H33" s="11">
        <f t="shared" si="10"/>
        <v>346.91454719999996</v>
      </c>
      <c r="I33" s="11">
        <v>207.60000000000002</v>
      </c>
      <c r="J33" s="81">
        <f t="shared" si="11"/>
        <v>554.51454719999992</v>
      </c>
      <c r="K33" s="87">
        <f t="shared" si="13"/>
        <v>-44.361163775999998</v>
      </c>
      <c r="L33" s="87"/>
      <c r="M33" s="90"/>
      <c r="N33" s="91"/>
      <c r="O33" s="15">
        <f t="shared" si="4"/>
        <v>510.15338342399991</v>
      </c>
      <c r="P33" s="105"/>
      <c r="Q33" s="16">
        <f t="shared" si="14"/>
        <v>38.816018303999996</v>
      </c>
      <c r="R33" s="16">
        <f t="shared" si="15"/>
        <v>5.5451454719999997</v>
      </c>
      <c r="S33" s="16">
        <f t="shared" si="5"/>
        <v>44.361163775999998</v>
      </c>
      <c r="T33" s="16">
        <f t="shared" si="16"/>
        <v>74.859463871999992</v>
      </c>
      <c r="U33" s="16">
        <f t="shared" si="17"/>
        <v>74.859463871999992</v>
      </c>
      <c r="V33" t="s">
        <v>183</v>
      </c>
      <c r="W33" t="s">
        <v>202</v>
      </c>
      <c r="X33" s="36">
        <f t="shared" si="12"/>
        <v>44.361163775999998</v>
      </c>
      <c r="Y33"/>
      <c r="Z33"/>
    </row>
    <row r="34" spans="2:26" ht="12.95" customHeight="1" x14ac:dyDescent="0.25">
      <c r="B34" s="84">
        <v>18640539</v>
      </c>
      <c r="C34" s="53" t="s">
        <v>96</v>
      </c>
      <c r="D34" s="53" t="s">
        <v>97</v>
      </c>
      <c r="E34" s="86" t="s">
        <v>22</v>
      </c>
      <c r="F34" s="11">
        <v>333.57167999999996</v>
      </c>
      <c r="G34" s="41">
        <f t="shared" si="9"/>
        <v>13.342867199999999</v>
      </c>
      <c r="H34" s="11">
        <f t="shared" si="10"/>
        <v>346.91454719999996</v>
      </c>
      <c r="I34" s="11">
        <v>207.60000000000002</v>
      </c>
      <c r="J34" s="81">
        <f t="shared" si="11"/>
        <v>554.51454719999992</v>
      </c>
      <c r="K34" s="87">
        <f t="shared" si="13"/>
        <v>-44.361163775999998</v>
      </c>
      <c r="L34" s="87"/>
      <c r="M34" s="90"/>
      <c r="N34" s="91"/>
      <c r="O34" s="15">
        <f t="shared" si="4"/>
        <v>510.15338342399991</v>
      </c>
      <c r="P34" s="105"/>
      <c r="Q34" s="16">
        <f t="shared" si="14"/>
        <v>38.816018303999996</v>
      </c>
      <c r="R34" s="16">
        <f t="shared" si="15"/>
        <v>5.5451454719999997</v>
      </c>
      <c r="S34" s="16">
        <f t="shared" si="5"/>
        <v>44.361163775999998</v>
      </c>
      <c r="T34" s="16">
        <f t="shared" si="16"/>
        <v>74.859463871999992</v>
      </c>
      <c r="U34" s="16">
        <f t="shared" si="17"/>
        <v>74.859463871999992</v>
      </c>
      <c r="V34" t="s">
        <v>183</v>
      </c>
      <c r="W34" t="s">
        <v>203</v>
      </c>
      <c r="X34" s="36">
        <f t="shared" si="12"/>
        <v>44.361163775999998</v>
      </c>
      <c r="Y34"/>
      <c r="Z34"/>
    </row>
    <row r="35" spans="2:26" ht="12.95" customHeight="1" x14ac:dyDescent="0.25">
      <c r="B35" s="84">
        <v>111114471</v>
      </c>
      <c r="C35" s="53" t="s">
        <v>99</v>
      </c>
      <c r="D35" s="53" t="s">
        <v>97</v>
      </c>
      <c r="E35" s="86" t="s">
        <v>34</v>
      </c>
      <c r="F35" s="11">
        <v>289.22400000000005</v>
      </c>
      <c r="G35" s="41">
        <f t="shared" si="9"/>
        <v>11.568960000000002</v>
      </c>
      <c r="H35" s="11">
        <f t="shared" si="10"/>
        <v>300.79296000000005</v>
      </c>
      <c r="I35" s="11">
        <v>180</v>
      </c>
      <c r="J35" s="81">
        <f t="shared" si="11"/>
        <v>480.79296000000005</v>
      </c>
      <c r="K35" s="87">
        <v>0</v>
      </c>
      <c r="L35" s="87"/>
      <c r="M35" s="90"/>
      <c r="N35" s="91"/>
      <c r="O35" s="15">
        <f t="shared" si="4"/>
        <v>480.79296000000005</v>
      </c>
      <c r="P35" s="105" t="s">
        <v>23</v>
      </c>
      <c r="Q35" s="16">
        <v>0</v>
      </c>
      <c r="R35" s="16">
        <v>0</v>
      </c>
      <c r="S35" s="16">
        <v>0</v>
      </c>
      <c r="T35" s="16">
        <v>0</v>
      </c>
      <c r="U35" s="16">
        <f>T35</f>
        <v>0</v>
      </c>
      <c r="V35" t="s">
        <v>183</v>
      </c>
      <c r="W35" t="s">
        <v>204</v>
      </c>
      <c r="X35" s="36">
        <f t="shared" si="12"/>
        <v>0</v>
      </c>
      <c r="Y35"/>
      <c r="Z35"/>
    </row>
    <row r="36" spans="2:26" ht="12.95" customHeight="1" x14ac:dyDescent="0.25">
      <c r="B36" s="84">
        <v>10132421</v>
      </c>
      <c r="C36" s="53" t="s">
        <v>101</v>
      </c>
      <c r="D36" s="53" t="s">
        <v>102</v>
      </c>
      <c r="E36" s="86" t="s">
        <v>22</v>
      </c>
      <c r="F36" s="11">
        <v>294.43003199999998</v>
      </c>
      <c r="G36" s="41">
        <f t="shared" si="9"/>
        <v>11.77720128</v>
      </c>
      <c r="H36" s="11">
        <f t="shared" si="10"/>
        <v>306.20723327999997</v>
      </c>
      <c r="I36" s="11">
        <v>183.24</v>
      </c>
      <c r="J36" s="81">
        <f t="shared" si="11"/>
        <v>489.44723327999998</v>
      </c>
      <c r="K36" s="87">
        <f t="shared" ref="K36:K44" si="18">-J36*8%</f>
        <v>-39.155778662399996</v>
      </c>
      <c r="L36" s="87"/>
      <c r="M36" s="90"/>
      <c r="N36" s="91"/>
      <c r="O36" s="15">
        <f t="shared" si="4"/>
        <v>450.29145461759998</v>
      </c>
      <c r="P36" s="105"/>
      <c r="Q36" s="16">
        <f t="shared" ref="Q36:Q44" si="19">J36*0.07</f>
        <v>34.261306329600004</v>
      </c>
      <c r="R36" s="16">
        <f t="shared" ref="R36:R44" si="20">J36*0.01</f>
        <v>4.8944723327999995</v>
      </c>
      <c r="S36" s="16">
        <f t="shared" si="5"/>
        <v>39.155778662400003</v>
      </c>
      <c r="T36" s="16">
        <f t="shared" ref="T36:T44" si="21">J36*0.135</f>
        <v>66.075376492800004</v>
      </c>
      <c r="U36" s="16">
        <f t="shared" si="17"/>
        <v>66.075376492800004</v>
      </c>
      <c r="V36" t="s">
        <v>183</v>
      </c>
      <c r="W36" t="s">
        <v>205</v>
      </c>
      <c r="X36" s="36">
        <f t="shared" si="12"/>
        <v>39.155778662399996</v>
      </c>
      <c r="Y36"/>
      <c r="Z36"/>
    </row>
    <row r="37" spans="2:26" ht="12.95" customHeight="1" x14ac:dyDescent="0.25">
      <c r="B37" s="84">
        <v>6431446</v>
      </c>
      <c r="C37" s="53" t="s">
        <v>104</v>
      </c>
      <c r="D37" s="53" t="s">
        <v>102</v>
      </c>
      <c r="E37" s="86" t="s">
        <v>22</v>
      </c>
      <c r="F37" s="11">
        <v>294.43003199999998</v>
      </c>
      <c r="G37" s="41">
        <f t="shared" si="9"/>
        <v>11.77720128</v>
      </c>
      <c r="H37" s="11">
        <f t="shared" si="10"/>
        <v>306.20723327999997</v>
      </c>
      <c r="I37" s="11">
        <v>183.24</v>
      </c>
      <c r="J37" s="81">
        <f t="shared" si="11"/>
        <v>489.44723327999998</v>
      </c>
      <c r="K37" s="87">
        <f t="shared" si="18"/>
        <v>-39.155778662399996</v>
      </c>
      <c r="L37" s="87"/>
      <c r="M37" s="90"/>
      <c r="N37" s="91"/>
      <c r="O37" s="15">
        <f t="shared" si="4"/>
        <v>450.29145461759998</v>
      </c>
      <c r="P37" s="105"/>
      <c r="Q37" s="16">
        <f t="shared" si="19"/>
        <v>34.261306329600004</v>
      </c>
      <c r="R37" s="16">
        <f t="shared" si="20"/>
        <v>4.8944723327999995</v>
      </c>
      <c r="S37" s="16">
        <f t="shared" si="5"/>
        <v>39.155778662400003</v>
      </c>
      <c r="T37" s="16">
        <f t="shared" si="21"/>
        <v>66.075376492800004</v>
      </c>
      <c r="U37" s="16">
        <f t="shared" si="17"/>
        <v>66.075376492800004</v>
      </c>
      <c r="V37" t="s">
        <v>183</v>
      </c>
      <c r="W37" t="s">
        <v>206</v>
      </c>
      <c r="X37" s="36">
        <f t="shared" si="12"/>
        <v>39.155778662399996</v>
      </c>
      <c r="Y37"/>
      <c r="Z37"/>
    </row>
    <row r="38" spans="2:26" ht="12.95" customHeight="1" x14ac:dyDescent="0.25">
      <c r="B38" s="84">
        <v>19315674</v>
      </c>
      <c r="C38" s="53" t="s">
        <v>106</v>
      </c>
      <c r="D38" s="53" t="s">
        <v>102</v>
      </c>
      <c r="E38" s="86" t="s">
        <v>22</v>
      </c>
      <c r="F38" s="11">
        <v>294.43003199999998</v>
      </c>
      <c r="G38" s="41">
        <f t="shared" si="9"/>
        <v>11.77720128</v>
      </c>
      <c r="H38" s="11">
        <f t="shared" si="10"/>
        <v>306.20723327999997</v>
      </c>
      <c r="I38" s="11">
        <v>183.24</v>
      </c>
      <c r="J38" s="81">
        <f t="shared" si="11"/>
        <v>489.44723327999998</v>
      </c>
      <c r="K38" s="87">
        <f t="shared" si="18"/>
        <v>-39.155778662399996</v>
      </c>
      <c r="L38" s="87"/>
      <c r="M38" s="90"/>
      <c r="N38" s="91"/>
      <c r="O38" s="15">
        <f t="shared" si="4"/>
        <v>450.29145461759998</v>
      </c>
      <c r="P38" s="105"/>
      <c r="Q38" s="16">
        <f t="shared" si="19"/>
        <v>34.261306329600004</v>
      </c>
      <c r="R38" s="16">
        <f t="shared" si="20"/>
        <v>4.8944723327999995</v>
      </c>
      <c r="S38" s="16">
        <f t="shared" si="5"/>
        <v>39.155778662400003</v>
      </c>
      <c r="T38" s="16">
        <f t="shared" si="21"/>
        <v>66.075376492800004</v>
      </c>
      <c r="U38" s="16">
        <f t="shared" si="17"/>
        <v>66.075376492800004</v>
      </c>
      <c r="V38" t="s">
        <v>183</v>
      </c>
      <c r="W38" t="s">
        <v>207</v>
      </c>
      <c r="X38" s="36">
        <f t="shared" si="12"/>
        <v>39.155778662399996</v>
      </c>
      <c r="Y38"/>
      <c r="Z38"/>
    </row>
    <row r="39" spans="2:26" ht="12.95" customHeight="1" x14ac:dyDescent="0.25">
      <c r="B39" s="84">
        <v>24834714</v>
      </c>
      <c r="C39" s="53" t="s">
        <v>108</v>
      </c>
      <c r="D39" s="53" t="s">
        <v>102</v>
      </c>
      <c r="E39" s="86" t="s">
        <v>22</v>
      </c>
      <c r="F39" s="11">
        <v>294.43003199999998</v>
      </c>
      <c r="G39" s="41">
        <f t="shared" si="9"/>
        <v>11.77720128</v>
      </c>
      <c r="H39" s="11">
        <f t="shared" si="10"/>
        <v>306.20723327999997</v>
      </c>
      <c r="I39" s="11">
        <v>183.24</v>
      </c>
      <c r="J39" s="81">
        <f t="shared" si="11"/>
        <v>489.44723327999998</v>
      </c>
      <c r="K39" s="87">
        <f t="shared" si="18"/>
        <v>-39.155778662399996</v>
      </c>
      <c r="L39" s="87"/>
      <c r="M39" s="90"/>
      <c r="N39" s="91"/>
      <c r="O39" s="15">
        <f t="shared" si="4"/>
        <v>450.29145461759998</v>
      </c>
      <c r="P39" s="105"/>
      <c r="Q39" s="16">
        <f t="shared" si="19"/>
        <v>34.261306329600004</v>
      </c>
      <c r="R39" s="16">
        <f t="shared" si="20"/>
        <v>4.8944723327999995</v>
      </c>
      <c r="S39" s="16">
        <f t="shared" si="5"/>
        <v>39.155778662400003</v>
      </c>
      <c r="T39" s="16">
        <f t="shared" si="21"/>
        <v>66.075376492800004</v>
      </c>
      <c r="U39" s="16">
        <f t="shared" si="17"/>
        <v>66.075376492800004</v>
      </c>
      <c r="V39" t="s">
        <v>208</v>
      </c>
      <c r="W39" t="s">
        <v>221</v>
      </c>
      <c r="X39" s="36">
        <f t="shared" si="12"/>
        <v>39.155778662399996</v>
      </c>
      <c r="Y39"/>
      <c r="Z39"/>
    </row>
    <row r="40" spans="2:26" ht="12.95" customHeight="1" x14ac:dyDescent="0.25">
      <c r="B40" s="84">
        <v>21973324</v>
      </c>
      <c r="C40" s="53" t="s">
        <v>110</v>
      </c>
      <c r="D40" s="53" t="s">
        <v>102</v>
      </c>
      <c r="E40" s="86" t="s">
        <v>22</v>
      </c>
      <c r="F40" s="11">
        <v>294.43003199999998</v>
      </c>
      <c r="G40" s="41">
        <f t="shared" si="9"/>
        <v>11.77720128</v>
      </c>
      <c r="H40" s="11">
        <f t="shared" si="10"/>
        <v>306.20723327999997</v>
      </c>
      <c r="I40" s="11">
        <v>183.24</v>
      </c>
      <c r="J40" s="81">
        <f t="shared" si="11"/>
        <v>489.44723327999998</v>
      </c>
      <c r="K40" s="87">
        <f t="shared" si="18"/>
        <v>-39.155778662399996</v>
      </c>
      <c r="L40" s="87"/>
      <c r="M40" s="90"/>
      <c r="N40" s="91"/>
      <c r="O40" s="15">
        <f t="shared" si="4"/>
        <v>450.29145461759998</v>
      </c>
      <c r="P40" s="105"/>
      <c r="Q40" s="16">
        <f t="shared" si="19"/>
        <v>34.261306329600004</v>
      </c>
      <c r="R40" s="16">
        <f t="shared" si="20"/>
        <v>4.8944723327999995</v>
      </c>
      <c r="S40" s="16">
        <f t="shared" si="5"/>
        <v>39.155778662400003</v>
      </c>
      <c r="T40" s="16">
        <f t="shared" si="21"/>
        <v>66.075376492800004</v>
      </c>
      <c r="U40" s="16">
        <f t="shared" si="17"/>
        <v>66.075376492800004</v>
      </c>
      <c r="V40" t="s">
        <v>183</v>
      </c>
      <c r="W40" t="s">
        <v>209</v>
      </c>
      <c r="X40" s="36">
        <f t="shared" si="12"/>
        <v>39.155778662399996</v>
      </c>
      <c r="Y40"/>
      <c r="Z40"/>
    </row>
    <row r="41" spans="2:26" ht="12.95" customHeight="1" x14ac:dyDescent="0.25">
      <c r="B41" s="84">
        <v>19455653</v>
      </c>
      <c r="C41" s="53" t="s">
        <v>111</v>
      </c>
      <c r="D41" s="53" t="s">
        <v>102</v>
      </c>
      <c r="E41" s="86" t="s">
        <v>22</v>
      </c>
      <c r="F41" s="11">
        <v>294.43003199999998</v>
      </c>
      <c r="G41" s="41">
        <f t="shared" si="9"/>
        <v>11.77720128</v>
      </c>
      <c r="H41" s="11">
        <f t="shared" si="10"/>
        <v>306.20723327999997</v>
      </c>
      <c r="I41" s="11">
        <v>183.24</v>
      </c>
      <c r="J41" s="81">
        <f t="shared" si="11"/>
        <v>489.44723327999998</v>
      </c>
      <c r="K41" s="87">
        <f t="shared" si="18"/>
        <v>-39.155778662399996</v>
      </c>
      <c r="L41" s="87"/>
      <c r="M41" s="90"/>
      <c r="N41" s="91"/>
      <c r="O41" s="15">
        <f t="shared" si="4"/>
        <v>450.29145461759998</v>
      </c>
      <c r="P41" s="105"/>
      <c r="Q41" s="16">
        <f t="shared" si="19"/>
        <v>34.261306329600004</v>
      </c>
      <c r="R41" s="16">
        <f t="shared" si="20"/>
        <v>4.8944723327999995</v>
      </c>
      <c r="S41" s="16">
        <f t="shared" si="5"/>
        <v>39.155778662400003</v>
      </c>
      <c r="T41" s="16">
        <f t="shared" si="21"/>
        <v>66.075376492800004</v>
      </c>
      <c r="U41" s="16">
        <f t="shared" si="17"/>
        <v>66.075376492800004</v>
      </c>
      <c r="V41" t="s">
        <v>187</v>
      </c>
      <c r="W41" t="s">
        <v>210</v>
      </c>
      <c r="X41" s="36">
        <f t="shared" si="12"/>
        <v>39.155778662399996</v>
      </c>
      <c r="Y41"/>
      <c r="Z41"/>
    </row>
    <row r="42" spans="2:26" ht="12.95" customHeight="1" x14ac:dyDescent="0.25">
      <c r="B42" s="84">
        <v>19046538</v>
      </c>
      <c r="C42" s="53" t="s">
        <v>113</v>
      </c>
      <c r="D42" s="53" t="s">
        <v>102</v>
      </c>
      <c r="E42" s="86" t="s">
        <v>22</v>
      </c>
      <c r="F42" s="11">
        <v>289.22400000000005</v>
      </c>
      <c r="G42" s="41">
        <f t="shared" si="9"/>
        <v>11.568960000000002</v>
      </c>
      <c r="H42" s="11">
        <f t="shared" si="10"/>
        <v>300.79296000000005</v>
      </c>
      <c r="I42" s="11">
        <v>180</v>
      </c>
      <c r="J42" s="81">
        <f t="shared" si="11"/>
        <v>480.79296000000005</v>
      </c>
      <c r="K42" s="87">
        <f t="shared" si="18"/>
        <v>-38.463436800000004</v>
      </c>
      <c r="L42" s="87"/>
      <c r="M42" s="90"/>
      <c r="N42" s="91"/>
      <c r="O42" s="15">
        <f t="shared" si="4"/>
        <v>442.32952320000004</v>
      </c>
      <c r="P42" s="105"/>
      <c r="Q42" s="16">
        <f t="shared" si="19"/>
        <v>33.65550720000001</v>
      </c>
      <c r="R42" s="16">
        <f t="shared" si="20"/>
        <v>4.8079296000000005</v>
      </c>
      <c r="S42" s="16">
        <f t="shared" si="5"/>
        <v>38.463436800000011</v>
      </c>
      <c r="T42" s="16">
        <f t="shared" si="21"/>
        <v>64.907049600000008</v>
      </c>
      <c r="U42" s="16">
        <f t="shared" si="17"/>
        <v>64.907049600000008</v>
      </c>
      <c r="V42" t="s">
        <v>183</v>
      </c>
      <c r="W42" t="s">
        <v>211</v>
      </c>
      <c r="X42" s="36">
        <f t="shared" si="12"/>
        <v>38.463436800000004</v>
      </c>
      <c r="Y42"/>
      <c r="Z42"/>
    </row>
    <row r="43" spans="2:26" ht="12.95" customHeight="1" x14ac:dyDescent="0.25">
      <c r="B43" s="84">
        <v>19743187</v>
      </c>
      <c r="C43" s="53" t="s">
        <v>115</v>
      </c>
      <c r="D43" s="53" t="s">
        <v>102</v>
      </c>
      <c r="E43" s="86" t="s">
        <v>22</v>
      </c>
      <c r="F43" s="11">
        <v>289.22400000000005</v>
      </c>
      <c r="G43" s="41">
        <f t="shared" si="9"/>
        <v>11.568960000000002</v>
      </c>
      <c r="H43" s="11">
        <f t="shared" si="10"/>
        <v>300.79296000000005</v>
      </c>
      <c r="I43" s="11">
        <v>180</v>
      </c>
      <c r="J43" s="81">
        <f t="shared" si="11"/>
        <v>480.79296000000005</v>
      </c>
      <c r="K43" s="87">
        <f t="shared" si="18"/>
        <v>-38.463436800000004</v>
      </c>
      <c r="L43" s="87"/>
      <c r="M43" s="90"/>
      <c r="N43" s="91"/>
      <c r="O43" s="15">
        <f t="shared" si="4"/>
        <v>442.32952320000004</v>
      </c>
      <c r="P43" s="105"/>
      <c r="Q43" s="16">
        <f t="shared" si="19"/>
        <v>33.65550720000001</v>
      </c>
      <c r="R43" s="16">
        <f t="shared" si="20"/>
        <v>4.8079296000000005</v>
      </c>
      <c r="S43" s="16">
        <f t="shared" si="5"/>
        <v>38.463436800000011</v>
      </c>
      <c r="T43" s="16">
        <f t="shared" si="21"/>
        <v>64.907049600000008</v>
      </c>
      <c r="U43" s="16">
        <f t="shared" si="17"/>
        <v>64.907049600000008</v>
      </c>
      <c r="V43" t="s">
        <v>183</v>
      </c>
      <c r="W43" t="s">
        <v>212</v>
      </c>
      <c r="X43" s="36">
        <f t="shared" si="12"/>
        <v>38.463436800000004</v>
      </c>
      <c r="Y43"/>
      <c r="Z43"/>
    </row>
    <row r="44" spans="2:26" ht="12.95" customHeight="1" x14ac:dyDescent="0.25">
      <c r="B44" s="84">
        <v>22767646</v>
      </c>
      <c r="C44" s="53" t="s">
        <v>117</v>
      </c>
      <c r="D44" s="53" t="s">
        <v>102</v>
      </c>
      <c r="E44" s="86" t="s">
        <v>22</v>
      </c>
      <c r="F44" s="11">
        <v>289.22400000000005</v>
      </c>
      <c r="G44" s="41">
        <f t="shared" si="9"/>
        <v>11.568960000000002</v>
      </c>
      <c r="H44" s="11">
        <f t="shared" si="10"/>
        <v>300.79296000000005</v>
      </c>
      <c r="I44" s="11">
        <v>180</v>
      </c>
      <c r="J44" s="81">
        <f t="shared" si="11"/>
        <v>480.79296000000005</v>
      </c>
      <c r="K44" s="87">
        <f t="shared" si="18"/>
        <v>-38.463436800000004</v>
      </c>
      <c r="L44" s="87"/>
      <c r="M44" s="90"/>
      <c r="N44" s="91"/>
      <c r="O44" s="15">
        <f t="shared" si="4"/>
        <v>442.32952320000004</v>
      </c>
      <c r="P44" s="105"/>
      <c r="Q44" s="16">
        <f t="shared" si="19"/>
        <v>33.65550720000001</v>
      </c>
      <c r="R44" s="16">
        <f t="shared" si="20"/>
        <v>4.8079296000000005</v>
      </c>
      <c r="S44" s="16">
        <f t="shared" si="5"/>
        <v>38.463436800000011</v>
      </c>
      <c r="T44" s="16">
        <f t="shared" si="21"/>
        <v>64.907049600000008</v>
      </c>
      <c r="U44" s="16">
        <f t="shared" si="17"/>
        <v>64.907049600000008</v>
      </c>
      <c r="V44" t="s">
        <v>183</v>
      </c>
      <c r="W44" t="s">
        <v>213</v>
      </c>
      <c r="X44" s="36">
        <f t="shared" si="12"/>
        <v>38.463436800000004</v>
      </c>
      <c r="Y44"/>
      <c r="Z44"/>
    </row>
    <row r="45" spans="2:26" ht="12.95" customHeight="1" x14ac:dyDescent="0.25">
      <c r="B45" s="84">
        <v>122839666</v>
      </c>
      <c r="C45" s="53" t="s">
        <v>119</v>
      </c>
      <c r="D45" s="53" t="s">
        <v>120</v>
      </c>
      <c r="E45" s="86" t="s">
        <v>34</v>
      </c>
      <c r="F45" s="11">
        <v>224.952</v>
      </c>
      <c r="G45" s="41">
        <f t="shared" si="9"/>
        <v>8.9980799999999999</v>
      </c>
      <c r="H45" s="11">
        <f t="shared" si="10"/>
        <v>233.95007999999999</v>
      </c>
      <c r="I45" s="11">
        <v>140</v>
      </c>
      <c r="J45" s="81">
        <f t="shared" si="11"/>
        <v>373.95007999999996</v>
      </c>
      <c r="K45" s="87">
        <v>0</v>
      </c>
      <c r="L45" s="87"/>
      <c r="M45" s="90"/>
      <c r="N45" s="91"/>
      <c r="O45" s="15">
        <f t="shared" si="4"/>
        <v>373.95007999999996</v>
      </c>
      <c r="P45" s="105"/>
      <c r="Q45" s="16">
        <v>0</v>
      </c>
      <c r="R45" s="16">
        <v>0</v>
      </c>
      <c r="S45" s="16">
        <v>0</v>
      </c>
      <c r="T45" s="16">
        <v>0</v>
      </c>
      <c r="U45" s="16">
        <f t="shared" si="17"/>
        <v>0</v>
      </c>
      <c r="V45" t="s">
        <v>187</v>
      </c>
      <c r="W45" t="s">
        <v>214</v>
      </c>
      <c r="X45" s="36">
        <f t="shared" si="12"/>
        <v>0</v>
      </c>
      <c r="Y45"/>
      <c r="Z45"/>
    </row>
    <row r="46" spans="2:26" ht="12.95" customHeight="1" x14ac:dyDescent="0.25">
      <c r="B46" s="84">
        <v>124284505</v>
      </c>
      <c r="C46" s="53" t="s">
        <v>122</v>
      </c>
      <c r="D46" s="53" t="s">
        <v>120</v>
      </c>
      <c r="E46" s="86" t="s">
        <v>34</v>
      </c>
      <c r="F46" s="11">
        <v>224.952</v>
      </c>
      <c r="G46" s="41">
        <f t="shared" si="9"/>
        <v>8.9980799999999999</v>
      </c>
      <c r="H46" s="11">
        <f t="shared" si="10"/>
        <v>233.95007999999999</v>
      </c>
      <c r="I46" s="11">
        <v>140</v>
      </c>
      <c r="J46" s="81">
        <f t="shared" si="11"/>
        <v>373.95007999999996</v>
      </c>
      <c r="K46" s="87">
        <v>0</v>
      </c>
      <c r="L46" s="87"/>
      <c r="M46" s="90"/>
      <c r="N46" s="91"/>
      <c r="O46" s="15">
        <f t="shared" si="4"/>
        <v>373.95007999999996</v>
      </c>
      <c r="P46" s="105" t="s">
        <v>23</v>
      </c>
      <c r="Q46" s="16">
        <v>0</v>
      </c>
      <c r="R46" s="16">
        <v>0</v>
      </c>
      <c r="S46" s="16">
        <v>0</v>
      </c>
      <c r="T46" s="16">
        <v>0</v>
      </c>
      <c r="U46" s="16">
        <f t="shared" si="17"/>
        <v>0</v>
      </c>
      <c r="V46" t="s">
        <v>215</v>
      </c>
      <c r="W46" t="s">
        <v>216</v>
      </c>
      <c r="X46" s="36">
        <f t="shared" si="12"/>
        <v>0</v>
      </c>
      <c r="Y46"/>
      <c r="Z46"/>
    </row>
    <row r="47" spans="2:26" ht="12.95" customHeight="1" x14ac:dyDescent="0.25">
      <c r="B47" s="84">
        <v>100614033</v>
      </c>
      <c r="C47" s="53" t="s">
        <v>167</v>
      </c>
      <c r="D47" s="53" t="s">
        <v>120</v>
      </c>
      <c r="E47" s="86" t="s">
        <v>34</v>
      </c>
      <c r="F47" s="11">
        <v>150</v>
      </c>
      <c r="G47" s="41">
        <f t="shared" si="9"/>
        <v>6</v>
      </c>
      <c r="H47" s="11">
        <f t="shared" si="10"/>
        <v>156</v>
      </c>
      <c r="I47" s="11">
        <v>100</v>
      </c>
      <c r="J47" s="81">
        <f t="shared" si="11"/>
        <v>256</v>
      </c>
      <c r="K47" s="87">
        <v>0</v>
      </c>
      <c r="L47" s="87"/>
      <c r="M47" s="90"/>
      <c r="N47" s="91"/>
      <c r="O47" s="15">
        <f t="shared" si="4"/>
        <v>256</v>
      </c>
      <c r="P47" s="105"/>
      <c r="Q47" s="16">
        <v>0</v>
      </c>
      <c r="R47" s="16">
        <v>0</v>
      </c>
      <c r="S47" s="16">
        <v>0</v>
      </c>
      <c r="T47" s="16">
        <v>0</v>
      </c>
      <c r="U47" s="16">
        <f t="shared" ref="U47:U48" si="22">T47</f>
        <v>0</v>
      </c>
      <c r="V47" t="s">
        <v>215</v>
      </c>
      <c r="W47" t="s">
        <v>217</v>
      </c>
      <c r="X47" s="36">
        <f t="shared" si="12"/>
        <v>0</v>
      </c>
      <c r="Y47"/>
      <c r="Z47"/>
    </row>
    <row r="48" spans="2:26" ht="12.95" customHeight="1" x14ac:dyDescent="0.25">
      <c r="B48" s="84">
        <v>128428874</v>
      </c>
      <c r="C48" s="53" t="s">
        <v>138</v>
      </c>
      <c r="D48" s="53" t="s">
        <v>120</v>
      </c>
      <c r="E48" s="86" t="s">
        <v>34</v>
      </c>
      <c r="F48" s="11">
        <v>150</v>
      </c>
      <c r="G48" s="41">
        <f t="shared" si="9"/>
        <v>6</v>
      </c>
      <c r="H48" s="11">
        <f t="shared" si="10"/>
        <v>156</v>
      </c>
      <c r="I48" s="11">
        <v>100</v>
      </c>
      <c r="J48" s="81">
        <f t="shared" si="11"/>
        <v>256</v>
      </c>
      <c r="K48" s="87">
        <v>0</v>
      </c>
      <c r="L48" s="87"/>
      <c r="M48" s="90"/>
      <c r="N48" s="91"/>
      <c r="O48" s="15">
        <f t="shared" si="4"/>
        <v>256</v>
      </c>
      <c r="P48" s="105"/>
      <c r="Q48" s="16">
        <v>0</v>
      </c>
      <c r="R48" s="16">
        <v>0</v>
      </c>
      <c r="S48" s="16">
        <v>0</v>
      </c>
      <c r="T48" s="16">
        <v>0</v>
      </c>
      <c r="U48" s="16">
        <f t="shared" si="22"/>
        <v>0</v>
      </c>
      <c r="V48" t="s">
        <v>181</v>
      </c>
      <c r="W48" t="s">
        <v>218</v>
      </c>
      <c r="X48" s="36">
        <f t="shared" si="12"/>
        <v>0</v>
      </c>
      <c r="Y48"/>
      <c r="Z48"/>
    </row>
    <row r="49" spans="2:26" x14ac:dyDescent="0.25">
      <c r="B49" s="117">
        <v>131591129</v>
      </c>
      <c r="C49" s="9" t="s">
        <v>267</v>
      </c>
      <c r="D49" s="9" t="s">
        <v>268</v>
      </c>
      <c r="E49" s="10" t="s">
        <v>34</v>
      </c>
      <c r="F49" s="18">
        <v>79.5</v>
      </c>
      <c r="G49" s="41">
        <v>0</v>
      </c>
      <c r="H49" s="18">
        <f t="shared" si="10"/>
        <v>79.5</v>
      </c>
      <c r="I49" s="18">
        <v>53</v>
      </c>
      <c r="J49" s="51">
        <f t="shared" si="11"/>
        <v>132.5</v>
      </c>
      <c r="K49" s="13">
        <v>0</v>
      </c>
      <c r="L49" s="13"/>
      <c r="M49" s="19">
        <v>0</v>
      </c>
      <c r="N49" s="22"/>
      <c r="O49" s="15">
        <f t="shared" si="4"/>
        <v>132.5</v>
      </c>
      <c r="P49" s="118"/>
      <c r="Q49" s="16">
        <v>0</v>
      </c>
      <c r="R49" s="16">
        <v>0</v>
      </c>
      <c r="S49" s="16">
        <v>0</v>
      </c>
      <c r="T49" s="16">
        <v>0</v>
      </c>
      <c r="U49" s="16">
        <f t="shared" ref="U49" si="23">T49</f>
        <v>0</v>
      </c>
      <c r="V49" t="s">
        <v>183</v>
      </c>
      <c r="W49" s="69" t="s">
        <v>270</v>
      </c>
      <c r="X49" s="36">
        <f t="shared" si="12"/>
        <v>0</v>
      </c>
      <c r="Y49"/>
      <c r="Z49"/>
    </row>
    <row r="50" spans="2:26" x14ac:dyDescent="0.25">
      <c r="B50" s="117">
        <v>128909414</v>
      </c>
      <c r="C50" s="9" t="s">
        <v>269</v>
      </c>
      <c r="D50" s="9" t="s">
        <v>268</v>
      </c>
      <c r="E50" s="10" t="s">
        <v>34</v>
      </c>
      <c r="F50" s="18">
        <v>79.5</v>
      </c>
      <c r="G50" s="41">
        <v>0</v>
      </c>
      <c r="H50" s="18">
        <f t="shared" si="10"/>
        <v>79.5</v>
      </c>
      <c r="I50" s="18">
        <v>53</v>
      </c>
      <c r="J50" s="51">
        <f t="shared" si="11"/>
        <v>132.5</v>
      </c>
      <c r="K50" s="13">
        <v>0</v>
      </c>
      <c r="L50" s="13"/>
      <c r="M50" s="19">
        <v>0</v>
      </c>
      <c r="N50" s="22"/>
      <c r="O50" s="15">
        <f t="shared" si="4"/>
        <v>132.5</v>
      </c>
      <c r="P50" s="118"/>
      <c r="Q50" s="16">
        <v>0</v>
      </c>
      <c r="R50" s="16">
        <v>0</v>
      </c>
      <c r="S50" s="16">
        <v>0</v>
      </c>
      <c r="T50" s="16">
        <v>0</v>
      </c>
      <c r="U50" s="16">
        <f t="shared" ref="U50:U52" si="24">T50</f>
        <v>0</v>
      </c>
      <c r="V50" t="s">
        <v>183</v>
      </c>
      <c r="W50" s="69" t="s">
        <v>271</v>
      </c>
      <c r="X50" s="36">
        <f t="shared" si="12"/>
        <v>0</v>
      </c>
      <c r="Y50"/>
      <c r="Z50"/>
    </row>
    <row r="51" spans="2:26" x14ac:dyDescent="0.25">
      <c r="B51" s="117">
        <v>4418623</v>
      </c>
      <c r="C51" s="9" t="s">
        <v>143</v>
      </c>
      <c r="D51" s="9" t="s">
        <v>66</v>
      </c>
      <c r="E51" s="86" t="s">
        <v>22</v>
      </c>
      <c r="F51" s="18">
        <v>0</v>
      </c>
      <c r="G51" s="41"/>
      <c r="H51" s="18">
        <v>288.60000000000002</v>
      </c>
      <c r="I51" s="18">
        <f>90+60+42.4</f>
        <v>192.4</v>
      </c>
      <c r="J51" s="51">
        <f t="shared" si="11"/>
        <v>481</v>
      </c>
      <c r="K51" s="87">
        <f>-(J51+N51)*8%</f>
        <v>-44.51464</v>
      </c>
      <c r="L51" s="13"/>
      <c r="M51" s="19"/>
      <c r="N51" s="22">
        <v>75.433000000000007</v>
      </c>
      <c r="O51" s="15">
        <f t="shared" si="4"/>
        <v>511.91836000000001</v>
      </c>
      <c r="P51" s="118"/>
      <c r="Q51" s="16">
        <f t="shared" ref="Q51:Q52" si="25">J51*0.07</f>
        <v>33.67</v>
      </c>
      <c r="R51" s="16">
        <f t="shared" ref="R51:R52" si="26">J51*0.01</f>
        <v>4.8100000000000005</v>
      </c>
      <c r="S51" s="16">
        <f t="shared" ref="S51:S52" si="27">Q51+R51</f>
        <v>38.480000000000004</v>
      </c>
      <c r="T51" s="16">
        <f t="shared" ref="T51:T52" si="28">J51*0.135</f>
        <v>64.935000000000002</v>
      </c>
      <c r="U51" s="16">
        <f t="shared" si="24"/>
        <v>64.935000000000002</v>
      </c>
      <c r="V51" t="s">
        <v>185</v>
      </c>
      <c r="W51" s="69" t="s">
        <v>285</v>
      </c>
      <c r="X51" s="36">
        <f t="shared" si="12"/>
        <v>44.51464</v>
      </c>
      <c r="Y51"/>
      <c r="Z51"/>
    </row>
    <row r="52" spans="2:26" x14ac:dyDescent="0.25">
      <c r="B52" s="117">
        <v>13443395</v>
      </c>
      <c r="C52" s="9" t="s">
        <v>142</v>
      </c>
      <c r="D52" s="9" t="s">
        <v>66</v>
      </c>
      <c r="E52" s="86" t="s">
        <v>22</v>
      </c>
      <c r="F52" s="18">
        <v>0</v>
      </c>
      <c r="G52" s="41"/>
      <c r="H52" s="18">
        <v>288.60000000000002</v>
      </c>
      <c r="I52" s="18">
        <f>90+60+42.4</f>
        <v>192.4</v>
      </c>
      <c r="J52" s="51">
        <f t="shared" si="11"/>
        <v>481</v>
      </c>
      <c r="K52" s="87">
        <f>-(J52+N52)*8%</f>
        <v>-44.51464</v>
      </c>
      <c r="L52" s="13"/>
      <c r="M52" s="19"/>
      <c r="N52" s="22">
        <v>75.433000000000007</v>
      </c>
      <c r="O52" s="15">
        <f t="shared" si="4"/>
        <v>511.91836000000001</v>
      </c>
      <c r="P52" s="118"/>
      <c r="Q52" s="16">
        <f t="shared" si="25"/>
        <v>33.67</v>
      </c>
      <c r="R52" s="16">
        <f t="shared" si="26"/>
        <v>4.8100000000000005</v>
      </c>
      <c r="S52" s="16">
        <f t="shared" si="27"/>
        <v>38.480000000000004</v>
      </c>
      <c r="T52" s="16">
        <f t="shared" si="28"/>
        <v>64.935000000000002</v>
      </c>
      <c r="U52" s="16">
        <f t="shared" si="24"/>
        <v>64.935000000000002</v>
      </c>
      <c r="V52" t="s">
        <v>183</v>
      </c>
      <c r="W52" s="69" t="s">
        <v>294</v>
      </c>
      <c r="X52" s="36">
        <f t="shared" si="12"/>
        <v>44.51464</v>
      </c>
      <c r="Y52"/>
      <c r="Z52"/>
    </row>
    <row r="53" spans="2:26" x14ac:dyDescent="0.25">
      <c r="B53" s="117"/>
      <c r="C53" s="9"/>
      <c r="D53" s="9"/>
      <c r="E53" s="10"/>
      <c r="F53" s="18"/>
      <c r="G53" s="41"/>
      <c r="H53" s="18"/>
      <c r="I53" s="18"/>
      <c r="J53" s="51"/>
      <c r="K53" s="13"/>
      <c r="L53" s="13"/>
      <c r="M53" s="19"/>
      <c r="N53" s="22"/>
      <c r="O53" s="15"/>
      <c r="P53" s="118"/>
      <c r="Q53" s="16"/>
      <c r="R53" s="16"/>
      <c r="S53" s="16"/>
      <c r="T53" s="16"/>
      <c r="U53" s="16"/>
      <c r="W53" s="69"/>
      <c r="X53" s="36"/>
      <c r="Y53"/>
      <c r="Z53"/>
    </row>
    <row r="54" spans="2:26" x14ac:dyDescent="0.25">
      <c r="F54" s="94"/>
      <c r="G54" s="45"/>
      <c r="H54" s="45"/>
      <c r="J54" s="36"/>
      <c r="O54" s="36"/>
      <c r="W54" s="69"/>
      <c r="X54"/>
      <c r="Y54"/>
      <c r="Z54"/>
    </row>
    <row r="55" spans="2:26" x14ac:dyDescent="0.25">
      <c r="F55" s="94"/>
      <c r="G55" s="94"/>
      <c r="H55" s="45"/>
      <c r="I55" s="94"/>
      <c r="J55" s="94"/>
      <c r="K55" s="94"/>
      <c r="L55" s="94"/>
      <c r="O55" s="36"/>
      <c r="U55" s="112" t="e">
        <f>#REF!+#REF!</f>
        <v>#REF!</v>
      </c>
      <c r="X55"/>
      <c r="Y55"/>
      <c r="Z55"/>
    </row>
    <row r="56" spans="2:26" x14ac:dyDescent="0.25">
      <c r="H56" s="45"/>
      <c r="J56" s="36"/>
      <c r="O56" s="36"/>
    </row>
    <row r="57" spans="2:26" x14ac:dyDescent="0.25">
      <c r="H57" s="45"/>
      <c r="N57" s="36"/>
      <c r="O57" s="36"/>
    </row>
    <row r="58" spans="2:26" x14ac:dyDescent="0.25">
      <c r="H58" s="45"/>
      <c r="O58" s="36"/>
    </row>
    <row r="59" spans="2:26" ht="15.75" x14ac:dyDescent="0.25">
      <c r="B59" s="29"/>
      <c r="C59" s="32"/>
      <c r="H59" s="31" t="s">
        <v>23</v>
      </c>
      <c r="I59" s="132" t="s">
        <v>125</v>
      </c>
      <c r="J59" s="132"/>
      <c r="K59" s="132"/>
      <c r="L59" s="101"/>
      <c r="O59" s="36"/>
      <c r="P59" s="101" t="s">
        <v>290</v>
      </c>
      <c r="Q59" s="32"/>
      <c r="R59" s="32"/>
    </row>
    <row r="60" spans="2:26" ht="15.75" x14ac:dyDescent="0.25">
      <c r="B60" s="29"/>
      <c r="C60" s="32"/>
      <c r="H60" s="31" t="s">
        <v>23</v>
      </c>
      <c r="I60" s="132" t="s">
        <v>219</v>
      </c>
      <c r="J60" s="132"/>
      <c r="K60" s="132"/>
      <c r="L60" s="101"/>
      <c r="P60" s="101" t="s">
        <v>291</v>
      </c>
      <c r="Q60" s="32"/>
      <c r="R60" s="32"/>
    </row>
    <row r="61" spans="2:26" x14ac:dyDescent="0.25">
      <c r="N61" s="36">
        <f>M37*30/3</f>
        <v>0</v>
      </c>
      <c r="Q61"/>
      <c r="R61"/>
    </row>
    <row r="64" spans="2:26" x14ac:dyDescent="0.25">
      <c r="F64" s="92"/>
      <c r="G64" s="92"/>
      <c r="H64" s="92"/>
      <c r="I64" s="92"/>
      <c r="J64" s="92"/>
      <c r="K64" s="92"/>
      <c r="L64" s="92"/>
      <c r="M64" s="92"/>
      <c r="N64" s="92"/>
      <c r="O64" s="92"/>
    </row>
    <row r="65" spans="3:25" x14ac:dyDescent="0.25">
      <c r="F65" s="92"/>
      <c r="G65" s="92"/>
      <c r="H65" s="92"/>
      <c r="I65" s="92"/>
      <c r="J65" s="92"/>
      <c r="K65" s="92"/>
      <c r="L65" s="92"/>
      <c r="M65" s="92"/>
      <c r="N65" s="92"/>
      <c r="O65" s="92"/>
    </row>
    <row r="66" spans="3:25" x14ac:dyDescent="0.25">
      <c r="H66" s="45"/>
      <c r="I66" s="45"/>
      <c r="J66" s="45"/>
      <c r="K66" s="45"/>
      <c r="L66" s="45"/>
      <c r="O66" s="45"/>
    </row>
    <row r="67" spans="3:25" x14ac:dyDescent="0.25">
      <c r="H67" s="45"/>
      <c r="I67" s="45"/>
      <c r="J67" s="45"/>
      <c r="K67" s="45"/>
      <c r="L67" s="45"/>
      <c r="O67" s="45"/>
    </row>
    <row r="68" spans="3:25" x14ac:dyDescent="0.25">
      <c r="C68" s="53" t="s">
        <v>27</v>
      </c>
      <c r="D68" s="53" t="s">
        <v>28</v>
      </c>
      <c r="E68" s="86" t="s">
        <v>22</v>
      </c>
      <c r="F68" s="11">
        <v>336</v>
      </c>
      <c r="G68" s="41">
        <f t="shared" ref="G68:G69" si="29">(F68*3%)*4</f>
        <v>40.32</v>
      </c>
      <c r="H68" s="11">
        <f t="shared" ref="H68:H69" si="30">F68+G68</f>
        <v>376.32</v>
      </c>
      <c r="I68" s="11">
        <v>224</v>
      </c>
      <c r="J68" s="81">
        <f>H68+I68</f>
        <v>600.31999999999994</v>
      </c>
      <c r="K68" s="87">
        <f>-J68*8%</f>
        <v>-48.025599999999997</v>
      </c>
      <c r="L68" s="87"/>
      <c r="M68" s="90"/>
      <c r="N68" s="91"/>
      <c r="O68" s="15">
        <f>J68+K68+N68+M68</f>
        <v>552.2944</v>
      </c>
    </row>
    <row r="69" spans="3:25" x14ac:dyDescent="0.25">
      <c r="C69" s="53" t="s">
        <v>30</v>
      </c>
      <c r="D69" s="53" t="s">
        <v>31</v>
      </c>
      <c r="E69" s="86" t="s">
        <v>22</v>
      </c>
      <c r="F69" s="11">
        <v>336</v>
      </c>
      <c r="G69" s="41">
        <f t="shared" si="29"/>
        <v>40.32</v>
      </c>
      <c r="H69" s="11">
        <f t="shared" si="30"/>
        <v>376.32</v>
      </c>
      <c r="I69" s="11">
        <v>224</v>
      </c>
      <c r="J69" s="81">
        <f t="shared" ref="J69" si="31">H69+I69</f>
        <v>600.31999999999994</v>
      </c>
      <c r="K69" s="87">
        <f>-J69*8%</f>
        <v>-48.025599999999997</v>
      </c>
      <c r="L69" s="87"/>
      <c r="M69" s="90"/>
      <c r="N69" s="91"/>
      <c r="O69" s="15">
        <f>J69+K69+N69+M69</f>
        <v>552.2944</v>
      </c>
    </row>
    <row r="71" spans="3:25" x14ac:dyDescent="0.25">
      <c r="C71" s="53" t="s">
        <v>27</v>
      </c>
      <c r="D71" s="53" t="s">
        <v>28</v>
      </c>
      <c r="E71" s="86" t="s">
        <v>22</v>
      </c>
      <c r="F71" s="11">
        <v>336</v>
      </c>
      <c r="G71" s="41">
        <v>0</v>
      </c>
      <c r="H71" s="11">
        <f>((F71+G71)/2)+(336/2)</f>
        <v>336</v>
      </c>
      <c r="I71" s="11">
        <v>224</v>
      </c>
      <c r="J71" s="81">
        <f>H71+I71</f>
        <v>560</v>
      </c>
      <c r="K71" s="87">
        <f>-J71*8%</f>
        <v>-44.800000000000004</v>
      </c>
      <c r="L71" s="87"/>
      <c r="M71" s="90"/>
      <c r="N71" s="91"/>
      <c r="O71" s="15">
        <f>J71+K71+N71+M71</f>
        <v>515.20000000000005</v>
      </c>
    </row>
    <row r="72" spans="3:25" x14ac:dyDescent="0.25">
      <c r="C72" s="53" t="s">
        <v>30</v>
      </c>
      <c r="D72" s="53" t="s">
        <v>31</v>
      </c>
      <c r="E72" s="86" t="s">
        <v>22</v>
      </c>
      <c r="F72" s="11">
        <v>336</v>
      </c>
      <c r="G72" s="41">
        <v>0</v>
      </c>
      <c r="H72" s="11">
        <f>((F72+G72)/2)+(336/2)</f>
        <v>336</v>
      </c>
      <c r="I72" s="11">
        <v>224</v>
      </c>
      <c r="J72" s="81">
        <f t="shared" ref="J72" si="32">H72+I72</f>
        <v>560</v>
      </c>
      <c r="K72" s="87">
        <f>-J72*8%</f>
        <v>-44.800000000000004</v>
      </c>
      <c r="L72" s="87"/>
      <c r="M72" s="90"/>
      <c r="N72" s="91"/>
      <c r="O72" s="15">
        <f>J72+K72+N72+M72</f>
        <v>515.20000000000005</v>
      </c>
    </row>
    <row r="73" spans="3:25" x14ac:dyDescent="0.25">
      <c r="O73" s="110">
        <f>O72-O69</f>
        <v>-37.094399999999951</v>
      </c>
    </row>
    <row r="75" spans="3:25" x14ac:dyDescent="0.25">
      <c r="I75" s="94"/>
    </row>
    <row r="79" spans="3:25" x14ac:dyDescent="0.25">
      <c r="V79" s="102"/>
    </row>
    <row r="80" spans="3:25" x14ac:dyDescent="0.25">
      <c r="Y80" s="88"/>
    </row>
  </sheetData>
  <autoFilter ref="B5:T53" xr:uid="{CC91E617-E74A-43C7-83B5-87CCEEC49519}"/>
  <mergeCells count="7">
    <mergeCell ref="I59:K59"/>
    <mergeCell ref="I60:K60"/>
    <mergeCell ref="C1:P1"/>
    <mergeCell ref="Q1:U3"/>
    <mergeCell ref="C2:P2"/>
    <mergeCell ref="Q4:S4"/>
    <mergeCell ref="T4:U4"/>
  </mergeCells>
  <pageMargins left="0.25" right="0.25" top="0.75" bottom="0.75" header="0.3" footer="0.3"/>
  <pageSetup paperSize="8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61D3-38D4-4C16-B1DD-B10DD4923E2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F02D2-11B8-4CFB-AB97-06835BB33F52}">
  <dimension ref="A2:P19"/>
  <sheetViews>
    <sheetView view="pageBreakPreview" zoomScale="115" zoomScaleNormal="100" zoomScaleSheetLayoutView="115" workbookViewId="0">
      <pane xSplit="2" ySplit="3" topLeftCell="J4" activePane="bottomRight" state="frozen"/>
      <selection pane="topRight" activeCell="C1" sqref="C1"/>
      <selection pane="bottomLeft" activeCell="A4" sqref="A4"/>
      <selection pane="bottomRight" activeCell="L8" sqref="L8"/>
    </sheetView>
  </sheetViews>
  <sheetFormatPr defaultRowHeight="15" x14ac:dyDescent="0.25"/>
  <cols>
    <col min="1" max="1" width="3.42578125" customWidth="1"/>
    <col min="2" max="2" width="36.42578125" bestFit="1" customWidth="1"/>
    <col min="3" max="3" width="10" bestFit="1" customWidth="1"/>
    <col min="4" max="4" width="11.85546875" style="35" bestFit="1" customWidth="1"/>
    <col min="5" max="5" width="14.140625" customWidth="1"/>
    <col min="6" max="6" width="11" bestFit="1" customWidth="1"/>
    <col min="7" max="7" width="12.85546875" hidden="1" customWidth="1"/>
    <col min="8" max="8" width="11.28515625" bestFit="1" customWidth="1"/>
    <col min="9" max="9" width="9.140625" customWidth="1"/>
    <col min="10" max="10" width="18.140625" bestFit="1" customWidth="1"/>
    <col min="11" max="11" width="13.28515625" customWidth="1"/>
    <col min="12" max="12" width="20.28515625" bestFit="1" customWidth="1"/>
    <col min="13" max="13" width="12.42578125" customWidth="1"/>
    <col min="14" max="14" width="11.5703125" bestFit="1" customWidth="1"/>
    <col min="16" max="16" width="12.140625" bestFit="1" customWidth="1"/>
  </cols>
  <sheetData>
    <row r="2" spans="1:16" ht="22.15" customHeight="1" x14ac:dyDescent="0.25">
      <c r="E2" s="150" t="s">
        <v>240</v>
      </c>
      <c r="F2" s="151"/>
      <c r="G2" s="151"/>
      <c r="H2" s="151"/>
      <c r="I2" s="151"/>
      <c r="J2" s="152"/>
    </row>
    <row r="3" spans="1:16" ht="31.5" x14ac:dyDescent="0.25">
      <c r="A3" s="47" t="s">
        <v>4</v>
      </c>
      <c r="B3" s="47" t="s">
        <v>6</v>
      </c>
      <c r="C3" s="47" t="s">
        <v>135</v>
      </c>
      <c r="D3" s="47" t="s">
        <v>7</v>
      </c>
      <c r="E3" s="47" t="s">
        <v>8</v>
      </c>
      <c r="F3" s="48" t="s">
        <v>136</v>
      </c>
      <c r="G3" s="48" t="s">
        <v>11</v>
      </c>
      <c r="H3" s="48" t="s">
        <v>137</v>
      </c>
      <c r="I3" s="48" t="s">
        <v>13</v>
      </c>
      <c r="J3" s="48" t="s">
        <v>223</v>
      </c>
      <c r="K3" s="48" t="s">
        <v>224</v>
      </c>
      <c r="L3" s="48" t="s">
        <v>226</v>
      </c>
      <c r="M3" s="80" t="s">
        <v>241</v>
      </c>
      <c r="N3" s="80" t="s">
        <v>242</v>
      </c>
      <c r="O3" s="80" t="s">
        <v>244</v>
      </c>
      <c r="P3" s="80" t="s">
        <v>245</v>
      </c>
    </row>
    <row r="4" spans="1:16" x14ac:dyDescent="0.25">
      <c r="A4" s="100">
        <v>1</v>
      </c>
      <c r="B4" s="95" t="s">
        <v>225</v>
      </c>
      <c r="C4" s="95">
        <v>7328813</v>
      </c>
      <c r="D4" s="113" t="s">
        <v>272</v>
      </c>
      <c r="E4" s="52" t="s">
        <v>22</v>
      </c>
      <c r="F4" s="81">
        <f>(250/31)*O4</f>
        <v>250</v>
      </c>
      <c r="G4" s="81">
        <v>0</v>
      </c>
      <c r="H4" s="81">
        <f t="shared" ref="H4:H8" si="0">F4-G4</f>
        <v>250</v>
      </c>
      <c r="I4" s="53"/>
      <c r="J4" s="82" t="s">
        <v>228</v>
      </c>
      <c r="K4" s="53" t="s">
        <v>185</v>
      </c>
      <c r="L4" s="53" t="s">
        <v>227</v>
      </c>
      <c r="M4" s="83">
        <f>DATE(2024,12,16)</f>
        <v>45642</v>
      </c>
      <c r="N4" s="83">
        <f>DATE(2025,1,15)</f>
        <v>45672</v>
      </c>
      <c r="O4">
        <f t="shared" ref="O4:O6" si="1">N4-M4+1</f>
        <v>31</v>
      </c>
      <c r="P4" s="83">
        <f>DATE(2025,1,24)</f>
        <v>45681</v>
      </c>
    </row>
    <row r="5" spans="1:16" x14ac:dyDescent="0.25">
      <c r="A5" s="100">
        <v>2</v>
      </c>
      <c r="B5" s="95" t="s">
        <v>229</v>
      </c>
      <c r="C5" s="95">
        <v>18643747</v>
      </c>
      <c r="D5" s="113" t="s">
        <v>273</v>
      </c>
      <c r="E5" s="52" t="s">
        <v>22</v>
      </c>
      <c r="F5" s="81">
        <f>(250/31)*O5</f>
        <v>250</v>
      </c>
      <c r="G5" s="81">
        <v>0</v>
      </c>
      <c r="H5" s="81">
        <f>F5-G5</f>
        <v>250</v>
      </c>
      <c r="I5" s="53"/>
      <c r="J5" s="82" t="s">
        <v>230</v>
      </c>
      <c r="K5" s="53" t="s">
        <v>185</v>
      </c>
      <c r="L5" s="53" t="s">
        <v>227</v>
      </c>
      <c r="M5" s="83">
        <f>DATE(2024,12,25)</f>
        <v>45651</v>
      </c>
      <c r="N5" s="83">
        <f>DATE(2025,1,24)</f>
        <v>45681</v>
      </c>
      <c r="O5">
        <f t="shared" si="1"/>
        <v>31</v>
      </c>
      <c r="P5" s="83">
        <f>DATE(2024,12,24)</f>
        <v>45650</v>
      </c>
    </row>
    <row r="6" spans="1:16" x14ac:dyDescent="0.25">
      <c r="A6" s="100">
        <v>3</v>
      </c>
      <c r="B6" s="95" t="s">
        <v>231</v>
      </c>
      <c r="C6" s="95">
        <v>18728716</v>
      </c>
      <c r="D6" s="113" t="s">
        <v>251</v>
      </c>
      <c r="E6" s="52" t="s">
        <v>22</v>
      </c>
      <c r="F6" s="81">
        <f t="shared" ref="F6:F11" si="2">(250/31)*O6</f>
        <v>250</v>
      </c>
      <c r="G6" s="81">
        <v>0</v>
      </c>
      <c r="H6" s="81">
        <f t="shared" si="0"/>
        <v>250</v>
      </c>
      <c r="I6" s="53" t="s">
        <v>23</v>
      </c>
      <c r="J6" s="82" t="s">
        <v>232</v>
      </c>
      <c r="K6" s="53" t="s">
        <v>185</v>
      </c>
      <c r="L6" s="53" t="s">
        <v>227</v>
      </c>
      <c r="M6" s="83">
        <f t="shared" ref="M6:M11" si="3">DATE(2024,12,16)</f>
        <v>45642</v>
      </c>
      <c r="N6" s="83">
        <f t="shared" ref="N6:N11" si="4">DATE(2025,1,15)</f>
        <v>45672</v>
      </c>
      <c r="O6">
        <f t="shared" si="1"/>
        <v>31</v>
      </c>
      <c r="P6" s="83">
        <f t="shared" ref="P6" si="5">DATE(2025,1,23)</f>
        <v>45680</v>
      </c>
    </row>
    <row r="7" spans="1:16" x14ac:dyDescent="0.25">
      <c r="A7" s="100">
        <v>4</v>
      </c>
      <c r="B7" s="95" t="s">
        <v>233</v>
      </c>
      <c r="C7" s="95">
        <v>6070659</v>
      </c>
      <c r="D7" s="113" t="s">
        <v>251</v>
      </c>
      <c r="E7" s="52" t="s">
        <v>22</v>
      </c>
      <c r="F7" s="81">
        <f t="shared" si="2"/>
        <v>250</v>
      </c>
      <c r="G7" s="81">
        <v>0</v>
      </c>
      <c r="H7" s="81">
        <f t="shared" si="0"/>
        <v>250</v>
      </c>
      <c r="I7" s="53"/>
      <c r="J7" s="82" t="s">
        <v>234</v>
      </c>
      <c r="K7" s="53" t="s">
        <v>185</v>
      </c>
      <c r="L7" s="53" t="s">
        <v>227</v>
      </c>
      <c r="M7" s="83">
        <f t="shared" si="3"/>
        <v>45642</v>
      </c>
      <c r="N7" s="83">
        <f t="shared" si="4"/>
        <v>45672</v>
      </c>
      <c r="O7">
        <f>N7-M7+1</f>
        <v>31</v>
      </c>
      <c r="P7" s="83">
        <f>DATE(2025,1,23)</f>
        <v>45680</v>
      </c>
    </row>
    <row r="8" spans="1:16" x14ac:dyDescent="0.25">
      <c r="A8" s="100">
        <v>5</v>
      </c>
      <c r="B8" s="95" t="s">
        <v>235</v>
      </c>
      <c r="C8" s="95">
        <v>14304376</v>
      </c>
      <c r="D8" s="113" t="s">
        <v>274</v>
      </c>
      <c r="E8" s="52" t="s">
        <v>22</v>
      </c>
      <c r="F8" s="81">
        <f t="shared" si="2"/>
        <v>250</v>
      </c>
      <c r="G8" s="81"/>
      <c r="H8" s="81">
        <f t="shared" si="0"/>
        <v>250</v>
      </c>
      <c r="I8" s="53"/>
      <c r="J8" s="82" t="s">
        <v>262</v>
      </c>
      <c r="K8" t="s">
        <v>179</v>
      </c>
      <c r="L8" s="53" t="s">
        <v>261</v>
      </c>
      <c r="M8" s="83">
        <f t="shared" si="3"/>
        <v>45642</v>
      </c>
      <c r="N8" s="83">
        <f t="shared" si="4"/>
        <v>45672</v>
      </c>
      <c r="O8">
        <f t="shared" ref="O8:O11" si="6">N8-M8+1</f>
        <v>31</v>
      </c>
      <c r="P8" s="83">
        <f>DATE(2025,1,16)</f>
        <v>45673</v>
      </c>
    </row>
    <row r="9" spans="1:16" x14ac:dyDescent="0.25">
      <c r="A9" s="100">
        <v>6</v>
      </c>
      <c r="B9" s="95" t="s">
        <v>238</v>
      </c>
      <c r="C9" s="95">
        <v>18648607</v>
      </c>
      <c r="D9" s="113" t="s">
        <v>159</v>
      </c>
      <c r="E9" s="52" t="s">
        <v>22</v>
      </c>
      <c r="F9" s="81">
        <f t="shared" si="2"/>
        <v>250</v>
      </c>
      <c r="G9" s="81"/>
      <c r="H9" s="81">
        <f>F9-G9</f>
        <v>250</v>
      </c>
      <c r="I9" s="53"/>
      <c r="J9" s="82" t="s">
        <v>239</v>
      </c>
      <c r="K9" s="53" t="s">
        <v>185</v>
      </c>
      <c r="L9" s="53" t="s">
        <v>227</v>
      </c>
      <c r="M9" s="83">
        <f t="shared" si="3"/>
        <v>45642</v>
      </c>
      <c r="N9" s="83">
        <f t="shared" si="4"/>
        <v>45672</v>
      </c>
      <c r="O9">
        <f t="shared" si="6"/>
        <v>31</v>
      </c>
      <c r="P9" s="83">
        <f>DATE(2025,1,27)</f>
        <v>45684</v>
      </c>
    </row>
    <row r="10" spans="1:16" x14ac:dyDescent="0.25">
      <c r="A10" s="100">
        <v>7</v>
      </c>
      <c r="B10" s="95" t="s">
        <v>243</v>
      </c>
      <c r="C10" s="95">
        <v>21958653</v>
      </c>
      <c r="D10" s="113" t="s">
        <v>251</v>
      </c>
      <c r="E10" s="52" t="s">
        <v>22</v>
      </c>
      <c r="F10" s="81">
        <f t="shared" si="2"/>
        <v>250</v>
      </c>
      <c r="G10" s="81"/>
      <c r="H10" s="81">
        <f>F10-G10</f>
        <v>250</v>
      </c>
      <c r="I10" s="53"/>
      <c r="J10" s="82" t="s">
        <v>247</v>
      </c>
      <c r="K10" s="53" t="s">
        <v>236</v>
      </c>
      <c r="L10" s="53" t="s">
        <v>237</v>
      </c>
      <c r="M10" s="83">
        <f t="shared" si="3"/>
        <v>45642</v>
      </c>
      <c r="N10" s="83">
        <f t="shared" si="4"/>
        <v>45672</v>
      </c>
      <c r="O10">
        <f t="shared" ref="O10" si="7">N10-M10+1</f>
        <v>31</v>
      </c>
      <c r="P10" s="83">
        <f>DATE(2025,2,8)</f>
        <v>45696</v>
      </c>
    </row>
    <row r="11" spans="1:16" x14ac:dyDescent="0.25">
      <c r="A11" s="49">
        <v>8</v>
      </c>
      <c r="B11" s="50" t="s">
        <v>248</v>
      </c>
      <c r="C11" s="50">
        <v>3987886</v>
      </c>
      <c r="D11" s="114" t="s">
        <v>251</v>
      </c>
      <c r="E11" s="52" t="s">
        <v>22</v>
      </c>
      <c r="F11" s="81">
        <f t="shared" si="2"/>
        <v>250</v>
      </c>
      <c r="G11" s="81"/>
      <c r="H11" s="81">
        <f>F11-G11</f>
        <v>250</v>
      </c>
      <c r="I11" s="53"/>
      <c r="J11" s="82" t="s">
        <v>246</v>
      </c>
      <c r="K11" s="53" t="s">
        <v>185</v>
      </c>
      <c r="L11" s="53" t="s">
        <v>227</v>
      </c>
      <c r="M11" s="83">
        <f t="shared" si="3"/>
        <v>45642</v>
      </c>
      <c r="N11" s="83">
        <f t="shared" si="4"/>
        <v>45672</v>
      </c>
      <c r="O11">
        <f t="shared" si="6"/>
        <v>31</v>
      </c>
      <c r="P11" s="83">
        <f>DATE(2025,2,15)</f>
        <v>45703</v>
      </c>
    </row>
    <row r="12" spans="1:16" ht="15.75" thickBot="1" x14ac:dyDescent="0.3">
      <c r="A12" s="153" t="s">
        <v>123</v>
      </c>
      <c r="B12" s="153"/>
      <c r="C12" s="153"/>
      <c r="D12" s="153"/>
      <c r="E12" s="153"/>
      <c r="F12" s="66">
        <f>SUM(F4:F11)</f>
        <v>2000</v>
      </c>
      <c r="G12" s="66">
        <f>SUM(G4:G9)</f>
        <v>0</v>
      </c>
      <c r="H12" s="66">
        <f>SUM(H4:H11)</f>
        <v>2000</v>
      </c>
    </row>
    <row r="13" spans="1:16" ht="15.75" thickTop="1" x14ac:dyDescent="0.25">
      <c r="K13" s="103" t="s">
        <v>249</v>
      </c>
      <c r="L13" s="104">
        <f>H4+H8</f>
        <v>500</v>
      </c>
    </row>
    <row r="14" spans="1:16" x14ac:dyDescent="0.25">
      <c r="H14" s="36" t="s">
        <v>23</v>
      </c>
      <c r="K14" s="103" t="s">
        <v>159</v>
      </c>
      <c r="L14" s="104">
        <f>H9</f>
        <v>250</v>
      </c>
    </row>
    <row r="15" spans="1:16" x14ac:dyDescent="0.25">
      <c r="K15" s="103" t="s">
        <v>250</v>
      </c>
      <c r="L15" s="104">
        <f>H5</f>
        <v>250</v>
      </c>
    </row>
    <row r="16" spans="1:16" x14ac:dyDescent="0.25">
      <c r="K16" s="103" t="s">
        <v>251</v>
      </c>
      <c r="L16" s="94">
        <f>H11+H10+H7+H6</f>
        <v>1000</v>
      </c>
    </row>
    <row r="17" spans="1:14" x14ac:dyDescent="0.25">
      <c r="N17" s="69"/>
    </row>
    <row r="18" spans="1:14" ht="15.75" x14ac:dyDescent="0.25">
      <c r="A18" s="149" t="s">
        <v>163</v>
      </c>
      <c r="B18" s="149"/>
      <c r="C18" s="132" t="s">
        <v>125</v>
      </c>
      <c r="D18" s="132"/>
      <c r="E18" s="132"/>
      <c r="G18" s="31" t="s">
        <v>23</v>
      </c>
      <c r="H18" s="132" t="s">
        <v>126</v>
      </c>
      <c r="I18" s="132"/>
      <c r="J18" s="132"/>
      <c r="N18" s="69"/>
    </row>
    <row r="19" spans="1:14" ht="15.75" x14ac:dyDescent="0.25">
      <c r="A19" s="149" t="s">
        <v>127</v>
      </c>
      <c r="B19" s="149"/>
      <c r="C19" s="132" t="s">
        <v>219</v>
      </c>
      <c r="D19" s="132"/>
      <c r="E19" s="132"/>
      <c r="G19" s="31" t="s">
        <v>23</v>
      </c>
      <c r="H19" s="132" t="s">
        <v>128</v>
      </c>
      <c r="I19" s="132"/>
      <c r="J19" s="132"/>
      <c r="N19" s="29"/>
    </row>
  </sheetData>
  <mergeCells count="8">
    <mergeCell ref="A19:B19"/>
    <mergeCell ref="C19:E19"/>
    <mergeCell ref="H19:J19"/>
    <mergeCell ref="E2:J2"/>
    <mergeCell ref="A12:E12"/>
    <mergeCell ref="A18:B18"/>
    <mergeCell ref="C18:E18"/>
    <mergeCell ref="H18:J18"/>
  </mergeCells>
  <pageMargins left="0.25" right="0.25" top="0.75" bottom="0.75" header="0.3" footer="0.3"/>
  <pageSetup paperSize="9" scale="8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4F2F-D6D6-4F21-99D4-4856ABABE407}">
  <sheetPr>
    <pageSetUpPr fitToPage="1"/>
  </sheetPr>
  <dimension ref="A4:J99"/>
  <sheetViews>
    <sheetView topLeftCell="A69" workbookViewId="0">
      <selection activeCell="G72" sqref="B72:G91"/>
    </sheetView>
  </sheetViews>
  <sheetFormatPr defaultRowHeight="15" x14ac:dyDescent="0.25"/>
  <cols>
    <col min="3" max="3" width="33.7109375" bestFit="1" customWidth="1"/>
    <col min="4" max="5" width="11.5703125" customWidth="1"/>
    <col min="6" max="6" width="13.7109375" customWidth="1"/>
    <col min="7" max="7" width="10.42578125" bestFit="1" customWidth="1"/>
    <col min="8" max="8" width="11.42578125" bestFit="1" customWidth="1"/>
    <col min="9" max="9" width="11.7109375" bestFit="1" customWidth="1"/>
  </cols>
  <sheetData>
    <row r="4" spans="2:4" x14ac:dyDescent="0.25">
      <c r="C4" t="s">
        <v>23</v>
      </c>
    </row>
    <row r="12" spans="2:4" x14ac:dyDescent="0.25">
      <c r="C12" t="s">
        <v>168</v>
      </c>
      <c r="D12" t="s">
        <v>170</v>
      </c>
    </row>
    <row r="13" spans="2:4" x14ac:dyDescent="0.25">
      <c r="B13">
        <v>1</v>
      </c>
      <c r="C13" t="s">
        <v>169</v>
      </c>
      <c r="D13" t="s">
        <v>171</v>
      </c>
    </row>
    <row r="14" spans="2:4" x14ac:dyDescent="0.25">
      <c r="B14">
        <v>2</v>
      </c>
      <c r="C14" t="s">
        <v>172</v>
      </c>
      <c r="D14" t="s">
        <v>171</v>
      </c>
    </row>
    <row r="15" spans="2:4" x14ac:dyDescent="0.25">
      <c r="B15">
        <v>3</v>
      </c>
      <c r="C15" t="s">
        <v>173</v>
      </c>
    </row>
    <row r="16" spans="2:4" x14ac:dyDescent="0.25">
      <c r="B16">
        <v>4</v>
      </c>
      <c r="C16" t="s">
        <v>174</v>
      </c>
    </row>
    <row r="22" spans="2:3" x14ac:dyDescent="0.25">
      <c r="C22" s="68" t="s">
        <v>176</v>
      </c>
    </row>
    <row r="23" spans="2:3" x14ac:dyDescent="0.25">
      <c r="B23" s="35">
        <v>1</v>
      </c>
      <c r="C23" s="9" t="s">
        <v>65</v>
      </c>
    </row>
    <row r="24" spans="2:3" x14ac:dyDescent="0.25">
      <c r="B24" s="35">
        <v>2</v>
      </c>
      <c r="C24" s="9" t="s">
        <v>68</v>
      </c>
    </row>
    <row r="25" spans="2:3" x14ac:dyDescent="0.25">
      <c r="B25" s="35">
        <v>3</v>
      </c>
      <c r="C25" s="9" t="s">
        <v>70</v>
      </c>
    </row>
    <row r="26" spans="2:3" x14ac:dyDescent="0.25">
      <c r="C26" s="68" t="s">
        <v>175</v>
      </c>
    </row>
    <row r="27" spans="2:3" x14ac:dyDescent="0.25">
      <c r="B27" s="35">
        <v>1</v>
      </c>
      <c r="C27" t="s">
        <v>142</v>
      </c>
    </row>
    <row r="28" spans="2:3" x14ac:dyDescent="0.25">
      <c r="B28" s="35">
        <v>2</v>
      </c>
      <c r="C28" t="s">
        <v>143</v>
      </c>
    </row>
    <row r="29" spans="2:3" x14ac:dyDescent="0.25">
      <c r="B29" s="35">
        <v>3</v>
      </c>
      <c r="C29" t="s">
        <v>144</v>
      </c>
    </row>
    <row r="35" spans="3:10" x14ac:dyDescent="0.25">
      <c r="C35" s="70">
        <v>22</v>
      </c>
      <c r="D35" s="84" t="s">
        <v>77</v>
      </c>
      <c r="E35" s="85" t="s">
        <v>78</v>
      </c>
      <c r="F35" s="53" t="s">
        <v>79</v>
      </c>
      <c r="G35" s="86" t="s">
        <v>22</v>
      </c>
      <c r="H35" s="81" t="e">
        <f>#REF!+#REF!</f>
        <v>#REF!</v>
      </c>
      <c r="I35" s="87" t="e">
        <f t="shared" ref="I35" si="0">-H35*8%</f>
        <v>#REF!</v>
      </c>
      <c r="J35" s="87" t="e">
        <f>H35+I35</f>
        <v>#REF!</v>
      </c>
    </row>
    <row r="41" spans="3:10" ht="31.5" x14ac:dyDescent="0.25">
      <c r="C41" s="47" t="s">
        <v>4</v>
      </c>
      <c r="D41" s="47" t="s">
        <v>6</v>
      </c>
      <c r="E41" s="47" t="s">
        <v>254</v>
      </c>
      <c r="F41" s="47" t="s">
        <v>7</v>
      </c>
      <c r="G41" s="47" t="s">
        <v>8</v>
      </c>
      <c r="H41" s="48" t="s">
        <v>241</v>
      </c>
      <c r="I41" s="48" t="s">
        <v>242</v>
      </c>
    </row>
    <row r="42" spans="3:10" ht="22.15" customHeight="1" x14ac:dyDescent="0.25">
      <c r="C42" s="49">
        <v>1</v>
      </c>
      <c r="D42" s="108" t="s">
        <v>252</v>
      </c>
      <c r="E42" s="107" t="s">
        <v>255</v>
      </c>
      <c r="F42" s="107" t="s">
        <v>253</v>
      </c>
      <c r="G42" s="107" t="s">
        <v>34</v>
      </c>
      <c r="H42" s="109">
        <f>DATE(2025,1,12)</f>
        <v>45669</v>
      </c>
      <c r="I42" s="109">
        <f>DATE(2025,3,13)</f>
        <v>45729</v>
      </c>
      <c r="J42">
        <f>I42-H42</f>
        <v>60</v>
      </c>
    </row>
    <row r="43" spans="3:10" x14ac:dyDescent="0.25">
      <c r="C43" s="153" t="s">
        <v>123</v>
      </c>
      <c r="D43" s="153"/>
      <c r="E43" s="153"/>
      <c r="F43" s="153"/>
      <c r="G43" s="153"/>
    </row>
    <row r="46" spans="3:10" ht="15.75" x14ac:dyDescent="0.25">
      <c r="C46" s="149" t="s">
        <v>163</v>
      </c>
      <c r="D46" s="149"/>
      <c r="E46" s="132" t="s">
        <v>125</v>
      </c>
      <c r="F46" s="132"/>
      <c r="G46" s="132"/>
      <c r="H46" s="32"/>
    </row>
    <row r="47" spans="3:10" ht="15.75" x14ac:dyDescent="0.25">
      <c r="C47" s="149" t="s">
        <v>127</v>
      </c>
      <c r="D47" s="149"/>
      <c r="E47" s="132" t="s">
        <v>219</v>
      </c>
      <c r="F47" s="132"/>
      <c r="G47" s="132"/>
      <c r="H47" s="32"/>
    </row>
    <row r="50" spans="3:7" ht="19.5" x14ac:dyDescent="0.3">
      <c r="D50" s="154" t="s">
        <v>279</v>
      </c>
      <c r="E50" s="155"/>
      <c r="F50" s="156"/>
    </row>
    <row r="52" spans="3:7" ht="45" x14ac:dyDescent="0.25">
      <c r="C52" s="96" t="s">
        <v>5</v>
      </c>
      <c r="D52" s="96" t="s">
        <v>6</v>
      </c>
      <c r="E52" s="97" t="s">
        <v>7</v>
      </c>
      <c r="F52" s="97" t="s">
        <v>8</v>
      </c>
      <c r="G52" s="39" t="s">
        <v>259</v>
      </c>
    </row>
    <row r="53" spans="3:7" x14ac:dyDescent="0.25">
      <c r="C53" s="84" t="s">
        <v>38</v>
      </c>
      <c r="D53" s="53" t="s">
        <v>39</v>
      </c>
      <c r="E53" s="53" t="s">
        <v>40</v>
      </c>
      <c r="F53" s="86" t="s">
        <v>34</v>
      </c>
      <c r="G53" s="81">
        <v>964.99960319999991</v>
      </c>
    </row>
    <row r="54" spans="3:7" x14ac:dyDescent="0.25">
      <c r="F54" t="s">
        <v>275</v>
      </c>
      <c r="G54" s="115">
        <f>G53/30</f>
        <v>32.166653439999997</v>
      </c>
    </row>
    <row r="55" spans="3:7" x14ac:dyDescent="0.25">
      <c r="F55" t="s">
        <v>276</v>
      </c>
      <c r="G55" s="35">
        <f>7+28</f>
        <v>35</v>
      </c>
    </row>
    <row r="56" spans="3:7" x14ac:dyDescent="0.25">
      <c r="G56" s="116">
        <f>G54*G55</f>
        <v>1125.8328703999998</v>
      </c>
    </row>
    <row r="60" spans="3:7" ht="15.75" x14ac:dyDescent="0.25">
      <c r="C60" s="32" t="s">
        <v>277</v>
      </c>
      <c r="D60" s="32"/>
      <c r="E60" s="32"/>
      <c r="F60" s="132" t="s">
        <v>126</v>
      </c>
      <c r="G60" s="132"/>
    </row>
    <row r="61" spans="3:7" ht="15.75" x14ac:dyDescent="0.25">
      <c r="C61" s="32" t="s">
        <v>278</v>
      </c>
      <c r="D61" s="32"/>
      <c r="E61" s="32"/>
      <c r="F61" s="132" t="s">
        <v>128</v>
      </c>
      <c r="G61" s="132"/>
    </row>
    <row r="72" spans="2:9" ht="31.5" x14ac:dyDescent="0.25">
      <c r="B72" s="47" t="s">
        <v>283</v>
      </c>
      <c r="C72" s="47" t="s">
        <v>6</v>
      </c>
      <c r="D72" s="47" t="s">
        <v>135</v>
      </c>
      <c r="E72" s="47" t="s">
        <v>7</v>
      </c>
      <c r="F72" s="47" t="s">
        <v>8</v>
      </c>
      <c r="G72" s="48" t="s">
        <v>136</v>
      </c>
    </row>
    <row r="73" spans="2:9" x14ac:dyDescent="0.25">
      <c r="B73" s="120">
        <v>45292</v>
      </c>
      <c r="C73" s="95" t="s">
        <v>139</v>
      </c>
      <c r="D73" s="50">
        <v>22029746</v>
      </c>
      <c r="E73" s="50" t="s">
        <v>140</v>
      </c>
      <c r="F73" s="52" t="s">
        <v>22</v>
      </c>
      <c r="G73" s="51">
        <v>325</v>
      </c>
      <c r="I73" s="69"/>
    </row>
    <row r="74" spans="2:9" x14ac:dyDescent="0.25">
      <c r="B74" s="120">
        <v>45323</v>
      </c>
      <c r="C74" s="95" t="s">
        <v>139</v>
      </c>
      <c r="D74" s="50">
        <v>22029746</v>
      </c>
      <c r="E74" s="50" t="s">
        <v>140</v>
      </c>
      <c r="F74" s="52" t="s">
        <v>22</v>
      </c>
      <c r="G74" s="51">
        <v>325</v>
      </c>
      <c r="I74" s="69"/>
    </row>
    <row r="75" spans="2:9" x14ac:dyDescent="0.25">
      <c r="B75" s="120">
        <v>45352</v>
      </c>
      <c r="C75" s="95" t="s">
        <v>139</v>
      </c>
      <c r="D75" s="50">
        <v>22029746</v>
      </c>
      <c r="E75" s="50" t="s">
        <v>140</v>
      </c>
      <c r="F75" s="52" t="s">
        <v>22</v>
      </c>
      <c r="G75" s="51">
        <v>325</v>
      </c>
      <c r="I75" s="69"/>
    </row>
    <row r="76" spans="2:9" x14ac:dyDescent="0.25">
      <c r="B76" s="120">
        <v>45383</v>
      </c>
      <c r="C76" s="95" t="s">
        <v>139</v>
      </c>
      <c r="D76" s="50">
        <v>22029746</v>
      </c>
      <c r="E76" s="50" t="s">
        <v>140</v>
      </c>
      <c r="F76" s="52" t="s">
        <v>22</v>
      </c>
      <c r="G76" s="51">
        <v>325</v>
      </c>
      <c r="I76" s="69"/>
    </row>
    <row r="77" spans="2:9" x14ac:dyDescent="0.25">
      <c r="B77" s="120">
        <v>45413</v>
      </c>
      <c r="C77" s="95" t="s">
        <v>139</v>
      </c>
      <c r="D77" s="50">
        <v>22029746</v>
      </c>
      <c r="E77" s="50" t="s">
        <v>140</v>
      </c>
      <c r="F77" s="52" t="s">
        <v>22</v>
      </c>
      <c r="G77" s="51">
        <v>325</v>
      </c>
      <c r="I77" s="69"/>
    </row>
    <row r="78" spans="2:9" x14ac:dyDescent="0.25">
      <c r="B78" s="120">
        <v>45444</v>
      </c>
      <c r="C78" s="95" t="s">
        <v>139</v>
      </c>
      <c r="D78" s="50">
        <v>22029746</v>
      </c>
      <c r="E78" s="50" t="s">
        <v>140</v>
      </c>
      <c r="F78" s="52" t="s">
        <v>22</v>
      </c>
      <c r="G78" s="51">
        <v>325</v>
      </c>
      <c r="I78" s="69"/>
    </row>
    <row r="79" spans="2:9" x14ac:dyDescent="0.25">
      <c r="B79" s="120">
        <v>45474</v>
      </c>
      <c r="C79" s="95" t="s">
        <v>139</v>
      </c>
      <c r="D79" s="50">
        <v>22029746</v>
      </c>
      <c r="E79" s="50" t="s">
        <v>140</v>
      </c>
      <c r="F79" s="52" t="s">
        <v>22</v>
      </c>
      <c r="G79" s="51">
        <v>325</v>
      </c>
      <c r="I79" s="69"/>
    </row>
    <row r="80" spans="2:9" x14ac:dyDescent="0.25">
      <c r="B80" s="120">
        <v>45505</v>
      </c>
      <c r="C80" s="95" t="s">
        <v>139</v>
      </c>
      <c r="D80" s="50">
        <v>22029746</v>
      </c>
      <c r="E80" s="50" t="s">
        <v>140</v>
      </c>
      <c r="F80" s="52" t="s">
        <v>22</v>
      </c>
      <c r="G80" s="51">
        <v>325</v>
      </c>
      <c r="I80" s="69"/>
    </row>
    <row r="81" spans="2:9" x14ac:dyDescent="0.25">
      <c r="B81" s="121">
        <v>45536</v>
      </c>
      <c r="C81" s="122" t="s">
        <v>139</v>
      </c>
      <c r="D81" s="122">
        <v>22029746</v>
      </c>
      <c r="E81" s="122" t="s">
        <v>140</v>
      </c>
      <c r="F81" s="123" t="s">
        <v>22</v>
      </c>
      <c r="G81" s="124">
        <v>400</v>
      </c>
      <c r="I81" s="69"/>
    </row>
    <row r="82" spans="2:9" x14ac:dyDescent="0.25">
      <c r="B82" s="120">
        <v>45566</v>
      </c>
      <c r="C82" s="95" t="s">
        <v>139</v>
      </c>
      <c r="D82" s="50">
        <v>22029746</v>
      </c>
      <c r="E82" s="50" t="s">
        <v>140</v>
      </c>
      <c r="F82" s="52" t="s">
        <v>22</v>
      </c>
      <c r="G82" s="51">
        <v>400</v>
      </c>
      <c r="I82" s="69"/>
    </row>
    <row r="83" spans="2:9" x14ac:dyDescent="0.25">
      <c r="B83" s="120">
        <v>45597</v>
      </c>
      <c r="C83" s="95" t="s">
        <v>139</v>
      </c>
      <c r="D83" s="50">
        <v>22029746</v>
      </c>
      <c r="E83" s="50" t="s">
        <v>140</v>
      </c>
      <c r="F83" s="52" t="s">
        <v>22</v>
      </c>
      <c r="G83" s="51">
        <v>400</v>
      </c>
      <c r="I83" s="69"/>
    </row>
    <row r="84" spans="2:9" x14ac:dyDescent="0.25">
      <c r="B84" s="120">
        <v>45627</v>
      </c>
      <c r="C84" s="95" t="s">
        <v>139</v>
      </c>
      <c r="D84" s="50">
        <v>22029746</v>
      </c>
      <c r="E84" s="50" t="s">
        <v>140</v>
      </c>
      <c r="F84" s="52" t="s">
        <v>22</v>
      </c>
      <c r="G84" s="51">
        <v>400</v>
      </c>
      <c r="I84" s="69"/>
    </row>
    <row r="85" spans="2:9" x14ac:dyDescent="0.25">
      <c r="B85" s="120">
        <v>45658</v>
      </c>
      <c r="C85" s="95" t="s">
        <v>139</v>
      </c>
      <c r="D85" s="50">
        <v>22029746</v>
      </c>
      <c r="E85" s="50" t="s">
        <v>140</v>
      </c>
      <c r="F85" s="52" t="s">
        <v>22</v>
      </c>
      <c r="G85" s="51">
        <v>400</v>
      </c>
      <c r="I85" s="69"/>
    </row>
    <row r="86" spans="2:9" x14ac:dyDescent="0.25">
      <c r="B86" s="120">
        <v>45689</v>
      </c>
      <c r="C86" s="95" t="s">
        <v>139</v>
      </c>
      <c r="D86" s="50">
        <v>22029746</v>
      </c>
      <c r="E86" s="50" t="s">
        <v>140</v>
      </c>
      <c r="F86" s="52" t="s">
        <v>22</v>
      </c>
      <c r="G86" s="51">
        <v>400</v>
      </c>
      <c r="I86" s="69"/>
    </row>
    <row r="87" spans="2:9" x14ac:dyDescent="0.25">
      <c r="B87" s="120">
        <v>45717</v>
      </c>
      <c r="C87" s="95" t="s">
        <v>139</v>
      </c>
      <c r="D87" s="50">
        <v>22029746</v>
      </c>
      <c r="E87" s="50" t="s">
        <v>140</v>
      </c>
      <c r="F87" s="52" t="s">
        <v>22</v>
      </c>
      <c r="G87" s="51">
        <v>400</v>
      </c>
      <c r="I87" s="69"/>
    </row>
    <row r="88" spans="2:9" x14ac:dyDescent="0.25">
      <c r="B88" s="120">
        <v>45748</v>
      </c>
      <c r="C88" s="95" t="s">
        <v>139</v>
      </c>
      <c r="D88" s="50">
        <v>22029746</v>
      </c>
      <c r="E88" s="50" t="s">
        <v>140</v>
      </c>
      <c r="F88" s="52" t="s">
        <v>22</v>
      </c>
      <c r="G88" s="51">
        <v>400</v>
      </c>
      <c r="I88" s="69"/>
    </row>
    <row r="89" spans="2:9" x14ac:dyDescent="0.25">
      <c r="B89" s="120">
        <v>45778</v>
      </c>
      <c r="C89" s="95" t="s">
        <v>139</v>
      </c>
      <c r="D89" s="50">
        <v>22029746</v>
      </c>
      <c r="E89" s="50" t="s">
        <v>140</v>
      </c>
      <c r="F89" s="52" t="s">
        <v>22</v>
      </c>
      <c r="G89" s="51">
        <v>400</v>
      </c>
      <c r="I89" s="69"/>
    </row>
    <row r="90" spans="2:9" x14ac:dyDescent="0.25">
      <c r="B90" s="120">
        <v>45809</v>
      </c>
      <c r="C90" s="95" t="s">
        <v>139</v>
      </c>
      <c r="D90" s="50">
        <v>22029746</v>
      </c>
      <c r="E90" s="50" t="s">
        <v>140</v>
      </c>
      <c r="F90" s="52" t="s">
        <v>22</v>
      </c>
      <c r="G90" s="51">
        <v>400</v>
      </c>
      <c r="I90" s="69"/>
    </row>
    <row r="91" spans="2:9" x14ac:dyDescent="0.25">
      <c r="B91" s="120">
        <v>45839</v>
      </c>
      <c r="C91" s="95" t="s">
        <v>139</v>
      </c>
      <c r="D91" s="50">
        <v>22029746</v>
      </c>
      <c r="E91" s="50" t="s">
        <v>140</v>
      </c>
      <c r="F91" s="52" t="s">
        <v>22</v>
      </c>
      <c r="G91" s="51">
        <v>400</v>
      </c>
      <c r="I91" s="69"/>
    </row>
    <row r="92" spans="2:9" x14ac:dyDescent="0.25">
      <c r="B92" s="119"/>
    </row>
    <row r="93" spans="2:9" x14ac:dyDescent="0.25">
      <c r="B93" s="119"/>
    </row>
    <row r="94" spans="2:9" x14ac:dyDescent="0.25">
      <c r="B94" s="119"/>
    </row>
    <row r="95" spans="2:9" x14ac:dyDescent="0.25">
      <c r="B95" s="119"/>
    </row>
    <row r="96" spans="2:9" x14ac:dyDescent="0.25">
      <c r="B96" s="119"/>
    </row>
    <row r="97" spans="1:7" x14ac:dyDescent="0.25">
      <c r="B97" s="119"/>
    </row>
    <row r="98" spans="1:7" x14ac:dyDescent="0.25">
      <c r="A98" s="120">
        <v>45444</v>
      </c>
      <c r="B98" s="50" t="s">
        <v>139</v>
      </c>
      <c r="C98" s="50">
        <v>22029746</v>
      </c>
      <c r="D98" s="50" t="s">
        <v>140</v>
      </c>
      <c r="E98" s="52" t="s">
        <v>22</v>
      </c>
      <c r="F98" s="51">
        <v>325</v>
      </c>
      <c r="G98" s="51">
        <v>0</v>
      </c>
    </row>
    <row r="99" spans="1:7" x14ac:dyDescent="0.25">
      <c r="B99" s="119"/>
    </row>
  </sheetData>
  <mergeCells count="8">
    <mergeCell ref="F60:G60"/>
    <mergeCell ref="F61:G61"/>
    <mergeCell ref="D50:F50"/>
    <mergeCell ref="C43:G43"/>
    <mergeCell ref="C46:D46"/>
    <mergeCell ref="E46:G46"/>
    <mergeCell ref="C47:D47"/>
    <mergeCell ref="E47:G47"/>
  </mergeCells>
  <pageMargins left="0.7" right="0.7" top="0.75" bottom="0.75" header="0.3" footer="0.3"/>
  <pageSetup paperSize="9" scale="3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09D7-7A66-4148-8596-6B62C22BE289}">
  <dimension ref="A4:J18"/>
  <sheetViews>
    <sheetView workbookViewId="0">
      <selection activeCell="D4" sqref="D4:F4"/>
    </sheetView>
  </sheetViews>
  <sheetFormatPr defaultColWidth="8.85546875" defaultRowHeight="17.25" x14ac:dyDescent="0.3"/>
  <cols>
    <col min="1" max="3" width="8.85546875" style="56"/>
    <col min="4" max="4" width="34.7109375" style="56" bestFit="1" customWidth="1"/>
    <col min="5" max="6" width="12.7109375" style="56" customWidth="1"/>
    <col min="7" max="7" width="21" style="56" customWidth="1"/>
    <col min="8" max="9" width="8.85546875" style="56"/>
    <col min="10" max="10" width="9.28515625" style="56" bestFit="1" customWidth="1"/>
    <col min="11" max="16384" width="8.85546875" style="56"/>
  </cols>
  <sheetData>
    <row r="4" spans="4:10" x14ac:dyDescent="0.3">
      <c r="D4" s="158" t="s">
        <v>83</v>
      </c>
      <c r="E4" s="158"/>
      <c r="F4" s="158"/>
      <c r="G4" s="60" t="s">
        <v>156</v>
      </c>
    </row>
    <row r="5" spans="4:10" x14ac:dyDescent="0.3">
      <c r="D5" s="61" t="s">
        <v>150</v>
      </c>
      <c r="E5" s="57">
        <v>501.54831999999999</v>
      </c>
      <c r="F5" s="57">
        <v>692</v>
      </c>
      <c r="G5" s="62"/>
    </row>
    <row r="6" spans="4:10" x14ac:dyDescent="0.3">
      <c r="D6" s="61" t="s">
        <v>155</v>
      </c>
      <c r="E6" s="63">
        <v>50.155000000000001</v>
      </c>
      <c r="F6" s="63">
        <v>0</v>
      </c>
      <c r="G6" s="62"/>
    </row>
    <row r="7" spans="4:10" x14ac:dyDescent="0.3">
      <c r="D7" s="64" t="s">
        <v>123</v>
      </c>
      <c r="E7" s="57">
        <f>SUM(E5:E6)</f>
        <v>551.70331999999996</v>
      </c>
      <c r="F7" s="57">
        <f>SUM(F5:F6)</f>
        <v>692</v>
      </c>
      <c r="G7" s="62"/>
    </row>
    <row r="8" spans="4:10" x14ac:dyDescent="0.3">
      <c r="D8" s="61" t="s">
        <v>148</v>
      </c>
      <c r="E8" s="63">
        <f>-E5*0.08</f>
        <v>-40.123865600000002</v>
      </c>
      <c r="F8" s="63">
        <v>-55.36</v>
      </c>
      <c r="G8" s="62"/>
    </row>
    <row r="9" spans="4:10" x14ac:dyDescent="0.3">
      <c r="D9" s="61" t="s">
        <v>151</v>
      </c>
      <c r="E9" s="65">
        <f>E7/30</f>
        <v>18.390110666666665</v>
      </c>
      <c r="F9" s="65">
        <v>23.066666666666666</v>
      </c>
      <c r="G9" s="62"/>
    </row>
    <row r="10" spans="4:10" x14ac:dyDescent="0.3">
      <c r="D10" s="64" t="s">
        <v>152</v>
      </c>
      <c r="E10" s="59">
        <f>E9*15</f>
        <v>275.85165999999998</v>
      </c>
      <c r="F10" s="59">
        <f>F9*15</f>
        <v>346</v>
      </c>
      <c r="G10" s="59">
        <f>E10+F10</f>
        <v>621.85166000000004</v>
      </c>
      <c r="J10" s="58"/>
    </row>
    <row r="11" spans="4:10" x14ac:dyDescent="0.3">
      <c r="D11" s="61" t="s">
        <v>153</v>
      </c>
      <c r="E11" s="65">
        <f>E8*0.5</f>
        <v>-20.061932800000001</v>
      </c>
      <c r="F11" s="65">
        <v>-27.68</v>
      </c>
      <c r="G11" s="65">
        <f>E11+F11</f>
        <v>-47.741932800000001</v>
      </c>
    </row>
    <row r="12" spans="4:10" x14ac:dyDescent="0.3">
      <c r="D12" s="64" t="s">
        <v>154</v>
      </c>
      <c r="E12" s="59">
        <f>SUM(E10:E11)</f>
        <v>255.78972719999999</v>
      </c>
      <c r="F12" s="59">
        <f>SUM(F10:F11)</f>
        <v>318.32</v>
      </c>
      <c r="G12" s="59">
        <f>SUM(G10:G11)</f>
        <v>574.10972720000007</v>
      </c>
    </row>
    <row r="17" spans="1:9" x14ac:dyDescent="0.3">
      <c r="A17" s="56" t="s">
        <v>157</v>
      </c>
      <c r="E17" s="56" t="s">
        <v>125</v>
      </c>
      <c r="G17" s="157" t="s">
        <v>158</v>
      </c>
      <c r="H17" s="157"/>
      <c r="I17" s="157"/>
    </row>
    <row r="18" spans="1:9" x14ac:dyDescent="0.3">
      <c r="A18" s="157" t="s">
        <v>159</v>
      </c>
      <c r="B18" s="157"/>
      <c r="C18" s="157"/>
      <c r="E18" s="56" t="s">
        <v>160</v>
      </c>
      <c r="G18" s="157" t="s">
        <v>128</v>
      </c>
      <c r="H18" s="157"/>
      <c r="I18" s="157"/>
    </row>
  </sheetData>
  <mergeCells count="4">
    <mergeCell ref="G17:I17"/>
    <mergeCell ref="A18:C18"/>
    <mergeCell ref="G18:I18"/>
    <mergeCell ref="D4:F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Nov  Full Employee (2)</vt:lpstr>
      <vt:lpstr>hold</vt:lpstr>
      <vt:lpstr>Salary 2025 - 11</vt:lpstr>
      <vt:lpstr>Sheet2</vt:lpstr>
      <vt:lpstr>Training staff</vt:lpstr>
      <vt:lpstr>Office Boy</vt:lpstr>
      <vt:lpstr>Sheet1</vt:lpstr>
      <vt:lpstr>hold!Print_Area</vt:lpstr>
      <vt:lpstr>'Nov  Full Employee (2)'!Print_Area</vt:lpstr>
      <vt:lpstr>'Salary 2025 - 11'!Print_Area</vt:lpstr>
      <vt:lpstr>'Training staff'!Print_Area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Hassan Ghaly</dc:creator>
  <cp:lastModifiedBy>YASIR KASHOOB</cp:lastModifiedBy>
  <cp:lastPrinted>2025-12-10T11:13:26Z</cp:lastPrinted>
  <dcterms:created xsi:type="dcterms:W3CDTF">2024-01-08T08:06:47Z</dcterms:created>
  <dcterms:modified xsi:type="dcterms:W3CDTF">2026-01-13T06:05:34Z</dcterms:modified>
</cp:coreProperties>
</file>