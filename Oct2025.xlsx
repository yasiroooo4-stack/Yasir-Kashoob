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مسلم قطن\elal\"/>
    </mc:Choice>
  </mc:AlternateContent>
  <xr:revisionPtr revIDLastSave="0" documentId="13_ncr:1_{5C34D97F-EDA9-466A-940B-82F6E2E6E8C5}" xr6:coauthVersionLast="47" xr6:coauthVersionMax="47" xr10:uidLastSave="{00000000-0000-0000-0000-000000000000}"/>
  <bookViews>
    <workbookView xWindow="4080" yWindow="3840" windowWidth="21600" windowHeight="1129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3" i="2" l="1"/>
  <c r="G312" i="2"/>
  <c r="F312" i="2"/>
  <c r="H312" i="2" s="1"/>
  <c r="F311" i="2"/>
  <c r="H311" i="2" s="1"/>
  <c r="F310" i="2"/>
  <c r="H310" i="2" s="1"/>
  <c r="F309" i="2"/>
  <c r="H309" i="2" s="1"/>
  <c r="F308" i="2"/>
  <c r="H308" i="2" s="1"/>
  <c r="F307" i="2"/>
  <c r="H307" i="2" s="1"/>
  <c r="F306" i="2"/>
  <c r="H306" i="2" s="1"/>
  <c r="F305" i="2"/>
  <c r="H305" i="2" s="1"/>
  <c r="G304" i="2"/>
  <c r="F304" i="2"/>
  <c r="H304" i="2" s="1"/>
  <c r="F303" i="2"/>
  <c r="H303" i="2" s="1"/>
  <c r="G302" i="2"/>
  <c r="F302" i="2"/>
  <c r="H302" i="2" s="1"/>
  <c r="H301" i="2"/>
  <c r="F301" i="2"/>
  <c r="F300" i="2"/>
  <c r="H300" i="2" s="1"/>
  <c r="F299" i="2"/>
  <c r="H299" i="2" s="1"/>
  <c r="G298" i="2"/>
  <c r="F298" i="2"/>
  <c r="H298" i="2" s="1"/>
  <c r="F297" i="2"/>
  <c r="H297" i="2" s="1"/>
  <c r="F296" i="2"/>
  <c r="H296" i="2" s="1"/>
  <c r="H295" i="2"/>
  <c r="F295" i="2"/>
  <c r="F294" i="2"/>
  <c r="H294" i="2" s="1"/>
  <c r="F293" i="2"/>
  <c r="H293" i="2" s="1"/>
  <c r="H292" i="2"/>
  <c r="F292" i="2"/>
  <c r="F291" i="2"/>
  <c r="H291" i="2" s="1"/>
  <c r="H290" i="2"/>
  <c r="F290" i="2"/>
  <c r="H289" i="2"/>
  <c r="F289" i="2"/>
  <c r="H288" i="2"/>
  <c r="F288" i="2"/>
  <c r="H287" i="2"/>
  <c r="F287" i="2"/>
  <c r="F286" i="2"/>
  <c r="H286" i="2" s="1"/>
  <c r="H285" i="2"/>
  <c r="F285" i="2"/>
  <c r="H284" i="2"/>
  <c r="F284" i="2"/>
  <c r="F283" i="2"/>
  <c r="H283" i="2" s="1"/>
  <c r="H282" i="2"/>
  <c r="F282" i="2"/>
  <c r="H281" i="2"/>
  <c r="F281" i="2"/>
  <c r="H280" i="2"/>
  <c r="F280" i="2"/>
  <c r="H279" i="2"/>
  <c r="F279" i="2"/>
  <c r="F278" i="2"/>
  <c r="H278" i="2" s="1"/>
  <c r="H277" i="2"/>
  <c r="F277" i="2"/>
  <c r="H276" i="2"/>
  <c r="F276" i="2"/>
  <c r="G275" i="2"/>
  <c r="F275" i="2"/>
  <c r="H275" i="2" s="1"/>
  <c r="F274" i="2"/>
  <c r="H274" i="2" s="1"/>
  <c r="F273" i="2"/>
  <c r="H273" i="2" s="1"/>
  <c r="H272" i="2"/>
  <c r="F272" i="2"/>
  <c r="F271" i="2"/>
  <c r="H271" i="2" s="1"/>
  <c r="H270" i="2"/>
  <c r="F270" i="2"/>
  <c r="F269" i="2"/>
  <c r="H269" i="2" s="1"/>
  <c r="F268" i="2"/>
  <c r="H268" i="2" s="1"/>
  <c r="F267" i="2"/>
  <c r="H267" i="2" s="1"/>
  <c r="F266" i="2"/>
  <c r="H266" i="2" s="1"/>
  <c r="G265" i="2"/>
  <c r="F265" i="2"/>
  <c r="H265" i="2" s="1"/>
  <c r="H264" i="2"/>
  <c r="F264" i="2"/>
  <c r="F263" i="2"/>
  <c r="H263" i="2" s="1"/>
  <c r="H262" i="2"/>
  <c r="F262" i="2"/>
  <c r="H261" i="2"/>
  <c r="F261" i="2"/>
  <c r="F260" i="2"/>
  <c r="H260" i="2" s="1"/>
  <c r="H259" i="2"/>
  <c r="F259" i="2"/>
  <c r="H258" i="2"/>
  <c r="F258" i="2"/>
  <c r="H257" i="2"/>
  <c r="F257" i="2"/>
  <c r="H256" i="2"/>
  <c r="F256" i="2"/>
  <c r="F255" i="2"/>
  <c r="H255" i="2" s="1"/>
  <c r="H254" i="2"/>
  <c r="F254" i="2"/>
  <c r="H253" i="2"/>
  <c r="F253" i="2"/>
  <c r="F252" i="2"/>
  <c r="H252" i="2" s="1"/>
  <c r="H251" i="2"/>
  <c r="F251" i="2"/>
  <c r="H250" i="2"/>
  <c r="G250" i="2"/>
  <c r="F250" i="2"/>
  <c r="H249" i="2"/>
  <c r="F249" i="2"/>
  <c r="F248" i="2"/>
  <c r="H248" i="2" s="1"/>
  <c r="H247" i="2"/>
  <c r="G247" i="2"/>
  <c r="F247" i="2"/>
  <c r="H246" i="2"/>
  <c r="F246" i="2"/>
  <c r="F245" i="2"/>
  <c r="H245" i="2" s="1"/>
  <c r="H244" i="2"/>
  <c r="F244" i="2"/>
  <c r="H243" i="2"/>
  <c r="F243" i="2"/>
  <c r="H242" i="2"/>
  <c r="F242" i="2"/>
  <c r="H241" i="2"/>
  <c r="F241" i="2"/>
  <c r="F240" i="2"/>
  <c r="H240" i="2" s="1"/>
  <c r="H239" i="2"/>
  <c r="F239" i="2"/>
  <c r="H238" i="2"/>
  <c r="F238" i="2"/>
  <c r="F237" i="2"/>
  <c r="H237" i="2" s="1"/>
  <c r="H236" i="2"/>
  <c r="F236" i="2"/>
  <c r="H235" i="2"/>
  <c r="G235" i="2"/>
  <c r="F235" i="2"/>
  <c r="H234" i="2"/>
  <c r="G234" i="2"/>
  <c r="F234" i="2"/>
  <c r="F233" i="2"/>
  <c r="H233" i="2" s="1"/>
  <c r="H232" i="2"/>
  <c r="F232" i="2"/>
  <c r="H231" i="2"/>
  <c r="F231" i="2"/>
  <c r="F230" i="2"/>
  <c r="H230" i="2" s="1"/>
  <c r="H229" i="2"/>
  <c r="F229" i="2"/>
  <c r="H228" i="2"/>
  <c r="F228" i="2"/>
  <c r="H227" i="2"/>
  <c r="F227" i="2"/>
  <c r="H226" i="2"/>
  <c r="F226" i="2"/>
  <c r="F225" i="2"/>
  <c r="H225" i="2" s="1"/>
  <c r="H224" i="2"/>
  <c r="F224" i="2"/>
  <c r="H223" i="2"/>
  <c r="F223" i="2"/>
  <c r="F222" i="2"/>
  <c r="H222" i="2" s="1"/>
  <c r="H221" i="2"/>
  <c r="F221" i="2"/>
  <c r="H220" i="2"/>
  <c r="F220" i="2"/>
  <c r="H219" i="2"/>
  <c r="F219" i="2"/>
  <c r="H218" i="2"/>
  <c r="G218" i="2"/>
  <c r="F218" i="2"/>
  <c r="H217" i="2"/>
  <c r="F217" i="2"/>
  <c r="F216" i="2"/>
  <c r="H216" i="2" s="1"/>
  <c r="F215" i="2"/>
  <c r="H215" i="2" s="1"/>
  <c r="G214" i="2"/>
  <c r="F214" i="2"/>
  <c r="H214" i="2" s="1"/>
  <c r="H213" i="2"/>
  <c r="F213" i="2"/>
  <c r="H212" i="2"/>
  <c r="F212" i="2"/>
  <c r="H211" i="2"/>
  <c r="F211" i="2"/>
  <c r="F210" i="2"/>
  <c r="H210" i="2" s="1"/>
  <c r="H209" i="2"/>
  <c r="F209" i="2"/>
  <c r="H208" i="2"/>
  <c r="F208" i="2"/>
  <c r="F207" i="2"/>
  <c r="H207" i="2" s="1"/>
  <c r="H206" i="2"/>
  <c r="F206" i="2"/>
  <c r="H205" i="2"/>
  <c r="F205" i="2"/>
  <c r="H204" i="2"/>
  <c r="F204" i="2"/>
  <c r="H203" i="2"/>
  <c r="F203" i="2"/>
  <c r="F202" i="2"/>
  <c r="H202" i="2" s="1"/>
  <c r="H201" i="2"/>
  <c r="F201" i="2"/>
  <c r="H200" i="2"/>
  <c r="F200" i="2"/>
  <c r="F199" i="2"/>
  <c r="H199" i="2" s="1"/>
  <c r="H198" i="2"/>
  <c r="F198" i="2"/>
  <c r="H197" i="2"/>
  <c r="F197" i="2"/>
  <c r="H196" i="2"/>
  <c r="F196" i="2"/>
  <c r="H195" i="2"/>
  <c r="F195" i="2"/>
  <c r="F194" i="2"/>
  <c r="H194" i="2" s="1"/>
  <c r="H193" i="2"/>
  <c r="F193" i="2"/>
  <c r="H192" i="2"/>
  <c r="F192" i="2"/>
  <c r="F191" i="2"/>
  <c r="H191" i="2" s="1"/>
  <c r="G190" i="2"/>
  <c r="F190" i="2"/>
  <c r="H190" i="2" s="1"/>
  <c r="F189" i="2"/>
  <c r="H189" i="2" s="1"/>
  <c r="H188" i="2"/>
  <c r="F188" i="2"/>
  <c r="F187" i="2"/>
  <c r="H187" i="2" s="1"/>
  <c r="H186" i="2"/>
  <c r="F186" i="2"/>
  <c r="F185" i="2"/>
  <c r="H185" i="2" s="1"/>
  <c r="F184" i="2"/>
  <c r="H184" i="2" s="1"/>
  <c r="F183" i="2"/>
  <c r="H183" i="2" s="1"/>
  <c r="F182" i="2"/>
  <c r="H182" i="2" s="1"/>
  <c r="F181" i="2"/>
  <c r="H181" i="2" s="1"/>
  <c r="H180" i="2"/>
  <c r="F180" i="2"/>
  <c r="F179" i="2"/>
  <c r="H179" i="2" s="1"/>
  <c r="H178" i="2"/>
  <c r="F178" i="2"/>
  <c r="F177" i="2"/>
  <c r="H177" i="2" s="1"/>
  <c r="F176" i="2"/>
  <c r="H176" i="2" s="1"/>
  <c r="F175" i="2"/>
  <c r="H175" i="2" s="1"/>
  <c r="F174" i="2"/>
  <c r="H174" i="2" s="1"/>
  <c r="F173" i="2"/>
  <c r="H173" i="2" s="1"/>
  <c r="H172" i="2"/>
  <c r="F172" i="2"/>
  <c r="F171" i="2"/>
  <c r="H171" i="2" s="1"/>
  <c r="H170" i="2"/>
  <c r="F170" i="2"/>
  <c r="F169" i="2"/>
  <c r="H169" i="2" s="1"/>
  <c r="F168" i="2"/>
  <c r="H168" i="2" s="1"/>
  <c r="F167" i="2"/>
  <c r="H167" i="2" s="1"/>
  <c r="F166" i="2"/>
  <c r="H166" i="2" s="1"/>
  <c r="F165" i="2"/>
  <c r="H165" i="2" s="1"/>
  <c r="H164" i="2"/>
  <c r="F164" i="2"/>
  <c r="F163" i="2"/>
  <c r="H163" i="2" s="1"/>
  <c r="H162" i="2"/>
  <c r="F162" i="2"/>
  <c r="F161" i="2"/>
  <c r="H161" i="2" s="1"/>
  <c r="F160" i="2"/>
  <c r="H160" i="2" s="1"/>
  <c r="G159" i="2"/>
  <c r="F159" i="2"/>
  <c r="H159" i="2" s="1"/>
  <c r="H158" i="2"/>
  <c r="G158" i="2"/>
  <c r="F158" i="2"/>
  <c r="H157" i="2"/>
  <c r="G157" i="2"/>
  <c r="F157" i="2"/>
  <c r="F156" i="2"/>
  <c r="H156" i="2" s="1"/>
  <c r="H155" i="2"/>
  <c r="F155" i="2"/>
  <c r="H154" i="2"/>
  <c r="G154" i="2"/>
  <c r="F154" i="2"/>
  <c r="F153" i="2"/>
  <c r="H153" i="2" s="1"/>
  <c r="F152" i="2"/>
  <c r="H152" i="2" s="1"/>
  <c r="F151" i="2"/>
  <c r="H151" i="2" s="1"/>
  <c r="H150" i="2"/>
  <c r="F150" i="2"/>
  <c r="F149" i="2"/>
  <c r="H149" i="2" s="1"/>
  <c r="H148" i="2"/>
  <c r="F148" i="2"/>
  <c r="F147" i="2"/>
  <c r="H147" i="2" s="1"/>
  <c r="F146" i="2"/>
  <c r="H146" i="2" s="1"/>
  <c r="F145" i="2"/>
  <c r="H145" i="2" s="1"/>
  <c r="F144" i="2"/>
  <c r="H144" i="2" s="1"/>
  <c r="G143" i="2"/>
  <c r="F143" i="2"/>
  <c r="H143" i="2" s="1"/>
  <c r="H142" i="2"/>
  <c r="F142" i="2"/>
  <c r="F141" i="2"/>
  <c r="H141" i="2" s="1"/>
  <c r="H140" i="2"/>
  <c r="F140" i="2"/>
  <c r="H139" i="2"/>
  <c r="F139" i="2"/>
  <c r="F138" i="2"/>
  <c r="H138" i="2" s="1"/>
  <c r="F137" i="2"/>
  <c r="H137" i="2" s="1"/>
  <c r="H136" i="2"/>
  <c r="F136" i="2"/>
  <c r="H135" i="2"/>
  <c r="G135" i="2"/>
  <c r="F135" i="2"/>
  <c r="F134" i="2"/>
  <c r="H133" i="2"/>
  <c r="F133" i="2"/>
  <c r="H132" i="2"/>
  <c r="F132" i="2"/>
  <c r="F131" i="2"/>
  <c r="H131" i="2" s="1"/>
  <c r="F130" i="2"/>
  <c r="F129" i="2"/>
  <c r="H129" i="2" s="1"/>
  <c r="H128" i="2"/>
  <c r="F128" i="2"/>
  <c r="F127" i="2"/>
  <c r="H127" i="2" s="1"/>
  <c r="H126" i="2"/>
  <c r="F126" i="2"/>
  <c r="G125" i="2"/>
  <c r="F125" i="2"/>
  <c r="H125" i="2" s="1"/>
  <c r="F124" i="2"/>
  <c r="H124" i="2" s="1"/>
  <c r="F123" i="2"/>
  <c r="H123" i="2" s="1"/>
  <c r="H122" i="2"/>
  <c r="F122" i="2"/>
  <c r="H121" i="2"/>
  <c r="F121" i="2"/>
  <c r="H120" i="2"/>
  <c r="G120" i="2"/>
  <c r="F120" i="2"/>
  <c r="H119" i="2"/>
  <c r="F119" i="2"/>
  <c r="F118" i="2"/>
  <c r="H118" i="2" s="1"/>
  <c r="F117" i="2"/>
  <c r="H117" i="2" s="1"/>
  <c r="F116" i="2"/>
  <c r="H116" i="2" s="1"/>
  <c r="F115" i="2"/>
  <c r="H115" i="2" s="1"/>
  <c r="F114" i="2"/>
  <c r="H114" i="2" s="1"/>
  <c r="H113" i="2"/>
  <c r="F113" i="2"/>
  <c r="F112" i="2"/>
  <c r="H112" i="2" s="1"/>
  <c r="H111" i="2"/>
  <c r="F111" i="2"/>
  <c r="F110" i="2"/>
  <c r="H110" i="2" s="1"/>
  <c r="F109" i="2"/>
  <c r="H109" i="2" s="1"/>
  <c r="F108" i="2"/>
  <c r="H108" i="2" s="1"/>
  <c r="F107" i="2"/>
  <c r="H107" i="2" s="1"/>
  <c r="F106" i="2"/>
  <c r="H106" i="2" s="1"/>
  <c r="H105" i="2"/>
  <c r="F105" i="2"/>
  <c r="F104" i="2"/>
  <c r="H104" i="2" s="1"/>
  <c r="H103" i="2"/>
  <c r="F103" i="2"/>
  <c r="F102" i="2"/>
  <c r="H102" i="2" s="1"/>
  <c r="F101" i="2"/>
  <c r="H101" i="2" s="1"/>
  <c r="G100" i="2"/>
  <c r="F100" i="2"/>
  <c r="H100" i="2" s="1"/>
  <c r="H99" i="2"/>
  <c r="F99" i="2"/>
  <c r="H98" i="2"/>
  <c r="F98" i="2"/>
  <c r="H97" i="2"/>
  <c r="F97" i="2"/>
  <c r="G96" i="2"/>
  <c r="F96" i="2"/>
  <c r="H96" i="2" s="1"/>
  <c r="F95" i="2"/>
  <c r="H95" i="2" s="1"/>
  <c r="F94" i="2"/>
  <c r="H94" i="2" s="1"/>
  <c r="F93" i="2"/>
  <c r="H93" i="2" s="1"/>
  <c r="F92" i="2"/>
  <c r="H92" i="2" s="1"/>
  <c r="F91" i="2"/>
  <c r="H91" i="2" s="1"/>
  <c r="H90" i="2"/>
  <c r="F90" i="2"/>
  <c r="F89" i="2"/>
  <c r="H89" i="2" s="1"/>
  <c r="H88" i="2"/>
  <c r="F88" i="2"/>
  <c r="F87" i="2"/>
  <c r="H87" i="2" s="1"/>
  <c r="F86" i="2"/>
  <c r="H86" i="2" s="1"/>
  <c r="F85" i="2"/>
  <c r="H85" i="2" s="1"/>
  <c r="F84" i="2"/>
  <c r="H84" i="2" s="1"/>
  <c r="G83" i="2"/>
  <c r="F83" i="2"/>
  <c r="H83" i="2" s="1"/>
  <c r="H82" i="2"/>
  <c r="F82" i="2"/>
  <c r="F81" i="2"/>
  <c r="H81" i="2" s="1"/>
  <c r="H80" i="2"/>
  <c r="F80" i="2"/>
  <c r="H79" i="2"/>
  <c r="F79" i="2"/>
  <c r="F78" i="2"/>
  <c r="H78" i="2" s="1"/>
  <c r="F77" i="2"/>
  <c r="H77" i="2" s="1"/>
  <c r="H76" i="2"/>
  <c r="F76" i="2"/>
  <c r="H75" i="2"/>
  <c r="F75" i="2"/>
  <c r="H74" i="2"/>
  <c r="F74" i="2"/>
  <c r="F73" i="2"/>
  <c r="H73" i="2" s="1"/>
  <c r="P72" i="2"/>
  <c r="G72" i="2"/>
  <c r="F72" i="2"/>
  <c r="H72" i="2" s="1"/>
  <c r="F71" i="2"/>
  <c r="H71" i="2" s="1"/>
  <c r="G70" i="2"/>
  <c r="F70" i="2"/>
  <c r="H70" i="2" s="1"/>
  <c r="F69" i="2"/>
  <c r="H69" i="2" s="1"/>
  <c r="H68" i="2"/>
  <c r="F68" i="2"/>
  <c r="F67" i="2"/>
  <c r="H67" i="2" s="1"/>
  <c r="H66" i="2"/>
  <c r="F66" i="2"/>
  <c r="F65" i="2"/>
  <c r="H65" i="2" s="1"/>
  <c r="F64" i="2"/>
  <c r="H64" i="2" s="1"/>
  <c r="F63" i="2"/>
  <c r="H63" i="2" s="1"/>
  <c r="F62" i="2"/>
  <c r="H62" i="2" s="1"/>
  <c r="F61" i="2"/>
  <c r="H61" i="2" s="1"/>
  <c r="H60" i="2"/>
  <c r="F60" i="2"/>
  <c r="F59" i="2"/>
  <c r="H59" i="2" s="1"/>
  <c r="H58" i="2"/>
  <c r="F58" i="2"/>
  <c r="F57" i="2"/>
  <c r="H57" i="2" s="1"/>
  <c r="F56" i="2"/>
  <c r="H56" i="2" s="1"/>
  <c r="F55" i="2"/>
  <c r="H55" i="2" s="1"/>
  <c r="F54" i="2"/>
  <c r="H54" i="2" s="1"/>
  <c r="F53" i="2"/>
  <c r="H53" i="2" s="1"/>
  <c r="H52" i="2"/>
  <c r="F52" i="2"/>
  <c r="F51" i="2"/>
  <c r="H51" i="2" s="1"/>
  <c r="H50" i="2"/>
  <c r="F50" i="2"/>
  <c r="F49" i="2"/>
  <c r="H49" i="2" s="1"/>
  <c r="F48" i="2"/>
  <c r="H48" i="2" s="1"/>
  <c r="F47" i="2"/>
  <c r="H47" i="2" s="1"/>
  <c r="G46" i="2"/>
  <c r="H46" i="2" s="1"/>
  <c r="F46" i="2"/>
  <c r="H45" i="2"/>
  <c r="F45" i="2"/>
  <c r="H44" i="2"/>
  <c r="F44" i="2"/>
  <c r="F43" i="2"/>
  <c r="H43" i="2" s="1"/>
  <c r="H42" i="2"/>
  <c r="F42" i="2"/>
  <c r="H41" i="2"/>
  <c r="F41" i="2"/>
  <c r="F40" i="2"/>
  <c r="H40" i="2" s="1"/>
  <c r="G39" i="2"/>
  <c r="F39" i="2"/>
  <c r="H39" i="2" s="1"/>
  <c r="F38" i="2"/>
  <c r="H38" i="2" s="1"/>
  <c r="H37" i="2"/>
  <c r="F37" i="2"/>
  <c r="F36" i="2"/>
  <c r="H36" i="2" s="1"/>
  <c r="H35" i="2"/>
  <c r="F35" i="2"/>
  <c r="F34" i="2"/>
  <c r="H34" i="2" s="1"/>
  <c r="G33" i="2"/>
  <c r="F33" i="2"/>
  <c r="H33" i="2" s="1"/>
  <c r="F32" i="2"/>
  <c r="H32" i="2" s="1"/>
  <c r="H31" i="2"/>
  <c r="F31" i="2"/>
  <c r="H30" i="2"/>
  <c r="F30" i="2"/>
  <c r="H29" i="2"/>
  <c r="F29" i="2"/>
  <c r="F28" i="2"/>
  <c r="H28" i="2" s="1"/>
  <c r="H27" i="2"/>
  <c r="F27" i="2"/>
  <c r="H26" i="2"/>
  <c r="F26" i="2"/>
  <c r="F25" i="2"/>
  <c r="H25" i="2" s="1"/>
  <c r="F24" i="2"/>
  <c r="H24" i="2" s="1"/>
  <c r="H23" i="2"/>
  <c r="F23" i="2"/>
  <c r="H22" i="2"/>
  <c r="F22" i="2"/>
  <c r="H21" i="2"/>
  <c r="F21" i="2"/>
  <c r="G20" i="2"/>
  <c r="F20" i="2"/>
  <c r="H20" i="2" s="1"/>
  <c r="F19" i="2"/>
  <c r="H19" i="2" s="1"/>
  <c r="F18" i="2"/>
  <c r="H18" i="2" s="1"/>
  <c r="F17" i="2"/>
  <c r="H17" i="2" s="1"/>
  <c r="F16" i="2"/>
  <c r="H16" i="2" s="1"/>
  <c r="F15" i="2"/>
  <c r="H15" i="2" s="1"/>
  <c r="H14" i="2"/>
  <c r="F14" i="2"/>
  <c r="F13" i="2"/>
  <c r="H13" i="2" s="1"/>
  <c r="H12" i="2"/>
  <c r="F12" i="2"/>
  <c r="G11" i="2"/>
  <c r="F11" i="2"/>
  <c r="H11" i="2" s="1"/>
  <c r="F10" i="2"/>
  <c r="H10" i="2" s="1"/>
  <c r="F9" i="2"/>
  <c r="H9" i="2" s="1"/>
  <c r="H8" i="2"/>
  <c r="F8" i="2"/>
  <c r="H7" i="2"/>
  <c r="F7" i="2"/>
  <c r="H6" i="2"/>
  <c r="F6" i="2"/>
  <c r="G5" i="2"/>
  <c r="F5" i="2"/>
  <c r="H5" i="2" s="1"/>
  <c r="F4" i="2"/>
  <c r="F313" i="2" s="1"/>
  <c r="H4" i="2" l="1"/>
  <c r="G134" i="2"/>
  <c r="H134" i="2" s="1"/>
  <c r="G130" i="2"/>
  <c r="H130" i="2" s="1"/>
  <c r="G313" i="2" l="1"/>
  <c r="H313" i="2"/>
</calcChain>
</file>

<file path=xl/sharedStrings.xml><?xml version="1.0" encoding="utf-8"?>
<sst xmlns="http://schemas.openxmlformats.org/spreadsheetml/2006/main" count="1365" uniqueCount="688">
  <si>
    <t>HAJEEF CAMEL MILK PROCUREMENT FROM 01-Oct-2025 to 31-Oct-2025</t>
  </si>
  <si>
    <t xml:space="preserve">Sr. No. </t>
  </si>
  <si>
    <t xml:space="preserve">Farmer Name </t>
  </si>
  <si>
    <t>Avg. Rate (OMR/Ltr.)</t>
  </si>
  <si>
    <t>Amount (OMR)</t>
  </si>
  <si>
    <t>ID No.</t>
  </si>
  <si>
    <t>Bank Account</t>
  </si>
  <si>
    <t xml:space="preserve"> Bank Name. </t>
  </si>
  <si>
    <t>SWIFT</t>
  </si>
  <si>
    <t>Phone No.</t>
  </si>
  <si>
    <t>remark 2</t>
  </si>
  <si>
    <t>Bakhit Ahmed Musallam Al kathiri</t>
  </si>
  <si>
    <t>0439012124150013</t>
  </si>
  <si>
    <t>BANK MUSCAT</t>
  </si>
  <si>
    <t>BMUSOMRX</t>
  </si>
  <si>
    <t>Bakhait Salim Ahmed Alash Al Kathiri</t>
  </si>
  <si>
    <t>0439014599800023</t>
  </si>
  <si>
    <t>24-11-25</t>
  </si>
  <si>
    <t>33.91-11-2025</t>
  </si>
  <si>
    <t>Mohammed Suhail Ali Hawas Al Aamri</t>
  </si>
  <si>
    <t>3109720870700</t>
  </si>
  <si>
    <t>OAB</t>
  </si>
  <si>
    <t>OMABOMRU</t>
  </si>
  <si>
    <t>Mahammed Musallam Ahmed Hwas</t>
  </si>
  <si>
    <t>0397003987550015</t>
  </si>
  <si>
    <t xml:space="preserve"> </t>
  </si>
  <si>
    <t>Said Ahmed Sabah Ali Badar</t>
  </si>
  <si>
    <t>01012574607001</t>
  </si>
  <si>
    <t>BANK DHOFAR</t>
  </si>
  <si>
    <t>BDOFOMRU</t>
  </si>
  <si>
    <t>Said Mohammed Salem Akdha Al Rawas</t>
  </si>
  <si>
    <t>0397003785300017</t>
  </si>
  <si>
    <t>Bakhit Mohamed Salim Rawas</t>
  </si>
  <si>
    <t>01010850230001</t>
  </si>
  <si>
    <t>Ahmed Musallam Ahmed Al Kathiri</t>
  </si>
  <si>
    <t>0439017196260028</t>
  </si>
  <si>
    <t>Sulaim Said Mohammed Hawas Al Aamri</t>
  </si>
  <si>
    <t>0406012189810015</t>
  </si>
  <si>
    <t>15-12-25</t>
  </si>
  <si>
    <t>Salim Mustahil Jamaan Al Shakl Al kathiri</t>
  </si>
  <si>
    <t>01012583986001</t>
  </si>
  <si>
    <t>Suhail Said Ali Bait said</t>
  </si>
  <si>
    <t>0396003267730012</t>
  </si>
  <si>
    <t>Mahad Salim Zaed Baitsaid</t>
  </si>
  <si>
    <t>1023113274001</t>
  </si>
  <si>
    <t>NBO</t>
  </si>
  <si>
    <t>NBOMOMRX</t>
  </si>
  <si>
    <t>Mohamed Salam Amer Al Yafee</t>
  </si>
  <si>
    <t>01041185194001</t>
  </si>
  <si>
    <t>Ahmed Amer Said Baitsaid</t>
  </si>
  <si>
    <t>0396003219770029</t>
  </si>
  <si>
    <t>Saed Ali Ahmed Al Kathiri</t>
  </si>
  <si>
    <t>1083724895017</t>
  </si>
  <si>
    <t>Mosoud Ali Salim Al Kathiri</t>
  </si>
  <si>
    <t>0401064266530014</t>
  </si>
  <si>
    <t>MUSALLAM HASAN ALI BAIT SAID</t>
  </si>
  <si>
    <t>0397003183710017</t>
  </si>
  <si>
    <t>Bank Muscat</t>
  </si>
  <si>
    <t>15-10-25</t>
  </si>
  <si>
    <t>49.78 will deduct from 10-25</t>
  </si>
  <si>
    <t>Musallam Bakhit Salim Al Aamri</t>
  </si>
  <si>
    <t>01011373210001</t>
  </si>
  <si>
    <t>Ahmed Salim Bakhit Qatan</t>
  </si>
  <si>
    <t>3109628132500</t>
  </si>
  <si>
    <t>Salim Suhail Ali Al Kathiri</t>
  </si>
  <si>
    <t>0406059374210012</t>
  </si>
  <si>
    <t>Ahmed Mohammed Salim Al Barami</t>
  </si>
  <si>
    <t>3129711924500</t>
  </si>
  <si>
    <t>Ahmed Mohammed Faraj Al Kathiri</t>
  </si>
  <si>
    <t>0439058732890011</t>
  </si>
  <si>
    <t>Bakhit Salim Bakhit Qatan</t>
  </si>
  <si>
    <t>0397004184300024</t>
  </si>
  <si>
    <t>Bakhit Ali Salim Qatan</t>
  </si>
  <si>
    <t>0401002342630017</t>
  </si>
  <si>
    <t>17-11-25</t>
  </si>
  <si>
    <t>Hussein Masoud Aubad Al Kathiri</t>
  </si>
  <si>
    <t>1060656310017</t>
  </si>
  <si>
    <t>Musallam  Salim Mahad Qatan</t>
  </si>
  <si>
    <t>0401002461080028</t>
  </si>
  <si>
    <t>Amer Salem Ahmed  Qatan</t>
  </si>
  <si>
    <t>0401003532620025</t>
  </si>
  <si>
    <t>Salim Ahmed Mahad Aamir Jid</t>
  </si>
  <si>
    <t>01011362595002</t>
  </si>
  <si>
    <t xml:space="preserve">Salim Ahmed Salim Amer Jid </t>
  </si>
  <si>
    <t>0401050718800013</t>
  </si>
  <si>
    <t>14-12-25</t>
  </si>
  <si>
    <t>Said Ahmed Mahad Qatan</t>
  </si>
  <si>
    <t>3109016888700</t>
  </si>
  <si>
    <t>19-11-25</t>
  </si>
  <si>
    <t>Said  Aubad Ali Ghawas</t>
  </si>
  <si>
    <t>0397003933630013</t>
  </si>
  <si>
    <t>Ali Bakhit Ahmed Qatan</t>
  </si>
  <si>
    <t>3129376165700</t>
  </si>
  <si>
    <t>Mohamed Ahmed Suhail Qatan</t>
  </si>
  <si>
    <t>0397004395550019</t>
  </si>
  <si>
    <t>Mohammed Salim Said Al Barami</t>
  </si>
  <si>
    <t>250094968001</t>
  </si>
  <si>
    <t>HSBC</t>
  </si>
  <si>
    <t>BBMEOMRX</t>
  </si>
  <si>
    <t>Mohammed Ali Suhail Qatan</t>
  </si>
  <si>
    <t>0396041232890032</t>
  </si>
  <si>
    <t>Musallam Bakhit Masoud Qatan</t>
  </si>
  <si>
    <t>010010201414</t>
  </si>
  <si>
    <t>Bank Sohar</t>
  </si>
  <si>
    <t>BSHROMRU</t>
  </si>
  <si>
    <t>Yhaya Musallam Said Qatan</t>
  </si>
  <si>
    <t>0401016503450018</t>
  </si>
  <si>
    <t>Bakhit Amer Salem Qatan</t>
  </si>
  <si>
    <t>00510034969002</t>
  </si>
  <si>
    <t>BANK NIZWA</t>
  </si>
  <si>
    <t>BNZWOMRX</t>
  </si>
  <si>
    <t>Ali Ahmed Aubad Jamaan Al Kathiri</t>
  </si>
  <si>
    <t>0304024501570012</t>
  </si>
  <si>
    <t>Salim Ahmed Said Tabuk</t>
  </si>
  <si>
    <t>0426003863310028</t>
  </si>
  <si>
    <t>Salim Said Suhail Qatan</t>
  </si>
  <si>
    <t>0401002332700028</t>
  </si>
  <si>
    <t>Mohammed Salim Amer Qatan</t>
  </si>
  <si>
    <t>0317002509980029</t>
  </si>
  <si>
    <t>Mohammed Ahmed Suhail Mahad Qatan</t>
  </si>
  <si>
    <t>0401016956230027</t>
  </si>
  <si>
    <t>Khalid Ahmed Salim Amer Jid Al Mahri</t>
  </si>
  <si>
    <t>Ghazi Salim Ahmed Al Kathiri</t>
  </si>
  <si>
    <t>01011238092002</t>
  </si>
  <si>
    <t>Abdul Sallam Ahmed Abdullah Al Abbadi Al Rawas</t>
  </si>
  <si>
    <t>3109061950500</t>
  </si>
  <si>
    <t>Ali Musallam Ahmed Tabuk</t>
  </si>
  <si>
    <t>0397004227360018</t>
  </si>
  <si>
    <t>Ahmed Said Ahmed Qutan</t>
  </si>
  <si>
    <t>0401044694220018</t>
  </si>
  <si>
    <t>Ali Salim Said Qatan</t>
  </si>
  <si>
    <t>01041090275001</t>
  </si>
  <si>
    <t>Salim Ahmed Ali Qatan</t>
  </si>
  <si>
    <t>0132906010084010</t>
  </si>
  <si>
    <t>Musallam Salim Amir Said Qatan</t>
  </si>
  <si>
    <t>0401047625040018</t>
  </si>
  <si>
    <t>Hassan Suhail Ahmed Said Qatan</t>
  </si>
  <si>
    <t>0426060858570018</t>
  </si>
  <si>
    <t>Said Ali Ahmed Al Katheri</t>
  </si>
  <si>
    <t>0406020751730014</t>
  </si>
  <si>
    <t>Ali Mahad Said Qatan</t>
  </si>
  <si>
    <t>001010070151</t>
  </si>
  <si>
    <t>BANK SOHAR</t>
  </si>
  <si>
    <t>Said Suhail Ali Al Kathiri</t>
  </si>
  <si>
    <t>0397016698910016</t>
  </si>
  <si>
    <t>Ahmed Said Mubarak Al Zawamri</t>
  </si>
  <si>
    <t>0401002467120013</t>
  </si>
  <si>
    <t>Salim Mohammed Musallam Al Baraami</t>
  </si>
  <si>
    <t>01010941305001</t>
  </si>
  <si>
    <t>Mohammed Said Mahad Qatan</t>
  </si>
  <si>
    <t>050170299001</t>
  </si>
  <si>
    <t xml:space="preserve">Ali Ahmed Suhail Qatan </t>
  </si>
  <si>
    <t>0397004383920015</t>
  </si>
  <si>
    <t>Salim Musallam Ahmed Tabouk</t>
  </si>
  <si>
    <t>01041249912001</t>
  </si>
  <si>
    <t>16-12-25</t>
  </si>
  <si>
    <t>Suhail Awadh Salim Hawas Al Aamri</t>
  </si>
  <si>
    <t>01010853900001</t>
  </si>
  <si>
    <t>Salim Ali said Al Masahli</t>
  </si>
  <si>
    <t>0406045085100027</t>
  </si>
  <si>
    <t>Hassan Musallam  Ali Qatan</t>
  </si>
  <si>
    <t>00510059623001</t>
  </si>
  <si>
    <t>Said Salim Ali Hawas Al Aamri</t>
  </si>
  <si>
    <t>0406003141690019</t>
  </si>
  <si>
    <t>Adnan Mohammed Said Bait Said</t>
  </si>
  <si>
    <t>01011445808001</t>
  </si>
  <si>
    <t>Musallam Mohammed Salim Al Barami</t>
  </si>
  <si>
    <t>0401003471060021</t>
  </si>
  <si>
    <t>Mohammed Ahmed Bakhit Qatan</t>
  </si>
  <si>
    <t>01011448559002</t>
  </si>
  <si>
    <t>Salim Said Mustahil Al Kathiri</t>
  </si>
  <si>
    <t>00510087464001</t>
  </si>
  <si>
    <t>Salim Said Salim Qatan</t>
  </si>
  <si>
    <t>0439002422440029</t>
  </si>
  <si>
    <t>97.84 - will deduct from 10-2025</t>
  </si>
  <si>
    <t xml:space="preserve"> will decuct from 11-2025</t>
  </si>
  <si>
    <t>Mohamed Ahmed Salam Alamri</t>
  </si>
  <si>
    <t>0397004248490019</t>
  </si>
  <si>
    <t>Ahmed Ali Suhail ALAamri</t>
  </si>
  <si>
    <t>0406003835930033</t>
  </si>
  <si>
    <t>Ali Amer Salim Qatan</t>
  </si>
  <si>
    <t>01011440583003</t>
  </si>
  <si>
    <t>Musallam Amer Salim Qatan</t>
  </si>
  <si>
    <t>0401002417310016</t>
  </si>
  <si>
    <t>Mohammed Abdullah Ali Ghawas</t>
  </si>
  <si>
    <t>0406003363090017</t>
  </si>
  <si>
    <t>Tanaf Suhail Ali Hawas Al Aamri</t>
  </si>
  <si>
    <t>01010120940001</t>
  </si>
  <si>
    <t>Salim Mohammed Ahmed Al Aamri</t>
  </si>
  <si>
    <t>0500012521101001</t>
  </si>
  <si>
    <t>Alizz Islamic Bank</t>
  </si>
  <si>
    <t>IZZBOMRU</t>
  </si>
  <si>
    <t>Masoud  Salim  Ahmed Alash Al Kathiri</t>
  </si>
  <si>
    <t>0406017202280014</t>
  </si>
  <si>
    <t>Ahmed Mahad Musallam Amor Jid</t>
  </si>
  <si>
    <t>10600341164086</t>
  </si>
  <si>
    <t>Salim Ali Mohammed Hawas Al Amari</t>
  </si>
  <si>
    <t>0397060863170013</t>
  </si>
  <si>
    <t>Suhail Salim Mohammed Al Daakari</t>
  </si>
  <si>
    <t>3109633774500</t>
  </si>
  <si>
    <t>Mohammed Ali Said Qatan</t>
  </si>
  <si>
    <t>0401011715810012</t>
  </si>
  <si>
    <t xml:space="preserve">Ali Salim Bakhit Qatan </t>
  </si>
  <si>
    <t>0413009940010018</t>
  </si>
  <si>
    <t xml:space="preserve">Ali Said Salim  Al kathiri </t>
  </si>
  <si>
    <t>00510029714001</t>
  </si>
  <si>
    <t>Bashar Ahmed Ali Qatan</t>
  </si>
  <si>
    <t>0401040842100016</t>
  </si>
  <si>
    <t>Asad Ali Ahmed Suhail Aamir Jid</t>
  </si>
  <si>
    <t>0406056811780029</t>
  </si>
  <si>
    <t>Mohammed Ali Bakhit Qatan</t>
  </si>
  <si>
    <t>0397042697150019</t>
  </si>
  <si>
    <t>Musallam Ahmed Mohammed Aldakari Al Kathiri</t>
  </si>
  <si>
    <t>996477</t>
  </si>
  <si>
    <t>3109331947500</t>
  </si>
  <si>
    <t>Salim Suhail Said Ghawas</t>
  </si>
  <si>
    <t>0397003998840015</t>
  </si>
  <si>
    <t>Mohammed Suhail Said Ghawas</t>
  </si>
  <si>
    <t>0406003150110017</t>
  </si>
  <si>
    <t>Ahmed Suhail Said Ghawas</t>
  </si>
  <si>
    <t>0406040710420017</t>
  </si>
  <si>
    <t>Amir Musallam Hadi Salim Al Aamri</t>
  </si>
  <si>
    <t>0406025047690017</t>
  </si>
  <si>
    <t>Mahad Ahmed Mahad Aamir Jid</t>
  </si>
  <si>
    <t>0401002372390013</t>
  </si>
  <si>
    <t>Said Amer Salim Qatan</t>
  </si>
  <si>
    <t>0397003656070021</t>
  </si>
  <si>
    <t>BT-16-11-25</t>
  </si>
  <si>
    <t>Abdull Ali Ahmed  Suhail Aamir Jid</t>
  </si>
  <si>
    <t>0406061192660017</t>
  </si>
  <si>
    <t>Said Mohammed Musallam Al Shihri</t>
  </si>
  <si>
    <t>0401004242270027</t>
  </si>
  <si>
    <t>Bakhit Ahmed Musallam Khinan Al Shahri</t>
  </si>
  <si>
    <t>1060605003017</t>
  </si>
  <si>
    <t>Salim Said Salim Al Mahri</t>
  </si>
  <si>
    <t>70401001815001</t>
  </si>
  <si>
    <t>SOHAR ISLAMIC BANK</t>
  </si>
  <si>
    <t>BSHROMRUISL</t>
  </si>
  <si>
    <t>Ahmed Salim Amer Qatan</t>
  </si>
  <si>
    <t>1006708876017</t>
  </si>
  <si>
    <t>Ali Musalam Said Salim Qatan</t>
  </si>
  <si>
    <t>0401022465590037</t>
  </si>
  <si>
    <t>Salim Mohamed Salim Qatan</t>
  </si>
  <si>
    <t>0439041281100011</t>
  </si>
  <si>
    <t>Suhail Ahmed Said Qatan</t>
  </si>
  <si>
    <t>3109092018500</t>
  </si>
  <si>
    <t>Ahmed Ali Suhail Bait Said</t>
  </si>
  <si>
    <t>10230145735017</t>
  </si>
  <si>
    <t>Said Ahmed Mahad Aamir Jid</t>
  </si>
  <si>
    <t>0439028694470015</t>
  </si>
  <si>
    <t>Ahmed Ali  Mustahil Al Jahfali</t>
  </si>
  <si>
    <t>0439058205670011</t>
  </si>
  <si>
    <t>Hassan Bakhit  Ahmed Al Kathiri</t>
  </si>
  <si>
    <t>0500071563104001</t>
  </si>
  <si>
    <t>Hassan Muslem Ali Aamir Jid Al Mahri</t>
  </si>
  <si>
    <t>01011198160001</t>
  </si>
  <si>
    <t>Hassan Salim Bakhit Mahad Qatan</t>
  </si>
  <si>
    <t>01041124895001</t>
  </si>
  <si>
    <t>Mahmood Said Khuwaidem Qutan</t>
  </si>
  <si>
    <t>0401057877410018</t>
  </si>
  <si>
    <t>Masoud  Salim Faraj Al Kathiri</t>
  </si>
  <si>
    <t>01011028414003</t>
  </si>
  <si>
    <t>Mundher Ahmed Musallam Amer Jeed</t>
  </si>
  <si>
    <t>0401051591510017</t>
  </si>
  <si>
    <t>Rajah Masoud Aubad Jamaan Al Kathiri</t>
  </si>
  <si>
    <t>1060656310018</t>
  </si>
  <si>
    <t>Mohammed Musallam Hadi Al Aamri</t>
  </si>
  <si>
    <t>Khalid Ali Ahmed Suhail Amer Jid</t>
  </si>
  <si>
    <t>1501095702330</t>
  </si>
  <si>
    <t>AHLI BANK</t>
  </si>
  <si>
    <t>AUBOOMRU</t>
  </si>
  <si>
    <t>Said Musallam Suhail Jaboob</t>
  </si>
  <si>
    <t>00510034668001</t>
  </si>
  <si>
    <t>Ali Salim Amor Salim Qatan</t>
  </si>
  <si>
    <t>0401027769730018</t>
  </si>
  <si>
    <t>Ahmed Bakhit Ahmed Qatan</t>
  </si>
  <si>
    <t>0439003219570029</t>
  </si>
  <si>
    <t>Ali Suhail Ali Hawas Alaamri</t>
  </si>
  <si>
    <t>01011290175001</t>
  </si>
  <si>
    <t>Bank Dhofar</t>
  </si>
  <si>
    <t>Salim Bakhit Mahad Qutan</t>
  </si>
  <si>
    <t>1006214422017</t>
  </si>
  <si>
    <t>Suhail Salim Suhail Hawas Alaamri</t>
  </si>
  <si>
    <t>01011103509001</t>
  </si>
  <si>
    <t>Suhail Musallam Said Barook Amer Jeed</t>
  </si>
  <si>
    <t>1006638627002</t>
  </si>
  <si>
    <t>Ahmed Ali Said Qatan</t>
  </si>
  <si>
    <t>0401058533150013</t>
  </si>
  <si>
    <t>Ahmed Salim Ahmed Tabook</t>
  </si>
  <si>
    <t>01041230416001</t>
  </si>
  <si>
    <t>Ali Musallam Said Qatan</t>
  </si>
  <si>
    <t>0406003431800012</t>
  </si>
  <si>
    <t>Ahmed Amor Ahmed  Qatan</t>
  </si>
  <si>
    <t>0397010599490023</t>
  </si>
  <si>
    <t>Mohamed Ahmed Salim Khalis Almasahli</t>
  </si>
  <si>
    <t>0406003410520017</t>
  </si>
  <si>
    <t>Said Amer Said Qatan</t>
  </si>
  <si>
    <t>01040607392001</t>
  </si>
  <si>
    <t>Ahmed Said Amer Qatan</t>
  </si>
  <si>
    <t>0440016419030029</t>
  </si>
  <si>
    <t>Bakhet Salim Ahmed  Qatan</t>
  </si>
  <si>
    <t>7033824</t>
  </si>
  <si>
    <t>01646039750001</t>
  </si>
  <si>
    <t>Maisarah Islamic Bank</t>
  </si>
  <si>
    <t>BDOFOMRUMIB</t>
  </si>
  <si>
    <t>Ahmed Salim Said Amor Jid Al Mahri</t>
  </si>
  <si>
    <t>250122207160</t>
  </si>
  <si>
    <t>Said Aubad Jamaan Al Kathiri</t>
  </si>
  <si>
    <t>0397026856800032</t>
  </si>
  <si>
    <t>Musallam Said Amer Qatan</t>
  </si>
  <si>
    <t>0401062391100018</t>
  </si>
  <si>
    <t>Amer Said Amer Salim Qatan</t>
  </si>
  <si>
    <t>0401027682850017</t>
  </si>
  <si>
    <t>ALI OMAR ABDULLAH  ALABBADI ALRAWAS</t>
  </si>
  <si>
    <t>0397004380820017</t>
  </si>
  <si>
    <t>MOHAMED AMOR SAID QATAN</t>
  </si>
  <si>
    <t>0401049367130018</t>
  </si>
  <si>
    <t>Ali Mohammed Suhail Qatan</t>
  </si>
  <si>
    <t>3129625223700</t>
  </si>
  <si>
    <t>0426016888570021</t>
  </si>
  <si>
    <t>Musallam Ahmed Ali Hawas Al Aamri</t>
  </si>
  <si>
    <t>01040015365001</t>
  </si>
  <si>
    <t>Ahmed Said Mohammed Tabook</t>
  </si>
  <si>
    <t>0396003234930016</t>
  </si>
  <si>
    <t>Said Ahmed Mustahil Alshahri</t>
  </si>
  <si>
    <t>1006510914017</t>
  </si>
  <si>
    <t>Husam Ahmed Salim Alkatini Alrawas</t>
  </si>
  <si>
    <t>010010158541</t>
  </si>
  <si>
    <t>Sohar International</t>
  </si>
  <si>
    <t>Musallam Masoud Suhail Kashob</t>
  </si>
  <si>
    <t>Mohammed Said Mohammed Baitsaid</t>
  </si>
  <si>
    <t>01040088320001</t>
  </si>
  <si>
    <t>Amer Said Suhail Qatan</t>
  </si>
  <si>
    <t>0397004322480012</t>
  </si>
  <si>
    <t>Mohammed Suhail Saad Ghawas</t>
  </si>
  <si>
    <t>0406003333830027</t>
  </si>
  <si>
    <t>Ahmed Mohammed Salim Qatan</t>
  </si>
  <si>
    <t>0401062696050013</t>
  </si>
  <si>
    <t>Said Salim Tamtim Ali Hawas Al Aamri</t>
  </si>
  <si>
    <t>01010128076001</t>
  </si>
  <si>
    <t>Mohsin Suhail Ghawas</t>
  </si>
  <si>
    <t>0397003852970014</t>
  </si>
  <si>
    <t>Ahmed Salim Masood Alkatini Alrawas</t>
  </si>
  <si>
    <t>01010408398001</t>
  </si>
  <si>
    <t xml:space="preserve">Bakhit Ali Masoud Thuaar </t>
  </si>
  <si>
    <t>250020015931</t>
  </si>
  <si>
    <t>Said Ahmed Suhail Alkathiri</t>
  </si>
  <si>
    <t>0439064863460012</t>
  </si>
  <si>
    <t>Hafidh Salim Ahmed Alash Al Kathiri</t>
  </si>
  <si>
    <t>21827716</t>
  </si>
  <si>
    <t>01013041639001</t>
  </si>
  <si>
    <t>Salim Ali Said Kashoub</t>
  </si>
  <si>
    <t>231033101160</t>
  </si>
  <si>
    <t>Bakhit Salim Musallam Kashob</t>
  </si>
  <si>
    <t>0401056757830017</t>
  </si>
  <si>
    <t>Mohammed Masoud Mohammed Kashob</t>
  </si>
  <si>
    <t>0406003154150013</t>
  </si>
  <si>
    <t>Said Mohammed Masoud Kashob</t>
  </si>
  <si>
    <t>0401002617050019</t>
  </si>
  <si>
    <t>Said Salim Nassir Al Aamri</t>
  </si>
  <si>
    <t>0396003228210017</t>
  </si>
  <si>
    <t>Salim Ahmed Said Alrawas</t>
  </si>
  <si>
    <t>868449</t>
  </si>
  <si>
    <t>0401010970280028</t>
  </si>
  <si>
    <t>Ahmed  Amor Bakhit Suhail Al Awayid</t>
  </si>
  <si>
    <t>24849713</t>
  </si>
  <si>
    <t>01013035865001</t>
  </si>
  <si>
    <t>Ahmed Ali Faraj Al Manjawi</t>
  </si>
  <si>
    <t>443037</t>
  </si>
  <si>
    <t>0406003335120019</t>
  </si>
  <si>
    <t>Ahmed Ali Jamaan Atif ALYafai</t>
  </si>
  <si>
    <t>962934</t>
  </si>
  <si>
    <t>250033032001</t>
  </si>
  <si>
    <t>Suhail Said Salim Akadha Al Rawas</t>
  </si>
  <si>
    <t>863006</t>
  </si>
  <si>
    <t>0397004081260016</t>
  </si>
  <si>
    <t>Salim Ali Musallam ALMaashani</t>
  </si>
  <si>
    <t>6349394</t>
  </si>
  <si>
    <t>0398060867830011</t>
  </si>
  <si>
    <t>Sohail Ali Bakhit Qatan</t>
  </si>
  <si>
    <t>21916816</t>
  </si>
  <si>
    <t>3129165841700</t>
  </si>
  <si>
    <t>Said Ahmed Ali Al Zawamri</t>
  </si>
  <si>
    <t>6610475</t>
  </si>
  <si>
    <t>10060260267017</t>
  </si>
  <si>
    <t>Mohammed Ahmed Masoud Dakari ALKathiri</t>
  </si>
  <si>
    <t>2518469</t>
  </si>
  <si>
    <t>01040280417002</t>
  </si>
  <si>
    <t>Salim Ali Salim ALKathiri</t>
  </si>
  <si>
    <t>22792559</t>
  </si>
  <si>
    <t>10600421424017</t>
  </si>
  <si>
    <t>Said Suhail Said Qatan</t>
  </si>
  <si>
    <t>0401002567740027</t>
  </si>
  <si>
    <t>0397003325360011</t>
  </si>
  <si>
    <t>Suhail Said Salim Qatan</t>
  </si>
  <si>
    <t>287348</t>
  </si>
  <si>
    <t>0397003878240014</t>
  </si>
  <si>
    <t>Suhail Musallam Suhail Musallam Qatan</t>
  </si>
  <si>
    <t>0426056366870019</t>
  </si>
  <si>
    <t>Amer Mohammed Suhail Said Qatan</t>
  </si>
  <si>
    <t>23265822</t>
  </si>
  <si>
    <t>0426062489230014</t>
  </si>
  <si>
    <t>Ahmed Salim Ahmed Qatan</t>
  </si>
  <si>
    <t>5873419</t>
  </si>
  <si>
    <t>0401002505120014</t>
  </si>
  <si>
    <t>Ahmed Masoud Salim Alkathiri</t>
  </si>
  <si>
    <t>0406003433270018</t>
  </si>
  <si>
    <t>Ahmed Said Suhail Al Barami</t>
  </si>
  <si>
    <t>01040012964001</t>
  </si>
  <si>
    <t>Salim Said Amer Salim Qatan</t>
  </si>
  <si>
    <t>0401020982140017</t>
  </si>
  <si>
    <t>Salim Musallam Bakhit Alkathiri</t>
  </si>
  <si>
    <t>01040856734001</t>
  </si>
  <si>
    <t>Ahmed Said Bakhit Alhamar</t>
  </si>
  <si>
    <t>0439050331670018</t>
  </si>
  <si>
    <t>Qais Mohammed Said Qatan</t>
  </si>
  <si>
    <t>0401021357750024</t>
  </si>
  <si>
    <t>Amer Said Salim Ahmed Al kathiri</t>
  </si>
  <si>
    <t>01043807880001</t>
  </si>
  <si>
    <t>Mohammed Said Suhail Qatan</t>
  </si>
  <si>
    <t>70402002089201</t>
  </si>
  <si>
    <t>Sohar Islamic</t>
  </si>
  <si>
    <t>Salim Mahad Mahroos Tabouk</t>
  </si>
  <si>
    <t>0406003154690018</t>
  </si>
  <si>
    <t>Said Muamen Ahmed Almasahli Alkathiri</t>
  </si>
  <si>
    <t>0406003262210014</t>
  </si>
  <si>
    <t>Nadir Said Ahmed Al kathiri</t>
  </si>
  <si>
    <t>0396044540590022</t>
  </si>
  <si>
    <t>Mohammed Nasser Salim Alhamar</t>
  </si>
  <si>
    <t>0439054520590012</t>
  </si>
  <si>
    <t>Ali Salim Amer Al kathiri</t>
  </si>
  <si>
    <t>0406003375130017</t>
  </si>
  <si>
    <t>Awadh Ali Said AL Shanfari</t>
  </si>
  <si>
    <t>0401043497010016</t>
  </si>
  <si>
    <t>Yasir Omar Masoud Alkathiri</t>
  </si>
  <si>
    <t>0406017543380017</t>
  </si>
  <si>
    <t>13-10-2025</t>
  </si>
  <si>
    <t>24.810 will deduct from10-25</t>
  </si>
  <si>
    <t>Said Bakhit Ahmed Alkathiri</t>
  </si>
  <si>
    <t>01041069697001</t>
  </si>
  <si>
    <t>Mohammed Ali Ahmed Houti Al Shahari</t>
  </si>
  <si>
    <t>0500046614002001</t>
  </si>
  <si>
    <t>Said Amer Said Amar Jid Al mahri</t>
  </si>
  <si>
    <t>0397003957040028</t>
  </si>
  <si>
    <t>Ahmed Said Salim Al Dakari Al kathiri</t>
  </si>
  <si>
    <t>0406060156570013</t>
  </si>
  <si>
    <t>Suhail Ali Mohammed Alkathiri</t>
  </si>
  <si>
    <t>050412956035</t>
  </si>
  <si>
    <t>Ali Suhail Ali Alkathiri</t>
  </si>
  <si>
    <t>0406012619810014</t>
  </si>
  <si>
    <t>Ahmed Suhail Ali Lahbet Alkathiri</t>
  </si>
  <si>
    <t>0406003222800013</t>
  </si>
  <si>
    <t>Aubad Said Aubad Ghawas</t>
  </si>
  <si>
    <t>01041075335001</t>
  </si>
  <si>
    <t>Ahmed Al Bakhaet Salim Hawas</t>
  </si>
  <si>
    <t>0439011191920021</t>
  </si>
  <si>
    <t>Ali Musallam Amer Amer Jid Almahri</t>
  </si>
  <si>
    <t>0397003950410019</t>
  </si>
  <si>
    <t>Wafi Musallam Ahmed Almasahli</t>
  </si>
  <si>
    <t>0406045269090019</t>
  </si>
  <si>
    <t>Said Mohsin Suhail Ghawas</t>
  </si>
  <si>
    <t>01011096619001</t>
  </si>
  <si>
    <t>Mohammed Bakhit  Suhail Tabouk</t>
  </si>
  <si>
    <t>0397026446300016</t>
  </si>
  <si>
    <t>Azad Hadid Said Khinan Al shahri</t>
  </si>
  <si>
    <t>0401063512700017</t>
  </si>
  <si>
    <t>Said Ali Ahmed Amer Alkathiri</t>
  </si>
  <si>
    <t>3107563019700</t>
  </si>
  <si>
    <t>Ali Mohammed Suhail Ghawas</t>
  </si>
  <si>
    <t>0401002351490018</t>
  </si>
  <si>
    <t>Mohsin Said Mohsin Almasahli</t>
  </si>
  <si>
    <t>0396019395080024</t>
  </si>
  <si>
    <t>Mohammed Ahmed  Ali Aati Al yafii</t>
  </si>
  <si>
    <t>0439053703280016</t>
  </si>
  <si>
    <t>Ahmed Amer Said Qatan</t>
  </si>
  <si>
    <t>0500005038101001</t>
  </si>
  <si>
    <t>Ali Said Ahmed Naoom Al Kathiri</t>
  </si>
  <si>
    <t>01040405051001</t>
  </si>
  <si>
    <t>Suhail Mohamed Suhail Saad Ghawas</t>
  </si>
  <si>
    <t>0500047173104001</t>
  </si>
  <si>
    <t>Amer Salim Said Akadha Al Rawas</t>
  </si>
  <si>
    <t>0439018920020038</t>
  </si>
  <si>
    <t>Nasser bakhit Salim Qatan</t>
  </si>
  <si>
    <t>0426019439940034</t>
  </si>
  <si>
    <t>Abdullah Salim Mohammed Alaamri</t>
  </si>
  <si>
    <t>01040014624001</t>
  </si>
  <si>
    <t>Mohammed Ahmed Said Tabook</t>
  </si>
  <si>
    <t>01015077263001</t>
  </si>
  <si>
    <t>Amro Hassan Mahad Ali Baitsaid</t>
  </si>
  <si>
    <t>01011318851003</t>
  </si>
  <si>
    <t>Badar Bakhit Ahmed Qatan</t>
  </si>
  <si>
    <t>0401056973610013</t>
  </si>
  <si>
    <t>Said Bakhit taman jaboob</t>
  </si>
  <si>
    <t>1501119668330</t>
  </si>
  <si>
    <t>22.78 will deduct form 10-2025</t>
  </si>
  <si>
    <t>Ahmed Musallam Suhail Almaashani</t>
  </si>
  <si>
    <t>0398003688570038</t>
  </si>
  <si>
    <t>Ahmed Amer Salim Qatan</t>
  </si>
  <si>
    <t>0401017430950021</t>
  </si>
  <si>
    <t>Suhail Ahmed Salim Alkhlis Alm asahali</t>
  </si>
  <si>
    <t>0406053962240019</t>
  </si>
  <si>
    <t>Ahmed Suhail Said  Suhail Jaboob</t>
  </si>
  <si>
    <t>01014312046001</t>
  </si>
  <si>
    <t>Musallam Taman Ahmed Almaashani</t>
  </si>
  <si>
    <t>3109603832500</t>
  </si>
  <si>
    <t>Salim Ahmed Said Tabook</t>
  </si>
  <si>
    <t>0426002677910038</t>
  </si>
  <si>
    <t>Mohammed Musthail Jamaan Alkathiri</t>
  </si>
  <si>
    <t>01010125708001</t>
  </si>
  <si>
    <t>Ahmed Ali Mohammed Almashani</t>
  </si>
  <si>
    <t>0426017114630028</t>
  </si>
  <si>
    <t>Said Salim Ali Mubarak Kashoob</t>
  </si>
  <si>
    <t>0401002626040042</t>
  </si>
  <si>
    <t>Hamid Awadh Salim Hawas AL Aamri</t>
  </si>
  <si>
    <t>01011172994001</t>
  </si>
  <si>
    <t>Amer Salim Bakhit Tabook</t>
  </si>
  <si>
    <t>0406050998610018</t>
  </si>
  <si>
    <t>Mohammed Ali Salim Tamtim Hawas AL Aamri</t>
  </si>
  <si>
    <t>10230374612017</t>
  </si>
  <si>
    <t>Musallam Mubarak Musallam Mahood Koob ALShahri</t>
  </si>
  <si>
    <t>0426010159340018</t>
  </si>
  <si>
    <t>Suhail Ali Suhail Ghawas</t>
  </si>
  <si>
    <t>01015376629001</t>
  </si>
  <si>
    <t>Ahmed Ali Mustahil  Alshakal Al Kathiri</t>
  </si>
  <si>
    <t>01011284416002</t>
  </si>
  <si>
    <t>Ghanim Ahmed Mohammed Wawas Al Aamri</t>
  </si>
  <si>
    <t>10230374511017</t>
  </si>
  <si>
    <t>Ahmed Ali Salim Bait Said</t>
  </si>
  <si>
    <t>01040854794001</t>
  </si>
  <si>
    <t>Salim Abdul Aziz Abdullah Al daakari AL Kathiri</t>
  </si>
  <si>
    <t>01040850786001</t>
  </si>
  <si>
    <t>Ghanim Musallam Salim Ghawas Al Kathiri</t>
  </si>
  <si>
    <t>0406003497880017</t>
  </si>
  <si>
    <t>Salim Musallam Salim Qatan</t>
  </si>
  <si>
    <t>0317009002700018</t>
  </si>
  <si>
    <t>Masoud Musallam Masoud Bait Said</t>
  </si>
  <si>
    <t>1023528809017</t>
  </si>
  <si>
    <t>Ali Musallam Rabeea Hubais</t>
  </si>
  <si>
    <t>0406004085780022</t>
  </si>
  <si>
    <t>Nassar Musallam Said Qatan</t>
  </si>
  <si>
    <t>0401028251810014</t>
  </si>
  <si>
    <t>Mohammed Amer Said Al Maashani</t>
  </si>
  <si>
    <t>0398043498400014</t>
  </si>
  <si>
    <t>Messalam Ali Said Suhail Jaboob</t>
  </si>
  <si>
    <t>0401040937500011</t>
  </si>
  <si>
    <t>Ahmed Salim Ali Al Mashani</t>
  </si>
  <si>
    <t>0398041006520017</t>
  </si>
  <si>
    <t>Suhail Musallam Ahmed Jaboob</t>
  </si>
  <si>
    <t>0397003811440019</t>
  </si>
  <si>
    <t>Salim Mohammed Issa AL Maashani</t>
  </si>
  <si>
    <t>0397004130470013</t>
  </si>
  <si>
    <t>Bakhit Mohammed Bakhit Al jahfali</t>
  </si>
  <si>
    <t>01040124131001</t>
  </si>
  <si>
    <t>Abdullh Mohsin Suhail Ghawas</t>
  </si>
  <si>
    <t>0439061417630018</t>
  </si>
  <si>
    <t>Yahya Mahad Ali Al maashani</t>
  </si>
  <si>
    <t>0500033637104001</t>
  </si>
  <si>
    <t>Said Mohammed Ali Hawas Al aamri</t>
  </si>
  <si>
    <t>3109378022700</t>
  </si>
  <si>
    <t>27-10-2025</t>
  </si>
  <si>
    <t>.37-10-25</t>
  </si>
  <si>
    <t>Said Amer Azad AL Kathiri</t>
  </si>
  <si>
    <t>0406003177010014</t>
  </si>
  <si>
    <t>Mohammed Ali Ahmed Aljahfail</t>
  </si>
  <si>
    <t>0406069181390019</t>
  </si>
  <si>
    <t>Talal  ali ahmed Al Jahfali</t>
  </si>
  <si>
    <t>0406025049040017</t>
  </si>
  <si>
    <t>Hatem Ali Aslam Al Zawamri</t>
  </si>
  <si>
    <t>1006646918017</t>
  </si>
  <si>
    <t>Ahmed Suhail Ahmed Qatan</t>
  </si>
  <si>
    <t>01040280161001</t>
  </si>
  <si>
    <t>Suhail Issa Salim Jashuul Qatan</t>
  </si>
  <si>
    <t>0439003418580025</t>
  </si>
  <si>
    <t>Said Suhail Abdullah Al Daakari Al kathiri</t>
  </si>
  <si>
    <t>01040280634001</t>
  </si>
  <si>
    <t>Said Amer Bakhit Qatan</t>
  </si>
  <si>
    <t>0401002379270013</t>
  </si>
  <si>
    <t>Said Salim Ahmed ALJahfali</t>
  </si>
  <si>
    <t>01011013681002</t>
  </si>
  <si>
    <t>Musallem Ahmed Suhail Jashuul</t>
  </si>
  <si>
    <t>0406003226070028</t>
  </si>
  <si>
    <t>Ahmed Mohammed Hasson Alkathiri</t>
  </si>
  <si>
    <t>01011264535001</t>
  </si>
  <si>
    <t>Mohammed Said Ahmed Shamas</t>
  </si>
  <si>
    <t>0406061455670012</t>
  </si>
  <si>
    <t>Said Ahmed Khalfan ALBaraami</t>
  </si>
  <si>
    <t>0397014761880022</t>
  </si>
  <si>
    <t>Nassir Mohammed Salim Al Amri</t>
  </si>
  <si>
    <t>0406003445830046</t>
  </si>
  <si>
    <t>Ahmed Said Salim Al Amri</t>
  </si>
  <si>
    <t>0439058549000015</t>
  </si>
  <si>
    <t>Omer Abdul Aziz Salim Al Amri</t>
  </si>
  <si>
    <t>0439063674190016</t>
  </si>
  <si>
    <t>Amer Said Ali Akaak</t>
  </si>
  <si>
    <t>1006578437001</t>
  </si>
  <si>
    <t>Said suhail Mahad Akaak</t>
  </si>
  <si>
    <t>0396050442190032</t>
  </si>
  <si>
    <t>Ali Salim Suhail Baqi</t>
  </si>
  <si>
    <t>3109093868500</t>
  </si>
  <si>
    <t>Ahmed Ali Salim Al Aamri</t>
  </si>
  <si>
    <t>01011297253001</t>
  </si>
  <si>
    <t>Ghazi Omar Nasib Fadhil Al Kathiri</t>
  </si>
  <si>
    <t>1083716004017</t>
  </si>
  <si>
    <t>18-11-25</t>
  </si>
  <si>
    <t>Bakhit Salim Reehan Al Aamri</t>
  </si>
  <si>
    <t>0406003170210026</t>
  </si>
  <si>
    <t>Al Mundher Salim Bakhit Hawas Al Aamri</t>
  </si>
  <si>
    <t>3158231329700</t>
  </si>
  <si>
    <t>Mohammed Ahmed Said Bait Said</t>
  </si>
  <si>
    <t>01013808099001</t>
  </si>
  <si>
    <t>Said  Salim Ali Jaboob</t>
  </si>
  <si>
    <t>0401014063060023</t>
  </si>
  <si>
    <t>Rajeh Ahmed Said Kirdas Al Shahri</t>
  </si>
  <si>
    <t>70402003875101</t>
  </si>
  <si>
    <t>Ali Muslem Suhail Jaboob</t>
  </si>
  <si>
    <t>0397004190150026</t>
  </si>
  <si>
    <t>Aubad Mohammed Salim Al Jahfali</t>
  </si>
  <si>
    <t>0401018818700015</t>
  </si>
  <si>
    <t>Salim Mohsin Karaayas Al Hamar</t>
  </si>
  <si>
    <t>250010036311</t>
  </si>
  <si>
    <t>Hassan Salim Ali Bait Said</t>
  </si>
  <si>
    <t>0396003250790011</t>
  </si>
  <si>
    <t>Nashmi Amer Salim Qatan</t>
  </si>
  <si>
    <t>0396051472730011</t>
  </si>
  <si>
    <t xml:space="preserve">Ahmed Ali Said Musallam Hubas </t>
  </si>
  <si>
    <t>01012585908001</t>
  </si>
  <si>
    <t>Yousuf Ali Said Suhail Qatan</t>
  </si>
  <si>
    <t>0401026014770013</t>
  </si>
  <si>
    <t>01041021230002</t>
  </si>
  <si>
    <t>Mohammed Said Ali Shnat Al Shahri</t>
  </si>
  <si>
    <t>0462021032910044</t>
  </si>
  <si>
    <t>Mohammed Said Salim Al Msahli Al Kathiri</t>
  </si>
  <si>
    <t>01011400001002</t>
  </si>
  <si>
    <t>Ali Mohammed Ali al Aamri</t>
  </si>
  <si>
    <t>0406019038700026</t>
  </si>
  <si>
    <t>Said Mohammed Musallam rajhait Al mahri</t>
  </si>
  <si>
    <t>0406053349120019</t>
  </si>
  <si>
    <t>Salim Said Shamis Habais</t>
  </si>
  <si>
    <t>01040015814001</t>
  </si>
  <si>
    <t>Othman Mohammed Said rajhit</t>
  </si>
  <si>
    <t>0406044884240032</t>
  </si>
  <si>
    <t>Ali Salim Musallam Ba lahaf</t>
  </si>
  <si>
    <t>0406003332550028</t>
  </si>
  <si>
    <t>Salem Ahmed Ali Qatan</t>
  </si>
  <si>
    <t>0401003158700044</t>
  </si>
  <si>
    <t>Abdul  Hakhim Salim Suhail Sahim Ghawas</t>
  </si>
  <si>
    <t>0401016419010018</t>
  </si>
  <si>
    <t>Salim Suhail Sahim Ghawas</t>
  </si>
  <si>
    <t>0406003203290012</t>
  </si>
  <si>
    <t>Jaber Abdullah Mohammed Al Jahfali</t>
  </si>
  <si>
    <t>01010424921001</t>
  </si>
  <si>
    <t>Ahmed Mohammed Ahmed Jashuul</t>
  </si>
  <si>
    <t>01010940205001</t>
  </si>
  <si>
    <t>Ali Said Mohammed al amri</t>
  </si>
  <si>
    <t>01010425502002</t>
  </si>
  <si>
    <t>Salim Musallam Ahmed  Al Kathiri</t>
  </si>
  <si>
    <t>0397003709810014</t>
  </si>
  <si>
    <t>Ali Nasser Ali Said Bait  rajahit</t>
  </si>
  <si>
    <t>0439015164060024</t>
  </si>
  <si>
    <t>Ali Bakhit Ali Al Jahfali</t>
  </si>
  <si>
    <t>0396041909430017</t>
  </si>
  <si>
    <t>Mohammed Salim Ali Al  Jahf ali</t>
  </si>
  <si>
    <t>01041028056001</t>
  </si>
  <si>
    <t>Musallm hassan Abdullah Khdhran Al Kathiri</t>
  </si>
  <si>
    <t>3109497923700</t>
  </si>
  <si>
    <t>Ahmed Salim Mustahil Ali Sakroon</t>
  </si>
  <si>
    <t>10060365164017</t>
  </si>
  <si>
    <t>Said Salim Bakhit  Taman Jaboob</t>
  </si>
  <si>
    <t>0406029038960023</t>
  </si>
  <si>
    <t>9.86 will deduct from 10-2025</t>
  </si>
  <si>
    <t>Amor mohammed Masoud Amor Jid</t>
  </si>
  <si>
    <t>0405024387630019</t>
  </si>
  <si>
    <t>Mohammed Bakhit Ahmed Al Kathiri</t>
  </si>
  <si>
    <t>0500140714104001</t>
  </si>
  <si>
    <t>Issa Salim Mubarak Raboob Al Shahri</t>
  </si>
  <si>
    <t>0426049074570026</t>
  </si>
  <si>
    <t>Suhail Hassan Said Jaabub</t>
  </si>
  <si>
    <t>01616019626002</t>
  </si>
  <si>
    <t>Ahmed Suhail Ahmed Jaboob</t>
  </si>
  <si>
    <t>0401044073090016</t>
  </si>
  <si>
    <t>Ahmed Ali Mohammed Alsaaduni Akaak</t>
  </si>
  <si>
    <t>0397003968300016</t>
  </si>
  <si>
    <t>Salim Ali Dablan Jaboob</t>
  </si>
  <si>
    <t>01040281131001</t>
  </si>
  <si>
    <t>Said Mohammed Said Almusahli Alkathiri</t>
  </si>
  <si>
    <t>0406019441820023</t>
  </si>
  <si>
    <t>TOTAL</t>
  </si>
  <si>
    <t>الكود المورد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</si>
</sst>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3B5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6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5" xfId="0" applyFont="1" applyBorder="1"/>
    <xf numFmtId="164" fontId="5" fillId="0" borderId="5" xfId="1" applyNumberFormat="1" applyFont="1" applyFill="1" applyBorder="1" applyAlignment="1">
      <alignment horizontal="center" vertical="center"/>
    </xf>
    <xf numFmtId="165" fontId="5" fillId="3" borderId="5" xfId="1" applyNumberFormat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/>
    </xf>
    <xf numFmtId="0" fontId="5" fillId="0" borderId="5" xfId="1" applyFont="1" applyFill="1" applyBorder="1" applyAlignment="1">
      <alignment horizontal="left"/>
    </xf>
    <xf numFmtId="0" fontId="5" fillId="3" borderId="5" xfId="1" quotePrefix="1" applyFont="1" applyFill="1" applyBorder="1" applyAlignment="1">
      <alignment horizontal="left" vertical="center"/>
    </xf>
    <xf numFmtId="0" fontId="5" fillId="3" borderId="5" xfId="1" applyFont="1" applyFill="1" applyBorder="1" applyAlignment="1">
      <alignment horizontal="left" vertical="center"/>
    </xf>
    <xf numFmtId="0" fontId="5" fillId="3" borderId="5" xfId="1" applyFont="1" applyFill="1" applyBorder="1" applyAlignment="1">
      <alignment horizontal="left"/>
    </xf>
    <xf numFmtId="0" fontId="0" fillId="4" borderId="0" xfId="0" applyFill="1"/>
    <xf numFmtId="0" fontId="1" fillId="0" borderId="0" xfId="0" applyFont="1"/>
    <xf numFmtId="164" fontId="5" fillId="3" borderId="5" xfId="1" applyNumberFormat="1" applyFont="1" applyFill="1" applyBorder="1" applyAlignment="1">
      <alignment horizontal="center" vertical="center"/>
    </xf>
    <xf numFmtId="0" fontId="5" fillId="3" borderId="5" xfId="1" applyNumberFormat="1" applyFont="1" applyFill="1" applyBorder="1" applyAlignment="1">
      <alignment horizontal="center" vertical="center"/>
    </xf>
    <xf numFmtId="0" fontId="5" fillId="0" borderId="5" xfId="1" quotePrefix="1" applyFont="1" applyFill="1" applyBorder="1" applyAlignment="1">
      <alignment horizontal="left" vertical="center"/>
    </xf>
    <xf numFmtId="0" fontId="5" fillId="3" borderId="5" xfId="0" applyFont="1" applyFill="1" applyBorder="1"/>
    <xf numFmtId="164" fontId="6" fillId="5" borderId="5" xfId="1" applyNumberFormat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/>
    </xf>
    <xf numFmtId="0" fontId="5" fillId="3" borderId="5" xfId="1" quotePrefix="1" applyFont="1" applyFill="1" applyBorder="1" applyAlignment="1">
      <alignment horizontal="left"/>
    </xf>
    <xf numFmtId="0" fontId="0" fillId="3" borderId="0" xfId="0" applyFill="1"/>
    <xf numFmtId="14" fontId="5" fillId="4" borderId="0" xfId="1" applyNumberFormat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/>
    </xf>
    <xf numFmtId="0" fontId="5" fillId="4" borderId="5" xfId="1" applyFont="1" applyFill="1" applyBorder="1" applyAlignment="1">
      <alignment horizontal="left" vertical="center"/>
    </xf>
    <xf numFmtId="14" fontId="5" fillId="4" borderId="5" xfId="1" applyNumberFormat="1" applyFont="1" applyFill="1" applyBorder="1" applyAlignment="1">
      <alignment horizontal="left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5" xfId="0" applyFont="1" applyFill="1" applyBorder="1"/>
    <xf numFmtId="164" fontId="5" fillId="4" borderId="5" xfId="1" applyNumberFormat="1" applyFont="1" applyFill="1" applyBorder="1" applyAlignment="1">
      <alignment horizontal="center" vertical="center"/>
    </xf>
    <xf numFmtId="165" fontId="5" fillId="4" borderId="5" xfId="1" applyNumberFormat="1" applyFont="1" applyFill="1" applyBorder="1" applyAlignment="1">
      <alignment horizontal="center" vertical="center"/>
    </xf>
    <xf numFmtId="0" fontId="7" fillId="3" borderId="5" xfId="1" applyFont="1" applyFill="1" applyBorder="1"/>
    <xf numFmtId="0" fontId="7" fillId="3" borderId="5" xfId="1" applyFont="1" applyFill="1" applyBorder="1" applyAlignment="1">
      <alignment horizontal="center"/>
    </xf>
    <xf numFmtId="0" fontId="7" fillId="3" borderId="5" xfId="1" quotePrefix="1" applyFont="1" applyFill="1" applyBorder="1" applyAlignment="1">
      <alignment horizontal="left"/>
    </xf>
    <xf numFmtId="0" fontId="7" fillId="3" borderId="5" xfId="1" applyFont="1" applyFill="1" applyBorder="1" applyAlignment="1">
      <alignment horizontal="left"/>
    </xf>
    <xf numFmtId="0" fontId="8" fillId="3" borderId="5" xfId="1" applyFont="1" applyFill="1" applyBorder="1" applyAlignment="1">
      <alignment horizontal="left"/>
    </xf>
    <xf numFmtId="0" fontId="5" fillId="4" borderId="5" xfId="1" quotePrefix="1" applyFont="1" applyFill="1" applyBorder="1" applyAlignment="1">
      <alignment horizontal="left"/>
    </xf>
    <xf numFmtId="0" fontId="5" fillId="4" borderId="5" xfId="1" quotePrefix="1" applyFont="1" applyFill="1" applyBorder="1" applyAlignment="1">
      <alignment horizontal="left" vertical="center"/>
    </xf>
    <xf numFmtId="0" fontId="7" fillId="4" borderId="5" xfId="1" applyFont="1" applyFill="1" applyBorder="1" applyAlignment="1">
      <alignment horizontal="left"/>
    </xf>
    <xf numFmtId="0" fontId="5" fillId="4" borderId="5" xfId="1" applyNumberFormat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left"/>
    </xf>
    <xf numFmtId="0" fontId="1" fillId="4" borderId="0" xfId="0" applyFont="1" applyFill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6" fillId="3" borderId="5" xfId="1" quotePrefix="1" applyFont="1" applyFill="1" applyBorder="1" applyAlignment="1">
      <alignment horizontal="left"/>
    </xf>
    <xf numFmtId="164" fontId="5" fillId="5" borderId="5" xfId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/>
    </xf>
    <xf numFmtId="16" fontId="5" fillId="3" borderId="5" xfId="1" applyNumberFormat="1" applyFont="1" applyFill="1" applyBorder="1" applyAlignment="1">
      <alignment horizontal="left" vertical="center"/>
    </xf>
    <xf numFmtId="0" fontId="6" fillId="4" borderId="5" xfId="1" quotePrefix="1" applyFont="1" applyFill="1" applyBorder="1" applyAlignment="1">
      <alignment horizontal="left"/>
    </xf>
    <xf numFmtId="0" fontId="6" fillId="4" borderId="5" xfId="1" quotePrefix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center"/>
    </xf>
    <xf numFmtId="17" fontId="5" fillId="3" borderId="5" xfId="1" applyNumberFormat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9" fillId="4" borderId="5" xfId="1" applyFont="1" applyFill="1" applyBorder="1" applyAlignment="1">
      <alignment horizontal="left" vertical="center"/>
    </xf>
    <xf numFmtId="0" fontId="5" fillId="0" borderId="5" xfId="0" quotePrefix="1" applyFont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5" xfId="0" quotePrefix="1" applyFont="1" applyFill="1" applyBorder="1" applyAlignment="1">
      <alignment horizontal="left"/>
    </xf>
    <xf numFmtId="165" fontId="5" fillId="3" borderId="5" xfId="1" quotePrefix="1" applyNumberFormat="1" applyFont="1" applyFill="1" applyBorder="1" applyAlignment="1">
      <alignment horizontal="center" vertical="center"/>
    </xf>
    <xf numFmtId="0" fontId="6" fillId="3" borderId="5" xfId="1" quotePrefix="1" applyFont="1" applyFill="1" applyBorder="1" applyAlignment="1">
      <alignment horizontal="left" vertical="center"/>
    </xf>
    <xf numFmtId="0" fontId="5" fillId="6" borderId="0" xfId="1" applyFont="1" applyFill="1" applyBorder="1" applyAlignment="1">
      <alignment horizontal="left" vertical="center"/>
    </xf>
    <xf numFmtId="0" fontId="6" fillId="3" borderId="5" xfId="0" applyFont="1" applyFill="1" applyBorder="1"/>
    <xf numFmtId="164" fontId="6" fillId="3" borderId="5" xfId="1" applyNumberFormat="1" applyFont="1" applyFill="1" applyBorder="1" applyAlignment="1">
      <alignment horizontal="center" vertical="center"/>
    </xf>
    <xf numFmtId="165" fontId="6" fillId="3" borderId="5" xfId="1" applyNumberFormat="1" applyFont="1" applyFill="1" applyBorder="1" applyAlignment="1">
      <alignment horizontal="center" vertical="center"/>
    </xf>
    <xf numFmtId="0" fontId="10" fillId="3" borderId="0" xfId="0" applyFont="1" applyFill="1"/>
    <xf numFmtId="0" fontId="11" fillId="3" borderId="5" xfId="1" applyFont="1" applyFill="1" applyBorder="1" applyAlignment="1">
      <alignment horizontal="left" vertical="center"/>
    </xf>
    <xf numFmtId="0" fontId="11" fillId="3" borderId="5" xfId="1" applyFont="1" applyFill="1" applyBorder="1" applyAlignment="1">
      <alignment horizontal="center" vertical="center"/>
    </xf>
    <xf numFmtId="0" fontId="7" fillId="3" borderId="5" xfId="1" quotePrefix="1" applyFont="1" applyFill="1" applyBorder="1" applyAlignment="1">
      <alignment horizontal="left" vertical="center"/>
    </xf>
    <xf numFmtId="0" fontId="11" fillId="3" borderId="5" xfId="1" quotePrefix="1" applyFont="1" applyFill="1" applyBorder="1" applyAlignment="1">
      <alignment horizontal="left" vertical="center"/>
    </xf>
    <xf numFmtId="0" fontId="12" fillId="3" borderId="5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1" fontId="5" fillId="3" borderId="5" xfId="1" quotePrefix="1" applyNumberFormat="1" applyFont="1" applyFill="1" applyBorder="1" applyAlignment="1">
      <alignment horizontal="left" vertical="center"/>
    </xf>
    <xf numFmtId="0" fontId="5" fillId="6" borderId="5" xfId="1" applyFont="1" applyFill="1" applyBorder="1" applyAlignment="1">
      <alignment horizontal="center" vertical="center"/>
    </xf>
    <xf numFmtId="0" fontId="5" fillId="6" borderId="5" xfId="0" applyFont="1" applyFill="1" applyBorder="1"/>
    <xf numFmtId="164" fontId="5" fillId="6" borderId="5" xfId="1" applyNumberFormat="1" applyFont="1" applyFill="1" applyBorder="1" applyAlignment="1">
      <alignment horizontal="center" vertical="center"/>
    </xf>
    <xf numFmtId="165" fontId="5" fillId="6" borderId="5" xfId="1" applyNumberFormat="1" applyFont="1" applyFill="1" applyBorder="1" applyAlignment="1">
      <alignment horizontal="center" vertical="center"/>
    </xf>
    <xf numFmtId="0" fontId="5" fillId="6" borderId="5" xfId="1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/>
    </xf>
    <xf numFmtId="0" fontId="5" fillId="6" borderId="5" xfId="1" applyFont="1" applyFill="1" applyBorder="1" applyAlignment="1">
      <alignment horizontal="left"/>
    </xf>
    <xf numFmtId="0" fontId="5" fillId="6" borderId="5" xfId="1" quotePrefix="1" applyFont="1" applyFill="1" applyBorder="1" applyAlignment="1">
      <alignment horizontal="left" vertical="center"/>
    </xf>
    <xf numFmtId="0" fontId="0" fillId="6" borderId="0" xfId="0" applyFill="1"/>
    <xf numFmtId="0" fontId="5" fillId="6" borderId="5" xfId="1" quotePrefix="1" applyFont="1" applyFill="1" applyBorder="1" applyAlignment="1">
      <alignment horizontal="left"/>
    </xf>
    <xf numFmtId="0" fontId="5" fillId="6" borderId="5" xfId="1" applyFont="1" applyFill="1" applyBorder="1" applyAlignment="1">
      <alignment horizontal="left" vertical="center"/>
    </xf>
    <xf numFmtId="0" fontId="6" fillId="6" borderId="5" xfId="1" quotePrefix="1" applyFont="1" applyFill="1" applyBorder="1" applyAlignment="1">
      <alignment horizontal="left" vertical="center"/>
    </xf>
    <xf numFmtId="0" fontId="5" fillId="0" borderId="5" xfId="1" quotePrefix="1" applyFont="1" applyFill="1" applyBorder="1" applyAlignment="1">
      <alignment horizontal="left"/>
    </xf>
    <xf numFmtId="164" fontId="6" fillId="0" borderId="5" xfId="1" applyNumberFormat="1" applyFont="1" applyFill="1" applyBorder="1" applyAlignment="1">
      <alignment horizontal="center" vertical="center"/>
    </xf>
    <xf numFmtId="165" fontId="5" fillId="4" borderId="5" xfId="1" quotePrefix="1" applyNumberFormat="1" applyFont="1" applyFill="1" applyBorder="1" applyAlignment="1">
      <alignment horizontal="center" vertical="center"/>
    </xf>
    <xf numFmtId="165" fontId="6" fillId="4" borderId="5" xfId="1" quotePrefix="1" applyNumberFormat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left"/>
    </xf>
    <xf numFmtId="165" fontId="6" fillId="3" borderId="5" xfId="1" quotePrefix="1" applyNumberFormat="1" applyFont="1" applyFill="1" applyBorder="1" applyAlignment="1">
      <alignment horizontal="center" vertical="center"/>
    </xf>
    <xf numFmtId="0" fontId="5" fillId="4" borderId="5" xfId="1" quotePrefix="1" applyNumberFormat="1" applyFont="1" applyFill="1" applyBorder="1" applyAlignment="1">
      <alignment horizontal="center" vertical="center"/>
    </xf>
    <xf numFmtId="0" fontId="11" fillId="3" borderId="5" xfId="1" applyNumberFormat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left"/>
    </xf>
    <xf numFmtId="0" fontId="6" fillId="3" borderId="5" xfId="1" applyNumberFormat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11" fillId="0" borderId="5" xfId="1" applyFont="1" applyFill="1" applyBorder="1" applyAlignment="1">
      <alignment horizontal="left"/>
    </xf>
    <xf numFmtId="14" fontId="0" fillId="4" borderId="0" xfId="0" applyNumberFormat="1" applyFill="1"/>
    <xf numFmtId="0" fontId="7" fillId="3" borderId="5" xfId="1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/>
    </xf>
    <xf numFmtId="0" fontId="7" fillId="0" borderId="5" xfId="1" applyFont="1" applyFill="1" applyBorder="1" applyAlignment="1">
      <alignment horizontal="left"/>
    </xf>
    <xf numFmtId="0" fontId="7" fillId="0" borderId="5" xfId="1" quotePrefix="1" applyFont="1" applyFill="1" applyBorder="1" applyAlignment="1">
      <alignment horizontal="left" vertical="center"/>
    </xf>
    <xf numFmtId="0" fontId="6" fillId="0" borderId="5" xfId="1" quotePrefix="1" applyFont="1" applyFill="1" applyBorder="1" applyAlignment="1">
      <alignment horizontal="left" vertical="center"/>
    </xf>
    <xf numFmtId="0" fontId="5" fillId="3" borderId="5" xfId="1" quotePrefix="1" applyFont="1" applyFill="1" applyBorder="1" applyAlignment="1">
      <alignment vertical="center"/>
    </xf>
    <xf numFmtId="0" fontId="5" fillId="3" borderId="5" xfId="1" applyFont="1" applyFill="1" applyBorder="1" applyAlignment="1"/>
    <xf numFmtId="0" fontId="5" fillId="3" borderId="5" xfId="1" quotePrefix="1" applyNumberFormat="1" applyFont="1" applyFill="1" applyBorder="1" applyAlignment="1">
      <alignment horizontal="center" vertical="center"/>
    </xf>
    <xf numFmtId="0" fontId="5" fillId="3" borderId="5" xfId="1" quotePrefix="1" applyNumberFormat="1" applyFont="1" applyFill="1" applyBorder="1" applyAlignment="1">
      <alignment horizontal="left" vertical="center"/>
    </xf>
    <xf numFmtId="0" fontId="4" fillId="3" borderId="5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left" vertical="center"/>
    </xf>
    <xf numFmtId="4" fontId="13" fillId="3" borderId="5" xfId="1" applyNumberFormat="1" applyFont="1" applyFill="1" applyBorder="1" applyAlignment="1">
      <alignment horizontal="center" vertical="center"/>
    </xf>
    <xf numFmtId="165" fontId="13" fillId="3" borderId="5" xfId="1" applyNumberFormat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vertical="center"/>
    </xf>
    <xf numFmtId="164" fontId="5" fillId="3" borderId="6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2" borderId="0" xfId="1" applyFont="1" applyFill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</cellXfs>
  <cellStyles count="2">
    <cellStyle name="Explanatory Text" xfId="1" builtinId="5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15F1-4153-48FF-89BF-7BA91FCE2E8B}">
  <dimension ref="A1:R315"/>
  <sheetViews>
    <sheetView tabSelected="1" workbookViewId="0">
      <selection activeCell="B3" sqref="B3"/>
    </sheetView>
  </sheetViews>
  <sheetFormatPr defaultRowHeight="15" x14ac:dyDescent="0.25"/>
  <cols>
    <col min="1" max="2" width="9.28515625" bestFit="1" customWidth="1"/>
    <col min="3" max="3" width="36.5703125" customWidth="1"/>
    <col min="4" max="4" width="12.140625" customWidth="1"/>
    <col min="5" max="5" width="9.28515625" bestFit="1" customWidth="1"/>
    <col min="6" max="8" width="13.5703125" customWidth="1"/>
    <col min="9" max="9" width="13" bestFit="1" customWidth="1"/>
    <col min="10" max="10" width="19" hidden="1" customWidth="1"/>
    <col min="11" max="11" width="18.140625" hidden="1" customWidth="1"/>
    <col min="12" max="12" width="13.42578125" hidden="1" customWidth="1"/>
    <col min="13" max="13" width="13" hidden="1" customWidth="1"/>
    <col min="14" max="14" width="15.42578125" customWidth="1"/>
    <col min="15" max="15" width="9.85546875" bestFit="1" customWidth="1"/>
    <col min="18" max="18" width="9.85546875" bestFit="1" customWidth="1"/>
  </cols>
  <sheetData>
    <row r="1" spans="1:15" x14ac:dyDescent="0.2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5" ht="15.75" thickBot="1" x14ac:dyDescent="0.3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</row>
    <row r="3" spans="1:15" ht="38.25" x14ac:dyDescent="0.25">
      <c r="A3" s="1" t="s">
        <v>1</v>
      </c>
      <c r="B3" s="125" t="s">
        <v>687</v>
      </c>
      <c r="C3" s="3" t="s">
        <v>2</v>
      </c>
      <c r="D3" s="4"/>
      <c r="E3" s="2" t="s">
        <v>3</v>
      </c>
      <c r="F3" s="2" t="s">
        <v>4</v>
      </c>
      <c r="G3" s="2"/>
      <c r="H3" s="2"/>
      <c r="I3" s="5" t="s">
        <v>5</v>
      </c>
      <c r="J3" s="6" t="s">
        <v>6</v>
      </c>
      <c r="K3" s="6" t="s">
        <v>7</v>
      </c>
      <c r="L3" s="7" t="s">
        <v>8</v>
      </c>
      <c r="M3" s="8" t="s">
        <v>9</v>
      </c>
      <c r="N3" s="9" t="s">
        <v>10</v>
      </c>
    </row>
    <row r="4" spans="1:15" x14ac:dyDescent="0.25">
      <c r="A4" s="10">
        <v>1</v>
      </c>
      <c r="B4" s="11">
        <v>1108</v>
      </c>
      <c r="C4" s="12" t="s">
        <v>11</v>
      </c>
      <c r="D4" s="13">
        <v>641.70000000000005</v>
      </c>
      <c r="E4" s="14">
        <v>0.3</v>
      </c>
      <c r="F4" s="14">
        <f t="shared" ref="F4:F67" si="0">E4*D4</f>
        <v>192.51000000000002</v>
      </c>
      <c r="G4" s="14"/>
      <c r="H4" s="14">
        <f>F4-G4</f>
        <v>192.51000000000002</v>
      </c>
      <c r="I4" s="15">
        <v>15218386</v>
      </c>
      <c r="J4" s="16" t="s">
        <v>12</v>
      </c>
      <c r="K4" s="16" t="s">
        <v>13</v>
      </c>
      <c r="L4" s="17" t="s">
        <v>14</v>
      </c>
      <c r="M4" s="15">
        <v>92776884</v>
      </c>
      <c r="N4" s="18"/>
    </row>
    <row r="5" spans="1:15" x14ac:dyDescent="0.25">
      <c r="A5" s="10">
        <v>2</v>
      </c>
      <c r="B5" s="11">
        <v>1390</v>
      </c>
      <c r="C5" s="12" t="s">
        <v>15</v>
      </c>
      <c r="D5" s="13">
        <v>203.7</v>
      </c>
      <c r="E5" s="14">
        <v>0.3</v>
      </c>
      <c r="F5" s="14">
        <f t="shared" si="0"/>
        <v>61.109999999999992</v>
      </c>
      <c r="G5" s="14">
        <f>F5</f>
        <v>61.109999999999992</v>
      </c>
      <c r="H5" s="14">
        <f t="shared" ref="H5:H68" si="1">F5-G5</f>
        <v>0</v>
      </c>
      <c r="I5" s="10">
        <v>12181822</v>
      </c>
      <c r="J5" s="19" t="s">
        <v>16</v>
      </c>
      <c r="K5" s="16" t="s">
        <v>13</v>
      </c>
      <c r="L5" s="17" t="s">
        <v>14</v>
      </c>
      <c r="M5" s="10">
        <v>92442060</v>
      </c>
      <c r="N5" s="20" t="s">
        <v>17</v>
      </c>
      <c r="O5" s="21" t="s">
        <v>18</v>
      </c>
    </row>
    <row r="6" spans="1:15" x14ac:dyDescent="0.25">
      <c r="A6" s="10">
        <v>3</v>
      </c>
      <c r="B6" s="11">
        <v>1399</v>
      </c>
      <c r="C6" s="12" t="s">
        <v>19</v>
      </c>
      <c r="D6" s="22">
        <v>177.2</v>
      </c>
      <c r="E6" s="14">
        <v>0.3</v>
      </c>
      <c r="F6" s="14">
        <f t="shared" si="0"/>
        <v>53.16</v>
      </c>
      <c r="G6" s="14"/>
      <c r="H6" s="14">
        <f t="shared" si="1"/>
        <v>53.16</v>
      </c>
      <c r="I6" s="23">
        <v>10065546</v>
      </c>
      <c r="J6" s="17" t="s">
        <v>20</v>
      </c>
      <c r="K6" s="16" t="s">
        <v>21</v>
      </c>
      <c r="L6" s="24" t="s">
        <v>22</v>
      </c>
      <c r="M6" s="10"/>
      <c r="N6" s="18"/>
    </row>
    <row r="7" spans="1:15" x14ac:dyDescent="0.25">
      <c r="A7" s="10">
        <v>4</v>
      </c>
      <c r="B7" s="11">
        <v>1422</v>
      </c>
      <c r="C7" s="12" t="s">
        <v>23</v>
      </c>
      <c r="D7" s="22">
        <v>100.5</v>
      </c>
      <c r="E7" s="14">
        <v>0.3</v>
      </c>
      <c r="F7" s="14">
        <f t="shared" si="0"/>
        <v>30.15</v>
      </c>
      <c r="G7" s="14"/>
      <c r="H7" s="14">
        <f t="shared" si="1"/>
        <v>30.15</v>
      </c>
      <c r="I7" s="15">
        <v>3280016</v>
      </c>
      <c r="J7" s="16" t="s">
        <v>24</v>
      </c>
      <c r="K7" s="16" t="s">
        <v>13</v>
      </c>
      <c r="L7" s="17" t="s">
        <v>14</v>
      </c>
      <c r="M7" s="15"/>
      <c r="N7" s="18" t="s">
        <v>25</v>
      </c>
    </row>
    <row r="8" spans="1:15" s="29" customFormat="1" x14ac:dyDescent="0.25">
      <c r="A8" s="10">
        <v>5</v>
      </c>
      <c r="B8" s="10">
        <v>1424</v>
      </c>
      <c r="C8" s="25" t="s">
        <v>26</v>
      </c>
      <c r="D8" s="26"/>
      <c r="E8" s="14">
        <v>0.3</v>
      </c>
      <c r="F8" s="14">
        <f t="shared" si="0"/>
        <v>0</v>
      </c>
      <c r="G8" s="14"/>
      <c r="H8" s="14">
        <f t="shared" si="1"/>
        <v>0</v>
      </c>
      <c r="I8" s="27">
        <v>748395</v>
      </c>
      <c r="J8" s="28" t="s">
        <v>27</v>
      </c>
      <c r="K8" s="18" t="s">
        <v>28</v>
      </c>
      <c r="L8" s="18" t="s">
        <v>29</v>
      </c>
      <c r="M8" s="27">
        <v>93011211</v>
      </c>
      <c r="N8" s="18"/>
    </row>
    <row r="9" spans="1:15" x14ac:dyDescent="0.25">
      <c r="A9" s="10">
        <v>6</v>
      </c>
      <c r="B9" s="10">
        <v>1429</v>
      </c>
      <c r="C9" s="12" t="s">
        <v>30</v>
      </c>
      <c r="D9" s="22">
        <v>311.3</v>
      </c>
      <c r="E9" s="14">
        <v>0.3</v>
      </c>
      <c r="F9" s="14">
        <f t="shared" si="0"/>
        <v>93.39</v>
      </c>
      <c r="G9" s="14"/>
      <c r="H9" s="14">
        <f t="shared" si="1"/>
        <v>93.39</v>
      </c>
      <c r="I9" s="23">
        <v>339725</v>
      </c>
      <c r="J9" s="17" t="s">
        <v>31</v>
      </c>
      <c r="K9" s="16" t="s">
        <v>13</v>
      </c>
      <c r="L9" s="24" t="s">
        <v>14</v>
      </c>
      <c r="M9" s="10"/>
      <c r="N9" s="18"/>
    </row>
    <row r="10" spans="1:15" x14ac:dyDescent="0.25">
      <c r="A10" s="10">
        <v>7</v>
      </c>
      <c r="B10" s="10">
        <v>1431</v>
      </c>
      <c r="C10" s="12" t="s">
        <v>32</v>
      </c>
      <c r="D10" s="13">
        <v>99</v>
      </c>
      <c r="E10" s="14">
        <v>0.3</v>
      </c>
      <c r="F10" s="14">
        <f t="shared" si="0"/>
        <v>29.7</v>
      </c>
      <c r="G10" s="14"/>
      <c r="H10" s="14">
        <f t="shared" si="1"/>
        <v>29.7</v>
      </c>
      <c r="I10" s="27">
        <v>721445</v>
      </c>
      <c r="J10" s="19" t="s">
        <v>33</v>
      </c>
      <c r="K10" s="18" t="s">
        <v>28</v>
      </c>
      <c r="L10" s="18" t="s">
        <v>29</v>
      </c>
      <c r="M10" s="27">
        <v>99291700</v>
      </c>
      <c r="N10" s="18"/>
    </row>
    <row r="11" spans="1:15" x14ac:dyDescent="0.25">
      <c r="A11" s="10">
        <v>8</v>
      </c>
      <c r="B11" s="10">
        <v>1443</v>
      </c>
      <c r="C11" s="12" t="s">
        <v>34</v>
      </c>
      <c r="D11" s="13">
        <v>534.79999999999995</v>
      </c>
      <c r="E11" s="14">
        <v>0.3</v>
      </c>
      <c r="F11" s="14">
        <f t="shared" si="0"/>
        <v>160.43999999999997</v>
      </c>
      <c r="G11" s="14">
        <f>3.34</f>
        <v>3.34</v>
      </c>
      <c r="H11" s="14">
        <f t="shared" si="1"/>
        <v>157.09999999999997</v>
      </c>
      <c r="I11" s="27">
        <v>6026992</v>
      </c>
      <c r="J11" s="19" t="s">
        <v>35</v>
      </c>
      <c r="K11" s="16" t="s">
        <v>13</v>
      </c>
      <c r="L11" s="17" t="s">
        <v>14</v>
      </c>
      <c r="M11" s="27">
        <v>95863774</v>
      </c>
      <c r="N11" s="30">
        <v>45728</v>
      </c>
    </row>
    <row r="12" spans="1:15" s="29" customFormat="1" x14ac:dyDescent="0.25">
      <c r="A12" s="10">
        <v>9</v>
      </c>
      <c r="B12" s="10">
        <v>1452</v>
      </c>
      <c r="C12" s="25" t="s">
        <v>36</v>
      </c>
      <c r="D12" s="22">
        <v>228.3</v>
      </c>
      <c r="E12" s="14">
        <v>0.3</v>
      </c>
      <c r="F12" s="14">
        <f t="shared" si="0"/>
        <v>68.489999999999995</v>
      </c>
      <c r="G12" s="14">
        <v>67.44</v>
      </c>
      <c r="H12" s="14">
        <f t="shared" si="1"/>
        <v>1.0499999999999972</v>
      </c>
      <c r="I12" s="31">
        <v>20917176</v>
      </c>
      <c r="J12" s="32" t="s">
        <v>37</v>
      </c>
      <c r="K12" s="33" t="s">
        <v>13</v>
      </c>
      <c r="L12" s="32" t="s">
        <v>14</v>
      </c>
      <c r="M12" s="31">
        <v>95863774</v>
      </c>
      <c r="N12" s="34" t="s">
        <v>38</v>
      </c>
    </row>
    <row r="13" spans="1:15" x14ac:dyDescent="0.25">
      <c r="A13" s="10">
        <v>10</v>
      </c>
      <c r="B13" s="10">
        <v>1458</v>
      </c>
      <c r="C13" s="12" t="s">
        <v>39</v>
      </c>
      <c r="D13" s="13">
        <v>210</v>
      </c>
      <c r="E13" s="14">
        <v>0.3</v>
      </c>
      <c r="F13" s="14">
        <f t="shared" si="0"/>
        <v>63</v>
      </c>
      <c r="G13" s="14"/>
      <c r="H13" s="14">
        <f t="shared" si="1"/>
        <v>63</v>
      </c>
      <c r="I13" s="27">
        <v>77628</v>
      </c>
      <c r="J13" s="19" t="s">
        <v>40</v>
      </c>
      <c r="K13" s="18" t="s">
        <v>28</v>
      </c>
      <c r="L13" s="18" t="s">
        <v>29</v>
      </c>
      <c r="M13" s="27">
        <v>99275608</v>
      </c>
      <c r="N13" s="18"/>
    </row>
    <row r="14" spans="1:15" x14ac:dyDescent="0.25">
      <c r="A14" s="10">
        <v>11</v>
      </c>
      <c r="B14" s="10">
        <v>1461</v>
      </c>
      <c r="C14" s="12" t="s">
        <v>41</v>
      </c>
      <c r="D14" s="13">
        <v>215.6</v>
      </c>
      <c r="E14" s="14">
        <v>0.3</v>
      </c>
      <c r="F14" s="14">
        <f t="shared" si="0"/>
        <v>64.679999999999993</v>
      </c>
      <c r="G14" s="14"/>
      <c r="H14" s="14">
        <f t="shared" si="1"/>
        <v>64.679999999999993</v>
      </c>
      <c r="I14" s="27">
        <v>6828806</v>
      </c>
      <c r="J14" s="19" t="s">
        <v>42</v>
      </c>
      <c r="K14" s="16" t="s">
        <v>13</v>
      </c>
      <c r="L14" s="17" t="s">
        <v>14</v>
      </c>
      <c r="M14" s="27">
        <v>92330321</v>
      </c>
      <c r="N14" s="18"/>
    </row>
    <row r="15" spans="1:15" x14ac:dyDescent="0.25">
      <c r="A15" s="10">
        <v>12</v>
      </c>
      <c r="B15" s="10">
        <v>1465</v>
      </c>
      <c r="C15" s="12" t="s">
        <v>43</v>
      </c>
      <c r="D15" s="13">
        <v>195</v>
      </c>
      <c r="E15" s="14">
        <v>0.3</v>
      </c>
      <c r="F15" s="14">
        <f t="shared" si="0"/>
        <v>58.5</v>
      </c>
      <c r="G15" s="14">
        <v>0.42000000000000215</v>
      </c>
      <c r="H15" s="14">
        <f t="shared" si="1"/>
        <v>58.08</v>
      </c>
      <c r="I15" s="11">
        <v>757601</v>
      </c>
      <c r="J15" s="24" t="s">
        <v>44</v>
      </c>
      <c r="K15" s="28" t="s">
        <v>45</v>
      </c>
      <c r="L15" s="18" t="s">
        <v>46</v>
      </c>
      <c r="M15" s="11">
        <v>99892131</v>
      </c>
      <c r="N15" s="35">
        <v>45941</v>
      </c>
    </row>
    <row r="16" spans="1:15" x14ac:dyDescent="0.25">
      <c r="A16" s="36">
        <v>13</v>
      </c>
      <c r="B16" s="36">
        <v>1474</v>
      </c>
      <c r="C16" s="37" t="s">
        <v>47</v>
      </c>
      <c r="D16" s="38">
        <v>459.3</v>
      </c>
      <c r="E16" s="39">
        <v>0.3</v>
      </c>
      <c r="F16" s="39">
        <f t="shared" si="0"/>
        <v>137.79</v>
      </c>
      <c r="G16" s="39">
        <v>3.3700000000000028</v>
      </c>
      <c r="H16" s="39">
        <f t="shared" si="1"/>
        <v>134.41999999999999</v>
      </c>
      <c r="I16" s="36">
        <v>4603773</v>
      </c>
      <c r="J16" s="34" t="s">
        <v>48</v>
      </c>
      <c r="K16" s="34" t="s">
        <v>28</v>
      </c>
      <c r="L16" s="34" t="s">
        <v>29</v>
      </c>
      <c r="M16" s="36">
        <v>98820843</v>
      </c>
      <c r="N16" s="35">
        <v>45941</v>
      </c>
    </row>
    <row r="17" spans="1:15" x14ac:dyDescent="0.25">
      <c r="A17" s="10">
        <v>14</v>
      </c>
      <c r="B17" s="10">
        <v>1479</v>
      </c>
      <c r="C17" s="40" t="s">
        <v>49</v>
      </c>
      <c r="D17" s="22">
        <v>221.4</v>
      </c>
      <c r="E17" s="14">
        <v>0.3</v>
      </c>
      <c r="F17" s="14">
        <f t="shared" si="0"/>
        <v>66.42</v>
      </c>
      <c r="G17" s="14"/>
      <c r="H17" s="14">
        <f t="shared" si="1"/>
        <v>66.42</v>
      </c>
      <c r="I17" s="41">
        <v>5217726</v>
      </c>
      <c r="J17" s="42" t="s">
        <v>50</v>
      </c>
      <c r="K17" s="43" t="s">
        <v>13</v>
      </c>
      <c r="L17" s="43" t="s">
        <v>14</v>
      </c>
      <c r="M17" s="41">
        <v>92610234</v>
      </c>
      <c r="N17" s="44"/>
    </row>
    <row r="18" spans="1:15" s="20" customFormat="1" x14ac:dyDescent="0.25">
      <c r="A18" s="36">
        <v>15</v>
      </c>
      <c r="B18" s="36">
        <v>1483</v>
      </c>
      <c r="C18" s="37" t="s">
        <v>51</v>
      </c>
      <c r="D18" s="38">
        <v>431.6</v>
      </c>
      <c r="E18" s="39">
        <v>0.3</v>
      </c>
      <c r="F18" s="39">
        <f t="shared" si="0"/>
        <v>129.47999999999999</v>
      </c>
      <c r="G18" s="39">
        <v>127.36999999999999</v>
      </c>
      <c r="H18" s="39">
        <f t="shared" si="1"/>
        <v>2.1099999999999994</v>
      </c>
      <c r="I18" s="36">
        <v>1567826</v>
      </c>
      <c r="J18" s="45" t="s">
        <v>52</v>
      </c>
      <c r="K18" s="34" t="s">
        <v>45</v>
      </c>
      <c r="L18" s="46" t="s">
        <v>46</v>
      </c>
      <c r="M18" s="36">
        <v>98532884</v>
      </c>
      <c r="N18" s="34" t="s">
        <v>38</v>
      </c>
    </row>
    <row r="19" spans="1:15" s="29" customFormat="1" x14ac:dyDescent="0.25">
      <c r="A19" s="36">
        <v>16</v>
      </c>
      <c r="B19" s="36">
        <v>1486</v>
      </c>
      <c r="C19" s="37" t="s">
        <v>53</v>
      </c>
      <c r="D19" s="38">
        <v>214.7</v>
      </c>
      <c r="E19" s="39">
        <v>0.3</v>
      </c>
      <c r="F19" s="39">
        <f t="shared" si="0"/>
        <v>64.41</v>
      </c>
      <c r="G19" s="39">
        <v>1.9499999999999997</v>
      </c>
      <c r="H19" s="39">
        <f t="shared" si="1"/>
        <v>62.459999999999994</v>
      </c>
      <c r="I19" s="36">
        <v>22792564</v>
      </c>
      <c r="J19" s="45" t="s">
        <v>54</v>
      </c>
      <c r="K19" s="47" t="s">
        <v>13</v>
      </c>
      <c r="L19" s="47" t="s">
        <v>14</v>
      </c>
      <c r="M19" s="36"/>
      <c r="N19" s="35">
        <v>45700</v>
      </c>
    </row>
    <row r="20" spans="1:15" s="20" customFormat="1" x14ac:dyDescent="0.25">
      <c r="A20" s="36">
        <v>17</v>
      </c>
      <c r="B20" s="36">
        <v>1762</v>
      </c>
      <c r="C20" s="37" t="s">
        <v>55</v>
      </c>
      <c r="D20" s="38">
        <v>505.5</v>
      </c>
      <c r="E20" s="39">
        <v>0.3</v>
      </c>
      <c r="F20" s="39">
        <f t="shared" si="0"/>
        <v>151.65</v>
      </c>
      <c r="G20" s="39">
        <f>49.78</f>
        <v>49.78</v>
      </c>
      <c r="H20" s="39">
        <f t="shared" si="1"/>
        <v>101.87</v>
      </c>
      <c r="I20" s="48">
        <v>1409527</v>
      </c>
      <c r="J20" s="46" t="s">
        <v>56</v>
      </c>
      <c r="K20" s="49" t="s">
        <v>57</v>
      </c>
      <c r="L20" s="46" t="s">
        <v>14</v>
      </c>
      <c r="M20" s="36"/>
      <c r="N20" s="34" t="s">
        <v>58</v>
      </c>
      <c r="O20" s="50" t="s">
        <v>59</v>
      </c>
    </row>
    <row r="21" spans="1:15" x14ac:dyDescent="0.25">
      <c r="A21" s="10">
        <v>18</v>
      </c>
      <c r="B21" s="10">
        <v>1792</v>
      </c>
      <c r="C21" s="12" t="s">
        <v>60</v>
      </c>
      <c r="D21" s="22">
        <v>148.9</v>
      </c>
      <c r="E21" s="14">
        <v>0.3</v>
      </c>
      <c r="F21" s="14">
        <f t="shared" si="0"/>
        <v>44.67</v>
      </c>
      <c r="G21" s="14"/>
      <c r="H21" s="14">
        <f t="shared" si="1"/>
        <v>44.67</v>
      </c>
      <c r="I21" s="51">
        <v>9545556</v>
      </c>
      <c r="J21" s="52" t="s">
        <v>61</v>
      </c>
      <c r="K21" s="18" t="s">
        <v>28</v>
      </c>
      <c r="L21" s="52" t="s">
        <v>29</v>
      </c>
      <c r="M21" s="10"/>
      <c r="N21" s="18"/>
    </row>
    <row r="22" spans="1:15" x14ac:dyDescent="0.25">
      <c r="A22" s="10">
        <v>19</v>
      </c>
      <c r="B22" s="10">
        <v>3009</v>
      </c>
      <c r="C22" s="12" t="s">
        <v>62</v>
      </c>
      <c r="D22" s="13">
        <v>52.4</v>
      </c>
      <c r="E22" s="14">
        <v>0.3</v>
      </c>
      <c r="F22" s="14">
        <f t="shared" si="0"/>
        <v>15.719999999999999</v>
      </c>
      <c r="G22" s="14"/>
      <c r="H22" s="14">
        <f t="shared" si="1"/>
        <v>15.719999999999999</v>
      </c>
      <c r="I22" s="10">
        <v>1448391</v>
      </c>
      <c r="J22" s="53" t="s">
        <v>63</v>
      </c>
      <c r="K22" s="18" t="s">
        <v>21</v>
      </c>
      <c r="L22" s="18" t="s">
        <v>22</v>
      </c>
      <c r="M22" s="10">
        <v>99100144</v>
      </c>
      <c r="N22" s="18"/>
    </row>
    <row r="23" spans="1:15" x14ac:dyDescent="0.25">
      <c r="A23" s="10">
        <v>20</v>
      </c>
      <c r="B23" s="10">
        <v>3012</v>
      </c>
      <c r="C23" s="12" t="s">
        <v>64</v>
      </c>
      <c r="D23" s="13">
        <v>209</v>
      </c>
      <c r="E23" s="14">
        <v>0.3</v>
      </c>
      <c r="F23" s="14">
        <f t="shared" si="0"/>
        <v>62.699999999999996</v>
      </c>
      <c r="G23" s="14">
        <v>1.6499999999999919</v>
      </c>
      <c r="H23" s="14">
        <f t="shared" si="1"/>
        <v>61.050000000000004</v>
      </c>
      <c r="I23" s="10">
        <v>5634422</v>
      </c>
      <c r="J23" s="28" t="s">
        <v>65</v>
      </c>
      <c r="K23" s="16" t="s">
        <v>13</v>
      </c>
      <c r="L23" s="17" t="s">
        <v>14</v>
      </c>
      <c r="M23" s="10">
        <v>96922118</v>
      </c>
      <c r="N23" s="35">
        <v>45881</v>
      </c>
    </row>
    <row r="24" spans="1:15" s="20" customFormat="1" x14ac:dyDescent="0.25">
      <c r="A24" s="36">
        <v>21</v>
      </c>
      <c r="B24" s="36">
        <v>3014</v>
      </c>
      <c r="C24" s="37" t="s">
        <v>66</v>
      </c>
      <c r="D24" s="38">
        <v>195</v>
      </c>
      <c r="E24" s="39">
        <v>0.3</v>
      </c>
      <c r="F24" s="39">
        <f t="shared" si="0"/>
        <v>58.5</v>
      </c>
      <c r="G24" s="39">
        <v>55.19</v>
      </c>
      <c r="H24" s="39">
        <f t="shared" si="1"/>
        <v>3.3100000000000023</v>
      </c>
      <c r="I24" s="36">
        <v>648421</v>
      </c>
      <c r="J24" s="45" t="s">
        <v>67</v>
      </c>
      <c r="K24" s="34" t="s">
        <v>21</v>
      </c>
      <c r="L24" s="34" t="s">
        <v>22</v>
      </c>
      <c r="M24" s="36">
        <v>98815665</v>
      </c>
      <c r="N24" s="35">
        <v>45819</v>
      </c>
    </row>
    <row r="25" spans="1:15" x14ac:dyDescent="0.25">
      <c r="A25" s="10">
        <v>22</v>
      </c>
      <c r="B25" s="10">
        <v>3015</v>
      </c>
      <c r="C25" s="12" t="s">
        <v>68</v>
      </c>
      <c r="D25" s="13">
        <v>221</v>
      </c>
      <c r="E25" s="14">
        <v>0.3</v>
      </c>
      <c r="F25" s="14">
        <f t="shared" si="0"/>
        <v>66.3</v>
      </c>
      <c r="G25" s="14"/>
      <c r="H25" s="14">
        <f t="shared" si="1"/>
        <v>66.3</v>
      </c>
      <c r="I25" s="10">
        <v>5753033</v>
      </c>
      <c r="J25" s="28" t="s">
        <v>69</v>
      </c>
      <c r="K25" s="16" t="s">
        <v>13</v>
      </c>
      <c r="L25" s="17" t="s">
        <v>14</v>
      </c>
      <c r="M25" s="10">
        <v>92838405</v>
      </c>
      <c r="N25" s="18"/>
    </row>
    <row r="26" spans="1:15" s="29" customFormat="1" x14ac:dyDescent="0.25">
      <c r="A26" s="10">
        <v>23</v>
      </c>
      <c r="B26" s="10">
        <v>3018</v>
      </c>
      <c r="C26" s="25" t="s">
        <v>70</v>
      </c>
      <c r="D26" s="54"/>
      <c r="E26" s="14">
        <v>0.3</v>
      </c>
      <c r="F26" s="14">
        <f t="shared" si="0"/>
        <v>0</v>
      </c>
      <c r="G26" s="14"/>
      <c r="H26" s="14">
        <f t="shared" si="1"/>
        <v>0</v>
      </c>
      <c r="I26" s="23">
        <v>1528087</v>
      </c>
      <c r="J26" s="55" t="s">
        <v>71</v>
      </c>
      <c r="K26" s="19" t="s">
        <v>13</v>
      </c>
      <c r="L26" s="17" t="s">
        <v>14</v>
      </c>
      <c r="M26" s="10"/>
      <c r="N26" s="56"/>
    </row>
    <row r="27" spans="1:15" s="20" customFormat="1" x14ac:dyDescent="0.25">
      <c r="A27" s="36">
        <v>24</v>
      </c>
      <c r="B27" s="36">
        <v>3020</v>
      </c>
      <c r="C27" s="37" t="s">
        <v>72</v>
      </c>
      <c r="D27" s="38">
        <v>290.7</v>
      </c>
      <c r="E27" s="39">
        <v>0.3</v>
      </c>
      <c r="F27" s="39">
        <f t="shared" si="0"/>
        <v>87.21</v>
      </c>
      <c r="G27" s="39">
        <v>85.910000000000011</v>
      </c>
      <c r="H27" s="39">
        <f t="shared" si="1"/>
        <v>1.2999999999999829</v>
      </c>
      <c r="I27" s="36">
        <v>5418422</v>
      </c>
      <c r="J27" s="45" t="s">
        <v>73</v>
      </c>
      <c r="K27" s="49" t="s">
        <v>13</v>
      </c>
      <c r="L27" s="46" t="s">
        <v>14</v>
      </c>
      <c r="M27" s="36">
        <v>99495434</v>
      </c>
      <c r="N27" s="34" t="s">
        <v>74</v>
      </c>
    </row>
    <row r="28" spans="1:15" x14ac:dyDescent="0.25">
      <c r="A28" s="10">
        <v>25</v>
      </c>
      <c r="B28" s="10">
        <v>3022</v>
      </c>
      <c r="C28" s="12" t="s">
        <v>75</v>
      </c>
      <c r="D28" s="13">
        <v>525.5</v>
      </c>
      <c r="E28" s="14">
        <v>0.3</v>
      </c>
      <c r="F28" s="14">
        <f t="shared" si="0"/>
        <v>157.65</v>
      </c>
      <c r="G28" s="14"/>
      <c r="H28" s="14">
        <f t="shared" si="1"/>
        <v>157.65</v>
      </c>
      <c r="I28" s="10">
        <v>5360253</v>
      </c>
      <c r="J28" s="28" t="s">
        <v>76</v>
      </c>
      <c r="K28" s="18" t="s">
        <v>45</v>
      </c>
      <c r="L28" s="17" t="s">
        <v>46</v>
      </c>
      <c r="M28" s="10">
        <v>99257989</v>
      </c>
      <c r="N28" s="18"/>
    </row>
    <row r="29" spans="1:15" x14ac:dyDescent="0.25">
      <c r="A29" s="10">
        <v>26</v>
      </c>
      <c r="B29" s="10">
        <v>3025</v>
      </c>
      <c r="C29" s="12" t="s">
        <v>77</v>
      </c>
      <c r="D29" s="13">
        <v>396.1</v>
      </c>
      <c r="E29" s="14">
        <v>0.3</v>
      </c>
      <c r="F29" s="14">
        <f t="shared" si="0"/>
        <v>118.83</v>
      </c>
      <c r="G29" s="14"/>
      <c r="H29" s="14">
        <f t="shared" si="1"/>
        <v>118.83</v>
      </c>
      <c r="I29" s="10">
        <v>7542172</v>
      </c>
      <c r="J29" s="28" t="s">
        <v>78</v>
      </c>
      <c r="K29" s="16" t="s">
        <v>13</v>
      </c>
      <c r="L29" s="17" t="s">
        <v>14</v>
      </c>
      <c r="M29" s="10"/>
      <c r="N29" s="18"/>
    </row>
    <row r="30" spans="1:15" x14ac:dyDescent="0.25">
      <c r="A30" s="10">
        <v>27</v>
      </c>
      <c r="B30" s="10">
        <v>3026</v>
      </c>
      <c r="C30" s="12" t="s">
        <v>79</v>
      </c>
      <c r="D30" s="13">
        <v>206.8</v>
      </c>
      <c r="E30" s="14">
        <v>0.3</v>
      </c>
      <c r="F30" s="14">
        <f t="shared" si="0"/>
        <v>62.04</v>
      </c>
      <c r="G30" s="14"/>
      <c r="H30" s="14">
        <f t="shared" si="1"/>
        <v>62.04</v>
      </c>
      <c r="I30" s="10">
        <v>7033819</v>
      </c>
      <c r="J30" s="28" t="s">
        <v>80</v>
      </c>
      <c r="K30" s="16" t="s">
        <v>13</v>
      </c>
      <c r="L30" s="17" t="s">
        <v>14</v>
      </c>
      <c r="M30" s="10">
        <v>92256918</v>
      </c>
      <c r="N30" s="18"/>
    </row>
    <row r="31" spans="1:15" x14ac:dyDescent="0.25">
      <c r="A31" s="10">
        <v>28</v>
      </c>
      <c r="B31" s="10">
        <v>3027</v>
      </c>
      <c r="C31" s="12" t="s">
        <v>81</v>
      </c>
      <c r="D31" s="13">
        <v>435</v>
      </c>
      <c r="E31" s="14">
        <v>0.3</v>
      </c>
      <c r="F31" s="14">
        <f t="shared" si="0"/>
        <v>130.5</v>
      </c>
      <c r="G31" s="14"/>
      <c r="H31" s="14">
        <f t="shared" si="1"/>
        <v>130.5</v>
      </c>
      <c r="I31" s="10">
        <v>6420643</v>
      </c>
      <c r="J31" s="28" t="s">
        <v>82</v>
      </c>
      <c r="K31" s="16" t="s">
        <v>28</v>
      </c>
      <c r="L31" s="17" t="s">
        <v>29</v>
      </c>
      <c r="M31" s="10">
        <v>92288434</v>
      </c>
      <c r="N31" s="18"/>
    </row>
    <row r="32" spans="1:15" x14ac:dyDescent="0.25">
      <c r="A32" s="10">
        <v>29</v>
      </c>
      <c r="B32" s="10">
        <v>3030</v>
      </c>
      <c r="C32" s="12" t="s">
        <v>83</v>
      </c>
      <c r="D32" s="22">
        <v>205.5</v>
      </c>
      <c r="E32" s="14">
        <v>0.3</v>
      </c>
      <c r="F32" s="14">
        <f t="shared" si="0"/>
        <v>61.65</v>
      </c>
      <c r="G32" s="14">
        <v>59.07</v>
      </c>
      <c r="H32" s="14">
        <f t="shared" si="1"/>
        <v>2.5799999999999983</v>
      </c>
      <c r="I32" s="10">
        <v>6021175</v>
      </c>
      <c r="J32" s="28" t="s">
        <v>84</v>
      </c>
      <c r="K32" s="16" t="s">
        <v>13</v>
      </c>
      <c r="L32" s="17" t="s">
        <v>14</v>
      </c>
      <c r="M32" s="10">
        <v>91716888</v>
      </c>
      <c r="N32" s="20" t="s">
        <v>85</v>
      </c>
    </row>
    <row r="33" spans="1:15" s="20" customFormat="1" x14ac:dyDescent="0.25">
      <c r="A33" s="36">
        <v>30</v>
      </c>
      <c r="B33" s="36">
        <v>3038</v>
      </c>
      <c r="C33" s="37" t="s">
        <v>86</v>
      </c>
      <c r="D33" s="38">
        <v>436.9</v>
      </c>
      <c r="E33" s="39">
        <v>0.3</v>
      </c>
      <c r="F33" s="39">
        <f t="shared" si="0"/>
        <v>131.07</v>
      </c>
      <c r="G33" s="39">
        <f>2.23+128.7</f>
        <v>130.92999999999998</v>
      </c>
      <c r="H33" s="39">
        <f t="shared" si="1"/>
        <v>0.14000000000001478</v>
      </c>
      <c r="I33" s="36">
        <v>7976</v>
      </c>
      <c r="J33" s="45" t="s">
        <v>87</v>
      </c>
      <c r="K33" s="34" t="s">
        <v>21</v>
      </c>
      <c r="L33" s="34" t="s">
        <v>22</v>
      </c>
      <c r="M33" s="36">
        <v>98920007</v>
      </c>
      <c r="N33" s="34" t="s">
        <v>88</v>
      </c>
      <c r="O33" s="20" t="s">
        <v>85</v>
      </c>
    </row>
    <row r="34" spans="1:15" x14ac:dyDescent="0.25">
      <c r="A34" s="10">
        <v>31</v>
      </c>
      <c r="B34" s="10">
        <v>3043</v>
      </c>
      <c r="C34" s="12" t="s">
        <v>89</v>
      </c>
      <c r="D34" s="13">
        <v>187.3</v>
      </c>
      <c r="E34" s="14">
        <v>0.3</v>
      </c>
      <c r="F34" s="14">
        <f t="shared" si="0"/>
        <v>56.190000000000005</v>
      </c>
      <c r="G34" s="14"/>
      <c r="H34" s="14">
        <f t="shared" si="1"/>
        <v>56.190000000000005</v>
      </c>
      <c r="I34" s="10">
        <v>396336</v>
      </c>
      <c r="J34" s="28" t="s">
        <v>90</v>
      </c>
      <c r="K34" s="16" t="s">
        <v>13</v>
      </c>
      <c r="L34" s="17" t="s">
        <v>14</v>
      </c>
      <c r="M34" s="10">
        <v>99498844</v>
      </c>
      <c r="N34" s="18"/>
    </row>
    <row r="35" spans="1:15" x14ac:dyDescent="0.25">
      <c r="A35" s="10">
        <v>32</v>
      </c>
      <c r="B35" s="10">
        <v>3058</v>
      </c>
      <c r="C35" s="12" t="s">
        <v>91</v>
      </c>
      <c r="D35" s="13">
        <v>732.3</v>
      </c>
      <c r="E35" s="14">
        <v>0.3</v>
      </c>
      <c r="F35" s="14">
        <f t="shared" si="0"/>
        <v>219.68999999999997</v>
      </c>
      <c r="G35" s="14"/>
      <c r="H35" s="14">
        <f t="shared" si="1"/>
        <v>219.68999999999997</v>
      </c>
      <c r="I35" s="10">
        <v>965148</v>
      </c>
      <c r="J35" s="28" t="s">
        <v>92</v>
      </c>
      <c r="K35" s="18" t="s">
        <v>21</v>
      </c>
      <c r="L35" s="18" t="s">
        <v>22</v>
      </c>
      <c r="M35" s="10">
        <v>90980121</v>
      </c>
      <c r="N35" s="18"/>
    </row>
    <row r="36" spans="1:15" x14ac:dyDescent="0.25">
      <c r="A36" s="10">
        <v>33</v>
      </c>
      <c r="B36" s="10">
        <v>3070</v>
      </c>
      <c r="C36" s="12" t="s">
        <v>93</v>
      </c>
      <c r="D36" s="13">
        <v>616</v>
      </c>
      <c r="E36" s="14">
        <v>0.3</v>
      </c>
      <c r="F36" s="14">
        <f t="shared" si="0"/>
        <v>184.79999999999998</v>
      </c>
      <c r="G36" s="14"/>
      <c r="H36" s="14">
        <f t="shared" si="1"/>
        <v>184.79999999999998</v>
      </c>
      <c r="I36" s="27">
        <v>1918001</v>
      </c>
      <c r="J36" s="28" t="s">
        <v>94</v>
      </c>
      <c r="K36" s="16" t="s">
        <v>13</v>
      </c>
      <c r="L36" s="17" t="s">
        <v>14</v>
      </c>
      <c r="M36" s="27">
        <v>92863640</v>
      </c>
      <c r="N36" s="18"/>
    </row>
    <row r="37" spans="1:15" x14ac:dyDescent="0.25">
      <c r="A37" s="10">
        <v>34</v>
      </c>
      <c r="B37" s="10">
        <v>3072</v>
      </c>
      <c r="C37" s="12" t="s">
        <v>95</v>
      </c>
      <c r="D37" s="13">
        <v>198</v>
      </c>
      <c r="E37" s="14">
        <v>0.3</v>
      </c>
      <c r="F37" s="14">
        <f t="shared" si="0"/>
        <v>59.4</v>
      </c>
      <c r="G37" s="14"/>
      <c r="H37" s="14">
        <f t="shared" si="1"/>
        <v>59.4</v>
      </c>
      <c r="I37" s="10">
        <v>993077</v>
      </c>
      <c r="J37" s="28" t="s">
        <v>96</v>
      </c>
      <c r="K37" s="18" t="s">
        <v>97</v>
      </c>
      <c r="L37" s="18" t="s">
        <v>98</v>
      </c>
      <c r="M37" s="10">
        <v>92252981</v>
      </c>
      <c r="N37" s="18"/>
    </row>
    <row r="38" spans="1:15" x14ac:dyDescent="0.25">
      <c r="A38" s="10">
        <v>35</v>
      </c>
      <c r="B38" s="10">
        <v>3077</v>
      </c>
      <c r="C38" s="12" t="s">
        <v>99</v>
      </c>
      <c r="D38" s="13">
        <v>244</v>
      </c>
      <c r="E38" s="14">
        <v>0.3</v>
      </c>
      <c r="F38" s="14">
        <f t="shared" si="0"/>
        <v>73.2</v>
      </c>
      <c r="G38" s="14"/>
      <c r="H38" s="14">
        <f t="shared" si="1"/>
        <v>73.2</v>
      </c>
      <c r="I38" s="10">
        <v>21978752</v>
      </c>
      <c r="J38" s="28" t="s">
        <v>100</v>
      </c>
      <c r="K38" s="16" t="s">
        <v>13</v>
      </c>
      <c r="L38" s="17" t="s">
        <v>14</v>
      </c>
      <c r="M38" s="10">
        <v>90833336</v>
      </c>
      <c r="N38" s="18"/>
    </row>
    <row r="39" spans="1:15" s="20" customFormat="1" x14ac:dyDescent="0.25">
      <c r="A39" s="36">
        <v>36</v>
      </c>
      <c r="B39" s="36">
        <v>3081</v>
      </c>
      <c r="C39" s="37" t="s">
        <v>101</v>
      </c>
      <c r="D39" s="38">
        <v>275</v>
      </c>
      <c r="E39" s="39">
        <v>0.3</v>
      </c>
      <c r="F39" s="39">
        <f t="shared" si="0"/>
        <v>82.5</v>
      </c>
      <c r="G39" s="39">
        <f>18.28+61.75</f>
        <v>80.03</v>
      </c>
      <c r="H39" s="39">
        <f t="shared" si="1"/>
        <v>2.4699999999999989</v>
      </c>
      <c r="I39" s="36">
        <v>21219868</v>
      </c>
      <c r="J39" s="57" t="s">
        <v>102</v>
      </c>
      <c r="K39" s="34" t="s">
        <v>103</v>
      </c>
      <c r="L39" s="58" t="s">
        <v>104</v>
      </c>
      <c r="M39" s="36">
        <v>93288777</v>
      </c>
      <c r="N39" s="35">
        <v>46002</v>
      </c>
      <c r="O39" s="34" t="s">
        <v>38</v>
      </c>
    </row>
    <row r="40" spans="1:15" x14ac:dyDescent="0.25">
      <c r="A40" s="10">
        <v>37</v>
      </c>
      <c r="B40" s="10">
        <v>3089</v>
      </c>
      <c r="C40" s="12" t="s">
        <v>105</v>
      </c>
      <c r="D40" s="22">
        <v>181.4</v>
      </c>
      <c r="E40" s="14">
        <v>0.3</v>
      </c>
      <c r="F40" s="14">
        <f t="shared" si="0"/>
        <v>54.42</v>
      </c>
      <c r="G40" s="14"/>
      <c r="H40" s="14">
        <f t="shared" si="1"/>
        <v>54.42</v>
      </c>
      <c r="I40" s="10">
        <v>18790484</v>
      </c>
      <c r="J40" s="28" t="s">
        <v>106</v>
      </c>
      <c r="K40" s="16" t="s">
        <v>13</v>
      </c>
      <c r="L40" s="17" t="s">
        <v>14</v>
      </c>
      <c r="M40" s="10"/>
      <c r="N40" s="56"/>
    </row>
    <row r="41" spans="1:15" x14ac:dyDescent="0.25">
      <c r="A41" s="10">
        <v>38</v>
      </c>
      <c r="B41" s="10">
        <v>3093</v>
      </c>
      <c r="C41" s="12" t="s">
        <v>107</v>
      </c>
      <c r="D41" s="13">
        <v>354</v>
      </c>
      <c r="E41" s="14">
        <v>0.3</v>
      </c>
      <c r="F41" s="14">
        <f t="shared" si="0"/>
        <v>106.2</v>
      </c>
      <c r="G41" s="14"/>
      <c r="H41" s="14">
        <f t="shared" si="1"/>
        <v>106.2</v>
      </c>
      <c r="I41" s="10">
        <v>6361035</v>
      </c>
      <c r="J41" s="28" t="s">
        <v>108</v>
      </c>
      <c r="K41" s="18" t="s">
        <v>109</v>
      </c>
      <c r="L41" s="17" t="s">
        <v>110</v>
      </c>
      <c r="M41" s="10">
        <v>99497919</v>
      </c>
      <c r="N41" s="18"/>
    </row>
    <row r="42" spans="1:15" x14ac:dyDescent="0.25">
      <c r="A42" s="10">
        <v>39</v>
      </c>
      <c r="B42" s="10">
        <v>3094</v>
      </c>
      <c r="C42" s="12" t="s">
        <v>111</v>
      </c>
      <c r="D42" s="13">
        <v>487.5</v>
      </c>
      <c r="E42" s="14">
        <v>0.3</v>
      </c>
      <c r="F42" s="14">
        <f t="shared" si="0"/>
        <v>146.25</v>
      </c>
      <c r="G42" s="14"/>
      <c r="H42" s="14">
        <f t="shared" si="1"/>
        <v>146.25</v>
      </c>
      <c r="I42" s="10">
        <v>26343985</v>
      </c>
      <c r="J42" s="28" t="s">
        <v>112</v>
      </c>
      <c r="K42" s="16" t="s">
        <v>13</v>
      </c>
      <c r="L42" s="17" t="s">
        <v>14</v>
      </c>
      <c r="M42" s="10">
        <v>93327740</v>
      </c>
      <c r="N42" s="18"/>
    </row>
    <row r="43" spans="1:15" x14ac:dyDescent="0.25">
      <c r="A43" s="10">
        <v>40</v>
      </c>
      <c r="B43" s="10">
        <v>3100</v>
      </c>
      <c r="C43" s="12" t="s">
        <v>113</v>
      </c>
      <c r="D43" s="13">
        <v>900</v>
      </c>
      <c r="E43" s="14">
        <v>0.3</v>
      </c>
      <c r="F43" s="14">
        <f t="shared" si="0"/>
        <v>270</v>
      </c>
      <c r="G43" s="14"/>
      <c r="H43" s="14">
        <f t="shared" si="1"/>
        <v>270</v>
      </c>
      <c r="I43" s="10">
        <v>1278615</v>
      </c>
      <c r="J43" s="28" t="s">
        <v>114</v>
      </c>
      <c r="K43" s="18" t="s">
        <v>45</v>
      </c>
      <c r="L43" s="17" t="s">
        <v>14</v>
      </c>
      <c r="M43" s="10">
        <v>99806386</v>
      </c>
      <c r="N43" s="18"/>
    </row>
    <row r="44" spans="1:15" x14ac:dyDescent="0.25">
      <c r="A44" s="10">
        <v>41</v>
      </c>
      <c r="B44" s="10">
        <v>3101</v>
      </c>
      <c r="C44" s="12" t="s">
        <v>115</v>
      </c>
      <c r="D44" s="13">
        <v>219.6</v>
      </c>
      <c r="E44" s="14">
        <v>0.3</v>
      </c>
      <c r="F44" s="14">
        <f t="shared" si="0"/>
        <v>65.88</v>
      </c>
      <c r="G44" s="14"/>
      <c r="H44" s="14">
        <f t="shared" si="1"/>
        <v>65.88</v>
      </c>
      <c r="I44" s="10">
        <v>6767598</v>
      </c>
      <c r="J44" s="28" t="s">
        <v>116</v>
      </c>
      <c r="K44" s="16" t="s">
        <v>13</v>
      </c>
      <c r="L44" s="17" t="s">
        <v>14</v>
      </c>
      <c r="M44" s="10">
        <v>99100344</v>
      </c>
      <c r="N44" s="18"/>
    </row>
    <row r="45" spans="1:15" x14ac:dyDescent="0.25">
      <c r="A45" s="10">
        <v>42</v>
      </c>
      <c r="B45" s="10">
        <v>3102</v>
      </c>
      <c r="C45" s="12" t="s">
        <v>117</v>
      </c>
      <c r="D45" s="13">
        <v>373.6</v>
      </c>
      <c r="E45" s="14">
        <v>0.3</v>
      </c>
      <c r="F45" s="14">
        <f t="shared" si="0"/>
        <v>112.08</v>
      </c>
      <c r="G45" s="14">
        <v>3.4000000000000021</v>
      </c>
      <c r="H45" s="14">
        <f t="shared" si="1"/>
        <v>108.67999999999999</v>
      </c>
      <c r="I45" s="10">
        <v>5916838</v>
      </c>
      <c r="J45" s="17" t="s">
        <v>118</v>
      </c>
      <c r="K45" s="16" t="s">
        <v>13</v>
      </c>
      <c r="L45" s="17" t="s">
        <v>14</v>
      </c>
      <c r="M45" s="10">
        <v>91917520</v>
      </c>
      <c r="N45" s="34" t="s">
        <v>38</v>
      </c>
    </row>
    <row r="46" spans="1:15" x14ac:dyDescent="0.25">
      <c r="A46" s="10">
        <v>43</v>
      </c>
      <c r="B46" s="10">
        <v>3119</v>
      </c>
      <c r="C46" s="12" t="s">
        <v>119</v>
      </c>
      <c r="D46" s="13">
        <v>238.6</v>
      </c>
      <c r="E46" s="14">
        <v>0.3</v>
      </c>
      <c r="F46" s="14">
        <f t="shared" si="0"/>
        <v>71.58</v>
      </c>
      <c r="G46" s="14">
        <f>69.35</f>
        <v>69.349999999999994</v>
      </c>
      <c r="H46" s="14">
        <f t="shared" si="1"/>
        <v>2.230000000000004</v>
      </c>
      <c r="I46" s="10">
        <v>5903061</v>
      </c>
      <c r="J46" s="28" t="s">
        <v>120</v>
      </c>
      <c r="K46" s="16" t="s">
        <v>13</v>
      </c>
      <c r="L46" s="17" t="s">
        <v>14</v>
      </c>
      <c r="M46" s="10">
        <v>91904279</v>
      </c>
      <c r="N46" s="34" t="s">
        <v>38</v>
      </c>
    </row>
    <row r="47" spans="1:15" x14ac:dyDescent="0.25">
      <c r="A47" s="10">
        <v>44</v>
      </c>
      <c r="B47" s="10">
        <v>3122</v>
      </c>
      <c r="C47" s="12" t="s">
        <v>121</v>
      </c>
      <c r="D47" s="13">
        <v>219.7</v>
      </c>
      <c r="E47" s="14">
        <v>0.3</v>
      </c>
      <c r="F47" s="14">
        <f t="shared" si="0"/>
        <v>65.91</v>
      </c>
      <c r="G47" s="14">
        <v>62.599999999999994</v>
      </c>
      <c r="H47" s="14">
        <f t="shared" si="1"/>
        <v>3.3100000000000023</v>
      </c>
      <c r="I47" s="10">
        <v>12415718</v>
      </c>
      <c r="J47" s="28" t="s">
        <v>84</v>
      </c>
      <c r="K47" s="16" t="s">
        <v>13</v>
      </c>
      <c r="L47" s="17" t="s">
        <v>14</v>
      </c>
      <c r="M47" s="10">
        <v>99481799</v>
      </c>
      <c r="N47" s="20" t="s">
        <v>85</v>
      </c>
    </row>
    <row r="48" spans="1:15" x14ac:dyDescent="0.25">
      <c r="A48" s="10">
        <v>45</v>
      </c>
      <c r="B48" s="10">
        <v>3136</v>
      </c>
      <c r="C48" s="12" t="s">
        <v>122</v>
      </c>
      <c r="D48" s="13">
        <v>366.5</v>
      </c>
      <c r="E48" s="14">
        <v>0.3</v>
      </c>
      <c r="F48" s="14">
        <f t="shared" si="0"/>
        <v>109.95</v>
      </c>
      <c r="G48" s="14"/>
      <c r="H48" s="14">
        <f t="shared" si="1"/>
        <v>109.95</v>
      </c>
      <c r="I48" s="10">
        <v>183498</v>
      </c>
      <c r="J48" s="28" t="s">
        <v>123</v>
      </c>
      <c r="K48" s="16" t="s">
        <v>28</v>
      </c>
      <c r="L48" s="17" t="s">
        <v>29</v>
      </c>
      <c r="M48" s="10">
        <v>99481314</v>
      </c>
      <c r="N48" s="18"/>
    </row>
    <row r="49" spans="1:14" x14ac:dyDescent="0.25">
      <c r="A49" s="10">
        <v>46</v>
      </c>
      <c r="B49" s="10">
        <v>3178</v>
      </c>
      <c r="C49" s="12" t="s">
        <v>124</v>
      </c>
      <c r="D49" s="13">
        <v>1490</v>
      </c>
      <c r="E49" s="14">
        <v>0.3</v>
      </c>
      <c r="F49" s="14">
        <f t="shared" si="0"/>
        <v>447</v>
      </c>
      <c r="G49" s="14"/>
      <c r="H49" s="14">
        <f t="shared" si="1"/>
        <v>447</v>
      </c>
      <c r="I49" s="10">
        <v>1511754</v>
      </c>
      <c r="J49" s="28" t="s">
        <v>125</v>
      </c>
      <c r="K49" s="18" t="s">
        <v>21</v>
      </c>
      <c r="L49" s="18" t="s">
        <v>22</v>
      </c>
      <c r="M49" s="10">
        <v>99495933</v>
      </c>
      <c r="N49" s="18"/>
    </row>
    <row r="50" spans="1:14" x14ac:dyDescent="0.25">
      <c r="A50" s="10">
        <v>47</v>
      </c>
      <c r="B50" s="10">
        <v>3199</v>
      </c>
      <c r="C50" s="12" t="s">
        <v>126</v>
      </c>
      <c r="D50" s="13">
        <v>29.9</v>
      </c>
      <c r="E50" s="14">
        <v>0.3</v>
      </c>
      <c r="F50" s="14">
        <f t="shared" si="0"/>
        <v>8.9699999999999989</v>
      </c>
      <c r="G50" s="14"/>
      <c r="H50" s="14">
        <f t="shared" si="1"/>
        <v>8.9699999999999989</v>
      </c>
      <c r="I50" s="10">
        <v>5168327</v>
      </c>
      <c r="J50" s="28" t="s">
        <v>127</v>
      </c>
      <c r="K50" s="16" t="s">
        <v>13</v>
      </c>
      <c r="L50" s="17" t="s">
        <v>14</v>
      </c>
      <c r="M50" s="10">
        <v>98066833</v>
      </c>
      <c r="N50" s="18"/>
    </row>
    <row r="51" spans="1:14" s="20" customFormat="1" x14ac:dyDescent="0.25">
      <c r="A51" s="36">
        <v>48</v>
      </c>
      <c r="B51" s="36">
        <v>3200</v>
      </c>
      <c r="C51" s="37" t="s">
        <v>128</v>
      </c>
      <c r="D51" s="38">
        <v>176.8</v>
      </c>
      <c r="E51" s="39">
        <v>0.3</v>
      </c>
      <c r="F51" s="39">
        <f t="shared" si="0"/>
        <v>53.04</v>
      </c>
      <c r="G51" s="39">
        <v>49.930000000000007</v>
      </c>
      <c r="H51" s="39">
        <f t="shared" si="1"/>
        <v>3.1099999999999923</v>
      </c>
      <c r="I51" s="48">
        <v>21947578</v>
      </c>
      <c r="J51" s="46" t="s">
        <v>129</v>
      </c>
      <c r="K51" s="49" t="s">
        <v>13</v>
      </c>
      <c r="L51" s="46" t="s">
        <v>14</v>
      </c>
      <c r="M51" s="36"/>
      <c r="N51" s="35">
        <v>46002</v>
      </c>
    </row>
    <row r="52" spans="1:14" x14ac:dyDescent="0.25">
      <c r="A52" s="10">
        <v>49</v>
      </c>
      <c r="B52" s="10">
        <v>3201</v>
      </c>
      <c r="C52" s="12" t="s">
        <v>130</v>
      </c>
      <c r="D52" s="13">
        <v>181</v>
      </c>
      <c r="E52" s="14">
        <v>0.3</v>
      </c>
      <c r="F52" s="14">
        <f t="shared" si="0"/>
        <v>54.3</v>
      </c>
      <c r="G52" s="14"/>
      <c r="H52" s="14">
        <f t="shared" si="1"/>
        <v>54.3</v>
      </c>
      <c r="I52" s="10">
        <v>7048401</v>
      </c>
      <c r="J52" s="28" t="s">
        <v>131</v>
      </c>
      <c r="K52" s="18" t="s">
        <v>28</v>
      </c>
      <c r="L52" s="18" t="s">
        <v>29</v>
      </c>
      <c r="M52" s="10"/>
      <c r="N52" s="18"/>
    </row>
    <row r="53" spans="1:14" x14ac:dyDescent="0.25">
      <c r="A53" s="10">
        <v>50</v>
      </c>
      <c r="B53" s="10">
        <v>3202</v>
      </c>
      <c r="C53" s="12" t="s">
        <v>132</v>
      </c>
      <c r="D53" s="13">
        <v>78.8</v>
      </c>
      <c r="E53" s="14">
        <v>0.3</v>
      </c>
      <c r="F53" s="14">
        <f t="shared" si="0"/>
        <v>23.639999999999997</v>
      </c>
      <c r="G53" s="14">
        <v>18.989999999999995</v>
      </c>
      <c r="H53" s="14">
        <f t="shared" si="1"/>
        <v>4.6500000000000021</v>
      </c>
      <c r="I53" s="10">
        <v>5197371</v>
      </c>
      <c r="J53" s="28" t="s">
        <v>133</v>
      </c>
      <c r="K53" s="16" t="s">
        <v>13</v>
      </c>
      <c r="L53" s="17" t="s">
        <v>14</v>
      </c>
      <c r="M53" s="10">
        <v>93889732</v>
      </c>
      <c r="N53" s="34" t="s">
        <v>38</v>
      </c>
    </row>
    <row r="54" spans="1:14" x14ac:dyDescent="0.25">
      <c r="A54" s="10">
        <v>51</v>
      </c>
      <c r="B54" s="10">
        <v>3203</v>
      </c>
      <c r="C54" s="12" t="s">
        <v>134</v>
      </c>
      <c r="D54" s="13">
        <v>269</v>
      </c>
      <c r="E54" s="14">
        <v>0.3</v>
      </c>
      <c r="F54" s="14">
        <f t="shared" si="0"/>
        <v>80.7</v>
      </c>
      <c r="G54" s="14"/>
      <c r="H54" s="14">
        <f t="shared" si="1"/>
        <v>80.7</v>
      </c>
      <c r="I54" s="10">
        <v>23215097</v>
      </c>
      <c r="J54" s="28" t="s">
        <v>135</v>
      </c>
      <c r="K54" s="16" t="s">
        <v>13</v>
      </c>
      <c r="L54" s="17" t="s">
        <v>14</v>
      </c>
      <c r="M54" s="10"/>
      <c r="N54" s="18"/>
    </row>
    <row r="55" spans="1:14" x14ac:dyDescent="0.25">
      <c r="A55" s="10">
        <v>52</v>
      </c>
      <c r="B55" s="10">
        <v>3204</v>
      </c>
      <c r="C55" s="12" t="s">
        <v>136</v>
      </c>
      <c r="D55" s="13">
        <v>285.5</v>
      </c>
      <c r="E55" s="14">
        <v>0.3</v>
      </c>
      <c r="F55" s="14">
        <f t="shared" si="0"/>
        <v>85.649999999999991</v>
      </c>
      <c r="G55" s="14"/>
      <c r="H55" s="14">
        <f t="shared" si="1"/>
        <v>85.649999999999991</v>
      </c>
      <c r="I55" s="10">
        <v>24958926</v>
      </c>
      <c r="J55" s="28" t="s">
        <v>137</v>
      </c>
      <c r="K55" s="16" t="s">
        <v>13</v>
      </c>
      <c r="L55" s="17" t="s">
        <v>14</v>
      </c>
      <c r="M55" s="10">
        <v>99312225</v>
      </c>
      <c r="N55" s="18"/>
    </row>
    <row r="56" spans="1:14" x14ac:dyDescent="0.25">
      <c r="A56" s="10">
        <v>53</v>
      </c>
      <c r="B56" s="10">
        <v>3207</v>
      </c>
      <c r="C56" s="12" t="s">
        <v>138</v>
      </c>
      <c r="D56" s="13">
        <v>490.9</v>
      </c>
      <c r="E56" s="14">
        <v>0.3</v>
      </c>
      <c r="F56" s="14">
        <f t="shared" si="0"/>
        <v>147.26999999999998</v>
      </c>
      <c r="G56" s="14"/>
      <c r="H56" s="14">
        <f t="shared" si="1"/>
        <v>147.26999999999998</v>
      </c>
      <c r="I56" s="10">
        <v>11940175</v>
      </c>
      <c r="J56" s="28" t="s">
        <v>139</v>
      </c>
      <c r="K56" s="16" t="s">
        <v>13</v>
      </c>
      <c r="L56" s="17" t="s">
        <v>14</v>
      </c>
      <c r="M56" s="10">
        <v>98138748</v>
      </c>
      <c r="N56" s="18"/>
    </row>
    <row r="57" spans="1:14" x14ac:dyDescent="0.25">
      <c r="A57" s="10">
        <v>54</v>
      </c>
      <c r="B57" s="10">
        <v>3208</v>
      </c>
      <c r="C57" s="12" t="s">
        <v>140</v>
      </c>
      <c r="D57" s="13">
        <v>415.6</v>
      </c>
      <c r="E57" s="14">
        <v>0.3</v>
      </c>
      <c r="F57" s="14">
        <f t="shared" si="0"/>
        <v>124.68</v>
      </c>
      <c r="G57" s="14"/>
      <c r="H57" s="14">
        <f t="shared" si="1"/>
        <v>124.68</v>
      </c>
      <c r="I57" s="10">
        <v>1742664</v>
      </c>
      <c r="J57" s="28" t="s">
        <v>141</v>
      </c>
      <c r="K57" s="18" t="s">
        <v>142</v>
      </c>
      <c r="L57" s="18" t="s">
        <v>104</v>
      </c>
      <c r="M57" s="10">
        <v>99482598</v>
      </c>
      <c r="N57" s="18"/>
    </row>
    <row r="58" spans="1:14" x14ac:dyDescent="0.25">
      <c r="A58" s="10">
        <v>55</v>
      </c>
      <c r="B58" s="10">
        <v>3209</v>
      </c>
      <c r="C58" s="12" t="s">
        <v>143</v>
      </c>
      <c r="D58" s="13">
        <v>224.1</v>
      </c>
      <c r="E58" s="14">
        <v>0.3</v>
      </c>
      <c r="F58" s="14">
        <f t="shared" si="0"/>
        <v>67.22999999999999</v>
      </c>
      <c r="G58" s="14">
        <v>8.0000000000002916E-2</v>
      </c>
      <c r="H58" s="14">
        <f t="shared" si="1"/>
        <v>67.149999999999991</v>
      </c>
      <c r="I58" s="10">
        <v>5634328</v>
      </c>
      <c r="J58" s="28" t="s">
        <v>144</v>
      </c>
      <c r="K58" s="16" t="s">
        <v>13</v>
      </c>
      <c r="L58" s="17" t="s">
        <v>14</v>
      </c>
      <c r="M58" s="10">
        <v>92283227</v>
      </c>
      <c r="N58" s="35">
        <v>45881</v>
      </c>
    </row>
    <row r="59" spans="1:14" s="20" customFormat="1" x14ac:dyDescent="0.25">
      <c r="A59" s="36">
        <v>56</v>
      </c>
      <c r="B59" s="36">
        <v>3210</v>
      </c>
      <c r="C59" s="37" t="s">
        <v>145</v>
      </c>
      <c r="D59" s="38">
        <v>400.6</v>
      </c>
      <c r="E59" s="39">
        <v>0.3</v>
      </c>
      <c r="F59" s="39">
        <f t="shared" si="0"/>
        <v>120.18</v>
      </c>
      <c r="G59" s="39">
        <v>116.64900000000002</v>
      </c>
      <c r="H59" s="39">
        <f t="shared" si="1"/>
        <v>3.5309999999999917</v>
      </c>
      <c r="I59" s="36">
        <v>45419</v>
      </c>
      <c r="J59" s="45" t="s">
        <v>146</v>
      </c>
      <c r="K59" s="49" t="s">
        <v>13</v>
      </c>
      <c r="L59" s="46" t="s">
        <v>14</v>
      </c>
      <c r="M59" s="36">
        <v>90101070</v>
      </c>
      <c r="N59" s="20" t="s">
        <v>74</v>
      </c>
    </row>
    <row r="60" spans="1:14" s="29" customFormat="1" x14ac:dyDescent="0.25">
      <c r="A60" s="10">
        <v>57</v>
      </c>
      <c r="B60" s="10">
        <v>3211</v>
      </c>
      <c r="C60" s="25" t="s">
        <v>147</v>
      </c>
      <c r="D60" s="54"/>
      <c r="E60" s="14">
        <v>0.3</v>
      </c>
      <c r="F60" s="14">
        <f t="shared" si="0"/>
        <v>0</v>
      </c>
      <c r="G60" s="14"/>
      <c r="H60" s="14">
        <f t="shared" si="1"/>
        <v>0</v>
      </c>
      <c r="I60" s="59">
        <v>9927207</v>
      </c>
      <c r="J60" s="33" t="s">
        <v>148</v>
      </c>
      <c r="K60" s="33" t="s">
        <v>28</v>
      </c>
      <c r="L60" s="33" t="s">
        <v>29</v>
      </c>
      <c r="M60" s="59"/>
      <c r="N60" s="60">
        <v>44986</v>
      </c>
    </row>
    <row r="61" spans="1:14" x14ac:dyDescent="0.25">
      <c r="A61" s="10">
        <v>58</v>
      </c>
      <c r="B61" s="10">
        <v>3212</v>
      </c>
      <c r="C61" s="12" t="s">
        <v>149</v>
      </c>
      <c r="D61" s="13">
        <v>577</v>
      </c>
      <c r="E61" s="14">
        <v>0.3</v>
      </c>
      <c r="F61" s="14">
        <f t="shared" si="0"/>
        <v>173.1</v>
      </c>
      <c r="G61" s="14"/>
      <c r="H61" s="14">
        <f t="shared" si="1"/>
        <v>173.1</v>
      </c>
      <c r="I61" s="10">
        <v>804443</v>
      </c>
      <c r="J61" s="28" t="s">
        <v>150</v>
      </c>
      <c r="K61" s="18" t="s">
        <v>97</v>
      </c>
      <c r="L61" s="18" t="s">
        <v>98</v>
      </c>
      <c r="M61" s="10">
        <v>99483202</v>
      </c>
      <c r="N61" s="18"/>
    </row>
    <row r="62" spans="1:14" s="20" customFormat="1" x14ac:dyDescent="0.25">
      <c r="A62" s="36">
        <v>59</v>
      </c>
      <c r="B62" s="36">
        <v>3213</v>
      </c>
      <c r="C62" s="37" t="s">
        <v>151</v>
      </c>
      <c r="D62" s="38">
        <v>556.29999999999995</v>
      </c>
      <c r="E62" s="39">
        <v>0.3</v>
      </c>
      <c r="F62" s="39">
        <f t="shared" si="0"/>
        <v>166.89</v>
      </c>
      <c r="G62" s="39">
        <v>1.659999999999991</v>
      </c>
      <c r="H62" s="39">
        <f t="shared" si="1"/>
        <v>165.23</v>
      </c>
      <c r="I62" s="36">
        <v>2594336</v>
      </c>
      <c r="J62" s="45" t="s">
        <v>152</v>
      </c>
      <c r="K62" s="49" t="s">
        <v>13</v>
      </c>
      <c r="L62" s="46" t="s">
        <v>14</v>
      </c>
      <c r="M62" s="36">
        <v>71773005</v>
      </c>
      <c r="N62" s="35">
        <v>45700</v>
      </c>
    </row>
    <row r="63" spans="1:14" s="20" customFormat="1" x14ac:dyDescent="0.25">
      <c r="A63" s="36">
        <v>60</v>
      </c>
      <c r="B63" s="36">
        <v>3214</v>
      </c>
      <c r="C63" s="37" t="s">
        <v>153</v>
      </c>
      <c r="D63" s="38">
        <v>447.8</v>
      </c>
      <c r="E63" s="39">
        <v>0.3</v>
      </c>
      <c r="F63" s="39">
        <f t="shared" si="0"/>
        <v>134.34</v>
      </c>
      <c r="G63" s="39">
        <v>130.17000000000002</v>
      </c>
      <c r="H63" s="39">
        <f t="shared" si="1"/>
        <v>4.1699999999999875</v>
      </c>
      <c r="I63" s="36">
        <v>5168262</v>
      </c>
      <c r="J63" s="45" t="s">
        <v>154</v>
      </c>
      <c r="K63" s="34" t="s">
        <v>28</v>
      </c>
      <c r="L63" s="34" t="s">
        <v>29</v>
      </c>
      <c r="M63" s="36">
        <v>99895383</v>
      </c>
      <c r="N63" s="34" t="s">
        <v>155</v>
      </c>
    </row>
    <row r="64" spans="1:14" s="20" customFormat="1" x14ac:dyDescent="0.25">
      <c r="A64" s="36">
        <v>61</v>
      </c>
      <c r="B64" s="36">
        <v>3215</v>
      </c>
      <c r="C64" s="37" t="s">
        <v>156</v>
      </c>
      <c r="D64" s="38">
        <v>415</v>
      </c>
      <c r="E64" s="39">
        <v>0.3</v>
      </c>
      <c r="F64" s="39">
        <f t="shared" si="0"/>
        <v>124.5</v>
      </c>
      <c r="G64" s="39">
        <v>121.89000000000001</v>
      </c>
      <c r="H64" s="39">
        <f t="shared" si="1"/>
        <v>2.6099999999999852</v>
      </c>
      <c r="I64" s="48">
        <v>11684091</v>
      </c>
      <c r="J64" s="46" t="s">
        <v>157</v>
      </c>
      <c r="K64" s="34" t="s">
        <v>28</v>
      </c>
      <c r="L64" s="34" t="s">
        <v>29</v>
      </c>
      <c r="M64" s="36"/>
      <c r="N64" s="20" t="s">
        <v>38</v>
      </c>
    </row>
    <row r="65" spans="1:17" x14ac:dyDescent="0.25">
      <c r="A65" s="10">
        <v>62</v>
      </c>
      <c r="B65" s="10">
        <v>3216</v>
      </c>
      <c r="C65" s="12" t="s">
        <v>158</v>
      </c>
      <c r="D65" s="22">
        <v>481.9</v>
      </c>
      <c r="E65" s="14">
        <v>0.3</v>
      </c>
      <c r="F65" s="14">
        <f t="shared" si="0"/>
        <v>144.57</v>
      </c>
      <c r="G65" s="14"/>
      <c r="H65" s="14">
        <f t="shared" si="1"/>
        <v>144.57</v>
      </c>
      <c r="I65" s="51">
        <v>18715567</v>
      </c>
      <c r="J65" s="52" t="s">
        <v>159</v>
      </c>
      <c r="K65" s="61" t="s">
        <v>13</v>
      </c>
      <c r="L65" s="52" t="s">
        <v>14</v>
      </c>
      <c r="M65" s="10">
        <v>77279900</v>
      </c>
      <c r="N65" s="60"/>
    </row>
    <row r="66" spans="1:17" x14ac:dyDescent="0.25">
      <c r="A66" s="10">
        <v>63</v>
      </c>
      <c r="B66" s="10">
        <v>3217</v>
      </c>
      <c r="C66" s="12" t="s">
        <v>160</v>
      </c>
      <c r="D66" s="13">
        <v>129.69999999999999</v>
      </c>
      <c r="E66" s="14">
        <v>0.3</v>
      </c>
      <c r="F66" s="14">
        <f t="shared" si="0"/>
        <v>38.909999999999997</v>
      </c>
      <c r="G66" s="14"/>
      <c r="H66" s="14">
        <f t="shared" si="1"/>
        <v>38.909999999999997</v>
      </c>
      <c r="I66" s="10">
        <v>1568196</v>
      </c>
      <c r="J66" s="28" t="s">
        <v>161</v>
      </c>
      <c r="K66" s="18" t="s">
        <v>109</v>
      </c>
      <c r="L66" s="17" t="s">
        <v>110</v>
      </c>
      <c r="M66" s="10">
        <v>99494635</v>
      </c>
      <c r="N66" s="18"/>
    </row>
    <row r="67" spans="1:17" x14ac:dyDescent="0.25">
      <c r="A67" s="10">
        <v>64</v>
      </c>
      <c r="B67" s="10">
        <v>3219</v>
      </c>
      <c r="C67" s="12" t="s">
        <v>162</v>
      </c>
      <c r="D67" s="13">
        <v>620.79999999999995</v>
      </c>
      <c r="E67" s="14">
        <v>0.3</v>
      </c>
      <c r="F67" s="14">
        <f t="shared" si="0"/>
        <v>186.23999999999998</v>
      </c>
      <c r="G67" s="14">
        <v>182.31</v>
      </c>
      <c r="H67" s="14">
        <f t="shared" si="1"/>
        <v>3.9299999999999784</v>
      </c>
      <c r="I67" s="51">
        <v>12398617</v>
      </c>
      <c r="J67" s="52" t="s">
        <v>163</v>
      </c>
      <c r="K67" s="61" t="s">
        <v>13</v>
      </c>
      <c r="L67" s="52" t="s">
        <v>14</v>
      </c>
      <c r="M67" s="10"/>
      <c r="N67" s="34" t="s">
        <v>38</v>
      </c>
    </row>
    <row r="68" spans="1:17" x14ac:dyDescent="0.25">
      <c r="A68" s="10">
        <v>65</v>
      </c>
      <c r="B68" s="10">
        <v>3220</v>
      </c>
      <c r="C68" s="12" t="s">
        <v>164</v>
      </c>
      <c r="D68" s="13">
        <v>434.3</v>
      </c>
      <c r="E68" s="14">
        <v>0.3</v>
      </c>
      <c r="F68" s="14">
        <f t="shared" ref="F68:F131" si="2">E68*D68</f>
        <v>130.29</v>
      </c>
      <c r="G68" s="14"/>
      <c r="H68" s="14">
        <f t="shared" si="1"/>
        <v>130.29</v>
      </c>
      <c r="I68" s="10">
        <v>5348311</v>
      </c>
      <c r="J68" s="28" t="s">
        <v>165</v>
      </c>
      <c r="K68" s="18" t="s">
        <v>28</v>
      </c>
      <c r="L68" s="18" t="s">
        <v>29</v>
      </c>
      <c r="M68" s="10">
        <v>96313636</v>
      </c>
      <c r="N68" s="18"/>
    </row>
    <row r="69" spans="1:17" x14ac:dyDescent="0.25">
      <c r="A69" s="10">
        <v>66</v>
      </c>
      <c r="B69" s="10">
        <v>3221</v>
      </c>
      <c r="C69" s="12" t="s">
        <v>166</v>
      </c>
      <c r="D69" s="13">
        <v>199</v>
      </c>
      <c r="E69" s="14">
        <v>0.3</v>
      </c>
      <c r="F69" s="14">
        <f t="shared" si="2"/>
        <v>59.699999999999996</v>
      </c>
      <c r="G69" s="14"/>
      <c r="H69" s="14">
        <f t="shared" ref="H69:H132" si="3">F69-G69</f>
        <v>59.699999999999996</v>
      </c>
      <c r="I69" s="10">
        <v>13362673</v>
      </c>
      <c r="J69" s="28" t="s">
        <v>167</v>
      </c>
      <c r="K69" s="16" t="s">
        <v>13</v>
      </c>
      <c r="L69" s="17" t="s">
        <v>14</v>
      </c>
      <c r="M69" s="10">
        <v>92665337</v>
      </c>
      <c r="N69" s="18"/>
    </row>
    <row r="70" spans="1:17" s="20" customFormat="1" x14ac:dyDescent="0.25">
      <c r="A70" s="36">
        <v>67</v>
      </c>
      <c r="B70" s="36">
        <v>3222</v>
      </c>
      <c r="C70" s="37" t="s">
        <v>168</v>
      </c>
      <c r="D70" s="38">
        <v>139</v>
      </c>
      <c r="E70" s="39">
        <v>0.3</v>
      </c>
      <c r="F70" s="39">
        <f t="shared" si="2"/>
        <v>41.699999999999996</v>
      </c>
      <c r="G70" s="39">
        <f>0.04</f>
        <v>0.04</v>
      </c>
      <c r="H70" s="39">
        <f t="shared" si="3"/>
        <v>41.66</v>
      </c>
      <c r="I70" s="36">
        <v>18091329</v>
      </c>
      <c r="J70" s="45" t="s">
        <v>169</v>
      </c>
      <c r="K70" s="34" t="s">
        <v>28</v>
      </c>
      <c r="L70" s="34" t="s">
        <v>29</v>
      </c>
      <c r="M70" s="36">
        <v>92197820</v>
      </c>
      <c r="N70" s="35">
        <v>45788</v>
      </c>
    </row>
    <row r="71" spans="1:17" x14ac:dyDescent="0.25">
      <c r="A71" s="10">
        <v>68</v>
      </c>
      <c r="B71" s="10">
        <v>3223</v>
      </c>
      <c r="C71" s="12" t="s">
        <v>170</v>
      </c>
      <c r="D71" s="13">
        <v>210</v>
      </c>
      <c r="E71" s="14">
        <v>0.3</v>
      </c>
      <c r="F71" s="14">
        <f t="shared" si="2"/>
        <v>63</v>
      </c>
      <c r="G71" s="14"/>
      <c r="H71" s="14">
        <f t="shared" si="3"/>
        <v>63</v>
      </c>
      <c r="I71" s="10">
        <v>5334914</v>
      </c>
      <c r="J71" s="28" t="s">
        <v>171</v>
      </c>
      <c r="K71" s="18" t="s">
        <v>109</v>
      </c>
      <c r="L71" s="17" t="s">
        <v>110</v>
      </c>
      <c r="M71" s="10">
        <v>98800996</v>
      </c>
      <c r="N71" s="18"/>
    </row>
    <row r="72" spans="1:17" s="20" customFormat="1" x14ac:dyDescent="0.25">
      <c r="A72" s="36">
        <v>69</v>
      </c>
      <c r="B72" s="36">
        <v>3224</v>
      </c>
      <c r="C72" s="37" t="s">
        <v>172</v>
      </c>
      <c r="D72" s="38">
        <v>179.5</v>
      </c>
      <c r="E72" s="39">
        <v>0.3</v>
      </c>
      <c r="F72" s="39">
        <f t="shared" si="2"/>
        <v>53.85</v>
      </c>
      <c r="G72" s="39">
        <f>F72</f>
        <v>53.85</v>
      </c>
      <c r="H72" s="39">
        <f t="shared" si="3"/>
        <v>0</v>
      </c>
      <c r="I72" s="36">
        <v>2066756</v>
      </c>
      <c r="J72" s="57" t="s">
        <v>173</v>
      </c>
      <c r="K72" s="34" t="s">
        <v>13</v>
      </c>
      <c r="L72" s="46" t="s">
        <v>14</v>
      </c>
      <c r="M72" s="36">
        <v>95316025</v>
      </c>
      <c r="N72" s="62" t="s">
        <v>174</v>
      </c>
      <c r="P72" s="20">
        <f>97.84-53.85</f>
        <v>43.99</v>
      </c>
      <c r="Q72" s="20" t="s">
        <v>175</v>
      </c>
    </row>
    <row r="73" spans="1:17" x14ac:dyDescent="0.25">
      <c r="A73" s="10">
        <v>70</v>
      </c>
      <c r="B73" s="10">
        <v>3225</v>
      </c>
      <c r="C73" s="12" t="s">
        <v>176</v>
      </c>
      <c r="D73" s="13">
        <v>177</v>
      </c>
      <c r="E73" s="14">
        <v>0.3</v>
      </c>
      <c r="F73" s="14">
        <f t="shared" si="2"/>
        <v>53.1</v>
      </c>
      <c r="G73" s="14">
        <v>1.959999999999982</v>
      </c>
      <c r="H73" s="14">
        <f t="shared" si="3"/>
        <v>51.140000000000022</v>
      </c>
      <c r="I73" s="51">
        <v>798637</v>
      </c>
      <c r="J73" s="52" t="s">
        <v>177</v>
      </c>
      <c r="K73" s="61" t="s">
        <v>13</v>
      </c>
      <c r="L73" s="52" t="s">
        <v>14</v>
      </c>
      <c r="M73" s="10"/>
      <c r="N73" s="35">
        <v>45881</v>
      </c>
    </row>
    <row r="74" spans="1:17" x14ac:dyDescent="0.25">
      <c r="A74" s="10">
        <v>71</v>
      </c>
      <c r="B74" s="10">
        <v>3227</v>
      </c>
      <c r="C74" s="12" t="s">
        <v>178</v>
      </c>
      <c r="D74" s="13">
        <v>149.1</v>
      </c>
      <c r="E74" s="14">
        <v>0.3</v>
      </c>
      <c r="F74" s="14">
        <f t="shared" si="2"/>
        <v>44.73</v>
      </c>
      <c r="G74" s="14">
        <v>42.46</v>
      </c>
      <c r="H74" s="14">
        <f t="shared" si="3"/>
        <v>2.269999999999996</v>
      </c>
      <c r="I74" s="51">
        <v>15214649</v>
      </c>
      <c r="J74" s="63" t="s">
        <v>179</v>
      </c>
      <c r="K74" s="61" t="s">
        <v>13</v>
      </c>
      <c r="L74" s="52" t="s">
        <v>14</v>
      </c>
      <c r="M74" s="10">
        <v>92171914</v>
      </c>
      <c r="N74" s="34" t="s">
        <v>38</v>
      </c>
    </row>
    <row r="75" spans="1:17" x14ac:dyDescent="0.25">
      <c r="A75" s="10">
        <v>72</v>
      </c>
      <c r="B75" s="10">
        <v>3228</v>
      </c>
      <c r="C75" s="12" t="s">
        <v>180</v>
      </c>
      <c r="D75" s="13">
        <v>418</v>
      </c>
      <c r="E75" s="14">
        <v>0.3</v>
      </c>
      <c r="F75" s="14">
        <f t="shared" si="2"/>
        <v>125.39999999999999</v>
      </c>
      <c r="G75" s="14"/>
      <c r="H75" s="14">
        <f t="shared" si="3"/>
        <v>125.39999999999999</v>
      </c>
      <c r="I75" s="10">
        <v>1307775</v>
      </c>
      <c r="J75" s="28" t="s">
        <v>181</v>
      </c>
      <c r="K75" s="18" t="s">
        <v>28</v>
      </c>
      <c r="L75" s="18" t="s">
        <v>29</v>
      </c>
      <c r="M75" s="10">
        <v>99484101</v>
      </c>
      <c r="N75" s="18"/>
    </row>
    <row r="76" spans="1:17" x14ac:dyDescent="0.25">
      <c r="A76" s="10">
        <v>73</v>
      </c>
      <c r="B76" s="10">
        <v>3229</v>
      </c>
      <c r="C76" s="12" t="s">
        <v>182</v>
      </c>
      <c r="D76" s="13">
        <v>328</v>
      </c>
      <c r="E76" s="14">
        <v>0.3</v>
      </c>
      <c r="F76" s="14">
        <f t="shared" si="2"/>
        <v>98.399999999999991</v>
      </c>
      <c r="G76" s="14"/>
      <c r="H76" s="14">
        <f t="shared" si="3"/>
        <v>98.399999999999991</v>
      </c>
      <c r="I76" s="10">
        <v>6370978</v>
      </c>
      <c r="J76" s="28" t="s">
        <v>183</v>
      </c>
      <c r="K76" s="16" t="s">
        <v>13</v>
      </c>
      <c r="L76" s="17" t="s">
        <v>14</v>
      </c>
      <c r="M76" s="10">
        <v>99485611</v>
      </c>
      <c r="N76" s="18"/>
    </row>
    <row r="77" spans="1:17" x14ac:dyDescent="0.25">
      <c r="A77" s="10">
        <v>74</v>
      </c>
      <c r="B77" s="10">
        <v>3230</v>
      </c>
      <c r="C77" s="12" t="s">
        <v>184</v>
      </c>
      <c r="D77" s="13">
        <v>291</v>
      </c>
      <c r="E77" s="14">
        <v>0.3</v>
      </c>
      <c r="F77" s="14">
        <f t="shared" si="2"/>
        <v>87.3</v>
      </c>
      <c r="G77" s="14"/>
      <c r="H77" s="14">
        <f t="shared" si="3"/>
        <v>87.3</v>
      </c>
      <c r="I77" s="10">
        <v>1968755</v>
      </c>
      <c r="J77" s="17" t="s">
        <v>185</v>
      </c>
      <c r="K77" s="16" t="s">
        <v>13</v>
      </c>
      <c r="L77" s="17" t="s">
        <v>14</v>
      </c>
      <c r="M77" s="10"/>
      <c r="N77" s="18"/>
    </row>
    <row r="78" spans="1:17" x14ac:dyDescent="0.25">
      <c r="A78" s="10">
        <v>75</v>
      </c>
      <c r="B78" s="10">
        <v>3231</v>
      </c>
      <c r="C78" s="12" t="s">
        <v>186</v>
      </c>
      <c r="D78" s="13">
        <v>390</v>
      </c>
      <c r="E78" s="14">
        <v>0.3</v>
      </c>
      <c r="F78" s="14">
        <f t="shared" si="2"/>
        <v>117</v>
      </c>
      <c r="G78" s="14"/>
      <c r="H78" s="14">
        <f t="shared" si="3"/>
        <v>117</v>
      </c>
      <c r="I78" s="10">
        <v>6203903</v>
      </c>
      <c r="J78" s="28" t="s">
        <v>187</v>
      </c>
      <c r="K78" s="18" t="s">
        <v>28</v>
      </c>
      <c r="L78" s="18" t="s">
        <v>29</v>
      </c>
      <c r="M78" s="10">
        <v>92535588</v>
      </c>
      <c r="N78" s="18"/>
    </row>
    <row r="79" spans="1:17" s="20" customFormat="1" x14ac:dyDescent="0.25">
      <c r="A79" s="36">
        <v>76</v>
      </c>
      <c r="B79" s="36">
        <v>3232</v>
      </c>
      <c r="C79" s="37" t="s">
        <v>188</v>
      </c>
      <c r="D79" s="38">
        <v>180</v>
      </c>
      <c r="E79" s="39">
        <v>0.3</v>
      </c>
      <c r="F79" s="39">
        <f t="shared" si="2"/>
        <v>54</v>
      </c>
      <c r="G79" s="39">
        <v>1.3300000000000096</v>
      </c>
      <c r="H79" s="39">
        <f t="shared" si="3"/>
        <v>52.669999999999987</v>
      </c>
      <c r="I79" s="36">
        <v>6387264</v>
      </c>
      <c r="J79" s="64" t="s">
        <v>189</v>
      </c>
      <c r="K79" s="49" t="s">
        <v>190</v>
      </c>
      <c r="L79" s="64" t="s">
        <v>191</v>
      </c>
      <c r="M79" s="36">
        <v>96661076</v>
      </c>
      <c r="N79" s="35">
        <v>45881</v>
      </c>
    </row>
    <row r="80" spans="1:17" x14ac:dyDescent="0.25">
      <c r="A80" s="10">
        <v>77</v>
      </c>
      <c r="B80" s="10">
        <v>3234</v>
      </c>
      <c r="C80" s="12" t="s">
        <v>192</v>
      </c>
      <c r="D80" s="13">
        <v>386.2</v>
      </c>
      <c r="E80" s="14">
        <v>0.3</v>
      </c>
      <c r="F80" s="14">
        <f t="shared" si="2"/>
        <v>115.85999999999999</v>
      </c>
      <c r="G80" s="14"/>
      <c r="H80" s="14">
        <f t="shared" si="3"/>
        <v>115.85999999999999</v>
      </c>
      <c r="I80" s="10">
        <v>21834239</v>
      </c>
      <c r="J80" s="28" t="s">
        <v>193</v>
      </c>
      <c r="K80" s="16" t="s">
        <v>13</v>
      </c>
      <c r="L80" s="17" t="s">
        <v>14</v>
      </c>
      <c r="M80" s="10">
        <v>98135444</v>
      </c>
      <c r="N80" s="18"/>
    </row>
    <row r="81" spans="1:15" x14ac:dyDescent="0.25">
      <c r="A81" s="10">
        <v>78</v>
      </c>
      <c r="B81" s="10">
        <v>3235</v>
      </c>
      <c r="C81" s="12" t="s">
        <v>194</v>
      </c>
      <c r="D81" s="13">
        <v>435</v>
      </c>
      <c r="E81" s="14">
        <v>0.3</v>
      </c>
      <c r="F81" s="14">
        <f t="shared" si="2"/>
        <v>130.5</v>
      </c>
      <c r="G81" s="14"/>
      <c r="H81" s="14">
        <f t="shared" si="3"/>
        <v>130.5</v>
      </c>
      <c r="I81" s="10">
        <v>1234245</v>
      </c>
      <c r="J81" s="28" t="s">
        <v>195</v>
      </c>
      <c r="K81" s="18" t="s">
        <v>45</v>
      </c>
      <c r="L81" s="17" t="s">
        <v>46</v>
      </c>
      <c r="M81" s="10">
        <v>99487759</v>
      </c>
      <c r="N81" s="18"/>
    </row>
    <row r="82" spans="1:15" s="29" customFormat="1" x14ac:dyDescent="0.25">
      <c r="A82" s="10">
        <v>79</v>
      </c>
      <c r="B82" s="10">
        <v>3236</v>
      </c>
      <c r="C82" s="25" t="s">
        <v>196</v>
      </c>
      <c r="D82" s="22">
        <v>133.30000000000001</v>
      </c>
      <c r="E82" s="14">
        <v>0.3</v>
      </c>
      <c r="F82" s="14">
        <f t="shared" si="2"/>
        <v>39.99</v>
      </c>
      <c r="G82" s="14">
        <v>34.29</v>
      </c>
      <c r="H82" s="14">
        <f t="shared" si="3"/>
        <v>5.7000000000000028</v>
      </c>
      <c r="I82" s="65">
        <v>6733333</v>
      </c>
      <c r="J82" s="55" t="s">
        <v>197</v>
      </c>
      <c r="K82" s="19" t="s">
        <v>13</v>
      </c>
      <c r="L82" s="55" t="s">
        <v>14</v>
      </c>
      <c r="M82" s="10"/>
      <c r="N82" s="34" t="s">
        <v>38</v>
      </c>
    </row>
    <row r="83" spans="1:15" s="20" customFormat="1" x14ac:dyDescent="0.25">
      <c r="A83" s="36">
        <v>80</v>
      </c>
      <c r="B83" s="36">
        <v>3237</v>
      </c>
      <c r="C83" s="37" t="s">
        <v>198</v>
      </c>
      <c r="D83" s="38">
        <v>448.6</v>
      </c>
      <c r="E83" s="39">
        <v>0.3</v>
      </c>
      <c r="F83" s="39">
        <f t="shared" si="2"/>
        <v>134.58000000000001</v>
      </c>
      <c r="G83" s="39">
        <f>3.23999999999997+128.7</f>
        <v>131.93999999999997</v>
      </c>
      <c r="H83" s="39">
        <f t="shared" si="3"/>
        <v>2.6400000000000432</v>
      </c>
      <c r="I83" s="36">
        <v>873637</v>
      </c>
      <c r="J83" s="46" t="s">
        <v>199</v>
      </c>
      <c r="K83" s="34" t="s">
        <v>21</v>
      </c>
      <c r="L83" s="46" t="s">
        <v>22</v>
      </c>
      <c r="M83" s="36">
        <v>97659667</v>
      </c>
      <c r="N83" s="34" t="s">
        <v>88</v>
      </c>
      <c r="O83" s="34" t="s">
        <v>38</v>
      </c>
    </row>
    <row r="84" spans="1:15" s="29" customFormat="1" x14ac:dyDescent="0.25">
      <c r="A84" s="10">
        <v>81</v>
      </c>
      <c r="B84" s="10">
        <v>3238</v>
      </c>
      <c r="C84" s="25" t="s">
        <v>200</v>
      </c>
      <c r="D84" s="22">
        <v>188.9</v>
      </c>
      <c r="E84" s="14">
        <v>0.3</v>
      </c>
      <c r="F84" s="14">
        <f t="shared" si="2"/>
        <v>56.67</v>
      </c>
      <c r="G84" s="14"/>
      <c r="H84" s="14">
        <f t="shared" si="3"/>
        <v>56.67</v>
      </c>
      <c r="I84" s="65">
        <v>5361082</v>
      </c>
      <c r="J84" s="66" t="s">
        <v>201</v>
      </c>
      <c r="K84" s="33" t="s">
        <v>13</v>
      </c>
      <c r="L84" s="55" t="s">
        <v>14</v>
      </c>
      <c r="M84" s="10"/>
      <c r="N84" s="60">
        <v>44621</v>
      </c>
    </row>
    <row r="85" spans="1:15" x14ac:dyDescent="0.25">
      <c r="A85" s="10">
        <v>82</v>
      </c>
      <c r="B85" s="10">
        <v>3239</v>
      </c>
      <c r="C85" s="12" t="s">
        <v>202</v>
      </c>
      <c r="D85" s="13">
        <v>228.6</v>
      </c>
      <c r="E85" s="14">
        <v>0.3</v>
      </c>
      <c r="F85" s="14">
        <f t="shared" si="2"/>
        <v>68.58</v>
      </c>
      <c r="G85" s="14"/>
      <c r="H85" s="14">
        <f t="shared" si="3"/>
        <v>68.58</v>
      </c>
      <c r="I85" s="10">
        <v>14379226</v>
      </c>
      <c r="J85" s="28" t="s">
        <v>203</v>
      </c>
      <c r="K85" s="16" t="s">
        <v>13</v>
      </c>
      <c r="L85" s="17" t="s">
        <v>14</v>
      </c>
      <c r="M85" s="10">
        <v>92385524</v>
      </c>
      <c r="N85" s="18"/>
    </row>
    <row r="86" spans="1:15" x14ac:dyDescent="0.25">
      <c r="A86" s="10">
        <v>83</v>
      </c>
      <c r="B86" s="10">
        <v>3240</v>
      </c>
      <c r="C86" s="12" t="s">
        <v>204</v>
      </c>
      <c r="D86" s="13">
        <v>384.1</v>
      </c>
      <c r="E86" s="14">
        <v>0.3</v>
      </c>
      <c r="F86" s="14">
        <f t="shared" si="2"/>
        <v>115.23</v>
      </c>
      <c r="G86" s="14">
        <v>114.44000000000001</v>
      </c>
      <c r="H86" s="14">
        <f t="shared" si="3"/>
        <v>0.78999999999999204</v>
      </c>
      <c r="I86" s="10">
        <v>5622856</v>
      </c>
      <c r="J86" s="28" t="s">
        <v>205</v>
      </c>
      <c r="K86" s="18" t="s">
        <v>109</v>
      </c>
      <c r="L86" s="17" t="s">
        <v>110</v>
      </c>
      <c r="M86" s="10">
        <v>92400553</v>
      </c>
      <c r="N86" s="34" t="s">
        <v>38</v>
      </c>
    </row>
    <row r="87" spans="1:15" x14ac:dyDescent="0.25">
      <c r="A87" s="10">
        <v>84</v>
      </c>
      <c r="B87" s="10">
        <v>3241</v>
      </c>
      <c r="C87" s="12" t="s">
        <v>206</v>
      </c>
      <c r="D87" s="13">
        <v>85.3</v>
      </c>
      <c r="E87" s="14">
        <v>0.3</v>
      </c>
      <c r="F87" s="14">
        <f t="shared" si="2"/>
        <v>25.59</v>
      </c>
      <c r="G87" s="14"/>
      <c r="H87" s="14">
        <f t="shared" si="3"/>
        <v>25.59</v>
      </c>
      <c r="I87" s="10">
        <v>21125518</v>
      </c>
      <c r="J87" s="28" t="s">
        <v>207</v>
      </c>
      <c r="K87" s="16" t="s">
        <v>13</v>
      </c>
      <c r="L87" s="17" t="s">
        <v>14</v>
      </c>
      <c r="M87" s="10">
        <v>99508853</v>
      </c>
      <c r="N87" s="18"/>
    </row>
    <row r="88" spans="1:15" x14ac:dyDescent="0.25">
      <c r="A88" s="10">
        <v>85</v>
      </c>
      <c r="B88" s="10">
        <v>3243</v>
      </c>
      <c r="C88" s="12" t="s">
        <v>208</v>
      </c>
      <c r="D88" s="13">
        <v>149.80000000000001</v>
      </c>
      <c r="E88" s="14">
        <v>0.3</v>
      </c>
      <c r="F88" s="14">
        <f t="shared" si="2"/>
        <v>44.940000000000005</v>
      </c>
      <c r="G88" s="14">
        <v>41.777999999999999</v>
      </c>
      <c r="H88" s="14">
        <f t="shared" si="3"/>
        <v>3.1620000000000061</v>
      </c>
      <c r="I88" s="10">
        <v>25887256</v>
      </c>
      <c r="J88" s="28" t="s">
        <v>209</v>
      </c>
      <c r="K88" s="16" t="s">
        <v>13</v>
      </c>
      <c r="L88" s="17" t="s">
        <v>14</v>
      </c>
      <c r="M88" s="10">
        <v>93271871</v>
      </c>
      <c r="N88" s="34" t="s">
        <v>85</v>
      </c>
    </row>
    <row r="89" spans="1:15" x14ac:dyDescent="0.25">
      <c r="A89" s="10">
        <v>86</v>
      </c>
      <c r="B89" s="10">
        <v>3244</v>
      </c>
      <c r="C89" s="12" t="s">
        <v>210</v>
      </c>
      <c r="D89" s="13">
        <v>176.3</v>
      </c>
      <c r="E89" s="14">
        <v>0.3</v>
      </c>
      <c r="F89" s="14">
        <f t="shared" si="2"/>
        <v>52.89</v>
      </c>
      <c r="G89" s="14"/>
      <c r="H89" s="14">
        <f t="shared" si="3"/>
        <v>52.89</v>
      </c>
      <c r="I89" s="10">
        <v>19340943</v>
      </c>
      <c r="J89" s="28" t="s">
        <v>211</v>
      </c>
      <c r="K89" s="16" t="s">
        <v>13</v>
      </c>
      <c r="L89" s="17" t="s">
        <v>14</v>
      </c>
      <c r="M89" s="10">
        <v>92594446</v>
      </c>
      <c r="N89" s="18"/>
    </row>
    <row r="90" spans="1:15" x14ac:dyDescent="0.25">
      <c r="A90" s="10">
        <v>87</v>
      </c>
      <c r="B90" s="10">
        <v>3245</v>
      </c>
      <c r="C90" s="12" t="s">
        <v>212</v>
      </c>
      <c r="D90" s="13">
        <v>152.69999999999999</v>
      </c>
      <c r="E90" s="14">
        <v>0.3</v>
      </c>
      <c r="F90" s="14">
        <f t="shared" si="2"/>
        <v>45.809999999999995</v>
      </c>
      <c r="G90" s="14">
        <v>43.5</v>
      </c>
      <c r="H90" s="14">
        <f t="shared" si="3"/>
        <v>2.3099999999999952</v>
      </c>
      <c r="I90" s="67" t="s">
        <v>213</v>
      </c>
      <c r="J90" s="17" t="s">
        <v>214</v>
      </c>
      <c r="K90" s="18" t="s">
        <v>21</v>
      </c>
      <c r="L90" s="17" t="s">
        <v>22</v>
      </c>
      <c r="M90" s="10">
        <v>99699068</v>
      </c>
      <c r="N90" s="34" t="s">
        <v>38</v>
      </c>
    </row>
    <row r="91" spans="1:15" x14ac:dyDescent="0.25">
      <c r="A91" s="10">
        <v>88</v>
      </c>
      <c r="B91" s="10">
        <v>3246</v>
      </c>
      <c r="C91" s="12" t="s">
        <v>215</v>
      </c>
      <c r="D91" s="13">
        <v>181.1</v>
      </c>
      <c r="E91" s="14">
        <v>0.3</v>
      </c>
      <c r="F91" s="14">
        <f t="shared" si="2"/>
        <v>54.33</v>
      </c>
      <c r="G91" s="14"/>
      <c r="H91" s="14">
        <f t="shared" si="3"/>
        <v>54.33</v>
      </c>
      <c r="I91" s="10">
        <v>662648</v>
      </c>
      <c r="J91" s="28" t="s">
        <v>216</v>
      </c>
      <c r="K91" s="16" t="s">
        <v>13</v>
      </c>
      <c r="L91" s="17" t="s">
        <v>14</v>
      </c>
      <c r="M91" s="10">
        <v>99498382</v>
      </c>
      <c r="N91" s="18"/>
    </row>
    <row r="92" spans="1:15" x14ac:dyDescent="0.25">
      <c r="A92" s="10">
        <v>89</v>
      </c>
      <c r="B92" s="10">
        <v>3247</v>
      </c>
      <c r="C92" s="12" t="s">
        <v>217</v>
      </c>
      <c r="D92" s="13">
        <v>194.2</v>
      </c>
      <c r="E92" s="14">
        <v>0.3</v>
      </c>
      <c r="F92" s="14">
        <f t="shared" si="2"/>
        <v>58.259999999999991</v>
      </c>
      <c r="G92" s="14"/>
      <c r="H92" s="14">
        <f t="shared" si="3"/>
        <v>58.259999999999991</v>
      </c>
      <c r="I92" s="10">
        <v>6457783</v>
      </c>
      <c r="J92" s="17" t="s">
        <v>218</v>
      </c>
      <c r="K92" s="16" t="s">
        <v>13</v>
      </c>
      <c r="L92" s="24" t="s">
        <v>14</v>
      </c>
      <c r="M92" s="10">
        <v>92594442</v>
      </c>
      <c r="N92" s="18"/>
    </row>
    <row r="93" spans="1:15" x14ac:dyDescent="0.25">
      <c r="A93" s="10">
        <v>90</v>
      </c>
      <c r="B93" s="10">
        <v>3248</v>
      </c>
      <c r="C93" s="12" t="s">
        <v>219</v>
      </c>
      <c r="D93" s="13">
        <v>176.5</v>
      </c>
      <c r="E93" s="14">
        <v>0.3</v>
      </c>
      <c r="F93" s="14">
        <f t="shared" si="2"/>
        <v>52.949999999999996</v>
      </c>
      <c r="G93" s="14"/>
      <c r="H93" s="14">
        <f t="shared" si="3"/>
        <v>52.949999999999996</v>
      </c>
      <c r="I93" s="10">
        <v>18811851</v>
      </c>
      <c r="J93" s="28" t="s">
        <v>220</v>
      </c>
      <c r="K93" s="16" t="s">
        <v>13</v>
      </c>
      <c r="L93" s="17" t="s">
        <v>14</v>
      </c>
      <c r="M93" s="10">
        <v>92597556</v>
      </c>
      <c r="N93" s="18"/>
    </row>
    <row r="94" spans="1:15" s="20" customFormat="1" x14ac:dyDescent="0.25">
      <c r="A94" s="36">
        <v>91</v>
      </c>
      <c r="B94" s="36">
        <v>3249</v>
      </c>
      <c r="C94" s="37" t="s">
        <v>221</v>
      </c>
      <c r="D94" s="38">
        <v>390</v>
      </c>
      <c r="E94" s="39">
        <v>0.3</v>
      </c>
      <c r="F94" s="39">
        <f t="shared" si="2"/>
        <v>117</v>
      </c>
      <c r="G94" s="39">
        <v>115.85</v>
      </c>
      <c r="H94" s="39">
        <f t="shared" si="3"/>
        <v>1.1500000000000057</v>
      </c>
      <c r="I94" s="36">
        <v>24540784</v>
      </c>
      <c r="J94" s="58" t="s">
        <v>222</v>
      </c>
      <c r="K94" s="34" t="s">
        <v>13</v>
      </c>
      <c r="L94" s="46" t="s">
        <v>14</v>
      </c>
      <c r="M94" s="36">
        <v>99693301</v>
      </c>
      <c r="N94" s="34" t="s">
        <v>85</v>
      </c>
    </row>
    <row r="95" spans="1:15" s="20" customFormat="1" x14ac:dyDescent="0.25">
      <c r="A95" s="36">
        <v>92</v>
      </c>
      <c r="B95" s="36">
        <v>3251</v>
      </c>
      <c r="C95" s="37" t="s">
        <v>223</v>
      </c>
      <c r="D95" s="38">
        <v>210</v>
      </c>
      <c r="E95" s="39">
        <v>0.3</v>
      </c>
      <c r="F95" s="39">
        <f t="shared" si="2"/>
        <v>63</v>
      </c>
      <c r="G95" s="39">
        <v>0.69000000000000561</v>
      </c>
      <c r="H95" s="39">
        <f t="shared" si="3"/>
        <v>62.309999999999995</v>
      </c>
      <c r="I95" s="36">
        <v>6420681</v>
      </c>
      <c r="J95" s="45" t="s">
        <v>224</v>
      </c>
      <c r="K95" s="49" t="s">
        <v>13</v>
      </c>
      <c r="L95" s="46" t="s">
        <v>14</v>
      </c>
      <c r="M95" s="36">
        <v>99588744</v>
      </c>
      <c r="N95" s="35">
        <v>46002</v>
      </c>
    </row>
    <row r="96" spans="1:15" s="29" customFormat="1" x14ac:dyDescent="0.25">
      <c r="A96" s="10">
        <v>93</v>
      </c>
      <c r="B96" s="10">
        <v>3252</v>
      </c>
      <c r="C96" s="25" t="s">
        <v>225</v>
      </c>
      <c r="D96" s="22">
        <v>89.3</v>
      </c>
      <c r="E96" s="14">
        <v>0.3</v>
      </c>
      <c r="F96" s="14">
        <f t="shared" si="2"/>
        <v>26.79</v>
      </c>
      <c r="G96" s="14">
        <f>F96</f>
        <v>26.79</v>
      </c>
      <c r="H96" s="14">
        <f t="shared" si="3"/>
        <v>0</v>
      </c>
      <c r="I96" s="10">
        <v>460074</v>
      </c>
      <c r="J96" s="68" t="s">
        <v>226</v>
      </c>
      <c r="K96" s="68" t="s">
        <v>13</v>
      </c>
      <c r="L96" s="17" t="s">
        <v>14</v>
      </c>
      <c r="M96" s="10">
        <v>99292354</v>
      </c>
      <c r="N96" s="69" t="s">
        <v>227</v>
      </c>
    </row>
    <row r="97" spans="1:15" x14ac:dyDescent="0.25">
      <c r="A97" s="10">
        <v>94</v>
      </c>
      <c r="B97" s="10">
        <v>3253</v>
      </c>
      <c r="C97" s="12" t="s">
        <v>228</v>
      </c>
      <c r="D97" s="13">
        <v>419</v>
      </c>
      <c r="E97" s="14">
        <v>0.3</v>
      </c>
      <c r="F97" s="14">
        <f t="shared" si="2"/>
        <v>125.69999999999999</v>
      </c>
      <c r="G97" s="14">
        <v>123.41000000000001</v>
      </c>
      <c r="H97" s="14">
        <f t="shared" si="3"/>
        <v>2.2899999999999778</v>
      </c>
      <c r="I97" s="10">
        <v>25887589</v>
      </c>
      <c r="J97" s="28" t="s">
        <v>229</v>
      </c>
      <c r="K97" s="16" t="s">
        <v>13</v>
      </c>
      <c r="L97" s="17" t="s">
        <v>14</v>
      </c>
      <c r="M97" s="10">
        <v>93995997</v>
      </c>
      <c r="N97" s="34" t="s">
        <v>85</v>
      </c>
    </row>
    <row r="98" spans="1:15" x14ac:dyDescent="0.25">
      <c r="A98" s="10">
        <v>95</v>
      </c>
      <c r="B98" s="10">
        <v>3254</v>
      </c>
      <c r="C98" s="12" t="s">
        <v>230</v>
      </c>
      <c r="D98" s="13">
        <v>383.9</v>
      </c>
      <c r="E98" s="14">
        <v>0.3</v>
      </c>
      <c r="F98" s="14">
        <f t="shared" si="2"/>
        <v>115.16999999999999</v>
      </c>
      <c r="G98" s="14"/>
      <c r="H98" s="14">
        <f t="shared" si="3"/>
        <v>115.16999999999999</v>
      </c>
      <c r="I98" s="10">
        <v>6668983</v>
      </c>
      <c r="J98" s="28" t="s">
        <v>231</v>
      </c>
      <c r="K98" s="16" t="s">
        <v>13</v>
      </c>
      <c r="L98" s="17" t="s">
        <v>14</v>
      </c>
      <c r="M98" s="10">
        <v>92321002</v>
      </c>
      <c r="N98" s="18"/>
    </row>
    <row r="99" spans="1:15" x14ac:dyDescent="0.25">
      <c r="A99" s="10">
        <v>96</v>
      </c>
      <c r="B99" s="10">
        <v>3255</v>
      </c>
      <c r="C99" s="12" t="s">
        <v>232</v>
      </c>
      <c r="D99" s="13">
        <v>280.7</v>
      </c>
      <c r="E99" s="14">
        <v>0.3</v>
      </c>
      <c r="F99" s="14">
        <f t="shared" si="2"/>
        <v>84.21</v>
      </c>
      <c r="G99" s="14"/>
      <c r="H99" s="14">
        <f t="shared" si="3"/>
        <v>84.21</v>
      </c>
      <c r="I99" s="10">
        <v>5851949</v>
      </c>
      <c r="J99" s="17" t="s">
        <v>233</v>
      </c>
      <c r="K99" s="16" t="s">
        <v>45</v>
      </c>
      <c r="L99" s="24" t="s">
        <v>46</v>
      </c>
      <c r="M99" s="10"/>
      <c r="N99" s="18"/>
    </row>
    <row r="100" spans="1:15" s="20" customFormat="1" x14ac:dyDescent="0.25">
      <c r="A100" s="36">
        <v>97</v>
      </c>
      <c r="B100" s="36">
        <v>3256</v>
      </c>
      <c r="C100" s="37" t="s">
        <v>234</v>
      </c>
      <c r="D100" s="38">
        <v>1318.7</v>
      </c>
      <c r="E100" s="39">
        <v>0.3</v>
      </c>
      <c r="F100" s="39">
        <f t="shared" si="2"/>
        <v>395.61</v>
      </c>
      <c r="G100" s="39">
        <f>1.54000000000003+389.5</f>
        <v>391.04</v>
      </c>
      <c r="H100" s="39">
        <f t="shared" si="3"/>
        <v>4.5699999999999932</v>
      </c>
      <c r="I100" s="36">
        <v>6147152</v>
      </c>
      <c r="J100" s="45" t="s">
        <v>235</v>
      </c>
      <c r="K100" s="34" t="s">
        <v>236</v>
      </c>
      <c r="L100" s="46" t="s">
        <v>237</v>
      </c>
      <c r="M100" s="36">
        <v>99889778</v>
      </c>
      <c r="N100" s="35">
        <v>45941</v>
      </c>
      <c r="O100" s="34" t="s">
        <v>38</v>
      </c>
    </row>
    <row r="101" spans="1:15" x14ac:dyDescent="0.25">
      <c r="A101" s="10">
        <v>98</v>
      </c>
      <c r="B101" s="10">
        <v>3258</v>
      </c>
      <c r="C101" s="12" t="s">
        <v>238</v>
      </c>
      <c r="D101" s="13">
        <v>595.5</v>
      </c>
      <c r="E101" s="14">
        <v>0.3</v>
      </c>
      <c r="F101" s="14">
        <f t="shared" si="2"/>
        <v>178.65</v>
      </c>
      <c r="G101" s="14"/>
      <c r="H101" s="14">
        <f t="shared" si="3"/>
        <v>178.65</v>
      </c>
      <c r="I101" s="10">
        <v>15335306</v>
      </c>
      <c r="J101" s="28" t="s">
        <v>239</v>
      </c>
      <c r="K101" s="18" t="s">
        <v>45</v>
      </c>
      <c r="L101" s="17" t="s">
        <v>46</v>
      </c>
      <c r="M101" s="10">
        <v>99772646</v>
      </c>
      <c r="N101" s="18"/>
    </row>
    <row r="102" spans="1:15" x14ac:dyDescent="0.25">
      <c r="A102" s="10">
        <v>99</v>
      </c>
      <c r="B102" s="10">
        <v>3260</v>
      </c>
      <c r="C102" s="12" t="s">
        <v>240</v>
      </c>
      <c r="D102" s="13">
        <v>205.6</v>
      </c>
      <c r="E102" s="14">
        <v>0.3</v>
      </c>
      <c r="F102" s="14">
        <f t="shared" si="2"/>
        <v>61.679999999999993</v>
      </c>
      <c r="G102" s="14">
        <v>3.3399999999999985</v>
      </c>
      <c r="H102" s="14">
        <f t="shared" si="3"/>
        <v>58.339999999999996</v>
      </c>
      <c r="I102" s="10">
        <v>19361936</v>
      </c>
      <c r="J102" s="52" t="s">
        <v>241</v>
      </c>
      <c r="K102" s="18" t="s">
        <v>13</v>
      </c>
      <c r="L102" s="52" t="s">
        <v>14</v>
      </c>
      <c r="M102" s="10">
        <v>99550633</v>
      </c>
      <c r="N102" s="35">
        <v>46002</v>
      </c>
    </row>
    <row r="103" spans="1:15" x14ac:dyDescent="0.25">
      <c r="A103" s="10">
        <v>100</v>
      </c>
      <c r="B103" s="10">
        <v>3261</v>
      </c>
      <c r="C103" s="12" t="s">
        <v>242</v>
      </c>
      <c r="D103" s="13">
        <v>182</v>
      </c>
      <c r="E103" s="14">
        <v>0.3</v>
      </c>
      <c r="F103" s="14">
        <f t="shared" si="2"/>
        <v>54.6</v>
      </c>
      <c r="G103" s="14"/>
      <c r="H103" s="14">
        <f t="shared" si="3"/>
        <v>54.6</v>
      </c>
      <c r="I103" s="10">
        <v>8124516</v>
      </c>
      <c r="J103" s="28" t="s">
        <v>243</v>
      </c>
      <c r="K103" s="16" t="s">
        <v>13</v>
      </c>
      <c r="L103" s="17" t="s">
        <v>14</v>
      </c>
      <c r="M103" s="10">
        <v>92661167</v>
      </c>
      <c r="N103" s="18"/>
    </row>
    <row r="104" spans="1:15" s="73" customFormat="1" x14ac:dyDescent="0.25">
      <c r="A104" s="31">
        <v>101</v>
      </c>
      <c r="B104" s="31">
        <v>3262</v>
      </c>
      <c r="C104" s="70" t="s">
        <v>244</v>
      </c>
      <c r="D104" s="71">
        <v>211.8</v>
      </c>
      <c r="E104" s="14">
        <v>0.3</v>
      </c>
      <c r="F104" s="72">
        <f t="shared" si="2"/>
        <v>63.54</v>
      </c>
      <c r="G104" s="72"/>
      <c r="H104" s="14">
        <f t="shared" si="3"/>
        <v>63.54</v>
      </c>
      <c r="I104" s="31">
        <v>1483142</v>
      </c>
      <c r="J104" s="53" t="s">
        <v>245</v>
      </c>
      <c r="K104" s="32" t="s">
        <v>21</v>
      </c>
      <c r="L104" s="68" t="s">
        <v>22</v>
      </c>
      <c r="M104" s="31">
        <v>99499613</v>
      </c>
      <c r="N104" s="32"/>
    </row>
    <row r="105" spans="1:15" x14ac:dyDescent="0.25">
      <c r="A105" s="10">
        <v>102</v>
      </c>
      <c r="B105" s="10">
        <v>3263</v>
      </c>
      <c r="C105" s="12" t="s">
        <v>246</v>
      </c>
      <c r="D105" s="13">
        <v>289.5</v>
      </c>
      <c r="E105" s="14">
        <v>0.3</v>
      </c>
      <c r="F105" s="14">
        <f t="shared" si="2"/>
        <v>86.85</v>
      </c>
      <c r="G105" s="14"/>
      <c r="H105" s="14">
        <f t="shared" si="3"/>
        <v>86.85</v>
      </c>
      <c r="I105" s="10">
        <v>986981</v>
      </c>
      <c r="J105" s="17" t="s">
        <v>247</v>
      </c>
      <c r="K105" s="18" t="s">
        <v>45</v>
      </c>
      <c r="L105" s="17" t="s">
        <v>46</v>
      </c>
      <c r="M105" s="10">
        <v>99667979</v>
      </c>
      <c r="N105" s="18"/>
    </row>
    <row r="106" spans="1:15" x14ac:dyDescent="0.25">
      <c r="A106" s="10">
        <v>103</v>
      </c>
      <c r="B106" s="10">
        <v>3266</v>
      </c>
      <c r="C106" s="12" t="s">
        <v>248</v>
      </c>
      <c r="D106" s="13">
        <v>432</v>
      </c>
      <c r="E106" s="14">
        <v>0.3</v>
      </c>
      <c r="F106" s="14">
        <f t="shared" si="2"/>
        <v>129.6</v>
      </c>
      <c r="G106" s="14"/>
      <c r="H106" s="14">
        <f t="shared" si="3"/>
        <v>129.6</v>
      </c>
      <c r="I106" s="10">
        <v>25891616</v>
      </c>
      <c r="J106" s="28" t="s">
        <v>249</v>
      </c>
      <c r="K106" s="16" t="s">
        <v>13</v>
      </c>
      <c r="L106" s="17" t="s">
        <v>14</v>
      </c>
      <c r="M106" s="10">
        <v>99157779</v>
      </c>
      <c r="N106" s="18"/>
    </row>
    <row r="107" spans="1:15" x14ac:dyDescent="0.25">
      <c r="A107" s="10">
        <v>104</v>
      </c>
      <c r="B107" s="10">
        <v>3268</v>
      </c>
      <c r="C107" s="12" t="s">
        <v>250</v>
      </c>
      <c r="D107" s="13">
        <v>555.4</v>
      </c>
      <c r="E107" s="14">
        <v>0.3</v>
      </c>
      <c r="F107" s="14">
        <f t="shared" si="2"/>
        <v>166.61999999999998</v>
      </c>
      <c r="G107" s="14"/>
      <c r="H107" s="14">
        <f t="shared" si="3"/>
        <v>166.61999999999998</v>
      </c>
      <c r="I107" s="51">
        <v>22373123</v>
      </c>
      <c r="J107" s="52" t="s">
        <v>251</v>
      </c>
      <c r="K107" s="61" t="s">
        <v>13</v>
      </c>
      <c r="L107" s="52" t="s">
        <v>14</v>
      </c>
      <c r="M107" s="10"/>
      <c r="N107" s="18"/>
    </row>
    <row r="108" spans="1:15" x14ac:dyDescent="0.25">
      <c r="A108" s="10">
        <v>105</v>
      </c>
      <c r="B108" s="10">
        <v>3269</v>
      </c>
      <c r="C108" s="12" t="s">
        <v>252</v>
      </c>
      <c r="D108" s="22">
        <v>172.1</v>
      </c>
      <c r="E108" s="14">
        <v>0.3</v>
      </c>
      <c r="F108" s="14">
        <f t="shared" si="2"/>
        <v>51.629999999999995</v>
      </c>
      <c r="G108" s="14"/>
      <c r="H108" s="14">
        <f t="shared" si="3"/>
        <v>51.629999999999995</v>
      </c>
      <c r="I108" s="51">
        <v>14052947</v>
      </c>
      <c r="J108" s="52" t="s">
        <v>253</v>
      </c>
      <c r="K108" s="19" t="s">
        <v>190</v>
      </c>
      <c r="L108" s="52" t="s">
        <v>191</v>
      </c>
      <c r="M108" s="10">
        <v>92203300</v>
      </c>
      <c r="N108" s="18"/>
    </row>
    <row r="109" spans="1:15" x14ac:dyDescent="0.25">
      <c r="A109" s="10">
        <v>106</v>
      </c>
      <c r="B109" s="10">
        <v>3270</v>
      </c>
      <c r="C109" s="12" t="s">
        <v>254</v>
      </c>
      <c r="D109" s="13">
        <v>374.5</v>
      </c>
      <c r="E109" s="14">
        <v>0.3</v>
      </c>
      <c r="F109" s="14">
        <f t="shared" si="2"/>
        <v>112.35</v>
      </c>
      <c r="G109" s="14">
        <v>107.82000000000001</v>
      </c>
      <c r="H109" s="14">
        <f t="shared" si="3"/>
        <v>4.5299999999999869</v>
      </c>
      <c r="I109" s="10">
        <v>11242698</v>
      </c>
      <c r="J109" s="28" t="s">
        <v>255</v>
      </c>
      <c r="K109" s="18" t="s">
        <v>28</v>
      </c>
      <c r="L109" s="18" t="s">
        <v>29</v>
      </c>
      <c r="M109" s="10">
        <v>93839955</v>
      </c>
      <c r="N109" s="34" t="s">
        <v>85</v>
      </c>
    </row>
    <row r="110" spans="1:15" x14ac:dyDescent="0.25">
      <c r="A110" s="10">
        <v>107</v>
      </c>
      <c r="B110" s="10">
        <v>3271</v>
      </c>
      <c r="C110" s="74" t="s">
        <v>256</v>
      </c>
      <c r="D110" s="13">
        <v>253.6</v>
      </c>
      <c r="E110" s="14">
        <v>0.3</v>
      </c>
      <c r="F110" s="14">
        <f t="shared" si="2"/>
        <v>76.08</v>
      </c>
      <c r="G110" s="14">
        <v>75.650000000000006</v>
      </c>
      <c r="H110" s="14">
        <f t="shared" si="3"/>
        <v>0.42999999999999261</v>
      </c>
      <c r="I110" s="75">
        <v>24503986</v>
      </c>
      <c r="J110" s="76" t="s">
        <v>257</v>
      </c>
      <c r="K110" s="74" t="s">
        <v>28</v>
      </c>
      <c r="L110" s="77" t="s">
        <v>29</v>
      </c>
      <c r="M110" s="75">
        <v>92235243</v>
      </c>
      <c r="N110" s="34" t="s">
        <v>38</v>
      </c>
    </row>
    <row r="111" spans="1:15" x14ac:dyDescent="0.25">
      <c r="A111" s="10">
        <v>108</v>
      </c>
      <c r="B111" s="10">
        <v>3272</v>
      </c>
      <c r="C111" s="74" t="s">
        <v>258</v>
      </c>
      <c r="D111" s="13">
        <v>92.6</v>
      </c>
      <c r="E111" s="14">
        <v>0.3</v>
      </c>
      <c r="F111" s="14">
        <f t="shared" si="2"/>
        <v>27.779999999999998</v>
      </c>
      <c r="G111" s="14"/>
      <c r="H111" s="14">
        <f t="shared" si="3"/>
        <v>27.779999999999998</v>
      </c>
      <c r="I111" s="75">
        <v>22977225</v>
      </c>
      <c r="J111" s="42" t="s">
        <v>259</v>
      </c>
      <c r="K111" s="74" t="s">
        <v>13</v>
      </c>
      <c r="L111" s="77" t="s">
        <v>14</v>
      </c>
      <c r="M111" s="78"/>
      <c r="N111" s="79"/>
    </row>
    <row r="112" spans="1:15" x14ac:dyDescent="0.25">
      <c r="A112" s="10">
        <v>109</v>
      </c>
      <c r="B112" s="10">
        <v>3273</v>
      </c>
      <c r="C112" s="12" t="s">
        <v>260</v>
      </c>
      <c r="D112" s="13">
        <v>430.9</v>
      </c>
      <c r="E112" s="14">
        <v>0.3</v>
      </c>
      <c r="F112" s="14">
        <f t="shared" si="2"/>
        <v>129.26999999999998</v>
      </c>
      <c r="G112" s="14"/>
      <c r="H112" s="14">
        <f t="shared" si="3"/>
        <v>129.26999999999998</v>
      </c>
      <c r="I112" s="10">
        <v>7047221</v>
      </c>
      <c r="J112" s="28" t="s">
        <v>261</v>
      </c>
      <c r="K112" s="18" t="s">
        <v>28</v>
      </c>
      <c r="L112" s="18" t="s">
        <v>29</v>
      </c>
      <c r="M112" s="10">
        <v>92152241</v>
      </c>
      <c r="N112" s="18"/>
    </row>
    <row r="113" spans="1:15" x14ac:dyDescent="0.25">
      <c r="A113" s="10">
        <v>110</v>
      </c>
      <c r="B113" s="10">
        <v>3277</v>
      </c>
      <c r="C113" s="12" t="s">
        <v>262</v>
      </c>
      <c r="D113" s="13">
        <v>312.10000000000002</v>
      </c>
      <c r="E113" s="14">
        <v>0.3</v>
      </c>
      <c r="F113" s="14">
        <f t="shared" si="2"/>
        <v>93.63000000000001</v>
      </c>
      <c r="G113" s="14"/>
      <c r="H113" s="14">
        <f t="shared" si="3"/>
        <v>93.63000000000001</v>
      </c>
      <c r="I113" s="10">
        <v>14277741</v>
      </c>
      <c r="J113" s="28" t="s">
        <v>263</v>
      </c>
      <c r="K113" s="16" t="s">
        <v>13</v>
      </c>
      <c r="L113" s="17" t="s">
        <v>14</v>
      </c>
      <c r="M113" s="10">
        <v>92160872</v>
      </c>
      <c r="N113" s="18"/>
    </row>
    <row r="114" spans="1:15" x14ac:dyDescent="0.25">
      <c r="A114" s="10">
        <v>111</v>
      </c>
      <c r="B114" s="10">
        <v>3278</v>
      </c>
      <c r="C114" s="12" t="s">
        <v>264</v>
      </c>
      <c r="D114" s="13">
        <v>188.7</v>
      </c>
      <c r="E114" s="14">
        <v>0.3</v>
      </c>
      <c r="F114" s="14">
        <f t="shared" si="2"/>
        <v>56.609999999999992</v>
      </c>
      <c r="G114" s="14"/>
      <c r="H114" s="14">
        <f t="shared" si="3"/>
        <v>56.609999999999992</v>
      </c>
      <c r="I114" s="10">
        <v>27713998</v>
      </c>
      <c r="J114" s="28" t="s">
        <v>265</v>
      </c>
      <c r="K114" s="18" t="s">
        <v>45</v>
      </c>
      <c r="L114" s="17" t="s">
        <v>46</v>
      </c>
      <c r="M114" s="10">
        <v>99257989</v>
      </c>
      <c r="N114" s="18"/>
    </row>
    <row r="115" spans="1:15" s="20" customFormat="1" x14ac:dyDescent="0.25">
      <c r="A115" s="36">
        <v>112</v>
      </c>
      <c r="B115" s="36">
        <v>3279</v>
      </c>
      <c r="C115" s="37" t="s">
        <v>266</v>
      </c>
      <c r="D115" s="38">
        <v>960</v>
      </c>
      <c r="E115" s="39">
        <v>0.3</v>
      </c>
      <c r="F115" s="39">
        <f t="shared" si="2"/>
        <v>288</v>
      </c>
      <c r="G115" s="39">
        <v>287.13</v>
      </c>
      <c r="H115" s="39">
        <f t="shared" si="3"/>
        <v>0.87000000000000455</v>
      </c>
      <c r="I115" s="80">
        <v>20468811</v>
      </c>
      <c r="J115" s="46" t="s">
        <v>222</v>
      </c>
      <c r="K115" s="49" t="s">
        <v>13</v>
      </c>
      <c r="L115" s="46" t="s">
        <v>14</v>
      </c>
      <c r="M115" s="36"/>
      <c r="N115" s="34" t="s">
        <v>85</v>
      </c>
    </row>
    <row r="116" spans="1:15" x14ac:dyDescent="0.25">
      <c r="A116" s="10">
        <v>113</v>
      </c>
      <c r="B116" s="10">
        <v>3280</v>
      </c>
      <c r="C116" s="12" t="s">
        <v>267</v>
      </c>
      <c r="D116" s="13">
        <v>375</v>
      </c>
      <c r="E116" s="14">
        <v>0.3</v>
      </c>
      <c r="F116" s="14">
        <f t="shared" si="2"/>
        <v>112.5</v>
      </c>
      <c r="G116" s="14">
        <v>108.64999999999999</v>
      </c>
      <c r="H116" s="14">
        <f t="shared" si="3"/>
        <v>3.8500000000000085</v>
      </c>
      <c r="I116" s="10">
        <v>25887523</v>
      </c>
      <c r="J116" s="28" t="s">
        <v>268</v>
      </c>
      <c r="K116" s="18" t="s">
        <v>269</v>
      </c>
      <c r="L116" s="17" t="s">
        <v>270</v>
      </c>
      <c r="M116" s="10">
        <v>91774010</v>
      </c>
      <c r="N116" s="34" t="s">
        <v>85</v>
      </c>
    </row>
    <row r="117" spans="1:15" x14ac:dyDescent="0.25">
      <c r="A117" s="10">
        <v>114</v>
      </c>
      <c r="B117" s="10">
        <v>3281</v>
      </c>
      <c r="C117" s="12" t="s">
        <v>271</v>
      </c>
      <c r="D117" s="13">
        <v>360.9</v>
      </c>
      <c r="E117" s="14">
        <v>0.3</v>
      </c>
      <c r="F117" s="14">
        <f t="shared" si="2"/>
        <v>108.27</v>
      </c>
      <c r="G117" s="14"/>
      <c r="H117" s="14">
        <f t="shared" si="3"/>
        <v>108.27</v>
      </c>
      <c r="I117" s="10">
        <v>1045575</v>
      </c>
      <c r="J117" s="28" t="s">
        <v>272</v>
      </c>
      <c r="K117" s="18" t="s">
        <v>109</v>
      </c>
      <c r="L117" s="17" t="s">
        <v>110</v>
      </c>
      <c r="M117" s="10">
        <v>99841917</v>
      </c>
      <c r="N117" s="18"/>
    </row>
    <row r="118" spans="1:15" x14ac:dyDescent="0.25">
      <c r="A118" s="10">
        <v>115</v>
      </c>
      <c r="B118" s="10">
        <v>3286</v>
      </c>
      <c r="C118" s="12" t="s">
        <v>273</v>
      </c>
      <c r="D118" s="13">
        <v>284</v>
      </c>
      <c r="E118" s="14">
        <v>0.3</v>
      </c>
      <c r="F118" s="14">
        <f t="shared" si="2"/>
        <v>85.2</v>
      </c>
      <c r="G118" s="14">
        <v>83.42</v>
      </c>
      <c r="H118" s="14">
        <f t="shared" si="3"/>
        <v>1.7800000000000011</v>
      </c>
      <c r="I118" s="10">
        <v>23232841</v>
      </c>
      <c r="J118" s="28" t="s">
        <v>274</v>
      </c>
      <c r="K118" s="16" t="s">
        <v>13</v>
      </c>
      <c r="L118" s="17" t="s">
        <v>14</v>
      </c>
      <c r="M118" s="10"/>
      <c r="N118" s="34" t="s">
        <v>38</v>
      </c>
    </row>
    <row r="119" spans="1:15" x14ac:dyDescent="0.25">
      <c r="A119" s="10">
        <v>116</v>
      </c>
      <c r="B119" s="10">
        <v>3287</v>
      </c>
      <c r="C119" s="12" t="s">
        <v>275</v>
      </c>
      <c r="D119" s="13">
        <v>190.7</v>
      </c>
      <c r="E119" s="14">
        <v>0.3</v>
      </c>
      <c r="F119" s="14">
        <f t="shared" si="2"/>
        <v>57.209999999999994</v>
      </c>
      <c r="G119" s="14"/>
      <c r="H119" s="14">
        <f t="shared" si="3"/>
        <v>57.209999999999994</v>
      </c>
      <c r="I119" s="10">
        <v>6504554</v>
      </c>
      <c r="J119" s="28" t="s">
        <v>276</v>
      </c>
      <c r="K119" s="16" t="s">
        <v>13</v>
      </c>
      <c r="L119" s="17" t="s">
        <v>14</v>
      </c>
      <c r="M119" s="10">
        <v>95606029</v>
      </c>
      <c r="N119" s="18"/>
    </row>
    <row r="120" spans="1:15" x14ac:dyDescent="0.25">
      <c r="A120" s="10">
        <v>117</v>
      </c>
      <c r="B120" s="10">
        <v>3288</v>
      </c>
      <c r="C120" s="12" t="s">
        <v>277</v>
      </c>
      <c r="D120" s="22">
        <v>227</v>
      </c>
      <c r="E120" s="14">
        <v>0.3</v>
      </c>
      <c r="F120" s="14">
        <f t="shared" si="2"/>
        <v>68.099999999999994</v>
      </c>
      <c r="G120" s="14">
        <f>65.33</f>
        <v>65.33</v>
      </c>
      <c r="H120" s="14">
        <f t="shared" si="3"/>
        <v>2.769999999999996</v>
      </c>
      <c r="I120" s="23">
        <v>1460824</v>
      </c>
      <c r="J120" s="17" t="s">
        <v>278</v>
      </c>
      <c r="K120" s="16" t="s">
        <v>279</v>
      </c>
      <c r="L120" s="24" t="s">
        <v>29</v>
      </c>
      <c r="M120" s="10"/>
      <c r="N120" s="34" t="s">
        <v>38</v>
      </c>
    </row>
    <row r="121" spans="1:15" x14ac:dyDescent="0.25">
      <c r="A121" s="10">
        <v>118</v>
      </c>
      <c r="B121" s="10">
        <v>3291</v>
      </c>
      <c r="C121" s="12" t="s">
        <v>280</v>
      </c>
      <c r="D121" s="22">
        <v>561</v>
      </c>
      <c r="E121" s="14">
        <v>0.3</v>
      </c>
      <c r="F121" s="14">
        <f t="shared" si="2"/>
        <v>168.29999999999998</v>
      </c>
      <c r="G121" s="14"/>
      <c r="H121" s="14">
        <f t="shared" si="3"/>
        <v>168.29999999999998</v>
      </c>
      <c r="I121" s="10">
        <v>1974735</v>
      </c>
      <c r="J121" s="28" t="s">
        <v>281</v>
      </c>
      <c r="K121" s="17" t="s">
        <v>45</v>
      </c>
      <c r="L121" s="28" t="s">
        <v>46</v>
      </c>
      <c r="M121" s="10">
        <v>99085848</v>
      </c>
      <c r="N121" s="18"/>
    </row>
    <row r="122" spans="1:15" x14ac:dyDescent="0.25">
      <c r="A122" s="10">
        <v>119</v>
      </c>
      <c r="B122" s="10">
        <v>3292</v>
      </c>
      <c r="C122" s="12" t="s">
        <v>282</v>
      </c>
      <c r="D122" s="22">
        <v>465.3</v>
      </c>
      <c r="E122" s="14">
        <v>0.3</v>
      </c>
      <c r="F122" s="14">
        <f t="shared" si="2"/>
        <v>139.59</v>
      </c>
      <c r="G122" s="14"/>
      <c r="H122" s="14">
        <f t="shared" si="3"/>
        <v>139.59</v>
      </c>
      <c r="I122" s="51">
        <v>13282353</v>
      </c>
      <c r="J122" s="52" t="s">
        <v>283</v>
      </c>
      <c r="K122" s="18" t="s">
        <v>28</v>
      </c>
      <c r="L122" s="52" t="s">
        <v>29</v>
      </c>
      <c r="M122" s="10"/>
      <c r="N122" s="18"/>
    </row>
    <row r="123" spans="1:15" s="29" customFormat="1" x14ac:dyDescent="0.25">
      <c r="A123" s="10">
        <v>120</v>
      </c>
      <c r="B123" s="10">
        <v>3293</v>
      </c>
      <c r="C123" s="25" t="s">
        <v>284</v>
      </c>
      <c r="D123" s="22">
        <v>58.2</v>
      </c>
      <c r="E123" s="14">
        <v>0.3</v>
      </c>
      <c r="F123" s="14">
        <f t="shared" si="2"/>
        <v>17.46</v>
      </c>
      <c r="G123" s="14"/>
      <c r="H123" s="14">
        <f t="shared" si="3"/>
        <v>17.46</v>
      </c>
      <c r="I123" s="10">
        <v>4048259</v>
      </c>
      <c r="J123" s="17" t="s">
        <v>285</v>
      </c>
      <c r="K123" s="18" t="s">
        <v>45</v>
      </c>
      <c r="L123" s="17" t="s">
        <v>46</v>
      </c>
      <c r="M123" s="10">
        <v>92970078</v>
      </c>
      <c r="N123" s="18"/>
    </row>
    <row r="124" spans="1:15" x14ac:dyDescent="0.25">
      <c r="A124" s="10">
        <v>121</v>
      </c>
      <c r="B124" s="10">
        <v>3294</v>
      </c>
      <c r="C124" s="12" t="s">
        <v>286</v>
      </c>
      <c r="D124" s="13">
        <v>227.1</v>
      </c>
      <c r="E124" s="14">
        <v>0.3</v>
      </c>
      <c r="F124" s="14">
        <f t="shared" si="2"/>
        <v>68.13</v>
      </c>
      <c r="G124" s="14"/>
      <c r="H124" s="14">
        <f t="shared" si="3"/>
        <v>68.13</v>
      </c>
      <c r="I124" s="10">
        <v>19263029</v>
      </c>
      <c r="J124" s="28" t="s">
        <v>287</v>
      </c>
      <c r="K124" s="16" t="s">
        <v>13</v>
      </c>
      <c r="L124" s="17" t="s">
        <v>14</v>
      </c>
      <c r="M124" s="10">
        <v>92387034</v>
      </c>
      <c r="N124" s="18"/>
    </row>
    <row r="125" spans="1:15" s="20" customFormat="1" x14ac:dyDescent="0.25">
      <c r="A125" s="36">
        <v>122</v>
      </c>
      <c r="B125" s="36">
        <v>3295</v>
      </c>
      <c r="C125" s="37" t="s">
        <v>288</v>
      </c>
      <c r="D125" s="38">
        <v>208</v>
      </c>
      <c r="E125" s="39">
        <v>0.3</v>
      </c>
      <c r="F125" s="39">
        <f t="shared" si="2"/>
        <v>62.4</v>
      </c>
      <c r="G125" s="39">
        <f>1.44+60.48</f>
        <v>61.919999999999995</v>
      </c>
      <c r="H125" s="39">
        <f t="shared" si="3"/>
        <v>0.48000000000000398</v>
      </c>
      <c r="I125" s="36">
        <v>20378353</v>
      </c>
      <c r="J125" s="45" t="s">
        <v>289</v>
      </c>
      <c r="K125" s="34" t="s">
        <v>28</v>
      </c>
      <c r="L125" s="34" t="s">
        <v>29</v>
      </c>
      <c r="M125" s="36">
        <v>99489171</v>
      </c>
      <c r="N125" s="35">
        <v>46002</v>
      </c>
      <c r="O125" s="34" t="s">
        <v>38</v>
      </c>
    </row>
    <row r="126" spans="1:15" x14ac:dyDescent="0.25">
      <c r="A126" s="10">
        <v>123</v>
      </c>
      <c r="B126" s="10">
        <v>3297</v>
      </c>
      <c r="C126" s="12" t="s">
        <v>290</v>
      </c>
      <c r="D126" s="13">
        <v>162.30000000000001</v>
      </c>
      <c r="E126" s="14">
        <v>0.3</v>
      </c>
      <c r="F126" s="14">
        <f t="shared" si="2"/>
        <v>48.690000000000005</v>
      </c>
      <c r="G126" s="14"/>
      <c r="H126" s="14">
        <f t="shared" si="3"/>
        <v>48.690000000000005</v>
      </c>
      <c r="I126" s="10">
        <v>5359682</v>
      </c>
      <c r="J126" s="17" t="s">
        <v>291</v>
      </c>
      <c r="K126" s="18" t="s">
        <v>13</v>
      </c>
      <c r="L126" s="18" t="s">
        <v>14</v>
      </c>
      <c r="M126" s="10">
        <v>93240442</v>
      </c>
      <c r="N126" s="18"/>
    </row>
    <row r="127" spans="1:15" s="20" customFormat="1" x14ac:dyDescent="0.25">
      <c r="A127" s="36">
        <v>124</v>
      </c>
      <c r="B127" s="36">
        <v>3298</v>
      </c>
      <c r="C127" s="37" t="s">
        <v>292</v>
      </c>
      <c r="D127" s="38">
        <v>234.7</v>
      </c>
      <c r="E127" s="39">
        <v>0.3</v>
      </c>
      <c r="F127" s="39">
        <f t="shared" si="2"/>
        <v>70.41</v>
      </c>
      <c r="G127" s="39">
        <v>0.15000000000000258</v>
      </c>
      <c r="H127" s="39">
        <f t="shared" si="3"/>
        <v>70.259999999999991</v>
      </c>
      <c r="I127" s="48">
        <v>6160236</v>
      </c>
      <c r="J127" s="64" t="s">
        <v>293</v>
      </c>
      <c r="K127" s="49" t="s">
        <v>13</v>
      </c>
      <c r="L127" s="64" t="s">
        <v>14</v>
      </c>
      <c r="M127" s="36"/>
      <c r="N127" s="35">
        <v>45700</v>
      </c>
    </row>
    <row r="128" spans="1:15" x14ac:dyDescent="0.25">
      <c r="A128" s="10">
        <v>125</v>
      </c>
      <c r="B128" s="10">
        <v>3302</v>
      </c>
      <c r="C128" s="12" t="s">
        <v>294</v>
      </c>
      <c r="D128" s="13">
        <v>270</v>
      </c>
      <c r="E128" s="14">
        <v>0.3</v>
      </c>
      <c r="F128" s="14">
        <f t="shared" si="2"/>
        <v>81</v>
      </c>
      <c r="G128" s="14">
        <v>0</v>
      </c>
      <c r="H128" s="14">
        <f t="shared" si="3"/>
        <v>81</v>
      </c>
      <c r="I128" s="10">
        <v>71004483</v>
      </c>
      <c r="J128" s="81" t="s">
        <v>295</v>
      </c>
      <c r="K128" s="16" t="s">
        <v>13</v>
      </c>
      <c r="L128" s="17" t="s">
        <v>14</v>
      </c>
      <c r="M128" s="10">
        <v>92557761</v>
      </c>
      <c r="N128" s="18"/>
    </row>
    <row r="129" spans="1:15" x14ac:dyDescent="0.25">
      <c r="A129" s="10">
        <v>126</v>
      </c>
      <c r="B129" s="10">
        <v>3303</v>
      </c>
      <c r="C129" s="12" t="s">
        <v>296</v>
      </c>
      <c r="D129" s="22">
        <v>182.6</v>
      </c>
      <c r="E129" s="14">
        <v>0.3</v>
      </c>
      <c r="F129" s="14">
        <f t="shared" si="2"/>
        <v>54.779999999999994</v>
      </c>
      <c r="G129" s="14"/>
      <c r="H129" s="14">
        <f t="shared" si="3"/>
        <v>54.779999999999994</v>
      </c>
      <c r="I129" s="23">
        <v>3172781</v>
      </c>
      <c r="J129" s="17" t="s">
        <v>297</v>
      </c>
      <c r="K129" s="16" t="s">
        <v>28</v>
      </c>
      <c r="L129" s="24" t="s">
        <v>29</v>
      </c>
      <c r="M129" s="10">
        <v>99282770</v>
      </c>
      <c r="N129" s="18"/>
    </row>
    <row r="130" spans="1:15" s="90" customFormat="1" x14ac:dyDescent="0.25">
      <c r="A130" s="82">
        <v>127</v>
      </c>
      <c r="B130" s="82">
        <v>3309</v>
      </c>
      <c r="C130" s="83" t="s">
        <v>298</v>
      </c>
      <c r="D130" s="84">
        <v>69.599999999999994</v>
      </c>
      <c r="E130" s="85">
        <v>0.3</v>
      </c>
      <c r="F130" s="85">
        <f t="shared" si="2"/>
        <v>20.88</v>
      </c>
      <c r="G130" s="85">
        <f>F130</f>
        <v>20.88</v>
      </c>
      <c r="H130" s="85">
        <f t="shared" si="3"/>
        <v>0</v>
      </c>
      <c r="I130" s="86">
        <v>21453611</v>
      </c>
      <c r="J130" s="87" t="s">
        <v>299</v>
      </c>
      <c r="K130" s="88" t="s">
        <v>13</v>
      </c>
      <c r="L130" s="89" t="s">
        <v>14</v>
      </c>
      <c r="M130" s="82">
        <v>93389969</v>
      </c>
      <c r="N130" s="69" t="s">
        <v>227</v>
      </c>
    </row>
    <row r="131" spans="1:15" x14ac:dyDescent="0.25">
      <c r="A131" s="10">
        <v>128</v>
      </c>
      <c r="B131" s="10">
        <v>3311</v>
      </c>
      <c r="C131" s="12" t="s">
        <v>300</v>
      </c>
      <c r="D131" s="13">
        <v>334.8</v>
      </c>
      <c r="E131" s="14">
        <v>0.3</v>
      </c>
      <c r="F131" s="14">
        <f t="shared" si="2"/>
        <v>100.44</v>
      </c>
      <c r="G131" s="14"/>
      <c r="H131" s="14">
        <f t="shared" si="3"/>
        <v>100.44</v>
      </c>
      <c r="I131" s="10" t="s">
        <v>301</v>
      </c>
      <c r="J131" s="28" t="s">
        <v>302</v>
      </c>
      <c r="K131" s="19" t="s">
        <v>303</v>
      </c>
      <c r="L131" s="28" t="s">
        <v>304</v>
      </c>
      <c r="M131" s="10">
        <v>92817378</v>
      </c>
      <c r="N131" s="18"/>
    </row>
    <row r="132" spans="1:15" x14ac:dyDescent="0.25">
      <c r="A132" s="10">
        <v>129</v>
      </c>
      <c r="B132" s="10">
        <v>3312</v>
      </c>
      <c r="C132" s="12" t="s">
        <v>305</v>
      </c>
      <c r="D132" s="13">
        <v>367.1</v>
      </c>
      <c r="E132" s="14">
        <v>0.3</v>
      </c>
      <c r="F132" s="14">
        <f t="shared" ref="F132:F195" si="4">E132*D132</f>
        <v>110.13000000000001</v>
      </c>
      <c r="G132" s="14">
        <v>107.06</v>
      </c>
      <c r="H132" s="14">
        <f t="shared" si="3"/>
        <v>3.0700000000000074</v>
      </c>
      <c r="I132" s="10">
        <v>881326</v>
      </c>
      <c r="J132" s="28" t="s">
        <v>306</v>
      </c>
      <c r="K132" s="18" t="s">
        <v>97</v>
      </c>
      <c r="L132" s="18" t="s">
        <v>98</v>
      </c>
      <c r="M132" s="10">
        <v>99481799</v>
      </c>
      <c r="N132" s="34" t="s">
        <v>85</v>
      </c>
    </row>
    <row r="133" spans="1:15" x14ac:dyDescent="0.25">
      <c r="A133" s="10">
        <v>130</v>
      </c>
      <c r="B133" s="10">
        <v>3314</v>
      </c>
      <c r="C133" s="12" t="s">
        <v>307</v>
      </c>
      <c r="D133" s="13">
        <v>329.5</v>
      </c>
      <c r="E133" s="14">
        <v>0.3</v>
      </c>
      <c r="F133" s="14">
        <f t="shared" si="4"/>
        <v>98.85</v>
      </c>
      <c r="G133" s="14"/>
      <c r="H133" s="14">
        <f t="shared" ref="H133:H196" si="5">F133-G133</f>
        <v>98.85</v>
      </c>
      <c r="I133" s="10">
        <v>766893</v>
      </c>
      <c r="J133" s="28" t="s">
        <v>308</v>
      </c>
      <c r="K133" s="16" t="s">
        <v>13</v>
      </c>
      <c r="L133" s="17" t="s">
        <v>14</v>
      </c>
      <c r="M133" s="10">
        <v>99257989</v>
      </c>
      <c r="N133" s="18"/>
    </row>
    <row r="134" spans="1:15" s="90" customFormat="1" x14ac:dyDescent="0.25">
      <c r="A134" s="82">
        <v>131</v>
      </c>
      <c r="B134" s="82">
        <v>3315</v>
      </c>
      <c r="C134" s="83" t="s">
        <v>309</v>
      </c>
      <c r="D134" s="84">
        <v>67.400000000000006</v>
      </c>
      <c r="E134" s="85">
        <v>0.3</v>
      </c>
      <c r="F134" s="85">
        <f t="shared" si="4"/>
        <v>20.220000000000002</v>
      </c>
      <c r="G134" s="85">
        <f>F134</f>
        <v>20.220000000000002</v>
      </c>
      <c r="H134" s="85">
        <f t="shared" si="5"/>
        <v>0</v>
      </c>
      <c r="I134" s="82">
        <v>23957422</v>
      </c>
      <c r="J134" s="91" t="s">
        <v>310</v>
      </c>
      <c r="K134" s="92" t="s">
        <v>13</v>
      </c>
      <c r="L134" s="93" t="s">
        <v>14</v>
      </c>
      <c r="M134" s="82">
        <v>99601665</v>
      </c>
      <c r="N134" s="69" t="s">
        <v>227</v>
      </c>
    </row>
    <row r="135" spans="1:15" s="90" customFormat="1" x14ac:dyDescent="0.25">
      <c r="A135" s="82">
        <v>132</v>
      </c>
      <c r="B135" s="82">
        <v>3316</v>
      </c>
      <c r="C135" s="83" t="s">
        <v>311</v>
      </c>
      <c r="D135" s="84">
        <v>53.3</v>
      </c>
      <c r="E135" s="85">
        <v>0.3</v>
      </c>
      <c r="F135" s="85">
        <f t="shared" si="4"/>
        <v>15.989999999999998</v>
      </c>
      <c r="G135" s="85">
        <f>F135</f>
        <v>15.989999999999998</v>
      </c>
      <c r="H135" s="85">
        <f t="shared" si="5"/>
        <v>0</v>
      </c>
      <c r="I135" s="82">
        <v>26159748</v>
      </c>
      <c r="J135" s="89" t="s">
        <v>312</v>
      </c>
      <c r="K135" s="92" t="s">
        <v>13</v>
      </c>
      <c r="L135" s="93" t="s">
        <v>14</v>
      </c>
      <c r="M135" s="82">
        <v>99601665</v>
      </c>
      <c r="N135" s="69" t="s">
        <v>227</v>
      </c>
    </row>
    <row r="136" spans="1:15" x14ac:dyDescent="0.25">
      <c r="A136" s="10">
        <v>133</v>
      </c>
      <c r="B136" s="10">
        <v>3320</v>
      </c>
      <c r="C136" s="12" t="s">
        <v>313</v>
      </c>
      <c r="D136" s="13">
        <v>220</v>
      </c>
      <c r="E136" s="14">
        <v>0.3</v>
      </c>
      <c r="F136" s="14">
        <f t="shared" si="4"/>
        <v>66</v>
      </c>
      <c r="G136" s="14"/>
      <c r="H136" s="14">
        <f t="shared" si="5"/>
        <v>66</v>
      </c>
      <c r="I136" s="10">
        <v>2096234</v>
      </c>
      <c r="J136" s="28" t="s">
        <v>314</v>
      </c>
      <c r="K136" s="16" t="s">
        <v>13</v>
      </c>
      <c r="L136" s="17" t="s">
        <v>14</v>
      </c>
      <c r="M136" s="10">
        <v>99495933</v>
      </c>
      <c r="N136" s="18"/>
    </row>
    <row r="137" spans="1:15" x14ac:dyDescent="0.25">
      <c r="A137" s="10">
        <v>134</v>
      </c>
      <c r="B137" s="10">
        <v>3321</v>
      </c>
      <c r="C137" s="12" t="s">
        <v>315</v>
      </c>
      <c r="D137" s="13">
        <v>47.5</v>
      </c>
      <c r="E137" s="14">
        <v>0.3</v>
      </c>
      <c r="F137" s="14">
        <f t="shared" si="4"/>
        <v>14.25</v>
      </c>
      <c r="G137" s="14"/>
      <c r="H137" s="14">
        <f t="shared" si="5"/>
        <v>14.25</v>
      </c>
      <c r="I137" s="10">
        <v>10721505</v>
      </c>
      <c r="J137" s="28" t="s">
        <v>316</v>
      </c>
      <c r="K137" s="16" t="s">
        <v>13</v>
      </c>
      <c r="L137" s="17" t="s">
        <v>14</v>
      </c>
      <c r="M137" s="10">
        <v>93955800</v>
      </c>
      <c r="N137" s="18"/>
    </row>
    <row r="138" spans="1:15" x14ac:dyDescent="0.25">
      <c r="A138" s="10">
        <v>135</v>
      </c>
      <c r="B138" s="10">
        <v>3322</v>
      </c>
      <c r="C138" s="12" t="s">
        <v>317</v>
      </c>
      <c r="D138" s="13">
        <v>273.3</v>
      </c>
      <c r="E138" s="14">
        <v>0.3</v>
      </c>
      <c r="F138" s="14">
        <f t="shared" si="4"/>
        <v>81.99</v>
      </c>
      <c r="G138" s="14"/>
      <c r="H138" s="14">
        <f t="shared" si="5"/>
        <v>81.99</v>
      </c>
      <c r="I138" s="10">
        <v>6047858</v>
      </c>
      <c r="J138" s="28" t="s">
        <v>318</v>
      </c>
      <c r="K138" s="18" t="s">
        <v>21</v>
      </c>
      <c r="L138" s="17" t="s">
        <v>22</v>
      </c>
      <c r="M138" s="10"/>
      <c r="N138" s="18"/>
    </row>
    <row r="139" spans="1:15" s="20" customFormat="1" x14ac:dyDescent="0.25">
      <c r="A139" s="36">
        <v>136</v>
      </c>
      <c r="B139" s="36">
        <v>3325</v>
      </c>
      <c r="C139" s="37" t="s">
        <v>130</v>
      </c>
      <c r="D139" s="38">
        <v>129.5</v>
      </c>
      <c r="E139" s="39">
        <v>0.3</v>
      </c>
      <c r="F139" s="39">
        <f t="shared" si="4"/>
        <v>38.85</v>
      </c>
      <c r="G139" s="39">
        <v>35.39</v>
      </c>
      <c r="H139" s="39">
        <f t="shared" si="5"/>
        <v>3.4600000000000009</v>
      </c>
      <c r="I139" s="36">
        <v>21849398</v>
      </c>
      <c r="J139" s="45" t="s">
        <v>319</v>
      </c>
      <c r="K139" s="49" t="s">
        <v>13</v>
      </c>
      <c r="L139" s="46" t="s">
        <v>14</v>
      </c>
      <c r="M139" s="36">
        <v>93233323</v>
      </c>
      <c r="N139" s="34" t="s">
        <v>88</v>
      </c>
    </row>
    <row r="140" spans="1:15" x14ac:dyDescent="0.25">
      <c r="A140" s="10">
        <v>137</v>
      </c>
      <c r="B140" s="11">
        <v>3326</v>
      </c>
      <c r="C140" s="12" t="s">
        <v>320</v>
      </c>
      <c r="D140" s="13">
        <v>377.6</v>
      </c>
      <c r="E140" s="14">
        <v>0.3</v>
      </c>
      <c r="F140" s="14">
        <f t="shared" si="4"/>
        <v>113.28</v>
      </c>
      <c r="G140" s="14"/>
      <c r="H140" s="14">
        <f t="shared" si="5"/>
        <v>113.28</v>
      </c>
      <c r="I140" s="11">
        <v>1466865</v>
      </c>
      <c r="J140" s="94" t="s">
        <v>321</v>
      </c>
      <c r="K140" s="18" t="s">
        <v>28</v>
      </c>
      <c r="L140" s="18" t="s">
        <v>29</v>
      </c>
      <c r="M140" s="11"/>
      <c r="N140" s="18"/>
    </row>
    <row r="141" spans="1:15" x14ac:dyDescent="0.25">
      <c r="A141" s="10">
        <v>138</v>
      </c>
      <c r="B141" s="10">
        <v>3328</v>
      </c>
      <c r="C141" s="12" t="s">
        <v>322</v>
      </c>
      <c r="D141" s="13">
        <v>386</v>
      </c>
      <c r="E141" s="14">
        <v>0.3</v>
      </c>
      <c r="F141" s="14">
        <f t="shared" si="4"/>
        <v>115.8</v>
      </c>
      <c r="G141" s="14">
        <v>114.14999999999999</v>
      </c>
      <c r="H141" s="14">
        <f t="shared" si="5"/>
        <v>1.6500000000000057</v>
      </c>
      <c r="I141" s="10">
        <v>1934204</v>
      </c>
      <c r="J141" s="17" t="s">
        <v>323</v>
      </c>
      <c r="K141" s="16" t="s">
        <v>13</v>
      </c>
      <c r="L141" s="17" t="s">
        <v>14</v>
      </c>
      <c r="M141" s="10"/>
      <c r="N141" s="34" t="s">
        <v>38</v>
      </c>
    </row>
    <row r="142" spans="1:15" x14ac:dyDescent="0.25">
      <c r="A142" s="10">
        <v>139</v>
      </c>
      <c r="B142" s="10">
        <v>3329</v>
      </c>
      <c r="C142" s="12" t="s">
        <v>324</v>
      </c>
      <c r="D142" s="13">
        <v>224.8</v>
      </c>
      <c r="E142" s="14">
        <v>0.3</v>
      </c>
      <c r="F142" s="14">
        <f t="shared" si="4"/>
        <v>67.44</v>
      </c>
      <c r="G142" s="14"/>
      <c r="H142" s="14">
        <f t="shared" si="5"/>
        <v>67.44</v>
      </c>
      <c r="I142" s="10">
        <v>9086292</v>
      </c>
      <c r="J142" s="17" t="s">
        <v>325</v>
      </c>
      <c r="K142" s="18" t="s">
        <v>45</v>
      </c>
      <c r="L142" s="17" t="s">
        <v>46</v>
      </c>
      <c r="M142" s="10">
        <v>95976260</v>
      </c>
      <c r="N142" s="18"/>
    </row>
    <row r="143" spans="1:15" s="20" customFormat="1" x14ac:dyDescent="0.25">
      <c r="A143" s="36">
        <v>140</v>
      </c>
      <c r="B143" s="36">
        <v>3331</v>
      </c>
      <c r="C143" s="37" t="s">
        <v>326</v>
      </c>
      <c r="D143" s="38">
        <v>398.8</v>
      </c>
      <c r="E143" s="39">
        <v>0.3</v>
      </c>
      <c r="F143" s="39">
        <f t="shared" si="4"/>
        <v>119.64</v>
      </c>
      <c r="G143" s="39">
        <f>2.38+114</f>
        <v>116.38</v>
      </c>
      <c r="H143" s="39">
        <f t="shared" si="5"/>
        <v>3.2600000000000051</v>
      </c>
      <c r="I143" s="36">
        <v>18048861</v>
      </c>
      <c r="J143" s="45" t="s">
        <v>327</v>
      </c>
      <c r="K143" s="34" t="s">
        <v>328</v>
      </c>
      <c r="L143" s="46" t="s">
        <v>104</v>
      </c>
      <c r="M143" s="36"/>
      <c r="N143" s="35">
        <v>45941</v>
      </c>
      <c r="O143" s="20" t="s">
        <v>38</v>
      </c>
    </row>
    <row r="144" spans="1:15" x14ac:dyDescent="0.25">
      <c r="A144" s="36">
        <v>141</v>
      </c>
      <c r="B144" s="36">
        <v>3332</v>
      </c>
      <c r="C144" s="37" t="s">
        <v>329</v>
      </c>
      <c r="D144" s="38">
        <v>99.5</v>
      </c>
      <c r="E144" s="39">
        <v>0.3</v>
      </c>
      <c r="F144" s="39">
        <f t="shared" si="4"/>
        <v>29.849999999999998</v>
      </c>
      <c r="G144" s="39">
        <v>25.790000000000006</v>
      </c>
      <c r="H144" s="39">
        <f t="shared" si="5"/>
        <v>4.0599999999999916</v>
      </c>
      <c r="I144" s="36">
        <v>1320775</v>
      </c>
      <c r="J144" s="45"/>
      <c r="K144" s="34"/>
      <c r="L144" s="46"/>
      <c r="M144" s="36">
        <v>99490105</v>
      </c>
      <c r="N144" s="35">
        <v>45941</v>
      </c>
      <c r="O144" s="20"/>
    </row>
    <row r="145" spans="1:15" x14ac:dyDescent="0.25">
      <c r="A145" s="10">
        <v>142</v>
      </c>
      <c r="B145" s="10">
        <v>3334</v>
      </c>
      <c r="C145" s="12" t="s">
        <v>330</v>
      </c>
      <c r="D145" s="13">
        <v>298.5</v>
      </c>
      <c r="E145" s="14">
        <v>0.3</v>
      </c>
      <c r="F145" s="14">
        <f t="shared" si="4"/>
        <v>89.55</v>
      </c>
      <c r="G145" s="14"/>
      <c r="H145" s="14">
        <f t="shared" si="5"/>
        <v>89.55</v>
      </c>
      <c r="I145" s="10">
        <v>1176211</v>
      </c>
      <c r="J145" s="28" t="s">
        <v>331</v>
      </c>
      <c r="K145" s="18" t="s">
        <v>28</v>
      </c>
      <c r="L145" s="18" t="s">
        <v>29</v>
      </c>
      <c r="M145" s="10">
        <v>99480111</v>
      </c>
      <c r="N145" s="18"/>
    </row>
    <row r="146" spans="1:15" x14ac:dyDescent="0.25">
      <c r="A146" s="10">
        <v>143</v>
      </c>
      <c r="B146" s="10">
        <v>3335</v>
      </c>
      <c r="C146" s="12" t="s">
        <v>332</v>
      </c>
      <c r="D146" s="13">
        <v>63</v>
      </c>
      <c r="E146" s="14">
        <v>0.3</v>
      </c>
      <c r="F146" s="14">
        <f t="shared" si="4"/>
        <v>18.899999999999999</v>
      </c>
      <c r="G146" s="14"/>
      <c r="H146" s="14">
        <f t="shared" si="5"/>
        <v>18.899999999999999</v>
      </c>
      <c r="I146" s="10">
        <v>2022545</v>
      </c>
      <c r="J146" s="28" t="s">
        <v>333</v>
      </c>
      <c r="K146" s="16" t="s">
        <v>13</v>
      </c>
      <c r="L146" s="17" t="s">
        <v>14</v>
      </c>
      <c r="M146" s="10">
        <v>99489989</v>
      </c>
      <c r="N146" s="18"/>
    </row>
    <row r="147" spans="1:15" x14ac:dyDescent="0.25">
      <c r="A147" s="10">
        <v>144</v>
      </c>
      <c r="B147" s="10">
        <v>3336</v>
      </c>
      <c r="C147" s="12" t="s">
        <v>334</v>
      </c>
      <c r="D147" s="13">
        <v>209</v>
      </c>
      <c r="E147" s="14">
        <v>0.3</v>
      </c>
      <c r="F147" s="14">
        <f t="shared" si="4"/>
        <v>62.699999999999996</v>
      </c>
      <c r="G147" s="14">
        <v>2.7799999999999994</v>
      </c>
      <c r="H147" s="14">
        <f t="shared" si="5"/>
        <v>59.919999999999995</v>
      </c>
      <c r="I147" s="10">
        <v>905756</v>
      </c>
      <c r="J147" s="28" t="s">
        <v>335</v>
      </c>
      <c r="K147" s="16" t="s">
        <v>13</v>
      </c>
      <c r="L147" s="17" t="s">
        <v>14</v>
      </c>
      <c r="M147" s="10">
        <v>92321799</v>
      </c>
      <c r="N147" s="35">
        <v>45941</v>
      </c>
    </row>
    <row r="148" spans="1:15" x14ac:dyDescent="0.25">
      <c r="A148" s="10">
        <v>145</v>
      </c>
      <c r="B148" s="10">
        <v>3337</v>
      </c>
      <c r="C148" s="12" t="s">
        <v>336</v>
      </c>
      <c r="D148" s="95">
        <v>156</v>
      </c>
      <c r="E148" s="14">
        <v>0.3</v>
      </c>
      <c r="F148" s="14">
        <f t="shared" si="4"/>
        <v>46.8</v>
      </c>
      <c r="G148" s="14"/>
      <c r="H148" s="14">
        <f t="shared" si="5"/>
        <v>46.8</v>
      </c>
      <c r="I148" s="10">
        <v>19344361</v>
      </c>
      <c r="J148" s="28" t="s">
        <v>337</v>
      </c>
      <c r="K148" s="16" t="s">
        <v>13</v>
      </c>
      <c r="L148" s="17" t="s">
        <v>14</v>
      </c>
      <c r="M148" s="10"/>
      <c r="N148" s="18"/>
    </row>
    <row r="149" spans="1:15" x14ac:dyDescent="0.25">
      <c r="A149" s="10">
        <v>146</v>
      </c>
      <c r="B149" s="10">
        <v>3338</v>
      </c>
      <c r="C149" s="12" t="s">
        <v>338</v>
      </c>
      <c r="D149" s="22">
        <v>261.8</v>
      </c>
      <c r="E149" s="14">
        <v>0.3</v>
      </c>
      <c r="F149" s="14">
        <f t="shared" si="4"/>
        <v>78.540000000000006</v>
      </c>
      <c r="G149" s="14"/>
      <c r="H149" s="14">
        <f t="shared" si="5"/>
        <v>78.540000000000006</v>
      </c>
      <c r="I149" s="10">
        <v>1078791</v>
      </c>
      <c r="J149" s="28" t="s">
        <v>339</v>
      </c>
      <c r="K149" s="18" t="s">
        <v>28</v>
      </c>
      <c r="L149" s="18" t="s">
        <v>29</v>
      </c>
      <c r="M149" s="10"/>
      <c r="N149" s="18"/>
    </row>
    <row r="150" spans="1:15" x14ac:dyDescent="0.25">
      <c r="A150" s="10">
        <v>147</v>
      </c>
      <c r="B150" s="10">
        <v>3340</v>
      </c>
      <c r="C150" s="12" t="s">
        <v>340</v>
      </c>
      <c r="D150" s="13">
        <v>190.9</v>
      </c>
      <c r="E150" s="14">
        <v>0.3</v>
      </c>
      <c r="F150" s="14">
        <f t="shared" si="4"/>
        <v>57.27</v>
      </c>
      <c r="G150" s="14"/>
      <c r="H150" s="14">
        <f t="shared" si="5"/>
        <v>57.27</v>
      </c>
      <c r="I150" s="10">
        <v>906355</v>
      </c>
      <c r="J150" s="28" t="s">
        <v>341</v>
      </c>
      <c r="K150" s="16" t="s">
        <v>13</v>
      </c>
      <c r="L150" s="17" t="s">
        <v>14</v>
      </c>
      <c r="M150" s="10">
        <v>95333933</v>
      </c>
      <c r="N150" s="18"/>
    </row>
    <row r="151" spans="1:15" x14ac:dyDescent="0.25">
      <c r="A151" s="10">
        <v>148</v>
      </c>
      <c r="B151" s="10">
        <v>3342</v>
      </c>
      <c r="C151" s="12" t="s">
        <v>342</v>
      </c>
      <c r="D151" s="13">
        <v>140.69999999999999</v>
      </c>
      <c r="E151" s="14">
        <v>0.3</v>
      </c>
      <c r="F151" s="14">
        <f t="shared" si="4"/>
        <v>42.209999999999994</v>
      </c>
      <c r="G151" s="14">
        <v>37.700000000000003</v>
      </c>
      <c r="H151" s="14">
        <f t="shared" si="5"/>
        <v>4.5099999999999909</v>
      </c>
      <c r="I151" s="10">
        <v>1779485</v>
      </c>
      <c r="J151" s="28" t="s">
        <v>343</v>
      </c>
      <c r="K151" s="18" t="s">
        <v>28</v>
      </c>
      <c r="L151" s="18" t="s">
        <v>29</v>
      </c>
      <c r="M151" s="10"/>
      <c r="N151" s="20" t="s">
        <v>38</v>
      </c>
    </row>
    <row r="152" spans="1:15" s="20" customFormat="1" x14ac:dyDescent="0.25">
      <c r="A152" s="36">
        <v>149</v>
      </c>
      <c r="B152" s="36">
        <v>3346</v>
      </c>
      <c r="C152" s="37" t="s">
        <v>344</v>
      </c>
      <c r="D152" s="38">
        <v>347.5</v>
      </c>
      <c r="E152" s="39">
        <v>0.3</v>
      </c>
      <c r="F152" s="39">
        <f t="shared" si="4"/>
        <v>104.25</v>
      </c>
      <c r="G152" s="39">
        <v>102.46</v>
      </c>
      <c r="H152" s="39">
        <f t="shared" si="5"/>
        <v>1.7900000000000063</v>
      </c>
      <c r="I152" s="36">
        <v>1586848</v>
      </c>
      <c r="J152" s="45" t="s">
        <v>345</v>
      </c>
      <c r="K152" s="34" t="s">
        <v>142</v>
      </c>
      <c r="L152" s="34" t="s">
        <v>104</v>
      </c>
      <c r="M152" s="36">
        <v>92930610</v>
      </c>
      <c r="N152" s="35">
        <v>45942</v>
      </c>
    </row>
    <row r="153" spans="1:15" x14ac:dyDescent="0.25">
      <c r="A153" s="10">
        <v>150</v>
      </c>
      <c r="B153" s="10">
        <v>3700</v>
      </c>
      <c r="C153" s="12" t="s">
        <v>346</v>
      </c>
      <c r="D153" s="22">
        <v>557.20000000000005</v>
      </c>
      <c r="E153" s="14">
        <v>0.3</v>
      </c>
      <c r="F153" s="14">
        <f t="shared" si="4"/>
        <v>167.16</v>
      </c>
      <c r="G153" s="14"/>
      <c r="H153" s="14">
        <f t="shared" si="5"/>
        <v>167.16</v>
      </c>
      <c r="I153" s="10">
        <v>19729836</v>
      </c>
      <c r="J153" s="17" t="s">
        <v>347</v>
      </c>
      <c r="K153" s="16" t="s">
        <v>13</v>
      </c>
      <c r="L153" s="18" t="s">
        <v>14</v>
      </c>
      <c r="M153" s="10">
        <v>99633838</v>
      </c>
      <c r="N153" s="18"/>
    </row>
    <row r="154" spans="1:15" s="20" customFormat="1" x14ac:dyDescent="0.25">
      <c r="A154" s="36">
        <v>151</v>
      </c>
      <c r="B154" s="36">
        <v>3702</v>
      </c>
      <c r="C154" s="37" t="s">
        <v>348</v>
      </c>
      <c r="D154" s="38">
        <v>199.9</v>
      </c>
      <c r="E154" s="39">
        <v>0.3</v>
      </c>
      <c r="F154" s="39">
        <f t="shared" si="4"/>
        <v>59.97</v>
      </c>
      <c r="G154" s="39">
        <f>1.16+54.45</f>
        <v>55.61</v>
      </c>
      <c r="H154" s="39">
        <f t="shared" si="5"/>
        <v>4.3599999999999994</v>
      </c>
      <c r="I154" s="96" t="s">
        <v>349</v>
      </c>
      <c r="J154" s="46" t="s">
        <v>350</v>
      </c>
      <c r="K154" s="34" t="s">
        <v>28</v>
      </c>
      <c r="L154" s="34" t="s">
        <v>29</v>
      </c>
      <c r="M154" s="36">
        <v>90939111</v>
      </c>
      <c r="N154" s="35">
        <v>45700</v>
      </c>
      <c r="O154" s="34" t="s">
        <v>38</v>
      </c>
    </row>
    <row r="155" spans="1:15" x14ac:dyDescent="0.25">
      <c r="A155" s="10">
        <v>152</v>
      </c>
      <c r="B155" s="10">
        <v>3703</v>
      </c>
      <c r="C155" s="12" t="s">
        <v>351</v>
      </c>
      <c r="D155" s="22">
        <v>534.1</v>
      </c>
      <c r="E155" s="14">
        <v>0.3</v>
      </c>
      <c r="F155" s="14">
        <f t="shared" si="4"/>
        <v>160.22999999999999</v>
      </c>
      <c r="G155" s="14">
        <v>159.67000000000002</v>
      </c>
      <c r="H155" s="14">
        <f t="shared" si="5"/>
        <v>0.55999999999997385</v>
      </c>
      <c r="I155" s="10">
        <v>6332137</v>
      </c>
      <c r="J155" s="17" t="s">
        <v>352</v>
      </c>
      <c r="K155" s="18" t="s">
        <v>97</v>
      </c>
      <c r="L155" s="18" t="s">
        <v>98</v>
      </c>
      <c r="M155" s="10">
        <v>98239666</v>
      </c>
      <c r="N155" s="34" t="s">
        <v>38</v>
      </c>
    </row>
    <row r="156" spans="1:15" x14ac:dyDescent="0.25">
      <c r="A156" s="10">
        <v>153</v>
      </c>
      <c r="B156" s="10">
        <v>3704</v>
      </c>
      <c r="C156" s="12" t="s">
        <v>353</v>
      </c>
      <c r="D156" s="22">
        <v>368.2</v>
      </c>
      <c r="E156" s="14">
        <v>0.3</v>
      </c>
      <c r="F156" s="14">
        <f t="shared" si="4"/>
        <v>110.46</v>
      </c>
      <c r="G156" s="14"/>
      <c r="H156" s="14">
        <f t="shared" si="5"/>
        <v>110.46</v>
      </c>
      <c r="I156" s="10">
        <v>730722</v>
      </c>
      <c r="J156" s="28" t="s">
        <v>354</v>
      </c>
      <c r="K156" s="18" t="s">
        <v>13</v>
      </c>
      <c r="L156" s="17" t="s">
        <v>14</v>
      </c>
      <c r="M156" s="10">
        <v>92499000</v>
      </c>
      <c r="N156" s="18"/>
    </row>
    <row r="157" spans="1:15" s="20" customFormat="1" x14ac:dyDescent="0.25">
      <c r="A157" s="36">
        <v>154</v>
      </c>
      <c r="B157" s="36">
        <v>3705</v>
      </c>
      <c r="C157" s="37" t="s">
        <v>355</v>
      </c>
      <c r="D157" s="38">
        <v>176.4</v>
      </c>
      <c r="E157" s="39">
        <v>0.3</v>
      </c>
      <c r="F157" s="39">
        <f t="shared" si="4"/>
        <v>52.92</v>
      </c>
      <c r="G157" s="39">
        <f>1.62000000000001+47.5</f>
        <v>49.120000000000012</v>
      </c>
      <c r="H157" s="39">
        <f t="shared" si="5"/>
        <v>3.7999999999999901</v>
      </c>
      <c r="I157" s="36">
        <v>738486</v>
      </c>
      <c r="J157" s="45" t="s">
        <v>356</v>
      </c>
      <c r="K157" s="34" t="s">
        <v>13</v>
      </c>
      <c r="L157" s="46" t="s">
        <v>14</v>
      </c>
      <c r="M157" s="36">
        <v>99486030</v>
      </c>
      <c r="N157" s="34" t="s">
        <v>88</v>
      </c>
      <c r="O157" s="34" t="s">
        <v>38</v>
      </c>
    </row>
    <row r="158" spans="1:15" s="20" customFormat="1" x14ac:dyDescent="0.25">
      <c r="A158" s="36">
        <v>155</v>
      </c>
      <c r="B158" s="36">
        <v>3706</v>
      </c>
      <c r="C158" s="37" t="s">
        <v>357</v>
      </c>
      <c r="D158" s="38">
        <v>84.3</v>
      </c>
      <c r="E158" s="39">
        <v>0.3</v>
      </c>
      <c r="F158" s="39">
        <f t="shared" si="4"/>
        <v>25.29</v>
      </c>
      <c r="G158" s="39">
        <f>1.62000000000001+19</f>
        <v>20.620000000000012</v>
      </c>
      <c r="H158" s="39">
        <f t="shared" si="5"/>
        <v>4.6699999999999875</v>
      </c>
      <c r="I158" s="36">
        <v>8098795</v>
      </c>
      <c r="J158" s="45" t="s">
        <v>358</v>
      </c>
      <c r="K158" s="34" t="s">
        <v>13</v>
      </c>
      <c r="L158" s="46" t="s">
        <v>14</v>
      </c>
      <c r="M158" s="36">
        <v>93567000</v>
      </c>
      <c r="N158" s="34" t="s">
        <v>88</v>
      </c>
      <c r="O158" s="34" t="s">
        <v>38</v>
      </c>
    </row>
    <row r="159" spans="1:15" s="20" customFormat="1" x14ac:dyDescent="0.25">
      <c r="A159" s="36">
        <v>156</v>
      </c>
      <c r="B159" s="36">
        <v>3708</v>
      </c>
      <c r="C159" s="37" t="s">
        <v>359</v>
      </c>
      <c r="D159" s="38">
        <v>373.7</v>
      </c>
      <c r="E159" s="39">
        <v>0.3</v>
      </c>
      <c r="F159" s="39">
        <f t="shared" si="4"/>
        <v>112.11</v>
      </c>
      <c r="G159" s="39">
        <f>109.25</f>
        <v>109.25</v>
      </c>
      <c r="H159" s="39">
        <f t="shared" si="5"/>
        <v>2.8599999999999994</v>
      </c>
      <c r="I159" s="39">
        <v>5304255</v>
      </c>
      <c r="J159" s="46" t="s">
        <v>360</v>
      </c>
      <c r="K159" s="49" t="s">
        <v>13</v>
      </c>
      <c r="L159" s="46" t="s">
        <v>14</v>
      </c>
      <c r="M159" s="36">
        <v>98822655</v>
      </c>
      <c r="N159" s="34" t="s">
        <v>38</v>
      </c>
    </row>
    <row r="160" spans="1:15" x14ac:dyDescent="0.25">
      <c r="A160" s="10">
        <v>157</v>
      </c>
      <c r="B160" s="10">
        <v>3709</v>
      </c>
      <c r="C160" s="12" t="s">
        <v>361</v>
      </c>
      <c r="D160" s="22">
        <v>280.2</v>
      </c>
      <c r="E160" s="14">
        <v>0.3</v>
      </c>
      <c r="F160" s="14">
        <f t="shared" si="4"/>
        <v>84.059999999999988</v>
      </c>
      <c r="G160" s="14"/>
      <c r="H160" s="14">
        <f t="shared" si="5"/>
        <v>84.059999999999988</v>
      </c>
      <c r="I160" s="67" t="s">
        <v>362</v>
      </c>
      <c r="J160" s="17" t="s">
        <v>363</v>
      </c>
      <c r="K160" s="16" t="s">
        <v>13</v>
      </c>
      <c r="L160" s="17" t="s">
        <v>14</v>
      </c>
      <c r="M160" s="10">
        <v>99693314</v>
      </c>
      <c r="N160" s="18"/>
    </row>
    <row r="161" spans="1:14" s="20" customFormat="1" x14ac:dyDescent="0.25">
      <c r="A161" s="36">
        <v>158</v>
      </c>
      <c r="B161" s="36">
        <v>3711</v>
      </c>
      <c r="C161" s="37" t="s">
        <v>364</v>
      </c>
      <c r="D161" s="38">
        <v>159.69999999999999</v>
      </c>
      <c r="E161" s="39">
        <v>0.3</v>
      </c>
      <c r="F161" s="39">
        <f t="shared" si="4"/>
        <v>47.91</v>
      </c>
      <c r="G161" s="39">
        <v>46.910000000000004</v>
      </c>
      <c r="H161" s="39">
        <f t="shared" si="5"/>
        <v>0.99999999999999289</v>
      </c>
      <c r="I161" s="96" t="s">
        <v>365</v>
      </c>
      <c r="J161" s="46" t="s">
        <v>366</v>
      </c>
      <c r="K161" s="34" t="s">
        <v>28</v>
      </c>
      <c r="L161" s="34" t="s">
        <v>29</v>
      </c>
      <c r="M161" s="36">
        <v>99590400</v>
      </c>
      <c r="N161" s="34" t="s">
        <v>88</v>
      </c>
    </row>
    <row r="162" spans="1:14" x14ac:dyDescent="0.25">
      <c r="A162" s="10">
        <v>159</v>
      </c>
      <c r="B162" s="10">
        <v>3712</v>
      </c>
      <c r="C162" s="12" t="s">
        <v>367</v>
      </c>
      <c r="D162" s="22">
        <v>130.19999999999999</v>
      </c>
      <c r="E162" s="14">
        <v>0.3</v>
      </c>
      <c r="F162" s="14">
        <f t="shared" si="4"/>
        <v>39.059999999999995</v>
      </c>
      <c r="G162" s="14"/>
      <c r="H162" s="14">
        <f t="shared" si="5"/>
        <v>39.059999999999995</v>
      </c>
      <c r="I162" s="67" t="s">
        <v>368</v>
      </c>
      <c r="J162" s="17" t="s">
        <v>369</v>
      </c>
      <c r="K162" s="16" t="s">
        <v>13</v>
      </c>
      <c r="L162" s="17" t="s">
        <v>14</v>
      </c>
      <c r="M162" s="10">
        <v>99586643</v>
      </c>
      <c r="N162" s="18"/>
    </row>
    <row r="163" spans="1:14" x14ac:dyDescent="0.25">
      <c r="A163" s="10">
        <v>160</v>
      </c>
      <c r="B163" s="10">
        <v>3713</v>
      </c>
      <c r="C163" s="12" t="s">
        <v>370</v>
      </c>
      <c r="D163" s="22">
        <v>210.5</v>
      </c>
      <c r="E163" s="14">
        <v>0.3</v>
      </c>
      <c r="F163" s="14">
        <f t="shared" si="4"/>
        <v>63.15</v>
      </c>
      <c r="G163" s="14"/>
      <c r="H163" s="14">
        <f t="shared" si="5"/>
        <v>63.15</v>
      </c>
      <c r="I163" s="67" t="s">
        <v>371</v>
      </c>
      <c r="J163" s="18" t="s">
        <v>372</v>
      </c>
      <c r="K163" s="18" t="s">
        <v>97</v>
      </c>
      <c r="L163" s="18" t="s">
        <v>98</v>
      </c>
      <c r="M163" s="10">
        <v>99490438</v>
      </c>
      <c r="N163" s="18"/>
    </row>
    <row r="164" spans="1:14" x14ac:dyDescent="0.25">
      <c r="A164" s="10">
        <v>161</v>
      </c>
      <c r="B164" s="10">
        <v>3716</v>
      </c>
      <c r="C164" s="12" t="s">
        <v>373</v>
      </c>
      <c r="D164" s="22">
        <v>387.1</v>
      </c>
      <c r="E164" s="14">
        <v>0.3</v>
      </c>
      <c r="F164" s="14">
        <f t="shared" si="4"/>
        <v>116.13</v>
      </c>
      <c r="G164" s="14"/>
      <c r="H164" s="14">
        <f t="shared" si="5"/>
        <v>116.13</v>
      </c>
      <c r="I164" s="23" t="s">
        <v>374</v>
      </c>
      <c r="J164" s="17" t="s">
        <v>375</v>
      </c>
      <c r="K164" s="16" t="s">
        <v>13</v>
      </c>
      <c r="L164" s="24" t="s">
        <v>14</v>
      </c>
      <c r="M164" s="10"/>
      <c r="N164" s="18"/>
    </row>
    <row r="165" spans="1:14" s="20" customFormat="1" x14ac:dyDescent="0.25">
      <c r="A165" s="36">
        <v>162</v>
      </c>
      <c r="B165" s="36">
        <v>3717</v>
      </c>
      <c r="C165" s="37" t="s">
        <v>376</v>
      </c>
      <c r="D165" s="38">
        <v>428</v>
      </c>
      <c r="E165" s="39">
        <v>0.3</v>
      </c>
      <c r="F165" s="39">
        <f t="shared" si="4"/>
        <v>128.4</v>
      </c>
      <c r="G165" s="39">
        <v>127.28999999999996</v>
      </c>
      <c r="H165" s="39">
        <f t="shared" si="5"/>
        <v>1.1100000000000421</v>
      </c>
      <c r="I165" s="48" t="s">
        <v>377</v>
      </c>
      <c r="J165" s="46" t="s">
        <v>378</v>
      </c>
      <c r="K165" s="49" t="s">
        <v>13</v>
      </c>
      <c r="L165" s="46" t="s">
        <v>14</v>
      </c>
      <c r="M165" s="36"/>
      <c r="N165" s="35">
        <v>46002</v>
      </c>
    </row>
    <row r="166" spans="1:14" x14ac:dyDescent="0.25">
      <c r="A166" s="10">
        <v>163</v>
      </c>
      <c r="B166" s="10">
        <v>3718</v>
      </c>
      <c r="C166" s="12" t="s">
        <v>379</v>
      </c>
      <c r="D166" s="22">
        <v>107.6</v>
      </c>
      <c r="E166" s="14">
        <v>0.3</v>
      </c>
      <c r="F166" s="14">
        <f t="shared" si="4"/>
        <v>32.279999999999994</v>
      </c>
      <c r="G166" s="14"/>
      <c r="H166" s="14">
        <f t="shared" si="5"/>
        <v>32.279999999999994</v>
      </c>
      <c r="I166" s="67" t="s">
        <v>380</v>
      </c>
      <c r="J166" s="17" t="s">
        <v>381</v>
      </c>
      <c r="K166" s="18" t="s">
        <v>21</v>
      </c>
      <c r="L166" s="17" t="s">
        <v>22</v>
      </c>
      <c r="M166" s="10">
        <v>92955331</v>
      </c>
      <c r="N166" s="18"/>
    </row>
    <row r="167" spans="1:14" x14ac:dyDescent="0.25">
      <c r="A167" s="10">
        <v>164</v>
      </c>
      <c r="B167" s="10">
        <v>3719</v>
      </c>
      <c r="C167" s="12" t="s">
        <v>382</v>
      </c>
      <c r="D167" s="22">
        <v>210</v>
      </c>
      <c r="E167" s="14">
        <v>0.3</v>
      </c>
      <c r="F167" s="14">
        <f t="shared" si="4"/>
        <v>63</v>
      </c>
      <c r="G167" s="14"/>
      <c r="H167" s="14">
        <f t="shared" si="5"/>
        <v>63</v>
      </c>
      <c r="I167" s="67" t="s">
        <v>383</v>
      </c>
      <c r="J167" s="17" t="s">
        <v>384</v>
      </c>
      <c r="K167" s="28" t="s">
        <v>45</v>
      </c>
      <c r="L167" s="18" t="s">
        <v>46</v>
      </c>
      <c r="M167" s="10">
        <v>99083559</v>
      </c>
      <c r="N167" s="18"/>
    </row>
    <row r="168" spans="1:14" s="29" customFormat="1" x14ac:dyDescent="0.25">
      <c r="A168" s="10">
        <v>165</v>
      </c>
      <c r="B168" s="10">
        <v>3720</v>
      </c>
      <c r="C168" s="25" t="s">
        <v>385</v>
      </c>
      <c r="D168" s="54"/>
      <c r="E168" s="14">
        <v>0.3</v>
      </c>
      <c r="F168" s="14">
        <f t="shared" si="4"/>
        <v>0</v>
      </c>
      <c r="G168" s="14"/>
      <c r="H168" s="14">
        <f t="shared" si="5"/>
        <v>0</v>
      </c>
      <c r="I168" s="67" t="s">
        <v>386</v>
      </c>
      <c r="J168" s="17" t="s">
        <v>387</v>
      </c>
      <c r="K168" s="18" t="s">
        <v>28</v>
      </c>
      <c r="L168" s="18" t="s">
        <v>29</v>
      </c>
      <c r="M168" s="10">
        <v>91731345</v>
      </c>
      <c r="N168" s="18"/>
    </row>
    <row r="169" spans="1:14" s="20" customFormat="1" x14ac:dyDescent="0.25">
      <c r="A169" s="36">
        <v>166</v>
      </c>
      <c r="B169" s="36">
        <v>3722</v>
      </c>
      <c r="C169" s="37" t="s">
        <v>388</v>
      </c>
      <c r="D169" s="38">
        <v>210.8</v>
      </c>
      <c r="E169" s="39">
        <v>0.3</v>
      </c>
      <c r="F169" s="39">
        <f t="shared" si="4"/>
        <v>63.24</v>
      </c>
      <c r="G169" s="39">
        <v>2.7900000000000125</v>
      </c>
      <c r="H169" s="39">
        <f t="shared" si="5"/>
        <v>60.449999999999989</v>
      </c>
      <c r="I169" s="97" t="s">
        <v>389</v>
      </c>
      <c r="J169" s="46" t="s">
        <v>390</v>
      </c>
      <c r="K169" s="57" t="s">
        <v>45</v>
      </c>
      <c r="L169" s="34" t="s">
        <v>46</v>
      </c>
      <c r="M169" s="36">
        <v>96912200</v>
      </c>
      <c r="N169" s="35">
        <v>45700</v>
      </c>
    </row>
    <row r="170" spans="1:14" x14ac:dyDescent="0.25">
      <c r="A170" s="36">
        <v>167</v>
      </c>
      <c r="B170" s="36">
        <v>3723</v>
      </c>
      <c r="C170" s="37" t="s">
        <v>391</v>
      </c>
      <c r="D170" s="38">
        <v>133.9</v>
      </c>
      <c r="E170" s="39">
        <v>0.3</v>
      </c>
      <c r="F170" s="39">
        <f t="shared" si="4"/>
        <v>40.17</v>
      </c>
      <c r="G170" s="39">
        <v>35.799999999999997</v>
      </c>
      <c r="H170" s="39">
        <f t="shared" si="5"/>
        <v>4.3700000000000045</v>
      </c>
      <c r="I170" s="36">
        <v>993752</v>
      </c>
      <c r="J170" s="58" t="s">
        <v>392</v>
      </c>
      <c r="K170" s="98" t="s">
        <v>13</v>
      </c>
      <c r="L170" s="58" t="s">
        <v>14</v>
      </c>
      <c r="M170" s="36">
        <v>99100344</v>
      </c>
      <c r="N170" s="34" t="s">
        <v>85</v>
      </c>
    </row>
    <row r="171" spans="1:14" x14ac:dyDescent="0.25">
      <c r="A171" s="10">
        <v>168</v>
      </c>
      <c r="B171" s="10">
        <v>3725</v>
      </c>
      <c r="C171" s="12" t="s">
        <v>275</v>
      </c>
      <c r="D171" s="13">
        <v>350.2</v>
      </c>
      <c r="E171" s="14">
        <v>0.3</v>
      </c>
      <c r="F171" s="14">
        <f t="shared" si="4"/>
        <v>105.05999999999999</v>
      </c>
      <c r="G171" s="14"/>
      <c r="H171" s="14">
        <f t="shared" si="5"/>
        <v>105.05999999999999</v>
      </c>
      <c r="I171" s="51">
        <v>1648248</v>
      </c>
      <c r="J171" s="63" t="s">
        <v>393</v>
      </c>
      <c r="K171" s="61" t="s">
        <v>13</v>
      </c>
      <c r="L171" s="68" t="s">
        <v>14</v>
      </c>
      <c r="M171" s="10">
        <v>99497550</v>
      </c>
      <c r="N171" s="56">
        <v>45558</v>
      </c>
    </row>
    <row r="172" spans="1:14" x14ac:dyDescent="0.25">
      <c r="A172" s="10">
        <v>169</v>
      </c>
      <c r="B172" s="10">
        <v>3727</v>
      </c>
      <c r="C172" s="12" t="s">
        <v>394</v>
      </c>
      <c r="D172" s="22">
        <v>125.6</v>
      </c>
      <c r="E172" s="14">
        <v>0.3</v>
      </c>
      <c r="F172" s="14">
        <f t="shared" si="4"/>
        <v>37.68</v>
      </c>
      <c r="G172" s="14"/>
      <c r="H172" s="14">
        <f t="shared" si="5"/>
        <v>37.68</v>
      </c>
      <c r="I172" s="67" t="s">
        <v>395</v>
      </c>
      <c r="J172" s="17" t="s">
        <v>396</v>
      </c>
      <c r="K172" s="16" t="s">
        <v>13</v>
      </c>
      <c r="L172" s="17" t="s">
        <v>14</v>
      </c>
      <c r="M172" s="10">
        <v>99679943</v>
      </c>
      <c r="N172" s="18"/>
    </row>
    <row r="173" spans="1:14" x14ac:dyDescent="0.25">
      <c r="A173" s="10">
        <v>170</v>
      </c>
      <c r="B173" s="10">
        <v>3728</v>
      </c>
      <c r="C173" s="12" t="s">
        <v>397</v>
      </c>
      <c r="D173" s="22">
        <v>93.1</v>
      </c>
      <c r="E173" s="14">
        <v>0.3</v>
      </c>
      <c r="F173" s="14">
        <f t="shared" si="4"/>
        <v>27.929999999999996</v>
      </c>
      <c r="G173" s="14"/>
      <c r="H173" s="14">
        <f t="shared" si="5"/>
        <v>27.929999999999996</v>
      </c>
      <c r="I173" s="51">
        <v>25886784</v>
      </c>
      <c r="J173" s="63" t="s">
        <v>398</v>
      </c>
      <c r="K173" s="61" t="s">
        <v>13</v>
      </c>
      <c r="L173" s="68" t="s">
        <v>14</v>
      </c>
      <c r="M173" s="10">
        <v>99564153</v>
      </c>
      <c r="N173" s="56">
        <v>45558</v>
      </c>
    </row>
    <row r="174" spans="1:14" x14ac:dyDescent="0.25">
      <c r="A174" s="10">
        <v>171</v>
      </c>
      <c r="B174" s="10">
        <v>3729</v>
      </c>
      <c r="C174" s="12" t="s">
        <v>399</v>
      </c>
      <c r="D174" s="71">
        <v>183.8</v>
      </c>
      <c r="E174" s="14">
        <v>0.3</v>
      </c>
      <c r="F174" s="14">
        <f t="shared" si="4"/>
        <v>55.14</v>
      </c>
      <c r="G174" s="14">
        <v>53.25</v>
      </c>
      <c r="H174" s="14">
        <f t="shared" si="5"/>
        <v>1.8900000000000006</v>
      </c>
      <c r="I174" s="99" t="s">
        <v>400</v>
      </c>
      <c r="J174" s="17" t="s">
        <v>401</v>
      </c>
      <c r="K174" s="61" t="s">
        <v>13</v>
      </c>
      <c r="L174" s="68" t="s">
        <v>14</v>
      </c>
      <c r="M174" s="10">
        <v>91288200</v>
      </c>
      <c r="N174" s="35">
        <v>45941</v>
      </c>
    </row>
    <row r="175" spans="1:14" x14ac:dyDescent="0.25">
      <c r="A175" s="10">
        <v>172</v>
      </c>
      <c r="B175" s="10">
        <v>3730</v>
      </c>
      <c r="C175" s="12" t="s">
        <v>402</v>
      </c>
      <c r="D175" s="22">
        <v>289.5</v>
      </c>
      <c r="E175" s="14">
        <v>0.3</v>
      </c>
      <c r="F175" s="14">
        <f t="shared" si="4"/>
        <v>86.85</v>
      </c>
      <c r="G175" s="14"/>
      <c r="H175" s="14">
        <f t="shared" si="5"/>
        <v>86.85</v>
      </c>
      <c r="I175" s="67" t="s">
        <v>403</v>
      </c>
      <c r="J175" s="17" t="s">
        <v>404</v>
      </c>
      <c r="K175" s="16" t="s">
        <v>13</v>
      </c>
      <c r="L175" s="17" t="s">
        <v>14</v>
      </c>
      <c r="M175" s="10">
        <v>93504408</v>
      </c>
      <c r="N175" s="18"/>
    </row>
    <row r="176" spans="1:14" s="20" customFormat="1" x14ac:dyDescent="0.25">
      <c r="A176" s="36">
        <v>173</v>
      </c>
      <c r="B176" s="36">
        <v>3731</v>
      </c>
      <c r="C176" s="37" t="s">
        <v>405</v>
      </c>
      <c r="D176" s="38">
        <v>409.6</v>
      </c>
      <c r="E176" s="39">
        <v>0.3</v>
      </c>
      <c r="F176" s="39">
        <f t="shared" si="4"/>
        <v>122.88</v>
      </c>
      <c r="G176" s="39">
        <v>120.17</v>
      </c>
      <c r="H176" s="39">
        <f t="shared" si="5"/>
        <v>2.7099999999999937</v>
      </c>
      <c r="I176" s="100">
        <v>4640285</v>
      </c>
      <c r="J176" s="46" t="s">
        <v>406</v>
      </c>
      <c r="K176" s="49" t="s">
        <v>13</v>
      </c>
      <c r="L176" s="46" t="s">
        <v>14</v>
      </c>
      <c r="M176" s="36">
        <v>99493301</v>
      </c>
      <c r="N176" s="34" t="s">
        <v>38</v>
      </c>
    </row>
    <row r="177" spans="1:18" s="29" customFormat="1" x14ac:dyDescent="0.25">
      <c r="A177" s="10">
        <v>174</v>
      </c>
      <c r="B177" s="10">
        <v>3732</v>
      </c>
      <c r="C177" s="74" t="s">
        <v>407</v>
      </c>
      <c r="D177" s="54"/>
      <c r="E177" s="14">
        <v>0.3</v>
      </c>
      <c r="F177" s="14">
        <f t="shared" si="4"/>
        <v>0</v>
      </c>
      <c r="G177" s="14"/>
      <c r="H177" s="14">
        <f t="shared" si="5"/>
        <v>0</v>
      </c>
      <c r="I177" s="101">
        <v>194498</v>
      </c>
      <c r="J177" s="77" t="s">
        <v>408</v>
      </c>
      <c r="K177" s="102" t="s">
        <v>28</v>
      </c>
      <c r="L177" s="77" t="s">
        <v>29</v>
      </c>
      <c r="M177" s="10"/>
      <c r="N177" s="18"/>
    </row>
    <row r="178" spans="1:18" x14ac:dyDescent="0.25">
      <c r="A178" s="10">
        <v>175</v>
      </c>
      <c r="B178" s="10">
        <v>3733</v>
      </c>
      <c r="C178" s="12" t="s">
        <v>409</v>
      </c>
      <c r="D178" s="22">
        <v>186</v>
      </c>
      <c r="E178" s="14">
        <v>0.3</v>
      </c>
      <c r="F178" s="14">
        <f t="shared" si="4"/>
        <v>55.8</v>
      </c>
      <c r="G178" s="14"/>
      <c r="H178" s="14">
        <f t="shared" si="5"/>
        <v>55.8</v>
      </c>
      <c r="I178" s="103">
        <v>23270163</v>
      </c>
      <c r="J178" s="17" t="s">
        <v>410</v>
      </c>
      <c r="K178" s="61" t="s">
        <v>13</v>
      </c>
      <c r="L178" s="68" t="s">
        <v>14</v>
      </c>
      <c r="M178" s="10">
        <v>92212553</v>
      </c>
      <c r="N178" s="56">
        <v>45558</v>
      </c>
    </row>
    <row r="179" spans="1:18" x14ac:dyDescent="0.25">
      <c r="A179" s="10">
        <v>176</v>
      </c>
      <c r="B179" s="10">
        <v>3734</v>
      </c>
      <c r="C179" s="12" t="s">
        <v>411</v>
      </c>
      <c r="D179" s="22">
        <v>240.4</v>
      </c>
      <c r="E179" s="14">
        <v>0.3</v>
      </c>
      <c r="F179" s="14">
        <f t="shared" si="4"/>
        <v>72.12</v>
      </c>
      <c r="G179" s="14"/>
      <c r="H179" s="14">
        <f t="shared" si="5"/>
        <v>72.12</v>
      </c>
      <c r="I179" s="23">
        <v>6680216</v>
      </c>
      <c r="J179" s="17" t="s">
        <v>412</v>
      </c>
      <c r="K179" s="18" t="s">
        <v>28</v>
      </c>
      <c r="L179" s="18" t="s">
        <v>29</v>
      </c>
      <c r="M179" s="10">
        <v>92333311</v>
      </c>
      <c r="N179" s="18"/>
    </row>
    <row r="180" spans="1:18" x14ac:dyDescent="0.25">
      <c r="A180" s="10">
        <v>177</v>
      </c>
      <c r="B180" s="10">
        <v>3735</v>
      </c>
      <c r="C180" s="12" t="s">
        <v>413</v>
      </c>
      <c r="D180" s="22">
        <v>187.7</v>
      </c>
      <c r="E180" s="14">
        <v>0.3</v>
      </c>
      <c r="F180" s="14">
        <f t="shared" si="4"/>
        <v>56.309999999999995</v>
      </c>
      <c r="G180" s="14"/>
      <c r="H180" s="14">
        <f t="shared" si="5"/>
        <v>56.309999999999995</v>
      </c>
      <c r="I180" s="23">
        <v>19952467</v>
      </c>
      <c r="J180" s="17" t="s">
        <v>414</v>
      </c>
      <c r="K180" s="16" t="s">
        <v>13</v>
      </c>
      <c r="L180" s="17" t="s">
        <v>14</v>
      </c>
      <c r="M180" s="10">
        <v>91222276</v>
      </c>
      <c r="N180" s="18"/>
    </row>
    <row r="181" spans="1:18" x14ac:dyDescent="0.25">
      <c r="A181" s="10">
        <v>178</v>
      </c>
      <c r="B181" s="10">
        <v>3739</v>
      </c>
      <c r="C181" s="104" t="s">
        <v>415</v>
      </c>
      <c r="D181" s="22">
        <v>122.5</v>
      </c>
      <c r="E181" s="14">
        <v>0.3</v>
      </c>
      <c r="F181" s="14">
        <f t="shared" si="4"/>
        <v>36.75</v>
      </c>
      <c r="G181" s="14"/>
      <c r="H181" s="14">
        <f t="shared" si="5"/>
        <v>36.75</v>
      </c>
      <c r="I181" s="101">
        <v>22187694</v>
      </c>
      <c r="J181" s="77" t="s">
        <v>416</v>
      </c>
      <c r="K181" s="105" t="s">
        <v>13</v>
      </c>
      <c r="L181" s="77" t="s">
        <v>14</v>
      </c>
      <c r="M181" s="75">
        <v>93000079</v>
      </c>
      <c r="N181" s="18"/>
    </row>
    <row r="182" spans="1:18" x14ac:dyDescent="0.25">
      <c r="A182" s="10">
        <v>179</v>
      </c>
      <c r="B182" s="10">
        <v>3740</v>
      </c>
      <c r="C182" s="12" t="s">
        <v>417</v>
      </c>
      <c r="D182" s="22">
        <v>390.4</v>
      </c>
      <c r="E182" s="14">
        <v>0.3</v>
      </c>
      <c r="F182" s="14">
        <f t="shared" si="4"/>
        <v>117.11999999999999</v>
      </c>
      <c r="G182" s="14">
        <v>113.26</v>
      </c>
      <c r="H182" s="14">
        <f t="shared" si="5"/>
        <v>3.8599999999999852</v>
      </c>
      <c r="I182" s="23">
        <v>25472616</v>
      </c>
      <c r="J182" s="17" t="s">
        <v>418</v>
      </c>
      <c r="K182" s="18" t="s">
        <v>28</v>
      </c>
      <c r="L182" s="18" t="s">
        <v>29</v>
      </c>
      <c r="M182" s="10">
        <v>93318821</v>
      </c>
      <c r="N182" s="34" t="s">
        <v>38</v>
      </c>
    </row>
    <row r="183" spans="1:18" x14ac:dyDescent="0.25">
      <c r="A183" s="10">
        <v>180</v>
      </c>
      <c r="B183" s="10">
        <v>3742</v>
      </c>
      <c r="C183" s="12" t="s">
        <v>419</v>
      </c>
      <c r="D183" s="22">
        <v>24.4</v>
      </c>
      <c r="E183" s="14">
        <v>0.3</v>
      </c>
      <c r="F183" s="14">
        <f t="shared" si="4"/>
        <v>7.3199999999999994</v>
      </c>
      <c r="G183" s="14"/>
      <c r="H183" s="14">
        <f t="shared" si="5"/>
        <v>7.3199999999999994</v>
      </c>
      <c r="I183" s="103">
        <v>1930281</v>
      </c>
      <c r="J183" s="17" t="s">
        <v>420</v>
      </c>
      <c r="K183" s="17" t="s">
        <v>421</v>
      </c>
      <c r="L183" s="52" t="s">
        <v>237</v>
      </c>
      <c r="M183" s="10">
        <v>99330095</v>
      </c>
      <c r="N183" s="18"/>
    </row>
    <row r="184" spans="1:18" s="29" customFormat="1" x14ac:dyDescent="0.25">
      <c r="A184" s="10">
        <v>181</v>
      </c>
      <c r="B184" s="10">
        <v>3743</v>
      </c>
      <c r="C184" s="25" t="s">
        <v>422</v>
      </c>
      <c r="D184" s="54"/>
      <c r="E184" s="14">
        <v>0.3</v>
      </c>
      <c r="F184" s="14">
        <f t="shared" si="4"/>
        <v>0</v>
      </c>
      <c r="G184" s="14"/>
      <c r="H184" s="14">
        <f t="shared" si="5"/>
        <v>0</v>
      </c>
      <c r="I184" s="23">
        <v>599336</v>
      </c>
      <c r="J184" s="17" t="s">
        <v>423</v>
      </c>
      <c r="K184" s="19" t="s">
        <v>13</v>
      </c>
      <c r="L184" s="17" t="s">
        <v>14</v>
      </c>
      <c r="M184" s="10">
        <v>99497544</v>
      </c>
      <c r="N184" s="18"/>
    </row>
    <row r="185" spans="1:18" x14ac:dyDescent="0.25">
      <c r="A185" s="10">
        <v>182</v>
      </c>
      <c r="B185" s="10">
        <v>3745</v>
      </c>
      <c r="C185" s="12" t="s">
        <v>424</v>
      </c>
      <c r="D185" s="22">
        <v>185.1</v>
      </c>
      <c r="E185" s="14">
        <v>0.3</v>
      </c>
      <c r="F185" s="14">
        <f t="shared" si="4"/>
        <v>55.529999999999994</v>
      </c>
      <c r="G185" s="14"/>
      <c r="H185" s="14">
        <f t="shared" si="5"/>
        <v>55.529999999999994</v>
      </c>
      <c r="I185" s="23">
        <v>2199772</v>
      </c>
      <c r="J185" s="17" t="s">
        <v>425</v>
      </c>
      <c r="K185" s="16" t="s">
        <v>13</v>
      </c>
      <c r="L185" s="17" t="s">
        <v>14</v>
      </c>
      <c r="M185" s="10">
        <v>72556787</v>
      </c>
      <c r="N185" s="18"/>
    </row>
    <row r="186" spans="1:18" x14ac:dyDescent="0.25">
      <c r="A186" s="10">
        <v>183</v>
      </c>
      <c r="B186" s="10">
        <v>3746</v>
      </c>
      <c r="C186" s="12" t="s">
        <v>426</v>
      </c>
      <c r="D186" s="22">
        <v>236.4</v>
      </c>
      <c r="E186" s="14">
        <v>0.3</v>
      </c>
      <c r="F186" s="14">
        <f t="shared" si="4"/>
        <v>70.92</v>
      </c>
      <c r="G186" s="14"/>
      <c r="H186" s="14">
        <f t="shared" si="5"/>
        <v>70.92</v>
      </c>
      <c r="I186" s="23">
        <v>21973713</v>
      </c>
      <c r="J186" s="17" t="s">
        <v>427</v>
      </c>
      <c r="K186" s="16" t="s">
        <v>13</v>
      </c>
      <c r="L186" s="17" t="s">
        <v>14</v>
      </c>
      <c r="M186" s="10">
        <v>95710331</v>
      </c>
      <c r="N186" s="18"/>
    </row>
    <row r="187" spans="1:18" x14ac:dyDescent="0.25">
      <c r="A187" s="10">
        <v>184</v>
      </c>
      <c r="B187" s="10">
        <v>3748</v>
      </c>
      <c r="C187" s="12" t="s">
        <v>428</v>
      </c>
      <c r="D187" s="22">
        <v>125.2</v>
      </c>
      <c r="E187" s="14">
        <v>0.3</v>
      </c>
      <c r="F187" s="14">
        <f t="shared" si="4"/>
        <v>37.56</v>
      </c>
      <c r="G187" s="14"/>
      <c r="H187" s="14">
        <f t="shared" si="5"/>
        <v>37.56</v>
      </c>
      <c r="I187" s="23">
        <v>18620918</v>
      </c>
      <c r="J187" s="17" t="s">
        <v>429</v>
      </c>
      <c r="K187" s="16" t="s">
        <v>13</v>
      </c>
      <c r="L187" s="17" t="s">
        <v>14</v>
      </c>
      <c r="M187" s="10">
        <v>91222276</v>
      </c>
      <c r="N187" s="18"/>
    </row>
    <row r="188" spans="1:18" s="20" customFormat="1" x14ac:dyDescent="0.25">
      <c r="A188" s="36">
        <v>185</v>
      </c>
      <c r="B188" s="36">
        <v>3750</v>
      </c>
      <c r="C188" s="37" t="s">
        <v>430</v>
      </c>
      <c r="D188" s="38">
        <v>311.60000000000002</v>
      </c>
      <c r="E188" s="39">
        <v>0.3</v>
      </c>
      <c r="F188" s="39">
        <f t="shared" si="4"/>
        <v>93.48</v>
      </c>
      <c r="G188" s="39">
        <v>91.509999999999991</v>
      </c>
      <c r="H188" s="39">
        <f t="shared" si="5"/>
        <v>1.9700000000000131</v>
      </c>
      <c r="I188" s="48">
        <v>939641</v>
      </c>
      <c r="J188" s="46" t="s">
        <v>431</v>
      </c>
      <c r="K188" s="49" t="s">
        <v>13</v>
      </c>
      <c r="L188" s="46" t="s">
        <v>14</v>
      </c>
      <c r="M188" s="36">
        <v>99588609</v>
      </c>
      <c r="N188" s="35">
        <v>45973</v>
      </c>
    </row>
    <row r="189" spans="1:18" x14ac:dyDescent="0.25">
      <c r="A189" s="10">
        <v>186</v>
      </c>
      <c r="B189" s="10">
        <v>3751</v>
      </c>
      <c r="C189" s="12" t="s">
        <v>432</v>
      </c>
      <c r="D189" s="22">
        <v>737.4</v>
      </c>
      <c r="E189" s="14">
        <v>0.3</v>
      </c>
      <c r="F189" s="14">
        <f t="shared" si="4"/>
        <v>221.22</v>
      </c>
      <c r="G189" s="14"/>
      <c r="H189" s="14">
        <f t="shared" si="5"/>
        <v>221.22</v>
      </c>
      <c r="I189" s="11">
        <v>2116627</v>
      </c>
      <c r="J189" s="24" t="s">
        <v>433</v>
      </c>
      <c r="K189" s="16" t="s">
        <v>13</v>
      </c>
      <c r="L189" s="24" t="s">
        <v>14</v>
      </c>
      <c r="M189" s="11">
        <v>99493880</v>
      </c>
      <c r="N189" s="18"/>
    </row>
    <row r="190" spans="1:18" s="20" customFormat="1" x14ac:dyDescent="0.25">
      <c r="A190" s="36">
        <v>187</v>
      </c>
      <c r="B190" s="36">
        <v>3752</v>
      </c>
      <c r="C190" s="37" t="s">
        <v>434</v>
      </c>
      <c r="D190" s="38">
        <v>224.1</v>
      </c>
      <c r="E190" s="39">
        <v>0.3</v>
      </c>
      <c r="F190" s="39">
        <f t="shared" si="4"/>
        <v>67.22999999999999</v>
      </c>
      <c r="G190" s="39">
        <f>24.81+40.15</f>
        <v>64.959999999999994</v>
      </c>
      <c r="H190" s="39">
        <f t="shared" si="5"/>
        <v>2.269999999999996</v>
      </c>
      <c r="I190" s="48">
        <v>2789493</v>
      </c>
      <c r="J190" s="46" t="s">
        <v>435</v>
      </c>
      <c r="K190" s="49" t="s">
        <v>13</v>
      </c>
      <c r="L190" s="46" t="s">
        <v>14</v>
      </c>
      <c r="M190" s="36">
        <v>97884330</v>
      </c>
      <c r="N190" s="34" t="s">
        <v>436</v>
      </c>
      <c r="O190" s="50" t="s">
        <v>437</v>
      </c>
      <c r="P190" s="50"/>
      <c r="Q190" s="50"/>
      <c r="R190" s="34" t="s">
        <v>38</v>
      </c>
    </row>
    <row r="191" spans="1:18" x14ac:dyDescent="0.25">
      <c r="A191" s="10">
        <v>188</v>
      </c>
      <c r="B191" s="10">
        <v>3753</v>
      </c>
      <c r="C191" s="12" t="s">
        <v>438</v>
      </c>
      <c r="D191" s="22">
        <v>187.6</v>
      </c>
      <c r="E191" s="14">
        <v>0.3</v>
      </c>
      <c r="F191" s="14">
        <f t="shared" si="4"/>
        <v>56.279999999999994</v>
      </c>
      <c r="G191" s="14"/>
      <c r="H191" s="14">
        <f t="shared" si="5"/>
        <v>56.279999999999994</v>
      </c>
      <c r="I191" s="23">
        <v>13938302</v>
      </c>
      <c r="J191" s="17" t="s">
        <v>439</v>
      </c>
      <c r="K191" s="18" t="s">
        <v>28</v>
      </c>
      <c r="L191" s="18" t="s">
        <v>29</v>
      </c>
      <c r="M191" s="10">
        <v>99054621</v>
      </c>
      <c r="N191" s="18"/>
    </row>
    <row r="192" spans="1:18" x14ac:dyDescent="0.25">
      <c r="A192" s="10">
        <v>189</v>
      </c>
      <c r="B192" s="10">
        <v>3754</v>
      </c>
      <c r="C192" s="12" t="s">
        <v>440</v>
      </c>
      <c r="D192" s="22">
        <v>528.70000000000005</v>
      </c>
      <c r="E192" s="14">
        <v>0.3</v>
      </c>
      <c r="F192" s="14">
        <f t="shared" si="4"/>
        <v>158.61000000000001</v>
      </c>
      <c r="G192" s="14"/>
      <c r="H192" s="14">
        <f t="shared" si="5"/>
        <v>158.61000000000001</v>
      </c>
      <c r="I192" s="23">
        <v>443075</v>
      </c>
      <c r="J192" s="17" t="s">
        <v>441</v>
      </c>
      <c r="K192" s="18" t="s">
        <v>190</v>
      </c>
      <c r="L192" s="28" t="s">
        <v>191</v>
      </c>
      <c r="M192" s="10">
        <v>90937047</v>
      </c>
      <c r="N192" s="18"/>
    </row>
    <row r="193" spans="1:14" x14ac:dyDescent="0.25">
      <c r="A193" s="10">
        <v>190</v>
      </c>
      <c r="B193" s="10">
        <v>3755</v>
      </c>
      <c r="C193" s="12" t="s">
        <v>442</v>
      </c>
      <c r="D193" s="22">
        <v>392</v>
      </c>
      <c r="E193" s="14">
        <v>0.3</v>
      </c>
      <c r="F193" s="14">
        <f t="shared" si="4"/>
        <v>117.6</v>
      </c>
      <c r="G193" s="14">
        <v>112.67</v>
      </c>
      <c r="H193" s="14">
        <f t="shared" si="5"/>
        <v>4.9299999999999926</v>
      </c>
      <c r="I193" s="23">
        <v>15536654</v>
      </c>
      <c r="J193" s="17" t="s">
        <v>443</v>
      </c>
      <c r="K193" s="16" t="s">
        <v>13</v>
      </c>
      <c r="L193" s="17" t="s">
        <v>14</v>
      </c>
      <c r="M193" s="10">
        <v>92826690</v>
      </c>
      <c r="N193" s="34" t="s">
        <v>38</v>
      </c>
    </row>
    <row r="194" spans="1:14" x14ac:dyDescent="0.25">
      <c r="A194" s="10">
        <v>191</v>
      </c>
      <c r="B194" s="10">
        <v>3756</v>
      </c>
      <c r="C194" s="12" t="s">
        <v>444</v>
      </c>
      <c r="D194" s="22">
        <v>173.6</v>
      </c>
      <c r="E194" s="14">
        <v>0.3</v>
      </c>
      <c r="F194" s="14">
        <f t="shared" si="4"/>
        <v>52.08</v>
      </c>
      <c r="G194" s="14"/>
      <c r="H194" s="14">
        <f t="shared" si="5"/>
        <v>52.08</v>
      </c>
      <c r="I194" s="23">
        <v>630458</v>
      </c>
      <c r="J194" s="17" t="s">
        <v>445</v>
      </c>
      <c r="K194" s="16" t="s">
        <v>13</v>
      </c>
      <c r="L194" s="17" t="s">
        <v>14</v>
      </c>
      <c r="M194" s="10"/>
      <c r="N194" s="18"/>
    </row>
    <row r="195" spans="1:14" s="20" customFormat="1" x14ac:dyDescent="0.25">
      <c r="A195" s="36">
        <v>192</v>
      </c>
      <c r="B195" s="36">
        <v>3757</v>
      </c>
      <c r="C195" s="37" t="s">
        <v>446</v>
      </c>
      <c r="D195" s="38">
        <v>224.2</v>
      </c>
      <c r="E195" s="39">
        <v>0.3</v>
      </c>
      <c r="F195" s="39">
        <f t="shared" si="4"/>
        <v>67.259999999999991</v>
      </c>
      <c r="G195" s="39">
        <v>2.5899999999999936</v>
      </c>
      <c r="H195" s="39">
        <f t="shared" si="5"/>
        <v>64.67</v>
      </c>
      <c r="I195" s="48">
        <v>729973</v>
      </c>
      <c r="J195" s="46" t="s">
        <v>447</v>
      </c>
      <c r="K195" s="46" t="s">
        <v>97</v>
      </c>
      <c r="L195" s="34" t="s">
        <v>98</v>
      </c>
      <c r="M195" s="36">
        <v>92283227</v>
      </c>
      <c r="N195" s="35">
        <v>45881</v>
      </c>
    </row>
    <row r="196" spans="1:14" x14ac:dyDescent="0.25">
      <c r="A196" s="10">
        <v>193</v>
      </c>
      <c r="B196" s="10">
        <v>3758</v>
      </c>
      <c r="C196" s="12" t="s">
        <v>448</v>
      </c>
      <c r="D196" s="22">
        <v>225</v>
      </c>
      <c r="E196" s="14">
        <v>0.3</v>
      </c>
      <c r="F196" s="14">
        <f t="shared" ref="F196:F259" si="6">E196*D196</f>
        <v>67.5</v>
      </c>
      <c r="G196" s="14"/>
      <c r="H196" s="14">
        <f t="shared" si="5"/>
        <v>67.5</v>
      </c>
      <c r="I196" s="23">
        <v>18899068</v>
      </c>
      <c r="J196" s="17" t="s">
        <v>449</v>
      </c>
      <c r="K196" s="16" t="s">
        <v>13</v>
      </c>
      <c r="L196" s="17" t="s">
        <v>14</v>
      </c>
      <c r="M196" s="10">
        <v>92672061</v>
      </c>
      <c r="N196" s="18"/>
    </row>
    <row r="197" spans="1:14" x14ac:dyDescent="0.25">
      <c r="A197" s="10">
        <v>194</v>
      </c>
      <c r="B197" s="10">
        <v>3759</v>
      </c>
      <c r="C197" s="12" t="s">
        <v>450</v>
      </c>
      <c r="D197" s="22">
        <v>225</v>
      </c>
      <c r="E197" s="14">
        <v>0.3</v>
      </c>
      <c r="F197" s="14">
        <f t="shared" si="6"/>
        <v>67.5</v>
      </c>
      <c r="G197" s="14">
        <v>1.7799999999999934</v>
      </c>
      <c r="H197" s="14">
        <f t="shared" ref="H197:H260" si="7">F197-G197</f>
        <v>65.720000000000013</v>
      </c>
      <c r="I197" s="23">
        <v>5634282</v>
      </c>
      <c r="J197" s="17" t="s">
        <v>451</v>
      </c>
      <c r="K197" s="16" t="s">
        <v>13</v>
      </c>
      <c r="L197" s="17" t="s">
        <v>14</v>
      </c>
      <c r="M197" s="10">
        <v>99293745</v>
      </c>
      <c r="N197" s="35">
        <v>45881</v>
      </c>
    </row>
    <row r="198" spans="1:14" x14ac:dyDescent="0.25">
      <c r="A198" s="10">
        <v>195</v>
      </c>
      <c r="B198" s="10">
        <v>3760</v>
      </c>
      <c r="C198" s="12" t="s">
        <v>452</v>
      </c>
      <c r="D198" s="22">
        <v>209</v>
      </c>
      <c r="E198" s="14">
        <v>0.3</v>
      </c>
      <c r="F198" s="14">
        <f t="shared" si="6"/>
        <v>62.699999999999996</v>
      </c>
      <c r="G198" s="14"/>
      <c r="H198" s="14">
        <f t="shared" si="7"/>
        <v>62.699999999999996</v>
      </c>
      <c r="I198" s="23">
        <v>19531566</v>
      </c>
      <c r="J198" s="17" t="s">
        <v>453</v>
      </c>
      <c r="K198" s="18" t="s">
        <v>28</v>
      </c>
      <c r="L198" s="18" t="s">
        <v>29</v>
      </c>
      <c r="M198" s="10">
        <v>90988855</v>
      </c>
      <c r="N198" s="18"/>
    </row>
    <row r="199" spans="1:14" s="20" customFormat="1" x14ac:dyDescent="0.25">
      <c r="A199" s="36">
        <v>196</v>
      </c>
      <c r="B199" s="36">
        <v>3762</v>
      </c>
      <c r="C199" s="37" t="s">
        <v>454</v>
      </c>
      <c r="D199" s="38">
        <v>177.8</v>
      </c>
      <c r="E199" s="39">
        <v>0.3</v>
      </c>
      <c r="F199" s="39">
        <f t="shared" si="6"/>
        <v>53.34</v>
      </c>
      <c r="G199" s="39">
        <v>6.9999999999973639E-2</v>
      </c>
      <c r="H199" s="39">
        <f t="shared" si="7"/>
        <v>53.270000000000032</v>
      </c>
      <c r="I199" s="48">
        <v>15664101</v>
      </c>
      <c r="J199" s="46" t="s">
        <v>455</v>
      </c>
      <c r="K199" s="49" t="s">
        <v>13</v>
      </c>
      <c r="L199" s="46" t="s">
        <v>14</v>
      </c>
      <c r="M199" s="36"/>
      <c r="N199" s="34" t="s">
        <v>74</v>
      </c>
    </row>
    <row r="200" spans="1:14" x14ac:dyDescent="0.25">
      <c r="A200" s="10">
        <v>197</v>
      </c>
      <c r="B200" s="10">
        <v>3764</v>
      </c>
      <c r="C200" s="12" t="s">
        <v>456</v>
      </c>
      <c r="D200" s="22">
        <v>537.1</v>
      </c>
      <c r="E200" s="14">
        <v>0.3</v>
      </c>
      <c r="F200" s="14">
        <f t="shared" si="6"/>
        <v>161.13</v>
      </c>
      <c r="G200" s="14"/>
      <c r="H200" s="14">
        <f t="shared" si="7"/>
        <v>161.13</v>
      </c>
      <c r="I200" s="23">
        <v>1996843</v>
      </c>
      <c r="J200" s="17" t="s">
        <v>457</v>
      </c>
      <c r="K200" s="16" t="s">
        <v>13</v>
      </c>
      <c r="L200" s="17" t="s">
        <v>14</v>
      </c>
      <c r="M200" s="10">
        <v>91918493</v>
      </c>
      <c r="N200" s="18"/>
    </row>
    <row r="201" spans="1:14" x14ac:dyDescent="0.25">
      <c r="A201" s="10">
        <v>198</v>
      </c>
      <c r="B201" s="10">
        <v>3765</v>
      </c>
      <c r="C201" s="12" t="s">
        <v>458</v>
      </c>
      <c r="D201" s="22">
        <v>514.6</v>
      </c>
      <c r="E201" s="14">
        <v>0.3</v>
      </c>
      <c r="F201" s="14">
        <f t="shared" si="6"/>
        <v>154.38</v>
      </c>
      <c r="G201" s="14"/>
      <c r="H201" s="14">
        <f t="shared" si="7"/>
        <v>154.38</v>
      </c>
      <c r="I201" s="23">
        <v>19752023</v>
      </c>
      <c r="J201" s="17" t="s">
        <v>459</v>
      </c>
      <c r="K201" s="16" t="s">
        <v>13</v>
      </c>
      <c r="L201" s="17" t="s">
        <v>14</v>
      </c>
      <c r="M201" s="10">
        <v>99499894</v>
      </c>
      <c r="N201" s="18"/>
    </row>
    <row r="202" spans="1:14" x14ac:dyDescent="0.25">
      <c r="A202" s="10">
        <v>199</v>
      </c>
      <c r="B202" s="10">
        <v>3766</v>
      </c>
      <c r="C202" s="12" t="s">
        <v>460</v>
      </c>
      <c r="D202" s="22">
        <v>200.1</v>
      </c>
      <c r="E202" s="14">
        <v>0.3</v>
      </c>
      <c r="F202" s="14">
        <f t="shared" si="6"/>
        <v>60.029999999999994</v>
      </c>
      <c r="G202" s="14"/>
      <c r="H202" s="14">
        <f t="shared" si="7"/>
        <v>60.029999999999994</v>
      </c>
      <c r="I202" s="23">
        <v>5729117</v>
      </c>
      <c r="J202" s="17" t="s">
        <v>461</v>
      </c>
      <c r="K202" s="18" t="s">
        <v>28</v>
      </c>
      <c r="L202" s="18" t="s">
        <v>29</v>
      </c>
      <c r="M202" s="10">
        <v>97297211</v>
      </c>
      <c r="N202" s="18"/>
    </row>
    <row r="203" spans="1:14" x14ac:dyDescent="0.25">
      <c r="A203" s="10">
        <v>200</v>
      </c>
      <c r="B203" s="10">
        <v>3767</v>
      </c>
      <c r="C203" s="12" t="s">
        <v>462</v>
      </c>
      <c r="D203" s="22">
        <v>802.5</v>
      </c>
      <c r="E203" s="14">
        <v>0.3</v>
      </c>
      <c r="F203" s="14">
        <f t="shared" si="6"/>
        <v>240.75</v>
      </c>
      <c r="G203" s="14"/>
      <c r="H203" s="14">
        <f t="shared" si="7"/>
        <v>240.75</v>
      </c>
      <c r="I203" s="23">
        <v>971428</v>
      </c>
      <c r="J203" s="17" t="s">
        <v>463</v>
      </c>
      <c r="K203" s="16" t="s">
        <v>13</v>
      </c>
      <c r="L203" s="17" t="s">
        <v>14</v>
      </c>
      <c r="M203" s="10">
        <v>92214819</v>
      </c>
      <c r="N203" s="18"/>
    </row>
    <row r="204" spans="1:14" x14ac:dyDescent="0.25">
      <c r="A204" s="10">
        <v>201</v>
      </c>
      <c r="B204" s="10">
        <v>3768</v>
      </c>
      <c r="C204" s="12" t="s">
        <v>464</v>
      </c>
      <c r="D204" s="22">
        <v>190.1</v>
      </c>
      <c r="E204" s="14">
        <v>0.3</v>
      </c>
      <c r="F204" s="14">
        <f t="shared" si="6"/>
        <v>57.029999999999994</v>
      </c>
      <c r="G204" s="14">
        <v>0.44000000000000722</v>
      </c>
      <c r="H204" s="14">
        <f t="shared" si="7"/>
        <v>56.589999999999989</v>
      </c>
      <c r="I204" s="23">
        <v>21349024</v>
      </c>
      <c r="J204" s="17" t="s">
        <v>465</v>
      </c>
      <c r="K204" s="16" t="s">
        <v>13</v>
      </c>
      <c r="L204" s="17" t="s">
        <v>14</v>
      </c>
      <c r="M204" s="10">
        <v>71536935</v>
      </c>
      <c r="N204" s="35">
        <v>45941</v>
      </c>
    </row>
    <row r="205" spans="1:14" s="29" customFormat="1" x14ac:dyDescent="0.25">
      <c r="A205" s="10">
        <v>202</v>
      </c>
      <c r="B205" s="10">
        <v>3769</v>
      </c>
      <c r="C205" s="25" t="s">
        <v>466</v>
      </c>
      <c r="D205" s="22">
        <v>147.19999999999999</v>
      </c>
      <c r="E205" s="14">
        <v>0.3</v>
      </c>
      <c r="F205" s="14">
        <f t="shared" si="6"/>
        <v>44.16</v>
      </c>
      <c r="G205" s="14">
        <v>40.67</v>
      </c>
      <c r="H205" s="14">
        <f t="shared" si="7"/>
        <v>3.4899999999999949</v>
      </c>
      <c r="I205" s="23">
        <v>24915633</v>
      </c>
      <c r="J205" s="17" t="s">
        <v>467</v>
      </c>
      <c r="K205" s="18" t="s">
        <v>21</v>
      </c>
      <c r="L205" s="17" t="s">
        <v>22</v>
      </c>
      <c r="M205" s="10">
        <v>99605319</v>
      </c>
      <c r="N205" s="34" t="s">
        <v>38</v>
      </c>
    </row>
    <row r="206" spans="1:14" x14ac:dyDescent="0.25">
      <c r="A206" s="10">
        <v>203</v>
      </c>
      <c r="B206" s="10">
        <v>3770</v>
      </c>
      <c r="C206" s="12" t="s">
        <v>468</v>
      </c>
      <c r="D206" s="22">
        <v>154</v>
      </c>
      <c r="E206" s="14">
        <v>0.3</v>
      </c>
      <c r="F206" s="14">
        <f t="shared" si="6"/>
        <v>46.199999999999996</v>
      </c>
      <c r="G206" s="14"/>
      <c r="H206" s="14">
        <f t="shared" si="7"/>
        <v>46.199999999999996</v>
      </c>
      <c r="I206" s="23">
        <v>7198036</v>
      </c>
      <c r="J206" s="17" t="s">
        <v>469</v>
      </c>
      <c r="K206" s="16" t="s">
        <v>13</v>
      </c>
      <c r="L206" s="17" t="s">
        <v>14</v>
      </c>
      <c r="M206" s="10">
        <v>92321799</v>
      </c>
      <c r="N206" s="18"/>
    </row>
    <row r="207" spans="1:14" x14ac:dyDescent="0.25">
      <c r="A207" s="10">
        <v>204</v>
      </c>
      <c r="B207" s="10">
        <v>3771</v>
      </c>
      <c r="C207" s="12" t="s">
        <v>470</v>
      </c>
      <c r="D207" s="22">
        <v>420</v>
      </c>
      <c r="E207" s="14">
        <v>0.3</v>
      </c>
      <c r="F207" s="14">
        <f t="shared" si="6"/>
        <v>126</v>
      </c>
      <c r="G207" s="14"/>
      <c r="H207" s="14">
        <f t="shared" si="7"/>
        <v>126</v>
      </c>
      <c r="I207" s="23">
        <v>1977962</v>
      </c>
      <c r="J207" s="17" t="s">
        <v>471</v>
      </c>
      <c r="K207" s="16" t="s">
        <v>13</v>
      </c>
      <c r="L207" s="17" t="s">
        <v>14</v>
      </c>
      <c r="M207" s="10">
        <v>99488815</v>
      </c>
      <c r="N207" s="18"/>
    </row>
    <row r="208" spans="1:14" x14ac:dyDescent="0.25">
      <c r="A208" s="10">
        <v>205</v>
      </c>
      <c r="B208" s="10">
        <v>3772</v>
      </c>
      <c r="C208" s="12" t="s">
        <v>472</v>
      </c>
      <c r="D208" s="22">
        <v>204.8</v>
      </c>
      <c r="E208" s="14">
        <v>0.3</v>
      </c>
      <c r="F208" s="14">
        <f t="shared" si="6"/>
        <v>61.44</v>
      </c>
      <c r="G208" s="14"/>
      <c r="H208" s="14">
        <f t="shared" si="7"/>
        <v>61.44</v>
      </c>
      <c r="I208" s="23">
        <v>6419804</v>
      </c>
      <c r="J208" s="17" t="s">
        <v>473</v>
      </c>
      <c r="K208" s="16" t="s">
        <v>13</v>
      </c>
      <c r="L208" s="24" t="s">
        <v>14</v>
      </c>
      <c r="M208" s="10"/>
      <c r="N208" s="18"/>
    </row>
    <row r="209" spans="1:18" x14ac:dyDescent="0.25">
      <c r="A209" s="10">
        <v>206</v>
      </c>
      <c r="B209" s="10">
        <v>3773</v>
      </c>
      <c r="C209" s="12" t="s">
        <v>474</v>
      </c>
      <c r="D209" s="22">
        <v>169.2</v>
      </c>
      <c r="E209" s="14">
        <v>0.3</v>
      </c>
      <c r="F209" s="14">
        <f t="shared" si="6"/>
        <v>50.76</v>
      </c>
      <c r="G209" s="14"/>
      <c r="H209" s="14">
        <f t="shared" si="7"/>
        <v>50.76</v>
      </c>
      <c r="I209" s="23">
        <v>2023936</v>
      </c>
      <c r="J209" s="17" t="s">
        <v>475</v>
      </c>
      <c r="K209" s="16" t="s">
        <v>190</v>
      </c>
      <c r="L209" s="24" t="s">
        <v>191</v>
      </c>
      <c r="M209" s="10"/>
      <c r="N209" s="18"/>
    </row>
    <row r="210" spans="1:18" s="29" customFormat="1" x14ac:dyDescent="0.25">
      <c r="A210" s="10">
        <v>207</v>
      </c>
      <c r="B210" s="10">
        <v>3774</v>
      </c>
      <c r="C210" s="25" t="s">
        <v>476</v>
      </c>
      <c r="D210" s="54"/>
      <c r="E210" s="14">
        <v>0.3</v>
      </c>
      <c r="F210" s="14">
        <f t="shared" si="6"/>
        <v>0</v>
      </c>
      <c r="G210" s="14"/>
      <c r="H210" s="14">
        <f t="shared" si="7"/>
        <v>0</v>
      </c>
      <c r="I210" s="23">
        <v>889849</v>
      </c>
      <c r="J210" s="17" t="s">
        <v>477</v>
      </c>
      <c r="K210" s="18" t="s">
        <v>28</v>
      </c>
      <c r="L210" s="18" t="s">
        <v>29</v>
      </c>
      <c r="M210" s="10">
        <v>93011211</v>
      </c>
      <c r="N210" s="18"/>
    </row>
    <row r="211" spans="1:18" x14ac:dyDescent="0.25">
      <c r="A211" s="10">
        <v>208</v>
      </c>
      <c r="B211" s="10">
        <v>3775</v>
      </c>
      <c r="C211" s="12" t="s">
        <v>478</v>
      </c>
      <c r="D211" s="22">
        <v>147.19999999999999</v>
      </c>
      <c r="E211" s="14">
        <v>0.3</v>
      </c>
      <c r="F211" s="14">
        <f t="shared" si="6"/>
        <v>44.16</v>
      </c>
      <c r="G211" s="14"/>
      <c r="H211" s="14">
        <f t="shared" si="7"/>
        <v>44.16</v>
      </c>
      <c r="I211" s="23">
        <v>7198074</v>
      </c>
      <c r="J211" s="17" t="s">
        <v>479</v>
      </c>
      <c r="K211" s="18" t="s">
        <v>190</v>
      </c>
      <c r="L211" s="28" t="s">
        <v>191</v>
      </c>
      <c r="M211" s="10">
        <v>98182322</v>
      </c>
      <c r="N211" s="18"/>
    </row>
    <row r="212" spans="1:18" x14ac:dyDescent="0.25">
      <c r="A212" s="10">
        <v>209</v>
      </c>
      <c r="B212" s="10">
        <v>3776</v>
      </c>
      <c r="C212" s="12" t="s">
        <v>480</v>
      </c>
      <c r="D212" s="22">
        <v>192.7</v>
      </c>
      <c r="E212" s="14">
        <v>0.3</v>
      </c>
      <c r="F212" s="14">
        <f t="shared" si="6"/>
        <v>57.809999999999995</v>
      </c>
      <c r="G212" s="14"/>
      <c r="H212" s="14">
        <f t="shared" si="7"/>
        <v>57.809999999999995</v>
      </c>
      <c r="I212" s="23">
        <v>5530783</v>
      </c>
      <c r="J212" s="17" t="s">
        <v>481</v>
      </c>
      <c r="K212" s="16" t="s">
        <v>13</v>
      </c>
      <c r="L212" s="17" t="s">
        <v>14</v>
      </c>
      <c r="M212" s="10">
        <v>97170030</v>
      </c>
      <c r="N212" s="18"/>
    </row>
    <row r="213" spans="1:18" x14ac:dyDescent="0.25">
      <c r="A213" s="10">
        <v>210</v>
      </c>
      <c r="B213" s="10">
        <v>3777</v>
      </c>
      <c r="C213" s="12" t="s">
        <v>482</v>
      </c>
      <c r="D213" s="22">
        <v>500.9</v>
      </c>
      <c r="E213" s="14">
        <v>0.3</v>
      </c>
      <c r="F213" s="14">
        <f t="shared" si="6"/>
        <v>150.26999999999998</v>
      </c>
      <c r="G213" s="14"/>
      <c r="H213" s="14">
        <f t="shared" si="7"/>
        <v>150.26999999999998</v>
      </c>
      <c r="I213" s="23">
        <v>6538875</v>
      </c>
      <c r="J213" s="17" t="s">
        <v>483</v>
      </c>
      <c r="K213" s="16" t="s">
        <v>13</v>
      </c>
      <c r="L213" s="17" t="s">
        <v>14</v>
      </c>
      <c r="M213" s="10">
        <v>91750033</v>
      </c>
      <c r="N213" s="18"/>
    </row>
    <row r="214" spans="1:18" x14ac:dyDescent="0.25">
      <c r="A214" s="10">
        <v>211</v>
      </c>
      <c r="B214" s="10">
        <v>3778</v>
      </c>
      <c r="C214" s="12" t="s">
        <v>484</v>
      </c>
      <c r="D214" s="22">
        <v>278.7</v>
      </c>
      <c r="E214" s="14">
        <v>0.3</v>
      </c>
      <c r="F214" s="14">
        <f t="shared" si="6"/>
        <v>83.61</v>
      </c>
      <c r="G214" s="14">
        <f>82.09</f>
        <v>82.09</v>
      </c>
      <c r="H214" s="14">
        <f t="shared" si="7"/>
        <v>1.519999999999996</v>
      </c>
      <c r="I214" s="23">
        <v>1481822</v>
      </c>
      <c r="J214" s="17" t="s">
        <v>485</v>
      </c>
      <c r="K214" s="18" t="s">
        <v>28</v>
      </c>
      <c r="L214" s="18" t="s">
        <v>29</v>
      </c>
      <c r="M214" s="10">
        <v>92951944</v>
      </c>
      <c r="N214" s="34" t="s">
        <v>38</v>
      </c>
    </row>
    <row r="215" spans="1:18" x14ac:dyDescent="0.25">
      <c r="A215" s="10">
        <v>212</v>
      </c>
      <c r="B215" s="10">
        <v>3782</v>
      </c>
      <c r="C215" s="12" t="s">
        <v>486</v>
      </c>
      <c r="D215" s="22">
        <v>353</v>
      </c>
      <c r="E215" s="14">
        <v>0.3</v>
      </c>
      <c r="F215" s="14">
        <f t="shared" si="6"/>
        <v>105.89999999999999</v>
      </c>
      <c r="G215" s="14">
        <v>104.83</v>
      </c>
      <c r="H215" s="14">
        <f t="shared" si="7"/>
        <v>1.0699999999999932</v>
      </c>
      <c r="I215" s="23">
        <v>8467003</v>
      </c>
      <c r="J215" s="17" t="s">
        <v>487</v>
      </c>
      <c r="K215" s="16" t="s">
        <v>28</v>
      </c>
      <c r="L215" s="17" t="s">
        <v>29</v>
      </c>
      <c r="M215" s="10">
        <v>96138831</v>
      </c>
      <c r="N215" s="34" t="s">
        <v>38</v>
      </c>
    </row>
    <row r="216" spans="1:18" x14ac:dyDescent="0.25">
      <c r="A216" s="10">
        <v>213</v>
      </c>
      <c r="B216" s="10">
        <v>3783</v>
      </c>
      <c r="C216" s="12" t="s">
        <v>488</v>
      </c>
      <c r="D216" s="22">
        <v>204.6</v>
      </c>
      <c r="E216" s="14">
        <v>0.3</v>
      </c>
      <c r="F216" s="14">
        <f t="shared" si="6"/>
        <v>61.379999999999995</v>
      </c>
      <c r="G216" s="14"/>
      <c r="H216" s="14">
        <f t="shared" si="7"/>
        <v>61.379999999999995</v>
      </c>
      <c r="I216" s="23">
        <v>25019867</v>
      </c>
      <c r="J216" s="17" t="s">
        <v>489</v>
      </c>
      <c r="K216" s="18" t="s">
        <v>28</v>
      </c>
      <c r="L216" s="18" t="s">
        <v>29</v>
      </c>
      <c r="M216" s="10">
        <v>97264292</v>
      </c>
      <c r="N216" s="18"/>
    </row>
    <row r="217" spans="1:18" x14ac:dyDescent="0.25">
      <c r="A217" s="10">
        <v>214</v>
      </c>
      <c r="B217" s="10">
        <v>3784</v>
      </c>
      <c r="C217" s="12" t="s">
        <v>490</v>
      </c>
      <c r="D217" s="22">
        <v>399</v>
      </c>
      <c r="E217" s="14">
        <v>0.3</v>
      </c>
      <c r="F217" s="14">
        <f t="shared" si="6"/>
        <v>119.69999999999999</v>
      </c>
      <c r="G217" s="14"/>
      <c r="H217" s="14">
        <f t="shared" si="7"/>
        <v>119.69999999999999</v>
      </c>
      <c r="I217" s="23">
        <v>19870884</v>
      </c>
      <c r="J217" s="17" t="s">
        <v>491</v>
      </c>
      <c r="K217" s="16" t="s">
        <v>13</v>
      </c>
      <c r="L217" s="17" t="s">
        <v>14</v>
      </c>
      <c r="M217" s="10">
        <v>94847877</v>
      </c>
      <c r="N217" s="18"/>
    </row>
    <row r="218" spans="1:18" s="20" customFormat="1" x14ac:dyDescent="0.25">
      <c r="A218" s="36">
        <v>215</v>
      </c>
      <c r="B218" s="36">
        <v>3786</v>
      </c>
      <c r="C218" s="37" t="s">
        <v>492</v>
      </c>
      <c r="D218" s="38">
        <v>291.7</v>
      </c>
      <c r="E218" s="39">
        <v>0.3</v>
      </c>
      <c r="F218" s="39">
        <f t="shared" si="6"/>
        <v>87.509999999999991</v>
      </c>
      <c r="G218" s="39">
        <f>22.78</f>
        <v>22.78</v>
      </c>
      <c r="H218" s="39">
        <f t="shared" si="7"/>
        <v>64.72999999999999</v>
      </c>
      <c r="I218" s="48">
        <v>941209</v>
      </c>
      <c r="J218" s="46" t="s">
        <v>493</v>
      </c>
      <c r="K218" s="34" t="s">
        <v>269</v>
      </c>
      <c r="L218" s="46" t="s">
        <v>270</v>
      </c>
      <c r="M218" s="36">
        <v>92975256</v>
      </c>
      <c r="N218" s="34" t="s">
        <v>58</v>
      </c>
      <c r="O218" s="20" t="s">
        <v>494</v>
      </c>
      <c r="R218" s="106">
        <v>45759</v>
      </c>
    </row>
    <row r="219" spans="1:18" s="20" customFormat="1" x14ac:dyDescent="0.25">
      <c r="A219" s="36">
        <v>216</v>
      </c>
      <c r="B219" s="36">
        <v>3787</v>
      </c>
      <c r="C219" s="37" t="s">
        <v>495</v>
      </c>
      <c r="D219" s="38">
        <v>433.7</v>
      </c>
      <c r="E219" s="39">
        <v>0.3</v>
      </c>
      <c r="F219" s="39">
        <f t="shared" si="6"/>
        <v>130.10999999999999</v>
      </c>
      <c r="G219" s="39">
        <v>129.54000000000002</v>
      </c>
      <c r="H219" s="39">
        <f t="shared" si="7"/>
        <v>0.56999999999996476</v>
      </c>
      <c r="I219" s="48">
        <v>813786</v>
      </c>
      <c r="J219" s="46" t="s">
        <v>496</v>
      </c>
      <c r="K219" s="49" t="s">
        <v>13</v>
      </c>
      <c r="L219" s="46" t="s">
        <v>14</v>
      </c>
      <c r="M219" s="36">
        <v>99293129</v>
      </c>
      <c r="N219" s="35">
        <v>46002</v>
      </c>
    </row>
    <row r="220" spans="1:18" x14ac:dyDescent="0.25">
      <c r="A220" s="10">
        <v>217</v>
      </c>
      <c r="B220" s="10">
        <v>3789</v>
      </c>
      <c r="C220" s="12" t="s">
        <v>497</v>
      </c>
      <c r="D220" s="22">
        <v>111.3</v>
      </c>
      <c r="E220" s="14">
        <v>0.3</v>
      </c>
      <c r="F220" s="14">
        <f t="shared" si="6"/>
        <v>33.39</v>
      </c>
      <c r="G220" s="14"/>
      <c r="H220" s="14">
        <f t="shared" si="7"/>
        <v>33.39</v>
      </c>
      <c r="I220" s="23">
        <v>22338686</v>
      </c>
      <c r="J220" s="17" t="s">
        <v>498</v>
      </c>
      <c r="K220" s="16" t="s">
        <v>13</v>
      </c>
      <c r="L220" s="17" t="s">
        <v>14</v>
      </c>
      <c r="M220" s="10">
        <v>92552232</v>
      </c>
      <c r="N220" s="18"/>
    </row>
    <row r="221" spans="1:18" x14ac:dyDescent="0.25">
      <c r="A221" s="10">
        <v>218</v>
      </c>
      <c r="B221" s="10">
        <v>3791</v>
      </c>
      <c r="C221" s="12" t="s">
        <v>499</v>
      </c>
      <c r="D221" s="22">
        <v>161.1</v>
      </c>
      <c r="E221" s="14">
        <v>0.3</v>
      </c>
      <c r="F221" s="14">
        <f t="shared" si="6"/>
        <v>48.33</v>
      </c>
      <c r="G221" s="14"/>
      <c r="H221" s="14">
        <f t="shared" si="7"/>
        <v>48.33</v>
      </c>
      <c r="I221" s="23">
        <v>20365611</v>
      </c>
      <c r="J221" s="17" t="s">
        <v>500</v>
      </c>
      <c r="K221" s="16" t="s">
        <v>13</v>
      </c>
      <c r="L221" s="17" t="s">
        <v>14</v>
      </c>
      <c r="M221" s="10">
        <v>9257761</v>
      </c>
      <c r="N221" s="18"/>
    </row>
    <row r="222" spans="1:18" x14ac:dyDescent="0.25">
      <c r="A222" s="10">
        <v>219</v>
      </c>
      <c r="B222" s="10">
        <v>3792</v>
      </c>
      <c r="C222" s="74" t="s">
        <v>501</v>
      </c>
      <c r="D222" s="22">
        <v>177</v>
      </c>
      <c r="E222" s="14">
        <v>0.3</v>
      </c>
      <c r="F222" s="14">
        <f t="shared" si="6"/>
        <v>53.1</v>
      </c>
      <c r="G222" s="14"/>
      <c r="H222" s="14">
        <f t="shared" si="7"/>
        <v>53.1</v>
      </c>
      <c r="I222" s="107">
        <v>23169608</v>
      </c>
      <c r="J222" s="77" t="s">
        <v>502</v>
      </c>
      <c r="K222" s="74" t="s">
        <v>269</v>
      </c>
      <c r="L222" s="77" t="s">
        <v>270</v>
      </c>
      <c r="M222" s="75">
        <v>93380506</v>
      </c>
      <c r="N222" s="18"/>
    </row>
    <row r="223" spans="1:18" s="29" customFormat="1" x14ac:dyDescent="0.25">
      <c r="A223" s="10">
        <v>220</v>
      </c>
      <c r="B223" s="10">
        <v>3793</v>
      </c>
      <c r="C223" s="25" t="s">
        <v>503</v>
      </c>
      <c r="D223" s="22">
        <v>548.70000000000005</v>
      </c>
      <c r="E223" s="14">
        <v>0.3</v>
      </c>
      <c r="F223" s="14">
        <f t="shared" si="6"/>
        <v>164.61</v>
      </c>
      <c r="G223" s="14"/>
      <c r="H223" s="14">
        <f t="shared" si="7"/>
        <v>164.61</v>
      </c>
      <c r="I223" s="23">
        <v>1283875</v>
      </c>
      <c r="J223" s="17" t="s">
        <v>504</v>
      </c>
      <c r="K223" s="18" t="s">
        <v>21</v>
      </c>
      <c r="L223" s="17" t="s">
        <v>22</v>
      </c>
      <c r="M223" s="10">
        <v>92348115</v>
      </c>
      <c r="N223" s="18"/>
    </row>
    <row r="224" spans="1:18" x14ac:dyDescent="0.25">
      <c r="A224" s="10">
        <v>221</v>
      </c>
      <c r="B224" s="10">
        <v>3794</v>
      </c>
      <c r="C224" s="12" t="s">
        <v>505</v>
      </c>
      <c r="D224" s="22">
        <v>510.4</v>
      </c>
      <c r="E224" s="14">
        <v>0.3</v>
      </c>
      <c r="F224" s="14">
        <f t="shared" si="6"/>
        <v>153.11999999999998</v>
      </c>
      <c r="G224" s="14">
        <v>1.9199999999999857</v>
      </c>
      <c r="H224" s="14">
        <f t="shared" si="7"/>
        <v>151.19999999999999</v>
      </c>
      <c r="I224" s="23">
        <v>8222931</v>
      </c>
      <c r="J224" s="17" t="s">
        <v>506</v>
      </c>
      <c r="K224" s="16" t="s">
        <v>13</v>
      </c>
      <c r="L224" s="24" t="s">
        <v>14</v>
      </c>
      <c r="M224" s="10">
        <v>93377666</v>
      </c>
      <c r="N224" s="35">
        <v>45941</v>
      </c>
    </row>
    <row r="225" spans="1:15" x14ac:dyDescent="0.25">
      <c r="A225" s="10">
        <v>222</v>
      </c>
      <c r="B225" s="10">
        <v>3795</v>
      </c>
      <c r="C225" s="12" t="s">
        <v>507</v>
      </c>
      <c r="D225" s="22">
        <v>224</v>
      </c>
      <c r="E225" s="14">
        <v>0.3</v>
      </c>
      <c r="F225" s="14">
        <f t="shared" si="6"/>
        <v>67.2</v>
      </c>
      <c r="G225" s="14"/>
      <c r="H225" s="14">
        <f t="shared" si="7"/>
        <v>67.2</v>
      </c>
      <c r="I225" s="23">
        <v>2331658</v>
      </c>
      <c r="J225" s="17" t="s">
        <v>508</v>
      </c>
      <c r="K225" s="18" t="s">
        <v>28</v>
      </c>
      <c r="L225" s="18" t="s">
        <v>29</v>
      </c>
      <c r="M225" s="10">
        <v>91790440</v>
      </c>
      <c r="N225" s="18"/>
    </row>
    <row r="226" spans="1:15" x14ac:dyDescent="0.25">
      <c r="A226" s="10">
        <v>223</v>
      </c>
      <c r="B226" s="10">
        <v>3796</v>
      </c>
      <c r="C226" s="12" t="s">
        <v>509</v>
      </c>
      <c r="D226" s="22">
        <v>84</v>
      </c>
      <c r="E226" s="14">
        <v>0.3</v>
      </c>
      <c r="F226" s="14">
        <f t="shared" si="6"/>
        <v>25.2</v>
      </c>
      <c r="G226" s="14"/>
      <c r="H226" s="14">
        <f t="shared" si="7"/>
        <v>25.2</v>
      </c>
      <c r="I226" s="23">
        <v>6455206</v>
      </c>
      <c r="J226" s="17" t="s">
        <v>510</v>
      </c>
      <c r="K226" s="16" t="s">
        <v>13</v>
      </c>
      <c r="L226" s="24" t="s">
        <v>14</v>
      </c>
      <c r="M226" s="10">
        <v>97312444</v>
      </c>
      <c r="N226" s="18"/>
    </row>
    <row r="227" spans="1:15" x14ac:dyDescent="0.25">
      <c r="A227" s="10">
        <v>224</v>
      </c>
      <c r="B227" s="10">
        <v>3798</v>
      </c>
      <c r="C227" s="12" t="s">
        <v>511</v>
      </c>
      <c r="D227" s="22">
        <v>129.30000000000001</v>
      </c>
      <c r="E227" s="14">
        <v>0.3</v>
      </c>
      <c r="F227" s="14">
        <f t="shared" si="6"/>
        <v>38.79</v>
      </c>
      <c r="G227" s="14"/>
      <c r="H227" s="14">
        <f t="shared" si="7"/>
        <v>38.79</v>
      </c>
      <c r="I227" s="23">
        <v>6048954</v>
      </c>
      <c r="J227" s="17" t="s">
        <v>512</v>
      </c>
      <c r="K227" s="16" t="s">
        <v>13</v>
      </c>
      <c r="L227" s="24" t="s">
        <v>14</v>
      </c>
      <c r="M227" s="10">
        <v>92833445</v>
      </c>
      <c r="N227" s="18"/>
    </row>
    <row r="228" spans="1:15" x14ac:dyDescent="0.25">
      <c r="A228" s="10">
        <v>225</v>
      </c>
      <c r="B228" s="10">
        <v>3799</v>
      </c>
      <c r="C228" s="12" t="s">
        <v>513</v>
      </c>
      <c r="D228" s="22">
        <v>417</v>
      </c>
      <c r="E228" s="14">
        <v>0.3</v>
      </c>
      <c r="F228" s="14">
        <f t="shared" si="6"/>
        <v>125.1</v>
      </c>
      <c r="G228" s="14">
        <v>122.82000000000001</v>
      </c>
      <c r="H228" s="14">
        <f t="shared" si="7"/>
        <v>2.2799999999999869</v>
      </c>
      <c r="I228" s="23">
        <v>12494672</v>
      </c>
      <c r="J228" s="17" t="s">
        <v>514</v>
      </c>
      <c r="K228" s="18" t="s">
        <v>28</v>
      </c>
      <c r="L228" s="18" t="s">
        <v>29</v>
      </c>
      <c r="M228" s="10">
        <v>98872720</v>
      </c>
      <c r="N228" s="34" t="s">
        <v>38</v>
      </c>
    </row>
    <row r="229" spans="1:15" x14ac:dyDescent="0.25">
      <c r="A229" s="10">
        <v>226</v>
      </c>
      <c r="B229" s="10">
        <v>3800</v>
      </c>
      <c r="C229" s="12" t="s">
        <v>515</v>
      </c>
      <c r="D229" s="22">
        <v>221</v>
      </c>
      <c r="E229" s="14">
        <v>0.3</v>
      </c>
      <c r="F229" s="14">
        <f t="shared" si="6"/>
        <v>66.3</v>
      </c>
      <c r="G229" s="14"/>
      <c r="H229" s="14">
        <f t="shared" si="7"/>
        <v>66.3</v>
      </c>
      <c r="I229" s="23">
        <v>11566758</v>
      </c>
      <c r="J229" s="17" t="s">
        <v>516</v>
      </c>
      <c r="K229" s="16" t="s">
        <v>13</v>
      </c>
      <c r="L229" s="24" t="s">
        <v>14</v>
      </c>
      <c r="M229" s="10"/>
      <c r="N229" s="18"/>
    </row>
    <row r="230" spans="1:15" x14ac:dyDescent="0.25">
      <c r="A230" s="10">
        <v>227</v>
      </c>
      <c r="B230" s="10">
        <v>3801</v>
      </c>
      <c r="C230" s="12" t="s">
        <v>517</v>
      </c>
      <c r="D230" s="22">
        <v>107.5</v>
      </c>
      <c r="E230" s="14">
        <v>0.3</v>
      </c>
      <c r="F230" s="14">
        <f t="shared" si="6"/>
        <v>32.25</v>
      </c>
      <c r="G230" s="14"/>
      <c r="H230" s="14">
        <f t="shared" si="7"/>
        <v>32.25</v>
      </c>
      <c r="I230" s="23">
        <v>19559588</v>
      </c>
      <c r="J230" s="52" t="s">
        <v>518</v>
      </c>
      <c r="K230" s="16" t="s">
        <v>45</v>
      </c>
      <c r="L230" s="52" t="s">
        <v>46</v>
      </c>
      <c r="M230" s="10">
        <v>93200888</v>
      </c>
      <c r="N230" s="18"/>
    </row>
    <row r="231" spans="1:15" x14ac:dyDescent="0.25">
      <c r="A231" s="10">
        <v>228</v>
      </c>
      <c r="B231" s="10">
        <v>3802</v>
      </c>
      <c r="C231" s="12" t="s">
        <v>519</v>
      </c>
      <c r="D231" s="13">
        <v>261</v>
      </c>
      <c r="E231" s="14">
        <v>0.3</v>
      </c>
      <c r="F231" s="14">
        <f t="shared" si="6"/>
        <v>78.3</v>
      </c>
      <c r="G231" s="14"/>
      <c r="H231" s="14">
        <f t="shared" si="7"/>
        <v>78.3</v>
      </c>
      <c r="I231" s="23">
        <v>1260268</v>
      </c>
      <c r="J231" s="17" t="s">
        <v>520</v>
      </c>
      <c r="K231" s="16" t="s">
        <v>13</v>
      </c>
      <c r="L231" s="24" t="s">
        <v>14</v>
      </c>
      <c r="M231" s="10">
        <v>99692231</v>
      </c>
      <c r="N231" s="18"/>
    </row>
    <row r="232" spans="1:15" x14ac:dyDescent="0.25">
      <c r="A232" s="10">
        <v>229</v>
      </c>
      <c r="B232" s="10">
        <v>3803</v>
      </c>
      <c r="C232" s="12" t="s">
        <v>521</v>
      </c>
      <c r="D232" s="22">
        <v>315</v>
      </c>
      <c r="E232" s="14">
        <v>0.3</v>
      </c>
      <c r="F232" s="14">
        <f t="shared" si="6"/>
        <v>94.5</v>
      </c>
      <c r="G232" s="14"/>
      <c r="H232" s="14">
        <f t="shared" si="7"/>
        <v>94.5</v>
      </c>
      <c r="I232" s="23">
        <v>4890484</v>
      </c>
      <c r="J232" s="17" t="s">
        <v>522</v>
      </c>
      <c r="K232" s="18" t="s">
        <v>28</v>
      </c>
      <c r="L232" s="18" t="s">
        <v>29</v>
      </c>
      <c r="M232" s="10">
        <v>93231221</v>
      </c>
      <c r="N232" s="18"/>
    </row>
    <row r="233" spans="1:15" x14ac:dyDescent="0.25">
      <c r="A233" s="10">
        <v>230</v>
      </c>
      <c r="B233" s="10">
        <v>3804</v>
      </c>
      <c r="C233" s="12" t="s">
        <v>523</v>
      </c>
      <c r="D233" s="22">
        <v>225</v>
      </c>
      <c r="E233" s="14">
        <v>0.3</v>
      </c>
      <c r="F233" s="14">
        <f t="shared" si="6"/>
        <v>67.5</v>
      </c>
      <c r="G233" s="14"/>
      <c r="H233" s="14">
        <f t="shared" si="7"/>
        <v>67.5</v>
      </c>
      <c r="I233" s="23">
        <v>18102928</v>
      </c>
      <c r="J233" s="17" t="s">
        <v>524</v>
      </c>
      <c r="K233" s="18" t="s">
        <v>28</v>
      </c>
      <c r="L233" s="18" t="s">
        <v>29</v>
      </c>
      <c r="M233" s="10">
        <v>95933733</v>
      </c>
      <c r="N233" s="18"/>
    </row>
    <row r="234" spans="1:15" s="20" customFormat="1" x14ac:dyDescent="0.25">
      <c r="A234" s="36">
        <v>231</v>
      </c>
      <c r="B234" s="36">
        <v>3805</v>
      </c>
      <c r="C234" s="37" t="s">
        <v>525</v>
      </c>
      <c r="D234" s="38">
        <v>192.6</v>
      </c>
      <c r="E234" s="39">
        <v>0.3</v>
      </c>
      <c r="F234" s="39">
        <f t="shared" si="6"/>
        <v>57.779999999999994</v>
      </c>
      <c r="G234" s="39">
        <f>55.61</f>
        <v>55.61</v>
      </c>
      <c r="H234" s="39">
        <f t="shared" si="7"/>
        <v>2.1699999999999946</v>
      </c>
      <c r="I234" s="108">
        <v>18675553</v>
      </c>
      <c r="J234" s="64" t="s">
        <v>526</v>
      </c>
      <c r="K234" s="45" t="s">
        <v>45</v>
      </c>
      <c r="L234" s="34" t="s">
        <v>46</v>
      </c>
      <c r="M234" s="36">
        <v>77588303</v>
      </c>
      <c r="N234" s="35" t="s">
        <v>85</v>
      </c>
    </row>
    <row r="235" spans="1:15" s="20" customFormat="1" x14ac:dyDescent="0.25">
      <c r="A235" s="36">
        <v>232</v>
      </c>
      <c r="B235" s="36">
        <v>3807</v>
      </c>
      <c r="C235" s="37" t="s">
        <v>527</v>
      </c>
      <c r="D235" s="38">
        <v>174.1</v>
      </c>
      <c r="E235" s="39">
        <v>0.3</v>
      </c>
      <c r="F235" s="39">
        <f t="shared" si="6"/>
        <v>52.23</v>
      </c>
      <c r="G235" s="39">
        <f>2.60000000000001+49.5</f>
        <v>52.100000000000009</v>
      </c>
      <c r="H235" s="39">
        <f t="shared" si="7"/>
        <v>0.12999999999998835</v>
      </c>
      <c r="I235" s="48">
        <v>2110484</v>
      </c>
      <c r="J235" s="46" t="s">
        <v>528</v>
      </c>
      <c r="K235" s="34" t="s">
        <v>28</v>
      </c>
      <c r="L235" s="34" t="s">
        <v>29</v>
      </c>
      <c r="M235" s="36">
        <v>95918256</v>
      </c>
      <c r="N235" s="34" t="s">
        <v>88</v>
      </c>
      <c r="O235" s="34" t="s">
        <v>38</v>
      </c>
    </row>
    <row r="236" spans="1:15" x14ac:dyDescent="0.25">
      <c r="A236" s="10">
        <v>233</v>
      </c>
      <c r="B236" s="10">
        <v>3808</v>
      </c>
      <c r="C236" s="12" t="s">
        <v>529</v>
      </c>
      <c r="D236" s="22">
        <v>394.8</v>
      </c>
      <c r="E236" s="14">
        <v>0.3</v>
      </c>
      <c r="F236" s="14">
        <f t="shared" si="6"/>
        <v>118.44</v>
      </c>
      <c r="G236" s="14">
        <v>113.68</v>
      </c>
      <c r="H236" s="14">
        <f t="shared" si="7"/>
        <v>4.7599999999999909</v>
      </c>
      <c r="I236" s="23">
        <v>1366005</v>
      </c>
      <c r="J236" s="17" t="s">
        <v>530</v>
      </c>
      <c r="K236" s="18" t="s">
        <v>28</v>
      </c>
      <c r="L236" s="18" t="s">
        <v>29</v>
      </c>
      <c r="M236" s="10">
        <v>99589981</v>
      </c>
      <c r="N236" s="34" t="s">
        <v>38</v>
      </c>
    </row>
    <row r="237" spans="1:15" x14ac:dyDescent="0.25">
      <c r="A237" s="10">
        <v>234</v>
      </c>
      <c r="B237" s="10">
        <v>3809</v>
      </c>
      <c r="C237" s="12" t="s">
        <v>531</v>
      </c>
      <c r="D237" s="22">
        <v>437</v>
      </c>
      <c r="E237" s="14">
        <v>0.3</v>
      </c>
      <c r="F237" s="14">
        <f t="shared" si="6"/>
        <v>131.1</v>
      </c>
      <c r="G237" s="14"/>
      <c r="H237" s="14">
        <f t="shared" si="7"/>
        <v>131.1</v>
      </c>
      <c r="I237" s="23">
        <v>10913998</v>
      </c>
      <c r="J237" s="17" t="s">
        <v>532</v>
      </c>
      <c r="K237" s="16" t="s">
        <v>13</v>
      </c>
      <c r="L237" s="24" t="s">
        <v>14</v>
      </c>
      <c r="M237" s="10">
        <v>99080863</v>
      </c>
      <c r="N237" s="18"/>
    </row>
    <row r="238" spans="1:15" x14ac:dyDescent="0.25">
      <c r="A238" s="10">
        <v>235</v>
      </c>
      <c r="B238" s="10">
        <v>3810</v>
      </c>
      <c r="C238" s="74" t="s">
        <v>533</v>
      </c>
      <c r="D238" s="22">
        <v>181.8</v>
      </c>
      <c r="E238" s="14">
        <v>0.3</v>
      </c>
      <c r="F238" s="14">
        <f t="shared" si="6"/>
        <v>54.54</v>
      </c>
      <c r="G238" s="14"/>
      <c r="H238" s="14">
        <f t="shared" si="7"/>
        <v>54.54</v>
      </c>
      <c r="I238" s="107">
        <v>9442232</v>
      </c>
      <c r="J238" s="77" t="s">
        <v>534</v>
      </c>
      <c r="K238" s="109" t="s">
        <v>13</v>
      </c>
      <c r="L238" s="110" t="s">
        <v>14</v>
      </c>
      <c r="M238" s="75">
        <v>98255338</v>
      </c>
      <c r="N238" s="18"/>
    </row>
    <row r="239" spans="1:15" s="20" customFormat="1" x14ac:dyDescent="0.25">
      <c r="A239" s="36">
        <v>236</v>
      </c>
      <c r="B239" s="36">
        <v>3811</v>
      </c>
      <c r="C239" s="37" t="s">
        <v>535</v>
      </c>
      <c r="D239" s="38">
        <v>212</v>
      </c>
      <c r="E239" s="39">
        <v>0.3</v>
      </c>
      <c r="F239" s="39">
        <f t="shared" si="6"/>
        <v>63.599999999999994</v>
      </c>
      <c r="G239" s="39">
        <v>1.1199999999999897</v>
      </c>
      <c r="H239" s="39">
        <f t="shared" si="7"/>
        <v>62.480000000000004</v>
      </c>
      <c r="I239" s="48">
        <v>6865286</v>
      </c>
      <c r="J239" s="46" t="s">
        <v>536</v>
      </c>
      <c r="K239" s="45" t="s">
        <v>45</v>
      </c>
      <c r="L239" s="34" t="s">
        <v>46</v>
      </c>
      <c r="M239" s="36">
        <v>92441715</v>
      </c>
      <c r="N239" s="35">
        <v>45728</v>
      </c>
      <c r="O239" s="106">
        <v>45728</v>
      </c>
    </row>
    <row r="240" spans="1:15" x14ac:dyDescent="0.25">
      <c r="A240" s="10">
        <v>237</v>
      </c>
      <c r="B240" s="10">
        <v>3812</v>
      </c>
      <c r="C240" s="12" t="s">
        <v>537</v>
      </c>
      <c r="D240" s="22">
        <v>264.10000000000002</v>
      </c>
      <c r="E240" s="14">
        <v>0.3</v>
      </c>
      <c r="F240" s="14">
        <f t="shared" si="6"/>
        <v>79.23</v>
      </c>
      <c r="G240" s="14"/>
      <c r="H240" s="14">
        <f t="shared" si="7"/>
        <v>79.23</v>
      </c>
      <c r="I240" s="23">
        <v>2441718</v>
      </c>
      <c r="J240" s="17" t="s">
        <v>538</v>
      </c>
      <c r="K240" s="16" t="s">
        <v>13</v>
      </c>
      <c r="L240" s="24" t="s">
        <v>14</v>
      </c>
      <c r="M240" s="10"/>
      <c r="N240" s="18"/>
    </row>
    <row r="241" spans="1:16" s="29" customFormat="1" x14ac:dyDescent="0.25">
      <c r="A241" s="10">
        <v>238</v>
      </c>
      <c r="B241" s="10">
        <v>3813</v>
      </c>
      <c r="C241" s="25" t="s">
        <v>539</v>
      </c>
      <c r="D241" s="22">
        <v>173.3</v>
      </c>
      <c r="E241" s="14">
        <v>0.3</v>
      </c>
      <c r="F241" s="14">
        <f t="shared" si="6"/>
        <v>51.99</v>
      </c>
      <c r="G241" s="14"/>
      <c r="H241" s="14">
        <f t="shared" si="7"/>
        <v>51.99</v>
      </c>
      <c r="I241" s="23">
        <v>18842378</v>
      </c>
      <c r="J241" s="17" t="s">
        <v>540</v>
      </c>
      <c r="K241" s="19" t="s">
        <v>13</v>
      </c>
      <c r="L241" s="17" t="s">
        <v>14</v>
      </c>
      <c r="M241" s="10">
        <v>91102135</v>
      </c>
      <c r="N241" s="18"/>
    </row>
    <row r="242" spans="1:16" x14ac:dyDescent="0.25">
      <c r="A242" s="10">
        <v>239</v>
      </c>
      <c r="B242" s="10">
        <v>3814</v>
      </c>
      <c r="C242" s="12" t="s">
        <v>541</v>
      </c>
      <c r="D242" s="22">
        <v>222.9</v>
      </c>
      <c r="E242" s="14">
        <v>0.3</v>
      </c>
      <c r="F242" s="14">
        <f t="shared" si="6"/>
        <v>66.87</v>
      </c>
      <c r="G242" s="14"/>
      <c r="H242" s="14">
        <f t="shared" si="7"/>
        <v>66.87</v>
      </c>
      <c r="I242" s="103">
        <v>6998672</v>
      </c>
      <c r="J242" s="17" t="s">
        <v>542</v>
      </c>
      <c r="K242" s="61" t="s">
        <v>13</v>
      </c>
      <c r="L242" s="111" t="s">
        <v>14</v>
      </c>
      <c r="M242" s="10">
        <v>94051423</v>
      </c>
      <c r="N242" s="18"/>
    </row>
    <row r="243" spans="1:16" x14ac:dyDescent="0.25">
      <c r="A243" s="10">
        <v>240</v>
      </c>
      <c r="B243" s="10">
        <v>3815</v>
      </c>
      <c r="C243" s="12" t="s">
        <v>543</v>
      </c>
      <c r="D243" s="22">
        <v>184</v>
      </c>
      <c r="E243" s="14">
        <v>0.3</v>
      </c>
      <c r="F243" s="14">
        <f t="shared" si="6"/>
        <v>55.199999999999996</v>
      </c>
      <c r="G243" s="14">
        <v>0</v>
      </c>
      <c r="H243" s="14">
        <f t="shared" si="7"/>
        <v>55.199999999999996</v>
      </c>
      <c r="I243" s="51">
        <v>24909353</v>
      </c>
      <c r="J243" s="52" t="s">
        <v>544</v>
      </c>
      <c r="K243" s="16" t="s">
        <v>13</v>
      </c>
      <c r="L243" s="24" t="s">
        <v>14</v>
      </c>
      <c r="M243" s="10">
        <v>97797883</v>
      </c>
      <c r="N243" s="18"/>
    </row>
    <row r="244" spans="1:16" x14ac:dyDescent="0.25">
      <c r="A244" s="10">
        <v>241</v>
      </c>
      <c r="B244" s="10">
        <v>3816</v>
      </c>
      <c r="C244" s="12" t="s">
        <v>545</v>
      </c>
      <c r="D244" s="22">
        <v>234.5</v>
      </c>
      <c r="E244" s="14">
        <v>0.3</v>
      </c>
      <c r="F244" s="14">
        <f t="shared" si="6"/>
        <v>70.349999999999994</v>
      </c>
      <c r="G244" s="14"/>
      <c r="H244" s="14">
        <f t="shared" si="7"/>
        <v>70.349999999999994</v>
      </c>
      <c r="I244" s="23">
        <v>27389488</v>
      </c>
      <c r="J244" s="17" t="s">
        <v>546</v>
      </c>
      <c r="K244" s="16" t="s">
        <v>13</v>
      </c>
      <c r="L244" s="24" t="s">
        <v>14</v>
      </c>
      <c r="M244" s="10"/>
      <c r="N244" s="18"/>
    </row>
    <row r="245" spans="1:16" x14ac:dyDescent="0.25">
      <c r="A245" s="10">
        <v>242</v>
      </c>
      <c r="B245" s="10">
        <v>3817</v>
      </c>
      <c r="C245" s="12" t="s">
        <v>547</v>
      </c>
      <c r="D245" s="22">
        <v>330</v>
      </c>
      <c r="E245" s="14">
        <v>0.3</v>
      </c>
      <c r="F245" s="14">
        <f t="shared" si="6"/>
        <v>99</v>
      </c>
      <c r="G245" s="14">
        <v>94.28</v>
      </c>
      <c r="H245" s="14">
        <f t="shared" si="7"/>
        <v>4.7199999999999989</v>
      </c>
      <c r="I245" s="23">
        <v>7851322</v>
      </c>
      <c r="J245" s="17" t="s">
        <v>548</v>
      </c>
      <c r="K245" s="16" t="s">
        <v>13</v>
      </c>
      <c r="L245" s="24" t="s">
        <v>14</v>
      </c>
      <c r="M245" s="10">
        <v>96288881</v>
      </c>
      <c r="N245" s="35" t="s">
        <v>85</v>
      </c>
    </row>
    <row r="246" spans="1:16" x14ac:dyDescent="0.25">
      <c r="A246" s="10">
        <v>243</v>
      </c>
      <c r="B246" s="10">
        <v>3818</v>
      </c>
      <c r="C246" s="12" t="s">
        <v>549</v>
      </c>
      <c r="D246" s="13">
        <v>521.20000000000005</v>
      </c>
      <c r="E246" s="14">
        <v>0.3</v>
      </c>
      <c r="F246" s="14">
        <f t="shared" si="6"/>
        <v>156.36000000000001</v>
      </c>
      <c r="G246" s="14"/>
      <c r="H246" s="14">
        <f t="shared" si="7"/>
        <v>156.36000000000001</v>
      </c>
      <c r="I246" s="23">
        <v>2520858</v>
      </c>
      <c r="J246" s="17" t="s">
        <v>550</v>
      </c>
      <c r="K246" s="16" t="s">
        <v>13</v>
      </c>
      <c r="L246" s="24" t="s">
        <v>14</v>
      </c>
      <c r="M246" s="10">
        <v>99699976</v>
      </c>
      <c r="N246" s="18"/>
    </row>
    <row r="247" spans="1:16" x14ac:dyDescent="0.25">
      <c r="A247" s="10">
        <v>244</v>
      </c>
      <c r="B247" s="10">
        <v>3819</v>
      </c>
      <c r="C247" s="12" t="s">
        <v>551</v>
      </c>
      <c r="D247" s="22">
        <v>523.29999999999995</v>
      </c>
      <c r="E247" s="14">
        <v>0.3</v>
      </c>
      <c r="F247" s="14">
        <f t="shared" si="6"/>
        <v>156.98999999999998</v>
      </c>
      <c r="G247" s="14">
        <f>153.43</f>
        <v>153.43</v>
      </c>
      <c r="H247" s="14">
        <f t="shared" si="7"/>
        <v>3.5599999999999739</v>
      </c>
      <c r="I247" s="23">
        <v>3952839</v>
      </c>
      <c r="J247" s="17" t="s">
        <v>552</v>
      </c>
      <c r="K247" s="18" t="s">
        <v>28</v>
      </c>
      <c r="L247" s="18" t="s">
        <v>29</v>
      </c>
      <c r="M247" s="10">
        <v>98856929</v>
      </c>
      <c r="N247" s="35" t="s">
        <v>85</v>
      </c>
    </row>
    <row r="248" spans="1:16" x14ac:dyDescent="0.25">
      <c r="A248" s="10">
        <v>245</v>
      </c>
      <c r="B248" s="10">
        <v>3820</v>
      </c>
      <c r="C248" s="12" t="s">
        <v>553</v>
      </c>
      <c r="D248" s="22">
        <v>204.9</v>
      </c>
      <c r="E248" s="14">
        <v>0.3</v>
      </c>
      <c r="F248" s="14">
        <f t="shared" si="6"/>
        <v>61.47</v>
      </c>
      <c r="G248" s="14"/>
      <c r="H248" s="14">
        <f t="shared" si="7"/>
        <v>61.47</v>
      </c>
      <c r="I248" s="23">
        <v>20898806</v>
      </c>
      <c r="J248" s="17" t="s">
        <v>554</v>
      </c>
      <c r="K248" s="16" t="s">
        <v>13</v>
      </c>
      <c r="L248" s="24" t="s">
        <v>14</v>
      </c>
      <c r="M248" s="10">
        <v>95855255</v>
      </c>
      <c r="N248" s="18"/>
    </row>
    <row r="249" spans="1:16" s="29" customFormat="1" x14ac:dyDescent="0.25">
      <c r="A249" s="10">
        <v>246</v>
      </c>
      <c r="B249" s="10">
        <v>3821</v>
      </c>
      <c r="C249" s="25" t="s">
        <v>555</v>
      </c>
      <c r="D249" s="54"/>
      <c r="E249" s="14">
        <v>0.3</v>
      </c>
      <c r="F249" s="14">
        <f t="shared" si="6"/>
        <v>0</v>
      </c>
      <c r="G249" s="14"/>
      <c r="H249" s="14">
        <f t="shared" si="7"/>
        <v>0</v>
      </c>
      <c r="I249" s="23">
        <v>5773746</v>
      </c>
      <c r="J249" s="17" t="s">
        <v>556</v>
      </c>
      <c r="K249" s="18" t="s">
        <v>190</v>
      </c>
      <c r="L249" s="28" t="s">
        <v>191</v>
      </c>
      <c r="M249" s="10">
        <v>96780867</v>
      </c>
      <c r="N249" s="18"/>
    </row>
    <row r="250" spans="1:16" s="20" customFormat="1" x14ac:dyDescent="0.25">
      <c r="A250" s="36">
        <v>247</v>
      </c>
      <c r="B250" s="36">
        <v>3822</v>
      </c>
      <c r="C250" s="37" t="s">
        <v>557</v>
      </c>
      <c r="D250" s="38">
        <v>796.8</v>
      </c>
      <c r="E250" s="39">
        <v>0.3</v>
      </c>
      <c r="F250" s="39">
        <f t="shared" si="6"/>
        <v>239.03999999999996</v>
      </c>
      <c r="G250" s="39">
        <f>0.37+237.25</f>
        <v>237.62</v>
      </c>
      <c r="H250" s="39">
        <f t="shared" si="7"/>
        <v>1.4199999999999591</v>
      </c>
      <c r="I250" s="48">
        <v>1522824</v>
      </c>
      <c r="J250" s="46" t="s">
        <v>558</v>
      </c>
      <c r="K250" s="34" t="s">
        <v>21</v>
      </c>
      <c r="L250" s="46" t="s">
        <v>22</v>
      </c>
      <c r="M250" s="36">
        <v>92733857</v>
      </c>
      <c r="N250" s="34" t="s">
        <v>559</v>
      </c>
      <c r="O250" s="50" t="s">
        <v>560</v>
      </c>
      <c r="P250" s="34" t="s">
        <v>38</v>
      </c>
    </row>
    <row r="251" spans="1:16" x14ac:dyDescent="0.25">
      <c r="A251" s="10">
        <v>248</v>
      </c>
      <c r="B251" s="10">
        <v>3823</v>
      </c>
      <c r="C251" s="12" t="s">
        <v>561</v>
      </c>
      <c r="D251" s="22">
        <v>221.8</v>
      </c>
      <c r="E251" s="14">
        <v>0.3</v>
      </c>
      <c r="F251" s="14">
        <f t="shared" si="6"/>
        <v>66.540000000000006</v>
      </c>
      <c r="G251" s="14">
        <v>61.75</v>
      </c>
      <c r="H251" s="14">
        <f t="shared" si="7"/>
        <v>4.7900000000000063</v>
      </c>
      <c r="I251" s="23">
        <v>865789</v>
      </c>
      <c r="J251" s="17" t="s">
        <v>562</v>
      </c>
      <c r="K251" s="16" t="s">
        <v>13</v>
      </c>
      <c r="L251" s="24" t="s">
        <v>14</v>
      </c>
      <c r="M251" s="10">
        <v>99366841</v>
      </c>
      <c r="N251" s="34" t="s">
        <v>38</v>
      </c>
    </row>
    <row r="252" spans="1:16" x14ac:dyDescent="0.25">
      <c r="A252" s="10">
        <v>249</v>
      </c>
      <c r="B252" s="10">
        <v>3824</v>
      </c>
      <c r="C252" s="12" t="s">
        <v>563</v>
      </c>
      <c r="D252" s="22">
        <v>343.8</v>
      </c>
      <c r="E252" s="14">
        <v>0.3</v>
      </c>
      <c r="F252" s="14">
        <f t="shared" si="6"/>
        <v>103.14</v>
      </c>
      <c r="G252" s="14"/>
      <c r="H252" s="14">
        <f t="shared" si="7"/>
        <v>103.14</v>
      </c>
      <c r="I252" s="23">
        <v>19875796</v>
      </c>
      <c r="J252" s="17" t="s">
        <v>564</v>
      </c>
      <c r="K252" s="16" t="s">
        <v>13</v>
      </c>
      <c r="L252" s="24" t="s">
        <v>14</v>
      </c>
      <c r="M252" s="10">
        <v>97778036</v>
      </c>
      <c r="N252" s="18"/>
    </row>
    <row r="253" spans="1:16" x14ac:dyDescent="0.25">
      <c r="A253" s="10">
        <v>250</v>
      </c>
      <c r="B253" s="10">
        <v>3827</v>
      </c>
      <c r="C253" s="12" t="s">
        <v>565</v>
      </c>
      <c r="D253" s="22">
        <v>688.6</v>
      </c>
      <c r="E253" s="14">
        <v>0.3</v>
      </c>
      <c r="F253" s="14">
        <f t="shared" si="6"/>
        <v>206.58</v>
      </c>
      <c r="G253" s="14"/>
      <c r="H253" s="14">
        <f t="shared" si="7"/>
        <v>206.58</v>
      </c>
      <c r="I253" s="23">
        <v>19049113</v>
      </c>
      <c r="J253" s="17" t="s">
        <v>566</v>
      </c>
      <c r="K253" s="16" t="s">
        <v>13</v>
      </c>
      <c r="L253" s="24" t="s">
        <v>14</v>
      </c>
      <c r="M253" s="10">
        <v>97778037</v>
      </c>
      <c r="N253" s="18"/>
    </row>
    <row r="254" spans="1:16" x14ac:dyDescent="0.25">
      <c r="A254" s="10">
        <v>251</v>
      </c>
      <c r="B254" s="10">
        <v>3828</v>
      </c>
      <c r="C254" s="12" t="s">
        <v>567</v>
      </c>
      <c r="D254" s="22">
        <v>223.9</v>
      </c>
      <c r="E254" s="14">
        <v>0.3</v>
      </c>
      <c r="F254" s="14">
        <f t="shared" si="6"/>
        <v>67.17</v>
      </c>
      <c r="G254" s="14">
        <v>63.07</v>
      </c>
      <c r="H254" s="14">
        <f t="shared" si="7"/>
        <v>4.1000000000000014</v>
      </c>
      <c r="I254" s="23">
        <v>5520522</v>
      </c>
      <c r="J254" s="17" t="s">
        <v>568</v>
      </c>
      <c r="K254" s="28" t="s">
        <v>45</v>
      </c>
      <c r="L254" s="18" t="s">
        <v>46</v>
      </c>
      <c r="M254" s="10">
        <v>99589277</v>
      </c>
      <c r="N254" s="34" t="s">
        <v>38</v>
      </c>
    </row>
    <row r="255" spans="1:16" x14ac:dyDescent="0.25">
      <c r="A255" s="10">
        <v>252</v>
      </c>
      <c r="B255" s="10">
        <v>3829</v>
      </c>
      <c r="C255" s="12" t="s">
        <v>569</v>
      </c>
      <c r="D255" s="22">
        <v>161.4</v>
      </c>
      <c r="E255" s="14">
        <v>0.3</v>
      </c>
      <c r="F255" s="14">
        <f t="shared" si="6"/>
        <v>48.42</v>
      </c>
      <c r="G255" s="14"/>
      <c r="H255" s="14">
        <f t="shared" si="7"/>
        <v>48.42</v>
      </c>
      <c r="I255" s="23">
        <v>897384</v>
      </c>
      <c r="J255" s="17" t="s">
        <v>570</v>
      </c>
      <c r="K255" s="18" t="s">
        <v>28</v>
      </c>
      <c r="L255" s="18" t="s">
        <v>29</v>
      </c>
      <c r="M255" s="10"/>
      <c r="N255" s="18"/>
    </row>
    <row r="256" spans="1:16" x14ac:dyDescent="0.25">
      <c r="A256" s="10">
        <v>253</v>
      </c>
      <c r="B256" s="10">
        <v>3830</v>
      </c>
      <c r="C256" s="12" t="s">
        <v>571</v>
      </c>
      <c r="D256" s="22">
        <v>183</v>
      </c>
      <c r="E256" s="14">
        <v>0.3</v>
      </c>
      <c r="F256" s="14">
        <f t="shared" si="6"/>
        <v>54.9</v>
      </c>
      <c r="G256" s="14">
        <v>53.220000000000006</v>
      </c>
      <c r="H256" s="14">
        <f t="shared" si="7"/>
        <v>1.6799999999999926</v>
      </c>
      <c r="I256" s="23">
        <v>2153706</v>
      </c>
      <c r="J256" s="17" t="s">
        <v>572</v>
      </c>
      <c r="K256" s="16" t="s">
        <v>13</v>
      </c>
      <c r="L256" s="24" t="s">
        <v>14</v>
      </c>
      <c r="M256" s="10">
        <v>92740607</v>
      </c>
      <c r="N256" s="34" t="s">
        <v>38</v>
      </c>
    </row>
    <row r="257" spans="1:14" s="29" customFormat="1" x14ac:dyDescent="0.25">
      <c r="A257" s="10">
        <v>254</v>
      </c>
      <c r="B257" s="10">
        <v>3831</v>
      </c>
      <c r="C257" s="25" t="s">
        <v>573</v>
      </c>
      <c r="D257" s="54"/>
      <c r="E257" s="14">
        <v>0.3</v>
      </c>
      <c r="F257" s="14">
        <f t="shared" si="6"/>
        <v>0</v>
      </c>
      <c r="G257" s="14"/>
      <c r="H257" s="14">
        <f t="shared" si="7"/>
        <v>0</v>
      </c>
      <c r="I257" s="23">
        <v>873604</v>
      </c>
      <c r="J257" s="17" t="s">
        <v>574</v>
      </c>
      <c r="K257" s="18" t="s">
        <v>28</v>
      </c>
      <c r="L257" s="18" t="s">
        <v>29</v>
      </c>
      <c r="M257" s="10">
        <v>98145449</v>
      </c>
      <c r="N257" s="18"/>
    </row>
    <row r="258" spans="1:14" s="29" customFormat="1" x14ac:dyDescent="0.25">
      <c r="A258" s="10">
        <v>255</v>
      </c>
      <c r="B258" s="10">
        <v>3832</v>
      </c>
      <c r="C258" s="25" t="s">
        <v>575</v>
      </c>
      <c r="D258" s="22">
        <v>52.6</v>
      </c>
      <c r="E258" s="14">
        <v>0.3</v>
      </c>
      <c r="F258" s="14">
        <f t="shared" si="6"/>
        <v>15.78</v>
      </c>
      <c r="G258" s="14">
        <v>11.27</v>
      </c>
      <c r="H258" s="14">
        <f t="shared" si="7"/>
        <v>4.51</v>
      </c>
      <c r="I258" s="23">
        <v>1985192</v>
      </c>
      <c r="J258" s="112" t="s">
        <v>576</v>
      </c>
      <c r="K258" s="113" t="s">
        <v>13</v>
      </c>
      <c r="L258" s="112" t="s">
        <v>14</v>
      </c>
      <c r="M258" s="10">
        <v>99695515</v>
      </c>
      <c r="N258" s="34" t="s">
        <v>38</v>
      </c>
    </row>
    <row r="259" spans="1:14" x14ac:dyDescent="0.25">
      <c r="A259" s="10">
        <v>256</v>
      </c>
      <c r="B259" s="10">
        <v>3833</v>
      </c>
      <c r="C259" s="12" t="s">
        <v>577</v>
      </c>
      <c r="D259" s="22">
        <v>209.2</v>
      </c>
      <c r="E259" s="14">
        <v>0.3</v>
      </c>
      <c r="F259" s="14">
        <f t="shared" si="6"/>
        <v>62.759999999999991</v>
      </c>
      <c r="G259" s="14"/>
      <c r="H259" s="14">
        <f t="shared" si="7"/>
        <v>62.759999999999991</v>
      </c>
      <c r="I259" s="23">
        <v>19179619</v>
      </c>
      <c r="J259" s="17" t="s">
        <v>578</v>
      </c>
      <c r="K259" s="18" t="s">
        <v>28</v>
      </c>
      <c r="L259" s="18" t="s">
        <v>29</v>
      </c>
      <c r="M259" s="10">
        <v>91133123</v>
      </c>
      <c r="N259" s="18"/>
    </row>
    <row r="260" spans="1:14" x14ac:dyDescent="0.25">
      <c r="A260" s="10">
        <v>257</v>
      </c>
      <c r="B260" s="10">
        <v>3834</v>
      </c>
      <c r="C260" s="12" t="s">
        <v>579</v>
      </c>
      <c r="D260" s="22">
        <v>363.7</v>
      </c>
      <c r="E260" s="14">
        <v>0.3</v>
      </c>
      <c r="F260" s="14">
        <f t="shared" ref="F260:F312" si="8">E260*D260</f>
        <v>109.11</v>
      </c>
      <c r="G260" s="14">
        <v>106.89</v>
      </c>
      <c r="H260" s="14">
        <f t="shared" si="7"/>
        <v>2.2199999999999989</v>
      </c>
      <c r="I260" s="23">
        <v>5544756</v>
      </c>
      <c r="J260" s="17" t="s">
        <v>580</v>
      </c>
      <c r="K260" s="16" t="s">
        <v>13</v>
      </c>
      <c r="L260" s="24" t="s">
        <v>14</v>
      </c>
      <c r="M260" s="10">
        <v>92444788</v>
      </c>
      <c r="N260" s="34" t="s">
        <v>38</v>
      </c>
    </row>
    <row r="261" spans="1:14" x14ac:dyDescent="0.25">
      <c r="A261" s="10">
        <v>258</v>
      </c>
      <c r="B261" s="10">
        <v>3835</v>
      </c>
      <c r="C261" s="12" t="s">
        <v>581</v>
      </c>
      <c r="D261" s="22">
        <v>216.3</v>
      </c>
      <c r="E261" s="14">
        <v>0.3</v>
      </c>
      <c r="F261" s="14">
        <f t="shared" si="8"/>
        <v>64.89</v>
      </c>
      <c r="G261" s="14"/>
      <c r="H261" s="14">
        <f t="shared" ref="H261:H312" si="9">F261-G261</f>
        <v>64.89</v>
      </c>
      <c r="I261" s="23">
        <v>781845</v>
      </c>
      <c r="J261" s="17" t="s">
        <v>582</v>
      </c>
      <c r="K261" s="18" t="s">
        <v>28</v>
      </c>
      <c r="L261" s="18" t="s">
        <v>29</v>
      </c>
      <c r="M261" s="10">
        <v>99297720</v>
      </c>
      <c r="N261" s="18"/>
    </row>
    <row r="262" spans="1:14" x14ac:dyDescent="0.25">
      <c r="A262" s="10">
        <v>259</v>
      </c>
      <c r="B262" s="10">
        <v>3836</v>
      </c>
      <c r="C262" s="12" t="s">
        <v>583</v>
      </c>
      <c r="D262" s="13">
        <v>189.1</v>
      </c>
      <c r="E262" s="14">
        <v>0.3</v>
      </c>
      <c r="F262" s="14">
        <f t="shared" si="8"/>
        <v>56.73</v>
      </c>
      <c r="G262" s="14">
        <v>55.290000000000006</v>
      </c>
      <c r="H262" s="14">
        <f t="shared" si="9"/>
        <v>1.4399999999999906</v>
      </c>
      <c r="I262" s="23">
        <v>20264434</v>
      </c>
      <c r="J262" s="17" t="s">
        <v>584</v>
      </c>
      <c r="K262" s="16" t="s">
        <v>13</v>
      </c>
      <c r="L262" s="24" t="s">
        <v>14</v>
      </c>
      <c r="M262" s="10"/>
      <c r="N262" s="34" t="s">
        <v>38</v>
      </c>
    </row>
    <row r="263" spans="1:14" x14ac:dyDescent="0.25">
      <c r="A263" s="10">
        <v>260</v>
      </c>
      <c r="B263" s="10">
        <v>3837</v>
      </c>
      <c r="C263" s="12" t="s">
        <v>585</v>
      </c>
      <c r="D263" s="22">
        <v>265.3</v>
      </c>
      <c r="E263" s="14">
        <v>0.3</v>
      </c>
      <c r="F263" s="14">
        <f t="shared" si="8"/>
        <v>79.59</v>
      </c>
      <c r="G263" s="14"/>
      <c r="H263" s="14">
        <f t="shared" si="9"/>
        <v>79.59</v>
      </c>
      <c r="I263" s="23">
        <v>1935947</v>
      </c>
      <c r="J263" s="17" t="s">
        <v>586</v>
      </c>
      <c r="K263" s="16" t="s">
        <v>13</v>
      </c>
      <c r="L263" s="24" t="s">
        <v>14</v>
      </c>
      <c r="M263" s="10">
        <v>99499566</v>
      </c>
      <c r="N263" s="18"/>
    </row>
    <row r="264" spans="1:14" x14ac:dyDescent="0.25">
      <c r="A264" s="10">
        <v>261</v>
      </c>
      <c r="B264" s="10">
        <v>3838</v>
      </c>
      <c r="C264" s="12" t="s">
        <v>587</v>
      </c>
      <c r="D264" s="22">
        <v>198.7</v>
      </c>
      <c r="E264" s="14">
        <v>0.3</v>
      </c>
      <c r="F264" s="14">
        <f t="shared" si="8"/>
        <v>59.609999999999992</v>
      </c>
      <c r="G264" s="14"/>
      <c r="H264" s="14">
        <f t="shared" si="9"/>
        <v>59.609999999999992</v>
      </c>
      <c r="I264" s="23">
        <v>18553115</v>
      </c>
      <c r="J264" s="17" t="s">
        <v>588</v>
      </c>
      <c r="K264" s="16" t="s">
        <v>13</v>
      </c>
      <c r="L264" s="24" t="s">
        <v>14</v>
      </c>
      <c r="M264" s="10"/>
      <c r="N264" s="18"/>
    </row>
    <row r="265" spans="1:14" x14ac:dyDescent="0.25">
      <c r="A265" s="10">
        <v>262</v>
      </c>
      <c r="B265" s="10">
        <v>3839</v>
      </c>
      <c r="C265" s="12" t="s">
        <v>589</v>
      </c>
      <c r="D265" s="22">
        <v>874.9</v>
      </c>
      <c r="E265" s="14">
        <v>0.3</v>
      </c>
      <c r="F265" s="14">
        <f t="shared" si="8"/>
        <v>262.46999999999997</v>
      </c>
      <c r="G265" s="14">
        <f>257.51</f>
        <v>257.51</v>
      </c>
      <c r="H265" s="14">
        <f t="shared" si="9"/>
        <v>4.9599999999999795</v>
      </c>
      <c r="I265" s="23">
        <v>22799311</v>
      </c>
      <c r="J265" s="17" t="s">
        <v>590</v>
      </c>
      <c r="K265" s="16" t="s">
        <v>13</v>
      </c>
      <c r="L265" s="24" t="s">
        <v>14</v>
      </c>
      <c r="M265" s="10"/>
      <c r="N265" s="34" t="s">
        <v>38</v>
      </c>
    </row>
    <row r="266" spans="1:14" x14ac:dyDescent="0.25">
      <c r="A266" s="10">
        <v>263</v>
      </c>
      <c r="B266" s="10">
        <v>3840</v>
      </c>
      <c r="C266" s="12" t="s">
        <v>591</v>
      </c>
      <c r="D266" s="22">
        <v>198</v>
      </c>
      <c r="E266" s="14">
        <v>0.3</v>
      </c>
      <c r="F266" s="14">
        <f t="shared" si="8"/>
        <v>59.4</v>
      </c>
      <c r="G266" s="14">
        <v>55.57</v>
      </c>
      <c r="H266" s="14">
        <f t="shared" si="9"/>
        <v>3.8299999999999983</v>
      </c>
      <c r="I266" s="23">
        <v>19777334</v>
      </c>
      <c r="J266" s="17" t="s">
        <v>592</v>
      </c>
      <c r="K266" s="16" t="s">
        <v>13</v>
      </c>
      <c r="L266" s="24" t="s">
        <v>14</v>
      </c>
      <c r="M266" s="10"/>
      <c r="N266" s="35" t="s">
        <v>85</v>
      </c>
    </row>
    <row r="267" spans="1:14" x14ac:dyDescent="0.25">
      <c r="A267" s="10">
        <v>264</v>
      </c>
      <c r="B267" s="10">
        <v>3841</v>
      </c>
      <c r="C267" s="12" t="s">
        <v>593</v>
      </c>
      <c r="D267" s="22">
        <v>418.5</v>
      </c>
      <c r="E267" s="14">
        <v>0.3</v>
      </c>
      <c r="F267" s="14">
        <f t="shared" si="8"/>
        <v>125.55</v>
      </c>
      <c r="G267" s="14"/>
      <c r="H267" s="14">
        <f t="shared" si="9"/>
        <v>125.55</v>
      </c>
      <c r="I267" s="23">
        <v>2538202</v>
      </c>
      <c r="J267" s="17" t="s">
        <v>594</v>
      </c>
      <c r="K267" s="28" t="s">
        <v>45</v>
      </c>
      <c r="L267" s="18" t="s">
        <v>46</v>
      </c>
      <c r="M267" s="10">
        <v>92735668</v>
      </c>
      <c r="N267" s="18"/>
    </row>
    <row r="268" spans="1:14" x14ac:dyDescent="0.25">
      <c r="A268" s="10">
        <v>265</v>
      </c>
      <c r="B268" s="10">
        <v>3843</v>
      </c>
      <c r="C268" s="12" t="s">
        <v>595</v>
      </c>
      <c r="D268" s="22">
        <v>600</v>
      </c>
      <c r="E268" s="14">
        <v>0.3</v>
      </c>
      <c r="F268" s="14">
        <f t="shared" si="8"/>
        <v>180</v>
      </c>
      <c r="G268" s="14"/>
      <c r="H268" s="14">
        <f t="shared" si="9"/>
        <v>180</v>
      </c>
      <c r="I268" s="23">
        <v>19564247</v>
      </c>
      <c r="J268" s="17" t="s">
        <v>596</v>
      </c>
      <c r="K268" s="16" t="s">
        <v>13</v>
      </c>
      <c r="L268" s="24" t="s">
        <v>14</v>
      </c>
      <c r="M268" s="10"/>
      <c r="N268" s="18"/>
    </row>
    <row r="269" spans="1:14" x14ac:dyDescent="0.25">
      <c r="A269" s="10">
        <v>266</v>
      </c>
      <c r="B269" s="10">
        <v>3844</v>
      </c>
      <c r="C269" s="12" t="s">
        <v>597</v>
      </c>
      <c r="D269" s="22">
        <v>854.4</v>
      </c>
      <c r="E269" s="14">
        <v>0.3</v>
      </c>
      <c r="F269" s="14">
        <f t="shared" si="8"/>
        <v>256.32</v>
      </c>
      <c r="G269" s="14">
        <v>253.79999999999998</v>
      </c>
      <c r="H269" s="14">
        <f t="shared" si="9"/>
        <v>2.5200000000000102</v>
      </c>
      <c r="I269" s="23">
        <v>1036602</v>
      </c>
      <c r="J269" s="17" t="s">
        <v>598</v>
      </c>
      <c r="K269" s="18" t="s">
        <v>21</v>
      </c>
      <c r="L269" s="17" t="s">
        <v>22</v>
      </c>
      <c r="M269" s="10">
        <v>98112999</v>
      </c>
      <c r="N269" s="34" t="s">
        <v>38</v>
      </c>
    </row>
    <row r="270" spans="1:14" x14ac:dyDescent="0.25">
      <c r="A270" s="10">
        <v>267</v>
      </c>
      <c r="B270" s="10">
        <v>3845</v>
      </c>
      <c r="C270" s="12" t="s">
        <v>599</v>
      </c>
      <c r="D270" s="22">
        <v>896.5</v>
      </c>
      <c r="E270" s="14">
        <v>0.3</v>
      </c>
      <c r="F270" s="14">
        <f t="shared" si="8"/>
        <v>268.95</v>
      </c>
      <c r="G270" s="14">
        <v>262.45</v>
      </c>
      <c r="H270" s="14">
        <f t="shared" si="9"/>
        <v>6.5</v>
      </c>
      <c r="I270" s="23">
        <v>1432563</v>
      </c>
      <c r="J270" s="17" t="s">
        <v>600</v>
      </c>
      <c r="K270" s="18" t="s">
        <v>28</v>
      </c>
      <c r="L270" s="18" t="s">
        <v>29</v>
      </c>
      <c r="M270" s="10"/>
      <c r="N270" s="34" t="s">
        <v>38</v>
      </c>
    </row>
    <row r="271" spans="1:14" x14ac:dyDescent="0.25">
      <c r="A271" s="36">
        <v>268</v>
      </c>
      <c r="B271" s="36">
        <v>3846</v>
      </c>
      <c r="C271" s="37" t="s">
        <v>601</v>
      </c>
      <c r="D271" s="38">
        <v>210</v>
      </c>
      <c r="E271" s="39">
        <v>0.3</v>
      </c>
      <c r="F271" s="39">
        <f t="shared" si="8"/>
        <v>63</v>
      </c>
      <c r="G271" s="39">
        <v>57.920000000000023</v>
      </c>
      <c r="H271" s="39">
        <f t="shared" si="9"/>
        <v>5.079999999999977</v>
      </c>
      <c r="I271" s="48">
        <v>8115103</v>
      </c>
      <c r="J271" s="46" t="s">
        <v>602</v>
      </c>
      <c r="K271" s="45" t="s">
        <v>45</v>
      </c>
      <c r="L271" s="34" t="s">
        <v>46</v>
      </c>
      <c r="M271" s="36">
        <v>99298488</v>
      </c>
      <c r="N271" s="34" t="s">
        <v>603</v>
      </c>
    </row>
    <row r="272" spans="1:14" x14ac:dyDescent="0.25">
      <c r="A272" s="10">
        <v>269</v>
      </c>
      <c r="B272" s="10">
        <v>3847</v>
      </c>
      <c r="C272" s="12" t="s">
        <v>604</v>
      </c>
      <c r="D272" s="22">
        <v>891.6</v>
      </c>
      <c r="E272" s="14">
        <v>0.3</v>
      </c>
      <c r="F272" s="14">
        <f t="shared" si="8"/>
        <v>267.48</v>
      </c>
      <c r="G272" s="14"/>
      <c r="H272" s="14">
        <f t="shared" si="9"/>
        <v>267.48</v>
      </c>
      <c r="I272" s="23">
        <v>238234</v>
      </c>
      <c r="J272" s="17" t="s">
        <v>605</v>
      </c>
      <c r="K272" s="16" t="s">
        <v>13</v>
      </c>
      <c r="L272" s="24" t="s">
        <v>14</v>
      </c>
      <c r="M272" s="10">
        <v>99495154</v>
      </c>
      <c r="N272" s="18"/>
    </row>
    <row r="273" spans="1:15" x14ac:dyDescent="0.25">
      <c r="A273" s="10">
        <v>270</v>
      </c>
      <c r="B273" s="10">
        <v>3848</v>
      </c>
      <c r="C273" s="12" t="s">
        <v>606</v>
      </c>
      <c r="D273" s="22">
        <v>828.4</v>
      </c>
      <c r="E273" s="14">
        <v>0.3</v>
      </c>
      <c r="F273" s="14">
        <f t="shared" si="8"/>
        <v>248.51999999999998</v>
      </c>
      <c r="G273" s="14"/>
      <c r="H273" s="14">
        <f t="shared" si="9"/>
        <v>248.51999999999998</v>
      </c>
      <c r="I273" s="23">
        <v>19231852</v>
      </c>
      <c r="J273" s="17" t="s">
        <v>607</v>
      </c>
      <c r="K273" s="18" t="s">
        <v>21</v>
      </c>
      <c r="L273" s="17" t="s">
        <v>22</v>
      </c>
      <c r="M273" s="10">
        <v>92341000</v>
      </c>
      <c r="N273" s="18"/>
    </row>
    <row r="274" spans="1:15" x14ac:dyDescent="0.25">
      <c r="A274" s="10">
        <v>271</v>
      </c>
      <c r="B274" s="10">
        <v>3849</v>
      </c>
      <c r="C274" s="12" t="s">
        <v>608</v>
      </c>
      <c r="D274" s="22">
        <v>225</v>
      </c>
      <c r="E274" s="14">
        <v>0.3</v>
      </c>
      <c r="F274" s="14">
        <f t="shared" si="8"/>
        <v>67.5</v>
      </c>
      <c r="G274" s="14"/>
      <c r="H274" s="14">
        <f t="shared" si="9"/>
        <v>67.5</v>
      </c>
      <c r="I274" s="114">
        <v>18693727</v>
      </c>
      <c r="J274" s="115" t="s">
        <v>609</v>
      </c>
      <c r="K274" s="18" t="s">
        <v>28</v>
      </c>
      <c r="L274" s="18" t="s">
        <v>29</v>
      </c>
      <c r="M274" s="10">
        <v>93264185</v>
      </c>
      <c r="N274" s="18"/>
    </row>
    <row r="275" spans="1:15" s="20" customFormat="1" x14ac:dyDescent="0.25">
      <c r="A275" s="36">
        <v>272</v>
      </c>
      <c r="B275" s="36">
        <v>3850</v>
      </c>
      <c r="C275" s="37" t="s">
        <v>610</v>
      </c>
      <c r="D275" s="38">
        <v>467.8</v>
      </c>
      <c r="E275" s="39">
        <v>0.3</v>
      </c>
      <c r="F275" s="39">
        <f t="shared" si="8"/>
        <v>140.34</v>
      </c>
      <c r="G275" s="39">
        <f>1.02+137.75</f>
        <v>138.77000000000001</v>
      </c>
      <c r="H275" s="39">
        <f t="shared" si="9"/>
        <v>1.5699999999999932</v>
      </c>
      <c r="I275" s="48">
        <v>5742985</v>
      </c>
      <c r="J275" s="46" t="s">
        <v>611</v>
      </c>
      <c r="K275" s="49" t="s">
        <v>13</v>
      </c>
      <c r="L275" s="46" t="s">
        <v>14</v>
      </c>
      <c r="M275" s="36">
        <v>93693543</v>
      </c>
      <c r="N275" s="35">
        <v>46002</v>
      </c>
      <c r="O275" s="34" t="s">
        <v>38</v>
      </c>
    </row>
    <row r="276" spans="1:15" x14ac:dyDescent="0.25">
      <c r="A276" s="10">
        <v>273</v>
      </c>
      <c r="B276" s="10">
        <v>3851</v>
      </c>
      <c r="C276" s="12" t="s">
        <v>612</v>
      </c>
      <c r="D276" s="22">
        <v>148.5</v>
      </c>
      <c r="E276" s="14">
        <v>0.3</v>
      </c>
      <c r="F276" s="14">
        <f t="shared" si="8"/>
        <v>44.55</v>
      </c>
      <c r="G276" s="14"/>
      <c r="H276" s="14">
        <f t="shared" si="9"/>
        <v>44.55</v>
      </c>
      <c r="I276" s="23">
        <v>22766611</v>
      </c>
      <c r="J276" s="17" t="s">
        <v>613</v>
      </c>
      <c r="K276" s="17" t="s">
        <v>236</v>
      </c>
      <c r="L276" s="17" t="s">
        <v>237</v>
      </c>
      <c r="M276" s="10">
        <v>92688007</v>
      </c>
      <c r="N276" s="18"/>
    </row>
    <row r="277" spans="1:15" x14ac:dyDescent="0.25">
      <c r="A277" s="10">
        <v>274</v>
      </c>
      <c r="B277" s="10">
        <v>3852</v>
      </c>
      <c r="C277" s="12" t="s">
        <v>614</v>
      </c>
      <c r="D277" s="22">
        <v>352.4</v>
      </c>
      <c r="E277" s="14">
        <v>0.3</v>
      </c>
      <c r="F277" s="14">
        <f t="shared" si="8"/>
        <v>105.71999999999998</v>
      </c>
      <c r="G277" s="14"/>
      <c r="H277" s="14">
        <f t="shared" si="9"/>
        <v>105.71999999999998</v>
      </c>
      <c r="I277" s="23">
        <v>8827979</v>
      </c>
      <c r="J277" s="17" t="s">
        <v>615</v>
      </c>
      <c r="K277" s="16" t="s">
        <v>13</v>
      </c>
      <c r="L277" s="24" t="s">
        <v>14</v>
      </c>
      <c r="M277" s="10">
        <v>92698971</v>
      </c>
      <c r="N277" s="18"/>
    </row>
    <row r="278" spans="1:15" x14ac:dyDescent="0.25">
      <c r="A278" s="10">
        <v>275</v>
      </c>
      <c r="B278" s="10">
        <v>3853</v>
      </c>
      <c r="C278" s="12" t="s">
        <v>616</v>
      </c>
      <c r="D278" s="22">
        <v>194.6</v>
      </c>
      <c r="E278" s="14">
        <v>0.3</v>
      </c>
      <c r="F278" s="14">
        <f t="shared" si="8"/>
        <v>58.379999999999995</v>
      </c>
      <c r="G278" s="14"/>
      <c r="H278" s="14">
        <f t="shared" si="9"/>
        <v>58.379999999999995</v>
      </c>
      <c r="I278" s="23">
        <v>5857446</v>
      </c>
      <c r="J278" s="17" t="s">
        <v>617</v>
      </c>
      <c r="K278" s="16" t="s">
        <v>13</v>
      </c>
      <c r="L278" s="24" t="s">
        <v>14</v>
      </c>
      <c r="M278" s="10">
        <v>97799611</v>
      </c>
      <c r="N278" s="18"/>
    </row>
    <row r="279" spans="1:15" x14ac:dyDescent="0.25">
      <c r="A279" s="10">
        <v>276</v>
      </c>
      <c r="B279" s="10">
        <v>3854</v>
      </c>
      <c r="C279" s="12" t="s">
        <v>618</v>
      </c>
      <c r="D279" s="22">
        <v>181.6</v>
      </c>
      <c r="E279" s="14">
        <v>0.3</v>
      </c>
      <c r="F279" s="14">
        <f t="shared" si="8"/>
        <v>54.48</v>
      </c>
      <c r="G279" s="14"/>
      <c r="H279" s="14">
        <f t="shared" si="9"/>
        <v>54.48</v>
      </c>
      <c r="I279" s="23">
        <v>1085838</v>
      </c>
      <c r="J279" s="17" t="s">
        <v>619</v>
      </c>
      <c r="K279" s="17" t="s">
        <v>142</v>
      </c>
      <c r="L279" s="18" t="s">
        <v>104</v>
      </c>
      <c r="M279" s="10">
        <v>92928848</v>
      </c>
      <c r="N279" s="18"/>
    </row>
    <row r="280" spans="1:15" x14ac:dyDescent="0.25">
      <c r="A280" s="10">
        <v>277</v>
      </c>
      <c r="B280" s="10">
        <v>3855</v>
      </c>
      <c r="C280" s="12" t="s">
        <v>620</v>
      </c>
      <c r="D280" s="22">
        <v>251.7</v>
      </c>
      <c r="E280" s="14">
        <v>0.3</v>
      </c>
      <c r="F280" s="14">
        <f t="shared" si="8"/>
        <v>75.509999999999991</v>
      </c>
      <c r="G280" s="14">
        <v>72.570000000000007</v>
      </c>
      <c r="H280" s="14">
        <f t="shared" si="9"/>
        <v>2.9399999999999835</v>
      </c>
      <c r="I280" s="23">
        <v>4948259</v>
      </c>
      <c r="J280" s="17" t="s">
        <v>621</v>
      </c>
      <c r="K280" s="16" t="s">
        <v>13</v>
      </c>
      <c r="L280" s="24" t="s">
        <v>14</v>
      </c>
      <c r="M280" s="10">
        <v>98252880</v>
      </c>
      <c r="N280" s="34" t="s">
        <v>38</v>
      </c>
    </row>
    <row r="281" spans="1:15" x14ac:dyDescent="0.25">
      <c r="A281" s="10">
        <v>278</v>
      </c>
      <c r="B281" s="10">
        <v>3856</v>
      </c>
      <c r="C281" s="12" t="s">
        <v>622</v>
      </c>
      <c r="D281" s="22">
        <v>135.19999999999999</v>
      </c>
      <c r="E281" s="14">
        <v>0.3</v>
      </c>
      <c r="F281" s="14">
        <f t="shared" si="8"/>
        <v>40.559999999999995</v>
      </c>
      <c r="G281" s="14"/>
      <c r="H281" s="14">
        <f t="shared" si="9"/>
        <v>40.559999999999995</v>
      </c>
      <c r="I281" s="23">
        <v>15097631</v>
      </c>
      <c r="J281" s="17" t="s">
        <v>623</v>
      </c>
      <c r="K281" s="16" t="s">
        <v>13</v>
      </c>
      <c r="L281" s="24" t="s">
        <v>14</v>
      </c>
      <c r="M281" s="10">
        <v>93262015</v>
      </c>
      <c r="N281" s="18"/>
    </row>
    <row r="282" spans="1:15" s="29" customFormat="1" x14ac:dyDescent="0.25">
      <c r="A282" s="10">
        <v>279</v>
      </c>
      <c r="B282" s="10">
        <v>3857</v>
      </c>
      <c r="C282" s="25" t="s">
        <v>624</v>
      </c>
      <c r="D282" s="22">
        <v>508.7</v>
      </c>
      <c r="E282" s="14">
        <v>0.3</v>
      </c>
      <c r="F282" s="14">
        <f t="shared" si="8"/>
        <v>152.60999999999999</v>
      </c>
      <c r="G282" s="14">
        <v>151.45000000000002</v>
      </c>
      <c r="H282" s="14">
        <f t="shared" si="9"/>
        <v>1.1599999999999682</v>
      </c>
      <c r="I282" s="23">
        <v>28903474</v>
      </c>
      <c r="J282" s="17" t="s">
        <v>625</v>
      </c>
      <c r="K282" s="18" t="s">
        <v>28</v>
      </c>
      <c r="L282" s="18" t="s">
        <v>29</v>
      </c>
      <c r="M282" s="10">
        <v>77588901</v>
      </c>
      <c r="N282" s="35" t="s">
        <v>85</v>
      </c>
    </row>
    <row r="283" spans="1:15" s="20" customFormat="1" x14ac:dyDescent="0.25">
      <c r="A283" s="36">
        <v>280</v>
      </c>
      <c r="B283" s="36">
        <v>3858</v>
      </c>
      <c r="C283" s="37" t="s">
        <v>626</v>
      </c>
      <c r="D283" s="38">
        <v>225</v>
      </c>
      <c r="E283" s="39">
        <v>0.3</v>
      </c>
      <c r="F283" s="39">
        <f t="shared" si="8"/>
        <v>67.5</v>
      </c>
      <c r="G283" s="39">
        <v>64.900000000000006</v>
      </c>
      <c r="H283" s="39">
        <f t="shared" si="9"/>
        <v>2.5999999999999943</v>
      </c>
      <c r="I283" s="48">
        <v>18451569</v>
      </c>
      <c r="J283" s="46" t="s">
        <v>627</v>
      </c>
      <c r="K283" s="49" t="s">
        <v>13</v>
      </c>
      <c r="L283" s="46" t="s">
        <v>14</v>
      </c>
      <c r="M283" s="36">
        <v>99298699</v>
      </c>
      <c r="N283" s="35">
        <v>46002</v>
      </c>
    </row>
    <row r="284" spans="1:15" x14ac:dyDescent="0.25">
      <c r="A284" s="10">
        <v>281</v>
      </c>
      <c r="B284" s="10">
        <v>3859</v>
      </c>
      <c r="C284" s="12" t="s">
        <v>419</v>
      </c>
      <c r="D284" s="22">
        <v>418</v>
      </c>
      <c r="E284" s="14">
        <v>0.3</v>
      </c>
      <c r="F284" s="14">
        <f t="shared" si="8"/>
        <v>125.39999999999999</v>
      </c>
      <c r="G284" s="14"/>
      <c r="H284" s="14">
        <f t="shared" si="9"/>
        <v>125.39999999999999</v>
      </c>
      <c r="I284" s="23">
        <v>6038764</v>
      </c>
      <c r="J284" s="17" t="s">
        <v>628</v>
      </c>
      <c r="K284" s="18" t="s">
        <v>28</v>
      </c>
      <c r="L284" s="18" t="s">
        <v>29</v>
      </c>
      <c r="M284" s="10">
        <v>98525646</v>
      </c>
      <c r="N284" s="18"/>
    </row>
    <row r="285" spans="1:15" x14ac:dyDescent="0.25">
      <c r="A285" s="10">
        <v>282</v>
      </c>
      <c r="B285" s="10">
        <v>3860</v>
      </c>
      <c r="C285" s="12" t="s">
        <v>629</v>
      </c>
      <c r="D285" s="22">
        <v>227</v>
      </c>
      <c r="E285" s="14">
        <v>0.3</v>
      </c>
      <c r="F285" s="14">
        <f t="shared" si="8"/>
        <v>68.099999999999994</v>
      </c>
      <c r="G285" s="14"/>
      <c r="H285" s="14">
        <f t="shared" si="9"/>
        <v>68.099999999999994</v>
      </c>
      <c r="I285" s="23">
        <v>6132261</v>
      </c>
      <c r="J285" s="17" t="s">
        <v>630</v>
      </c>
      <c r="K285" s="16" t="s">
        <v>13</v>
      </c>
      <c r="L285" s="24" t="s">
        <v>14</v>
      </c>
      <c r="M285" s="10">
        <v>92527857</v>
      </c>
      <c r="N285" s="18"/>
    </row>
    <row r="286" spans="1:15" x14ac:dyDescent="0.25">
      <c r="A286" s="10">
        <v>283</v>
      </c>
      <c r="B286" s="10">
        <v>3861</v>
      </c>
      <c r="C286" s="12" t="s">
        <v>631</v>
      </c>
      <c r="D286" s="22">
        <v>284</v>
      </c>
      <c r="E286" s="14">
        <v>0.3</v>
      </c>
      <c r="F286" s="14">
        <f t="shared" si="8"/>
        <v>85.2</v>
      </c>
      <c r="G286" s="14"/>
      <c r="H286" s="14">
        <f t="shared" si="9"/>
        <v>85.2</v>
      </c>
      <c r="I286" s="23">
        <v>14330506</v>
      </c>
      <c r="J286" s="17" t="s">
        <v>632</v>
      </c>
      <c r="K286" s="18" t="s">
        <v>28</v>
      </c>
      <c r="L286" s="18" t="s">
        <v>29</v>
      </c>
      <c r="M286" s="10">
        <v>98187484</v>
      </c>
      <c r="N286" s="18"/>
    </row>
    <row r="287" spans="1:15" x14ac:dyDescent="0.25">
      <c r="A287" s="10">
        <v>284</v>
      </c>
      <c r="B287" s="10">
        <v>3862</v>
      </c>
      <c r="C287" s="12" t="s">
        <v>633</v>
      </c>
      <c r="D287" s="22">
        <v>149</v>
      </c>
      <c r="E287" s="14">
        <v>0.3</v>
      </c>
      <c r="F287" s="14">
        <f t="shared" si="8"/>
        <v>44.699999999999996</v>
      </c>
      <c r="G287" s="14">
        <v>41.79</v>
      </c>
      <c r="H287" s="14">
        <f t="shared" si="9"/>
        <v>2.9099999999999966</v>
      </c>
      <c r="I287" s="23">
        <v>5892019</v>
      </c>
      <c r="J287" s="17" t="s">
        <v>634</v>
      </c>
      <c r="K287" s="16" t="s">
        <v>13</v>
      </c>
      <c r="L287" s="24" t="s">
        <v>14</v>
      </c>
      <c r="M287" s="10"/>
      <c r="N287" s="35" t="s">
        <v>85</v>
      </c>
    </row>
    <row r="288" spans="1:15" x14ac:dyDescent="0.25">
      <c r="A288" s="10">
        <v>285</v>
      </c>
      <c r="B288" s="10">
        <v>3863</v>
      </c>
      <c r="C288" s="12" t="s">
        <v>635</v>
      </c>
      <c r="D288" s="22">
        <v>29</v>
      </c>
      <c r="E288" s="14">
        <v>0.3</v>
      </c>
      <c r="F288" s="14">
        <f t="shared" si="8"/>
        <v>8.6999999999999993</v>
      </c>
      <c r="G288" s="14"/>
      <c r="H288" s="14">
        <f t="shared" si="9"/>
        <v>8.6999999999999993</v>
      </c>
      <c r="I288" s="23">
        <v>10772417</v>
      </c>
      <c r="J288" s="17" t="s">
        <v>636</v>
      </c>
      <c r="K288" s="16" t="s">
        <v>13</v>
      </c>
      <c r="L288" s="24" t="s">
        <v>14</v>
      </c>
      <c r="M288" s="10"/>
      <c r="N288" s="18"/>
    </row>
    <row r="289" spans="1:18" x14ac:dyDescent="0.25">
      <c r="A289" s="10">
        <v>286</v>
      </c>
      <c r="B289" s="10">
        <v>3864</v>
      </c>
      <c r="C289" s="12" t="s">
        <v>637</v>
      </c>
      <c r="D289" s="22">
        <v>163.5</v>
      </c>
      <c r="E289" s="14">
        <v>0.3</v>
      </c>
      <c r="F289" s="14">
        <f t="shared" si="8"/>
        <v>49.05</v>
      </c>
      <c r="G289" s="14">
        <v>44.99</v>
      </c>
      <c r="H289" s="14">
        <f t="shared" si="9"/>
        <v>4.0599999999999952</v>
      </c>
      <c r="I289" s="23">
        <v>6493803</v>
      </c>
      <c r="J289" s="17" t="s">
        <v>638</v>
      </c>
      <c r="K289" s="18" t="s">
        <v>28</v>
      </c>
      <c r="L289" s="18" t="s">
        <v>29</v>
      </c>
      <c r="M289" s="10">
        <v>99810408</v>
      </c>
      <c r="N289" s="34" t="s">
        <v>38</v>
      </c>
    </row>
    <row r="290" spans="1:18" s="20" customFormat="1" x14ac:dyDescent="0.25">
      <c r="A290" s="36">
        <v>287</v>
      </c>
      <c r="B290" s="36">
        <v>3865</v>
      </c>
      <c r="C290" s="37" t="s">
        <v>639</v>
      </c>
      <c r="D290" s="38">
        <v>459.4</v>
      </c>
      <c r="E290" s="39">
        <v>0.3</v>
      </c>
      <c r="F290" s="39">
        <f t="shared" si="8"/>
        <v>137.82</v>
      </c>
      <c r="G290" s="39">
        <v>1.819999999999995</v>
      </c>
      <c r="H290" s="39">
        <f t="shared" si="9"/>
        <v>136</v>
      </c>
      <c r="I290" s="48">
        <v>15219317</v>
      </c>
      <c r="J290" s="46" t="s">
        <v>640</v>
      </c>
      <c r="K290" s="49" t="s">
        <v>13</v>
      </c>
      <c r="L290" s="46" t="s">
        <v>14</v>
      </c>
      <c r="M290" s="36"/>
      <c r="N290" s="35">
        <v>46002</v>
      </c>
    </row>
    <row r="291" spans="1:18" x14ac:dyDescent="0.25">
      <c r="A291" s="10">
        <v>288</v>
      </c>
      <c r="B291" s="10">
        <v>3866</v>
      </c>
      <c r="C291" s="12" t="s">
        <v>641</v>
      </c>
      <c r="D291" s="22">
        <v>171.7</v>
      </c>
      <c r="E291" s="14">
        <v>0.3</v>
      </c>
      <c r="F291" s="14">
        <f t="shared" si="8"/>
        <v>51.51</v>
      </c>
      <c r="G291" s="14"/>
      <c r="H291" s="14">
        <f t="shared" si="9"/>
        <v>51.51</v>
      </c>
      <c r="I291" s="23">
        <v>11772662</v>
      </c>
      <c r="J291" s="17" t="s">
        <v>642</v>
      </c>
      <c r="K291" s="16" t="s">
        <v>13</v>
      </c>
      <c r="L291" s="24" t="s">
        <v>14</v>
      </c>
      <c r="M291" s="10"/>
      <c r="N291" s="18"/>
    </row>
    <row r="292" spans="1:18" x14ac:dyDescent="0.25">
      <c r="A292" s="10">
        <v>289</v>
      </c>
      <c r="B292" s="10">
        <v>3867</v>
      </c>
      <c r="C292" s="12" t="s">
        <v>643</v>
      </c>
      <c r="D292" s="22">
        <v>225</v>
      </c>
      <c r="E292" s="14">
        <v>0.3</v>
      </c>
      <c r="F292" s="14">
        <f t="shared" si="8"/>
        <v>67.5</v>
      </c>
      <c r="G292" s="14"/>
      <c r="H292" s="14">
        <f t="shared" si="9"/>
        <v>67.5</v>
      </c>
      <c r="I292" s="23">
        <v>18189491</v>
      </c>
      <c r="J292" s="17" t="s">
        <v>644</v>
      </c>
      <c r="K292" s="16" t="s">
        <v>13</v>
      </c>
      <c r="L292" s="24" t="s">
        <v>14</v>
      </c>
      <c r="M292" s="10">
        <v>92236482</v>
      </c>
      <c r="N292" s="18"/>
    </row>
    <row r="293" spans="1:18" x14ac:dyDescent="0.25">
      <c r="A293" s="10">
        <v>290</v>
      </c>
      <c r="B293" s="10">
        <v>3868</v>
      </c>
      <c r="C293" s="12" t="s">
        <v>645</v>
      </c>
      <c r="D293" s="22">
        <v>151.1</v>
      </c>
      <c r="E293" s="14">
        <v>0.3</v>
      </c>
      <c r="F293" s="14">
        <f t="shared" si="8"/>
        <v>45.33</v>
      </c>
      <c r="G293" s="14"/>
      <c r="H293" s="14">
        <f t="shared" si="9"/>
        <v>45.33</v>
      </c>
      <c r="I293" s="23">
        <v>23619706</v>
      </c>
      <c r="J293" s="17" t="s">
        <v>646</v>
      </c>
      <c r="K293" s="16" t="s">
        <v>13</v>
      </c>
      <c r="L293" s="24" t="s">
        <v>14</v>
      </c>
      <c r="M293" s="10">
        <v>93392527</v>
      </c>
      <c r="N293" s="18"/>
    </row>
    <row r="294" spans="1:18" s="20" customFormat="1" x14ac:dyDescent="0.25">
      <c r="A294" s="36">
        <v>291</v>
      </c>
      <c r="B294" s="36">
        <v>3869</v>
      </c>
      <c r="C294" s="37" t="s">
        <v>647</v>
      </c>
      <c r="D294" s="38">
        <v>167.1</v>
      </c>
      <c r="E294" s="39">
        <v>0.3</v>
      </c>
      <c r="F294" s="39">
        <f t="shared" si="8"/>
        <v>50.129999999999995</v>
      </c>
      <c r="G294" s="39">
        <v>47.28</v>
      </c>
      <c r="H294" s="39">
        <f t="shared" si="9"/>
        <v>2.8499999999999943</v>
      </c>
      <c r="I294" s="48">
        <v>1265569</v>
      </c>
      <c r="J294" s="46" t="s">
        <v>648</v>
      </c>
      <c r="K294" s="49" t="s">
        <v>13</v>
      </c>
      <c r="L294" s="46" t="s">
        <v>14</v>
      </c>
      <c r="M294" s="36">
        <v>93392527</v>
      </c>
      <c r="N294" s="35">
        <v>46002</v>
      </c>
    </row>
    <row r="295" spans="1:18" x14ac:dyDescent="0.25">
      <c r="A295" s="10">
        <v>292</v>
      </c>
      <c r="B295" s="10">
        <v>3870</v>
      </c>
      <c r="C295" s="12" t="s">
        <v>649</v>
      </c>
      <c r="D295" s="22">
        <v>657.7</v>
      </c>
      <c r="E295" s="14">
        <v>0.3</v>
      </c>
      <c r="F295" s="14">
        <f t="shared" si="8"/>
        <v>197.31</v>
      </c>
      <c r="G295" s="14"/>
      <c r="H295" s="14">
        <f t="shared" si="9"/>
        <v>197.31</v>
      </c>
      <c r="I295" s="23">
        <v>7138058</v>
      </c>
      <c r="J295" s="17" t="s">
        <v>650</v>
      </c>
      <c r="K295" s="18" t="s">
        <v>28</v>
      </c>
      <c r="L295" s="18" t="s">
        <v>29</v>
      </c>
      <c r="M295" s="10">
        <v>98187475</v>
      </c>
      <c r="N295" s="18"/>
    </row>
    <row r="296" spans="1:18" s="20" customFormat="1" x14ac:dyDescent="0.25">
      <c r="A296" s="36">
        <v>293</v>
      </c>
      <c r="B296" s="36">
        <v>3871</v>
      </c>
      <c r="C296" s="37" t="s">
        <v>651</v>
      </c>
      <c r="D296" s="38">
        <v>490.2</v>
      </c>
      <c r="E296" s="39">
        <v>0.3</v>
      </c>
      <c r="F296" s="39">
        <f t="shared" si="8"/>
        <v>147.06</v>
      </c>
      <c r="G296" s="39">
        <v>145.88</v>
      </c>
      <c r="H296" s="39">
        <f t="shared" si="9"/>
        <v>1.1800000000000068</v>
      </c>
      <c r="I296" s="48">
        <v>6920684</v>
      </c>
      <c r="J296" s="46" t="s">
        <v>652</v>
      </c>
      <c r="K296" s="34" t="s">
        <v>28</v>
      </c>
      <c r="L296" s="34" t="s">
        <v>29</v>
      </c>
      <c r="M296" s="36"/>
      <c r="N296" s="35" t="s">
        <v>85</v>
      </c>
    </row>
    <row r="297" spans="1:18" x14ac:dyDescent="0.25">
      <c r="A297" s="10">
        <v>294</v>
      </c>
      <c r="B297" s="10">
        <v>3872</v>
      </c>
      <c r="C297" s="12" t="s">
        <v>653</v>
      </c>
      <c r="D297" s="22">
        <v>374.7</v>
      </c>
      <c r="E297" s="14">
        <v>0.3</v>
      </c>
      <c r="F297" s="14">
        <f t="shared" si="8"/>
        <v>112.41</v>
      </c>
      <c r="G297" s="14">
        <v>112.21</v>
      </c>
      <c r="H297" s="14">
        <f t="shared" si="9"/>
        <v>0.20000000000000284</v>
      </c>
      <c r="I297" s="23">
        <v>5546892</v>
      </c>
      <c r="J297" s="17" t="s">
        <v>654</v>
      </c>
      <c r="K297" s="18" t="s">
        <v>28</v>
      </c>
      <c r="L297" s="18" t="s">
        <v>29</v>
      </c>
      <c r="M297" s="10">
        <v>93117757</v>
      </c>
      <c r="N297" s="35" t="s">
        <v>85</v>
      </c>
    </row>
    <row r="298" spans="1:18" x14ac:dyDescent="0.25">
      <c r="A298" s="10">
        <v>295</v>
      </c>
      <c r="B298" s="10">
        <v>3873</v>
      </c>
      <c r="C298" s="12" t="s">
        <v>655</v>
      </c>
      <c r="D298" s="22">
        <v>401.8</v>
      </c>
      <c r="E298" s="14">
        <v>0.3</v>
      </c>
      <c r="F298" s="14">
        <f t="shared" si="8"/>
        <v>120.53999999999999</v>
      </c>
      <c r="G298" s="14">
        <f>1.89</f>
        <v>1.89</v>
      </c>
      <c r="H298" s="14">
        <f t="shared" si="9"/>
        <v>118.64999999999999</v>
      </c>
      <c r="I298" s="23">
        <v>6560744</v>
      </c>
      <c r="J298" s="17" t="s">
        <v>656</v>
      </c>
      <c r="K298" s="16" t="s">
        <v>13</v>
      </c>
      <c r="L298" s="24" t="s">
        <v>14</v>
      </c>
      <c r="M298" s="10">
        <v>99291997</v>
      </c>
      <c r="N298" s="35">
        <v>45700</v>
      </c>
    </row>
    <row r="299" spans="1:18" x14ac:dyDescent="0.25">
      <c r="A299" s="10">
        <v>296</v>
      </c>
      <c r="B299" s="10">
        <v>3874</v>
      </c>
      <c r="C299" s="12" t="s">
        <v>657</v>
      </c>
      <c r="D299" s="22">
        <v>271</v>
      </c>
      <c r="E299" s="14">
        <v>0.3</v>
      </c>
      <c r="F299" s="14">
        <f t="shared" si="8"/>
        <v>81.3</v>
      </c>
      <c r="G299" s="14"/>
      <c r="H299" s="14">
        <f t="shared" si="9"/>
        <v>81.3</v>
      </c>
      <c r="I299" s="23">
        <v>8105354</v>
      </c>
      <c r="J299" s="17" t="s">
        <v>658</v>
      </c>
      <c r="K299" s="16" t="s">
        <v>13</v>
      </c>
      <c r="L299" s="24" t="s">
        <v>14</v>
      </c>
      <c r="M299" s="10">
        <v>96249000</v>
      </c>
      <c r="N299" s="18"/>
    </row>
    <row r="300" spans="1:18" x14ac:dyDescent="0.25">
      <c r="A300" s="10">
        <v>297</v>
      </c>
      <c r="B300" s="10">
        <v>3875</v>
      </c>
      <c r="C300" s="12" t="s">
        <v>659</v>
      </c>
      <c r="D300" s="22">
        <v>294</v>
      </c>
      <c r="E300" s="14">
        <v>0.3</v>
      </c>
      <c r="F300" s="14">
        <f t="shared" si="8"/>
        <v>88.2</v>
      </c>
      <c r="G300" s="14"/>
      <c r="H300" s="14">
        <f t="shared" si="9"/>
        <v>88.2</v>
      </c>
      <c r="I300" s="23">
        <v>1345289</v>
      </c>
      <c r="J300" s="17" t="s">
        <v>660</v>
      </c>
      <c r="K300" s="16" t="s">
        <v>13</v>
      </c>
      <c r="L300" s="24" t="s">
        <v>14</v>
      </c>
      <c r="M300" s="10">
        <v>99495936</v>
      </c>
      <c r="N300" s="18"/>
    </row>
    <row r="301" spans="1:18" x14ac:dyDescent="0.25">
      <c r="A301" s="10">
        <v>298</v>
      </c>
      <c r="B301" s="10">
        <v>3876</v>
      </c>
      <c r="C301" s="12" t="s">
        <v>661</v>
      </c>
      <c r="D301" s="22">
        <v>315</v>
      </c>
      <c r="E301" s="14">
        <v>0.3</v>
      </c>
      <c r="F301" s="14">
        <f t="shared" si="8"/>
        <v>94.5</v>
      </c>
      <c r="G301" s="14">
        <v>90.97</v>
      </c>
      <c r="H301" s="14">
        <f t="shared" si="9"/>
        <v>3.5300000000000011</v>
      </c>
      <c r="I301" s="23">
        <v>4767948</v>
      </c>
      <c r="J301" s="17" t="s">
        <v>662</v>
      </c>
      <c r="K301" s="18" t="s">
        <v>28</v>
      </c>
      <c r="L301" s="18" t="s">
        <v>29</v>
      </c>
      <c r="M301" s="10"/>
      <c r="N301" s="35" t="s">
        <v>85</v>
      </c>
    </row>
    <row r="302" spans="1:18" s="20" customFormat="1" x14ac:dyDescent="0.25">
      <c r="A302" s="36">
        <v>299</v>
      </c>
      <c r="B302" s="36">
        <v>3877</v>
      </c>
      <c r="C302" s="37" t="s">
        <v>663</v>
      </c>
      <c r="D302" s="38">
        <v>224.7</v>
      </c>
      <c r="E302" s="39">
        <v>0.3</v>
      </c>
      <c r="F302" s="39">
        <f t="shared" si="8"/>
        <v>67.41</v>
      </c>
      <c r="G302" s="39">
        <f>1.67999999999998+62.05</f>
        <v>63.729999999999976</v>
      </c>
      <c r="H302" s="39">
        <f t="shared" si="9"/>
        <v>3.680000000000021</v>
      </c>
      <c r="I302" s="48">
        <v>14897254</v>
      </c>
      <c r="J302" s="46" t="s">
        <v>664</v>
      </c>
      <c r="K302" s="34" t="s">
        <v>21</v>
      </c>
      <c r="L302" s="46" t="s">
        <v>22</v>
      </c>
      <c r="M302" s="36">
        <v>92226297</v>
      </c>
      <c r="N302" s="35">
        <v>45971</v>
      </c>
      <c r="O302" s="34" t="s">
        <v>38</v>
      </c>
    </row>
    <row r="303" spans="1:18" x14ac:dyDescent="0.25">
      <c r="A303" s="10">
        <v>300</v>
      </c>
      <c r="B303" s="10">
        <v>3878</v>
      </c>
      <c r="C303" s="12" t="s">
        <v>665</v>
      </c>
      <c r="D303" s="22">
        <v>221</v>
      </c>
      <c r="E303" s="14">
        <v>0.3</v>
      </c>
      <c r="F303" s="14">
        <f t="shared" si="8"/>
        <v>66.3</v>
      </c>
      <c r="G303" s="14"/>
      <c r="H303" s="14">
        <f t="shared" si="9"/>
        <v>66.3</v>
      </c>
      <c r="I303" s="23">
        <v>22687078</v>
      </c>
      <c r="J303" s="17" t="s">
        <v>666</v>
      </c>
      <c r="K303" s="28" t="s">
        <v>45</v>
      </c>
      <c r="L303" s="18" t="s">
        <v>46</v>
      </c>
      <c r="M303" s="10">
        <v>92338070</v>
      </c>
      <c r="N303" s="18"/>
    </row>
    <row r="304" spans="1:18" s="20" customFormat="1" x14ac:dyDescent="0.25">
      <c r="A304" s="36">
        <v>301</v>
      </c>
      <c r="B304" s="36">
        <v>3879</v>
      </c>
      <c r="C304" s="37" t="s">
        <v>667</v>
      </c>
      <c r="D304" s="38">
        <v>89.8</v>
      </c>
      <c r="E304" s="39">
        <v>0.3</v>
      </c>
      <c r="F304" s="39">
        <f t="shared" si="8"/>
        <v>26.939999999999998</v>
      </c>
      <c r="G304" s="39">
        <f>9.86+14.85</f>
        <v>24.71</v>
      </c>
      <c r="H304" s="39">
        <f t="shared" si="9"/>
        <v>2.2299999999999969</v>
      </c>
      <c r="I304" s="48">
        <v>23178497</v>
      </c>
      <c r="J304" s="46" t="s">
        <v>668</v>
      </c>
      <c r="K304" s="49" t="s">
        <v>13</v>
      </c>
      <c r="L304" s="46" t="s">
        <v>14</v>
      </c>
      <c r="M304" s="36"/>
      <c r="N304" s="34" t="s">
        <v>58</v>
      </c>
      <c r="O304" s="50" t="s">
        <v>669</v>
      </c>
      <c r="P304" s="50"/>
      <c r="Q304" s="50"/>
      <c r="R304" s="106">
        <v>45759</v>
      </c>
    </row>
    <row r="305" spans="1:14" x14ac:dyDescent="0.25">
      <c r="A305" s="10">
        <v>302</v>
      </c>
      <c r="B305" s="10">
        <v>3880</v>
      </c>
      <c r="C305" s="12" t="s">
        <v>670</v>
      </c>
      <c r="D305" s="22">
        <v>596.5</v>
      </c>
      <c r="E305" s="14">
        <v>0.3</v>
      </c>
      <c r="F305" s="14">
        <f t="shared" si="8"/>
        <v>178.95</v>
      </c>
      <c r="G305" s="14"/>
      <c r="H305" s="14">
        <f t="shared" si="9"/>
        <v>178.95</v>
      </c>
      <c r="I305" s="23">
        <v>6370697</v>
      </c>
      <c r="J305" s="17" t="s">
        <v>671</v>
      </c>
      <c r="K305" s="16" t="s">
        <v>13</v>
      </c>
      <c r="L305" s="24" t="s">
        <v>14</v>
      </c>
      <c r="M305" s="10">
        <v>99239896</v>
      </c>
      <c r="N305" s="18"/>
    </row>
    <row r="306" spans="1:14" x14ac:dyDescent="0.25">
      <c r="A306" s="10">
        <v>303</v>
      </c>
      <c r="B306" s="10">
        <v>3882</v>
      </c>
      <c r="C306" s="12" t="s">
        <v>672</v>
      </c>
      <c r="D306" s="22">
        <v>252.5</v>
      </c>
      <c r="E306" s="14">
        <v>0.3</v>
      </c>
      <c r="F306" s="14">
        <f t="shared" si="8"/>
        <v>75.75</v>
      </c>
      <c r="G306" s="14">
        <v>0</v>
      </c>
      <c r="H306" s="14">
        <f t="shared" si="9"/>
        <v>75.75</v>
      </c>
      <c r="I306" s="23">
        <v>26752992</v>
      </c>
      <c r="J306" s="17" t="s">
        <v>673</v>
      </c>
      <c r="K306" s="16" t="s">
        <v>190</v>
      </c>
      <c r="L306" s="24" t="s">
        <v>191</v>
      </c>
      <c r="M306" s="10"/>
      <c r="N306" s="18"/>
    </row>
    <row r="307" spans="1:14" x14ac:dyDescent="0.25">
      <c r="A307" s="10">
        <v>304</v>
      </c>
      <c r="B307" s="10">
        <v>3884</v>
      </c>
      <c r="C307" s="12" t="s">
        <v>674</v>
      </c>
      <c r="D307" s="22">
        <v>122.8</v>
      </c>
      <c r="E307" s="14">
        <v>0.3</v>
      </c>
      <c r="F307" s="14">
        <f t="shared" si="8"/>
        <v>36.839999999999996</v>
      </c>
      <c r="G307" s="14"/>
      <c r="H307" s="14">
        <f t="shared" si="9"/>
        <v>36.839999999999996</v>
      </c>
      <c r="I307" s="23">
        <v>22716378</v>
      </c>
      <c r="J307" s="17" t="s">
        <v>675</v>
      </c>
      <c r="K307" s="16" t="s">
        <v>13</v>
      </c>
      <c r="L307" s="24" t="s">
        <v>14</v>
      </c>
      <c r="M307" s="10"/>
      <c r="N307" s="18"/>
    </row>
    <row r="308" spans="1:14" x14ac:dyDescent="0.25">
      <c r="A308" s="10">
        <v>305</v>
      </c>
      <c r="B308" s="10">
        <v>3885</v>
      </c>
      <c r="C308" s="12" t="s">
        <v>676</v>
      </c>
      <c r="D308" s="22">
        <v>155.69999999999999</v>
      </c>
      <c r="E308" s="14">
        <v>0.3</v>
      </c>
      <c r="F308" s="14">
        <f t="shared" si="8"/>
        <v>46.709999999999994</v>
      </c>
      <c r="G308" s="14"/>
      <c r="H308" s="14">
        <f t="shared" si="9"/>
        <v>46.709999999999994</v>
      </c>
      <c r="I308" s="23">
        <v>9920479</v>
      </c>
      <c r="J308" s="17" t="s">
        <v>677</v>
      </c>
      <c r="K308" s="16" t="s">
        <v>303</v>
      </c>
      <c r="L308" s="24" t="s">
        <v>304</v>
      </c>
      <c r="M308" s="10"/>
      <c r="N308" s="18"/>
    </row>
    <row r="309" spans="1:14" x14ac:dyDescent="0.25">
      <c r="A309" s="10">
        <v>306</v>
      </c>
      <c r="B309" s="10">
        <v>3886</v>
      </c>
      <c r="C309" s="12" t="s">
        <v>678</v>
      </c>
      <c r="D309" s="22">
        <v>263</v>
      </c>
      <c r="E309" s="14">
        <v>0.3</v>
      </c>
      <c r="F309" s="14">
        <f t="shared" si="8"/>
        <v>78.899999999999991</v>
      </c>
      <c r="G309" s="14"/>
      <c r="H309" s="14">
        <f t="shared" si="9"/>
        <v>78.899999999999991</v>
      </c>
      <c r="I309" s="23">
        <v>21941594</v>
      </c>
      <c r="J309" s="17" t="s">
        <v>679</v>
      </c>
      <c r="K309" s="16" t="s">
        <v>13</v>
      </c>
      <c r="L309" s="24" t="s">
        <v>14</v>
      </c>
      <c r="M309" s="10">
        <v>92094818</v>
      </c>
      <c r="N309" s="18"/>
    </row>
    <row r="310" spans="1:14" s="20" customFormat="1" x14ac:dyDescent="0.25">
      <c r="A310" s="36">
        <v>307</v>
      </c>
      <c r="B310" s="36">
        <v>3887</v>
      </c>
      <c r="C310" s="37" t="s">
        <v>680</v>
      </c>
      <c r="D310" s="38">
        <v>124.2</v>
      </c>
      <c r="E310" s="39">
        <v>0.3</v>
      </c>
      <c r="F310" s="39">
        <f t="shared" si="8"/>
        <v>37.26</v>
      </c>
      <c r="G310" s="39">
        <v>36.700000000000003</v>
      </c>
      <c r="H310" s="39">
        <f t="shared" si="9"/>
        <v>0.55999999999999517</v>
      </c>
      <c r="I310" s="48">
        <v>13204809</v>
      </c>
      <c r="J310" s="46" t="s">
        <v>681</v>
      </c>
      <c r="K310" s="49" t="s">
        <v>13</v>
      </c>
      <c r="L310" s="46" t="s">
        <v>14</v>
      </c>
      <c r="M310" s="36">
        <v>93332329</v>
      </c>
      <c r="N310" s="35">
        <v>46002</v>
      </c>
    </row>
    <row r="311" spans="1:14" x14ac:dyDescent="0.25">
      <c r="A311" s="10">
        <v>308</v>
      </c>
      <c r="B311" s="10">
        <v>3888</v>
      </c>
      <c r="C311" s="12" t="s">
        <v>682</v>
      </c>
      <c r="D311" s="22">
        <v>297.5</v>
      </c>
      <c r="E311" s="14">
        <v>0.3</v>
      </c>
      <c r="F311" s="14">
        <f t="shared" si="8"/>
        <v>89.25</v>
      </c>
      <c r="G311" s="14"/>
      <c r="H311" s="14">
        <f t="shared" si="9"/>
        <v>89.25</v>
      </c>
      <c r="I311" s="23">
        <v>1808869</v>
      </c>
      <c r="J311" s="17" t="s">
        <v>683</v>
      </c>
      <c r="K311" s="18" t="s">
        <v>28</v>
      </c>
      <c r="L311" s="18" t="s">
        <v>29</v>
      </c>
      <c r="M311" s="10">
        <v>98003381</v>
      </c>
      <c r="N311" s="18"/>
    </row>
    <row r="312" spans="1:14" s="20" customFormat="1" x14ac:dyDescent="0.25">
      <c r="A312" s="36">
        <v>309</v>
      </c>
      <c r="B312" s="36">
        <v>3889</v>
      </c>
      <c r="C312" s="37" t="s">
        <v>684</v>
      </c>
      <c r="D312" s="38">
        <v>291.5</v>
      </c>
      <c r="E312" s="39">
        <v>0.3</v>
      </c>
      <c r="F312" s="39">
        <f t="shared" si="8"/>
        <v>87.45</v>
      </c>
      <c r="G312" s="39">
        <f>83.95</f>
        <v>83.95</v>
      </c>
      <c r="H312" s="39">
        <f t="shared" si="9"/>
        <v>3.5</v>
      </c>
      <c r="I312" s="48">
        <v>6499103</v>
      </c>
      <c r="J312" s="46" t="s">
        <v>685</v>
      </c>
      <c r="K312" s="49" t="s">
        <v>13</v>
      </c>
      <c r="L312" s="46" t="s">
        <v>14</v>
      </c>
      <c r="M312" s="36">
        <v>98200299</v>
      </c>
      <c r="N312" s="35" t="s">
        <v>85</v>
      </c>
    </row>
    <row r="313" spans="1:14" x14ac:dyDescent="0.25">
      <c r="A313" s="116"/>
      <c r="B313" s="117"/>
      <c r="C313" s="118" t="s">
        <v>686</v>
      </c>
      <c r="D313" s="119">
        <f>SUM(D4:D312)</f>
        <v>90219.899999999951</v>
      </c>
      <c r="E313" s="120"/>
      <c r="F313" s="119">
        <f>SUM(F4:F312)</f>
        <v>27065.97</v>
      </c>
      <c r="G313" s="119">
        <f t="shared" ref="G313:H313" si="10">SUM(G4:G312)</f>
        <v>8742.7669999999962</v>
      </c>
      <c r="H313" s="119">
        <f t="shared" si="10"/>
        <v>18323.203000000012</v>
      </c>
      <c r="I313" s="119" t="s">
        <v>25</v>
      </c>
      <c r="J313" s="121"/>
      <c r="K313" s="121"/>
      <c r="L313" s="121"/>
      <c r="M313" s="104"/>
      <c r="N313" s="104"/>
    </row>
    <row r="314" spans="1:14" x14ac:dyDescent="0.25">
      <c r="D314" s="122"/>
    </row>
    <row r="315" spans="1:14" x14ac:dyDescent="0.25">
      <c r="D315" s="123"/>
    </row>
  </sheetData>
  <mergeCells count="1">
    <mergeCell ref="A1:N2"/>
  </mergeCells>
  <conditionalFormatting sqref="J24">
    <cfRule type="duplicateValues" dxfId="17" priority="16"/>
  </conditionalFormatting>
  <conditionalFormatting sqref="J31">
    <cfRule type="duplicateValues" dxfId="16" priority="17"/>
  </conditionalFormatting>
  <conditionalFormatting sqref="J37">
    <cfRule type="duplicateValues" dxfId="15" priority="18"/>
  </conditionalFormatting>
  <conditionalFormatting sqref="J47">
    <cfRule type="duplicateValues" dxfId="14" priority="9"/>
  </conditionalFormatting>
  <conditionalFormatting sqref="J48">
    <cfRule type="duplicateValues" dxfId="13" priority="10"/>
  </conditionalFormatting>
  <conditionalFormatting sqref="J49">
    <cfRule type="duplicateValues" dxfId="12" priority="11"/>
  </conditionalFormatting>
  <conditionalFormatting sqref="J56">
    <cfRule type="duplicateValues" dxfId="11" priority="12"/>
  </conditionalFormatting>
  <conditionalFormatting sqref="J59">
    <cfRule type="duplicateValues" dxfId="10" priority="13"/>
  </conditionalFormatting>
  <conditionalFormatting sqref="J69">
    <cfRule type="duplicateValues" dxfId="9" priority="14"/>
  </conditionalFormatting>
  <conditionalFormatting sqref="J95">
    <cfRule type="duplicateValues" dxfId="8" priority="15"/>
  </conditionalFormatting>
  <conditionalFormatting sqref="J105">
    <cfRule type="duplicateValues" dxfId="7" priority="1"/>
  </conditionalFormatting>
  <conditionalFormatting sqref="J106">
    <cfRule type="duplicateValues" dxfId="6" priority="2"/>
  </conditionalFormatting>
  <conditionalFormatting sqref="J112">
    <cfRule type="duplicateValues" dxfId="5" priority="3"/>
  </conditionalFormatting>
  <conditionalFormatting sqref="J131">
    <cfRule type="duplicateValues" dxfId="4" priority="4"/>
  </conditionalFormatting>
  <conditionalFormatting sqref="J132">
    <cfRule type="duplicateValues" dxfId="3" priority="5"/>
  </conditionalFormatting>
  <conditionalFormatting sqref="K60">
    <cfRule type="duplicateValues" dxfId="2" priority="6"/>
  </conditionalFormatting>
  <conditionalFormatting sqref="K96">
    <cfRule type="duplicateValues" dxfId="1" priority="8"/>
  </conditionalFormatting>
  <conditionalFormatting sqref="M60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KASHOOB</dc:creator>
  <cp:lastModifiedBy>YASIR KASHOOB</cp:lastModifiedBy>
  <dcterms:created xsi:type="dcterms:W3CDTF">2015-06-05T18:17:20Z</dcterms:created>
  <dcterms:modified xsi:type="dcterms:W3CDTF">2026-01-04T12:21:49Z</dcterms:modified>
</cp:coreProperties>
</file>